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bookViews>
    <workbookView xWindow="0" yWindow="0" windowWidth="16380" windowHeight="8190" tabRatio="500"/>
  </bookViews>
  <sheets>
    <sheet name="GC_Summary" sheetId="1" r:id="rId1"/>
    <sheet name="Positions" sheetId="2" r:id="rId2"/>
    <sheet name="Stems_3D_BP" sheetId="3" r:id="rId3"/>
    <sheet name="Loops" sheetId="4" r:id="rId4"/>
    <sheet name="Notes" sheetId="5" r:id="rId5"/>
  </sheets>
  <definedNames>
    <definedName name="_xlnm._FilterDatabase" localSheetId="1" hidden="1">Positions!$A$1:$F$4694</definedName>
    <definedName name="_xlnm._FilterDatabase" localSheetId="2" hidden="1">Stems_3D_BP!$A$1:$K$1765</definedName>
  </definedNames>
  <calcPr calcId="124519" iterateDelta="1E-4"/>
  <extLst>
    <ext xmlns:loext="http://schemas.libreoffice.org/" uri="{7626C862-2A13-11E5-B345-FEFF819CDC9F}">
      <loext:extCalcPr stringRefSyntax="ExcelA1"/>
    </ext>
  </extLst>
</workbook>
</file>

<file path=xl/calcChain.xml><?xml version="1.0" encoding="utf-8"?>
<calcChain xmlns="http://schemas.openxmlformats.org/spreadsheetml/2006/main">
  <c r="I316" i="4"/>
  <c r="H316"/>
  <c r="G316"/>
  <c r="F316"/>
  <c r="J316" s="1"/>
  <c r="H315"/>
  <c r="G315"/>
  <c r="I315" s="1"/>
  <c r="F315"/>
  <c r="J315" s="1"/>
  <c r="H314"/>
  <c r="G314"/>
  <c r="I314" s="1"/>
  <c r="F314"/>
  <c r="J314" s="1"/>
  <c r="I313"/>
  <c r="H313"/>
  <c r="G313"/>
  <c r="F313"/>
  <c r="J313" s="1"/>
  <c r="I312"/>
  <c r="H312"/>
  <c r="G312"/>
  <c r="F312"/>
  <c r="J312" s="1"/>
  <c r="H311"/>
  <c r="G311"/>
  <c r="I311" s="1"/>
  <c r="F311"/>
  <c r="J311" s="1"/>
  <c r="H310"/>
  <c r="G310"/>
  <c r="I310" s="1"/>
  <c r="F310"/>
  <c r="I309"/>
  <c r="H309"/>
  <c r="G309"/>
  <c r="F309"/>
  <c r="J309" s="1"/>
  <c r="I308"/>
  <c r="H308"/>
  <c r="G308"/>
  <c r="F308"/>
  <c r="J308" s="1"/>
  <c r="H307"/>
  <c r="G307"/>
  <c r="I307" s="1"/>
  <c r="F307"/>
  <c r="H306"/>
  <c r="G306"/>
  <c r="I306" s="1"/>
  <c r="F306"/>
  <c r="J306" s="1"/>
  <c r="I305"/>
  <c r="H305"/>
  <c r="G305"/>
  <c r="F305"/>
  <c r="J305" s="1"/>
  <c r="I304"/>
  <c r="H304"/>
  <c r="G304"/>
  <c r="F304"/>
  <c r="J304" s="1"/>
  <c r="H303"/>
  <c r="G303"/>
  <c r="I303" s="1"/>
  <c r="F303"/>
  <c r="J303" s="1"/>
  <c r="H302"/>
  <c r="G302"/>
  <c r="I302" s="1"/>
  <c r="F302"/>
  <c r="J302" s="1"/>
  <c r="I301"/>
  <c r="H301"/>
  <c r="G301"/>
  <c r="F301"/>
  <c r="J301" s="1"/>
  <c r="I300"/>
  <c r="H300"/>
  <c r="G300"/>
  <c r="F300"/>
  <c r="J300" s="1"/>
  <c r="H299"/>
  <c r="G299"/>
  <c r="I299" s="1"/>
  <c r="F299"/>
  <c r="H298"/>
  <c r="G298"/>
  <c r="I298" s="1"/>
  <c r="F298"/>
  <c r="J298" s="1"/>
  <c r="I297"/>
  <c r="H297"/>
  <c r="G297"/>
  <c r="F297"/>
  <c r="J297" s="1"/>
  <c r="I296"/>
  <c r="H296"/>
  <c r="G296"/>
  <c r="F296"/>
  <c r="J296" s="1"/>
  <c r="H295"/>
  <c r="G295"/>
  <c r="I295" s="1"/>
  <c r="F295"/>
  <c r="J295" s="1"/>
  <c r="H294"/>
  <c r="G294"/>
  <c r="I294" s="1"/>
  <c r="F294"/>
  <c r="J294" s="1"/>
  <c r="I293"/>
  <c r="H293"/>
  <c r="G293"/>
  <c r="F293"/>
  <c r="J293" s="1"/>
  <c r="I292"/>
  <c r="H292"/>
  <c r="G292"/>
  <c r="F292"/>
  <c r="J292" s="1"/>
  <c r="H291"/>
  <c r="G291"/>
  <c r="I291" s="1"/>
  <c r="F291"/>
  <c r="H290"/>
  <c r="G290"/>
  <c r="I290" s="1"/>
  <c r="F290"/>
  <c r="J290" s="1"/>
  <c r="I289"/>
  <c r="H289"/>
  <c r="G289"/>
  <c r="F289"/>
  <c r="J289" s="1"/>
  <c r="I288"/>
  <c r="H288"/>
  <c r="G288"/>
  <c r="F288"/>
  <c r="J288" s="1"/>
  <c r="H287"/>
  <c r="G287"/>
  <c r="I287" s="1"/>
  <c r="F287"/>
  <c r="H286"/>
  <c r="G286"/>
  <c r="I286" s="1"/>
  <c r="F286"/>
  <c r="J286" s="1"/>
  <c r="I285"/>
  <c r="H285"/>
  <c r="G285"/>
  <c r="F285"/>
  <c r="J285" s="1"/>
  <c r="I284"/>
  <c r="H284"/>
  <c r="G284"/>
  <c r="F284"/>
  <c r="J284" s="1"/>
  <c r="H283"/>
  <c r="G283"/>
  <c r="I283" s="1"/>
  <c r="F283"/>
  <c r="H282"/>
  <c r="G282"/>
  <c r="I282" s="1"/>
  <c r="F282"/>
  <c r="J282" s="1"/>
  <c r="I281"/>
  <c r="H281"/>
  <c r="G281"/>
  <c r="F281"/>
  <c r="J281" s="1"/>
  <c r="I280"/>
  <c r="H280"/>
  <c r="G280"/>
  <c r="F280"/>
  <c r="J280" s="1"/>
  <c r="H279"/>
  <c r="G279"/>
  <c r="I279" s="1"/>
  <c r="F279"/>
  <c r="H278"/>
  <c r="G278"/>
  <c r="I278" s="1"/>
  <c r="F278"/>
  <c r="J278" s="1"/>
  <c r="I277"/>
  <c r="H277"/>
  <c r="G277"/>
  <c r="F277"/>
  <c r="J277" s="1"/>
  <c r="I276"/>
  <c r="H276"/>
  <c r="G276"/>
  <c r="F276"/>
  <c r="J276" s="1"/>
  <c r="H275"/>
  <c r="G275"/>
  <c r="I275" s="1"/>
  <c r="F275"/>
  <c r="H274"/>
  <c r="G274"/>
  <c r="I274" s="1"/>
  <c r="F274"/>
  <c r="J274" s="1"/>
  <c r="I273"/>
  <c r="H273"/>
  <c r="G273"/>
  <c r="F273"/>
  <c r="J273" s="1"/>
  <c r="I272"/>
  <c r="H272"/>
  <c r="G272"/>
  <c r="F272"/>
  <c r="J272" s="1"/>
  <c r="H271"/>
  <c r="G271"/>
  <c r="I271" s="1"/>
  <c r="F271"/>
  <c r="H270"/>
  <c r="G270"/>
  <c r="I270" s="1"/>
  <c r="F270"/>
  <c r="J270" s="1"/>
  <c r="I269"/>
  <c r="H269"/>
  <c r="G269"/>
  <c r="F269"/>
  <c r="J269" s="1"/>
  <c r="I268"/>
  <c r="H268"/>
  <c r="G268"/>
  <c r="F268"/>
  <c r="J268" s="1"/>
  <c r="H267"/>
  <c r="G267"/>
  <c r="I267" s="1"/>
  <c r="F267"/>
  <c r="H266"/>
  <c r="G266"/>
  <c r="I266" s="1"/>
  <c r="F266"/>
  <c r="J266" s="1"/>
  <c r="I265"/>
  <c r="H265"/>
  <c r="G265"/>
  <c r="F265"/>
  <c r="J265" s="1"/>
  <c r="I264"/>
  <c r="H264"/>
  <c r="G264"/>
  <c r="F264"/>
  <c r="J264" s="1"/>
  <c r="H263"/>
  <c r="G263"/>
  <c r="I263" s="1"/>
  <c r="F263"/>
  <c r="H262"/>
  <c r="G262"/>
  <c r="I262" s="1"/>
  <c r="F262"/>
  <c r="J262" s="1"/>
  <c r="I261"/>
  <c r="H261"/>
  <c r="G261"/>
  <c r="F261"/>
  <c r="J261" s="1"/>
  <c r="I260"/>
  <c r="H260"/>
  <c r="G260"/>
  <c r="F260"/>
  <c r="J260" s="1"/>
  <c r="H259"/>
  <c r="G259"/>
  <c r="I259" s="1"/>
  <c r="F259"/>
  <c r="H258"/>
  <c r="G258"/>
  <c r="I258" s="1"/>
  <c r="F258"/>
  <c r="J258" s="1"/>
  <c r="I257"/>
  <c r="H257"/>
  <c r="G257"/>
  <c r="F257"/>
  <c r="J257" s="1"/>
  <c r="I256"/>
  <c r="H256"/>
  <c r="G256"/>
  <c r="F256"/>
  <c r="J256" s="1"/>
  <c r="H255"/>
  <c r="G255"/>
  <c r="I255" s="1"/>
  <c r="F255"/>
  <c r="H254"/>
  <c r="G254"/>
  <c r="I254" s="1"/>
  <c r="F254"/>
  <c r="J254" s="1"/>
  <c r="I253"/>
  <c r="H253"/>
  <c r="G253"/>
  <c r="F253"/>
  <c r="J253" s="1"/>
  <c r="I252"/>
  <c r="H252"/>
  <c r="G252"/>
  <c r="F252"/>
  <c r="J252" s="1"/>
  <c r="H251"/>
  <c r="G251"/>
  <c r="I251" s="1"/>
  <c r="F251"/>
  <c r="H250"/>
  <c r="G250"/>
  <c r="I250" s="1"/>
  <c r="F250"/>
  <c r="J250" s="1"/>
  <c r="I249"/>
  <c r="H249"/>
  <c r="G249"/>
  <c r="F249"/>
  <c r="J249" s="1"/>
  <c r="I248"/>
  <c r="H248"/>
  <c r="G248"/>
  <c r="F248"/>
  <c r="J248" s="1"/>
  <c r="H247"/>
  <c r="G247"/>
  <c r="I247" s="1"/>
  <c r="F247"/>
  <c r="H246"/>
  <c r="G246"/>
  <c r="I246" s="1"/>
  <c r="F246"/>
  <c r="J246" s="1"/>
  <c r="I245"/>
  <c r="H245"/>
  <c r="G245"/>
  <c r="F245"/>
  <c r="J245" s="1"/>
  <c r="I244"/>
  <c r="H244"/>
  <c r="G244"/>
  <c r="F244"/>
  <c r="J244" s="1"/>
  <c r="H243"/>
  <c r="G243"/>
  <c r="I243" s="1"/>
  <c r="F243"/>
  <c r="H242"/>
  <c r="G242"/>
  <c r="I242" s="1"/>
  <c r="F242"/>
  <c r="J242" s="1"/>
  <c r="I241"/>
  <c r="H241"/>
  <c r="G241"/>
  <c r="F241"/>
  <c r="J241" s="1"/>
  <c r="I240"/>
  <c r="H240"/>
  <c r="G240"/>
  <c r="F240"/>
  <c r="J240" s="1"/>
  <c r="H239"/>
  <c r="G239"/>
  <c r="I239" s="1"/>
  <c r="F239"/>
  <c r="H238"/>
  <c r="G238"/>
  <c r="I238" s="1"/>
  <c r="F238"/>
  <c r="J238" s="1"/>
  <c r="I237"/>
  <c r="H237"/>
  <c r="G237"/>
  <c r="F237"/>
  <c r="J237" s="1"/>
  <c r="I236"/>
  <c r="H236"/>
  <c r="G236"/>
  <c r="F236"/>
  <c r="J236" s="1"/>
  <c r="H235"/>
  <c r="G235"/>
  <c r="I235" s="1"/>
  <c r="F235"/>
  <c r="H234"/>
  <c r="G234"/>
  <c r="I234" s="1"/>
  <c r="F234"/>
  <c r="J234" s="1"/>
  <c r="I233"/>
  <c r="H233"/>
  <c r="G233"/>
  <c r="F233"/>
  <c r="J233" s="1"/>
  <c r="I232"/>
  <c r="H232"/>
  <c r="G232"/>
  <c r="F232"/>
  <c r="J232" s="1"/>
  <c r="H231"/>
  <c r="G231"/>
  <c r="I231" s="1"/>
  <c r="F231"/>
  <c r="H230"/>
  <c r="G230"/>
  <c r="I230" s="1"/>
  <c r="F230"/>
  <c r="J230" s="1"/>
  <c r="I229"/>
  <c r="H229"/>
  <c r="G229"/>
  <c r="F229"/>
  <c r="J229" s="1"/>
  <c r="I228"/>
  <c r="H228"/>
  <c r="G228"/>
  <c r="F228"/>
  <c r="J228" s="1"/>
  <c r="H227"/>
  <c r="G227"/>
  <c r="I227" s="1"/>
  <c r="F227"/>
  <c r="H226"/>
  <c r="G226"/>
  <c r="I226" s="1"/>
  <c r="F226"/>
  <c r="J226" s="1"/>
  <c r="I225"/>
  <c r="H225"/>
  <c r="G225"/>
  <c r="F225"/>
  <c r="J225" s="1"/>
  <c r="I224"/>
  <c r="H224"/>
  <c r="G224"/>
  <c r="F224"/>
  <c r="J224" s="1"/>
  <c r="H223"/>
  <c r="G223"/>
  <c r="I223" s="1"/>
  <c r="F223"/>
  <c r="H222"/>
  <c r="G222"/>
  <c r="I222" s="1"/>
  <c r="F222"/>
  <c r="J222" s="1"/>
  <c r="I221"/>
  <c r="H221"/>
  <c r="G221"/>
  <c r="F221"/>
  <c r="J221" s="1"/>
  <c r="I220"/>
  <c r="H220"/>
  <c r="G220"/>
  <c r="F220"/>
  <c r="J220" s="1"/>
  <c r="H219"/>
  <c r="G219"/>
  <c r="I219" s="1"/>
  <c r="F219"/>
  <c r="H218"/>
  <c r="G218"/>
  <c r="I218" s="1"/>
  <c r="F218"/>
  <c r="J218" s="1"/>
  <c r="I217"/>
  <c r="H217"/>
  <c r="G217"/>
  <c r="F217"/>
  <c r="J217" s="1"/>
  <c r="I216"/>
  <c r="H216"/>
  <c r="G216"/>
  <c r="F216"/>
  <c r="J216" s="1"/>
  <c r="H215"/>
  <c r="G215"/>
  <c r="I215" s="1"/>
  <c r="F215"/>
  <c r="H214"/>
  <c r="G214"/>
  <c r="I214" s="1"/>
  <c r="F214"/>
  <c r="J214" s="1"/>
  <c r="I213"/>
  <c r="H213"/>
  <c r="G213"/>
  <c r="F213"/>
  <c r="J213" s="1"/>
  <c r="I212"/>
  <c r="H212"/>
  <c r="G212"/>
  <c r="F212"/>
  <c r="J212" s="1"/>
  <c r="H211"/>
  <c r="G211"/>
  <c r="I211" s="1"/>
  <c r="F211"/>
  <c r="H210"/>
  <c r="G210"/>
  <c r="I210" s="1"/>
  <c r="F210"/>
  <c r="J210" s="1"/>
  <c r="I209"/>
  <c r="H209"/>
  <c r="G209"/>
  <c r="F209"/>
  <c r="J209" s="1"/>
  <c r="I208"/>
  <c r="H208"/>
  <c r="G208"/>
  <c r="F208"/>
  <c r="J208" s="1"/>
  <c r="H207"/>
  <c r="G207"/>
  <c r="I207" s="1"/>
  <c r="F207"/>
  <c r="H206"/>
  <c r="G206"/>
  <c r="I206" s="1"/>
  <c r="F206"/>
  <c r="J206" s="1"/>
  <c r="I205"/>
  <c r="H205"/>
  <c r="G205"/>
  <c r="F205"/>
  <c r="J205" s="1"/>
  <c r="I204"/>
  <c r="H204"/>
  <c r="G204"/>
  <c r="F204"/>
  <c r="J204" s="1"/>
  <c r="H203"/>
  <c r="G203"/>
  <c r="I203" s="1"/>
  <c r="F203"/>
  <c r="H202"/>
  <c r="G202"/>
  <c r="F202"/>
  <c r="I201"/>
  <c r="H201"/>
  <c r="G201"/>
  <c r="F201"/>
  <c r="J201" s="1"/>
  <c r="I200"/>
  <c r="H200"/>
  <c r="G200"/>
  <c r="F200"/>
  <c r="J200" s="1"/>
  <c r="H199"/>
  <c r="G199"/>
  <c r="I199" s="1"/>
  <c r="F199"/>
  <c r="H198"/>
  <c r="G198"/>
  <c r="F198"/>
  <c r="I197"/>
  <c r="H197"/>
  <c r="G197"/>
  <c r="F197"/>
  <c r="J197" s="1"/>
  <c r="I196"/>
  <c r="H196"/>
  <c r="G196"/>
  <c r="F196"/>
  <c r="J196" s="1"/>
  <c r="H195"/>
  <c r="G195"/>
  <c r="I195" s="1"/>
  <c r="F195"/>
  <c r="H194"/>
  <c r="G194"/>
  <c r="F194"/>
  <c r="I193"/>
  <c r="H193"/>
  <c r="G193"/>
  <c r="F193"/>
  <c r="J193" s="1"/>
  <c r="I192"/>
  <c r="H192"/>
  <c r="G192"/>
  <c r="F192"/>
  <c r="J192" s="1"/>
  <c r="H191"/>
  <c r="G191"/>
  <c r="I191" s="1"/>
  <c r="F191"/>
  <c r="H190"/>
  <c r="G190"/>
  <c r="I190" s="1"/>
  <c r="F190"/>
  <c r="I189"/>
  <c r="H189"/>
  <c r="G189"/>
  <c r="F189"/>
  <c r="J189" s="1"/>
  <c r="I188"/>
  <c r="H188"/>
  <c r="G188"/>
  <c r="F188"/>
  <c r="J188" s="1"/>
  <c r="H187"/>
  <c r="G187"/>
  <c r="I187" s="1"/>
  <c r="F187"/>
  <c r="H186"/>
  <c r="G186"/>
  <c r="F186"/>
  <c r="I185"/>
  <c r="H185"/>
  <c r="G185"/>
  <c r="F185"/>
  <c r="J185" s="1"/>
  <c r="I184"/>
  <c r="H184"/>
  <c r="G184"/>
  <c r="F184"/>
  <c r="J184" s="1"/>
  <c r="H183"/>
  <c r="G183"/>
  <c r="I183" s="1"/>
  <c r="F183"/>
  <c r="J183" s="1"/>
  <c r="H182"/>
  <c r="G182"/>
  <c r="F182"/>
  <c r="I181"/>
  <c r="H181"/>
  <c r="G181"/>
  <c r="F181"/>
  <c r="I180"/>
  <c r="H180"/>
  <c r="G180"/>
  <c r="F180"/>
  <c r="J180" s="1"/>
  <c r="H179"/>
  <c r="G179"/>
  <c r="I179" s="1"/>
  <c r="F179"/>
  <c r="H178"/>
  <c r="G178"/>
  <c r="F178"/>
  <c r="I177"/>
  <c r="H177"/>
  <c r="G177"/>
  <c r="F177"/>
  <c r="J177" s="1"/>
  <c r="I176"/>
  <c r="H176"/>
  <c r="G176"/>
  <c r="F176"/>
  <c r="J176" s="1"/>
  <c r="H175"/>
  <c r="G175"/>
  <c r="I175" s="1"/>
  <c r="F175"/>
  <c r="H174"/>
  <c r="G174"/>
  <c r="I174" s="1"/>
  <c r="F174"/>
  <c r="I173"/>
  <c r="H173"/>
  <c r="G173"/>
  <c r="F173"/>
  <c r="J173" s="1"/>
  <c r="I172"/>
  <c r="H172"/>
  <c r="G172"/>
  <c r="F172"/>
  <c r="J172" s="1"/>
  <c r="H171"/>
  <c r="G171"/>
  <c r="I171" s="1"/>
  <c r="F171"/>
  <c r="H170"/>
  <c r="G170"/>
  <c r="F170"/>
  <c r="I169"/>
  <c r="H169"/>
  <c r="G169"/>
  <c r="F169"/>
  <c r="J169" s="1"/>
  <c r="I168"/>
  <c r="H168"/>
  <c r="G168"/>
  <c r="F168"/>
  <c r="J168" s="1"/>
  <c r="H167"/>
  <c r="G167"/>
  <c r="I167" s="1"/>
  <c r="F167"/>
  <c r="J167" s="1"/>
  <c r="H166"/>
  <c r="G166"/>
  <c r="F166"/>
  <c r="I165"/>
  <c r="H165"/>
  <c r="G165"/>
  <c r="F165"/>
  <c r="I164"/>
  <c r="H164"/>
  <c r="G164"/>
  <c r="F164"/>
  <c r="J164" s="1"/>
  <c r="H163"/>
  <c r="G163"/>
  <c r="I163" s="1"/>
  <c r="F163"/>
  <c r="H162"/>
  <c r="G162"/>
  <c r="F162"/>
  <c r="I161"/>
  <c r="H161"/>
  <c r="G161"/>
  <c r="F161"/>
  <c r="J161" s="1"/>
  <c r="I160"/>
  <c r="H160"/>
  <c r="G160"/>
  <c r="F160"/>
  <c r="J160" s="1"/>
  <c r="H159"/>
  <c r="G159"/>
  <c r="I159" s="1"/>
  <c r="F159"/>
  <c r="H158"/>
  <c r="G158"/>
  <c r="I158" s="1"/>
  <c r="F158"/>
  <c r="I157"/>
  <c r="H157"/>
  <c r="G157"/>
  <c r="F157"/>
  <c r="J157" s="1"/>
  <c r="I156"/>
  <c r="H156"/>
  <c r="G156"/>
  <c r="F156"/>
  <c r="J156" s="1"/>
  <c r="H155"/>
  <c r="G155"/>
  <c r="I155" s="1"/>
  <c r="F155"/>
  <c r="H154"/>
  <c r="G154"/>
  <c r="F154"/>
  <c r="I153"/>
  <c r="H153"/>
  <c r="G153"/>
  <c r="F153"/>
  <c r="J153" s="1"/>
  <c r="I152"/>
  <c r="H152"/>
  <c r="G152"/>
  <c r="F152"/>
  <c r="J152" s="1"/>
  <c r="H151"/>
  <c r="G151"/>
  <c r="I151" s="1"/>
  <c r="F151"/>
  <c r="J151" s="1"/>
  <c r="H150"/>
  <c r="G150"/>
  <c r="F150"/>
  <c r="I149"/>
  <c r="H149"/>
  <c r="G149"/>
  <c r="F149"/>
  <c r="I148"/>
  <c r="H148"/>
  <c r="G148"/>
  <c r="F148"/>
  <c r="J148" s="1"/>
  <c r="H147"/>
  <c r="G147"/>
  <c r="I147" s="1"/>
  <c r="F147"/>
  <c r="H146"/>
  <c r="G146"/>
  <c r="F146"/>
  <c r="I145"/>
  <c r="H145"/>
  <c r="G145"/>
  <c r="F145"/>
  <c r="J145" s="1"/>
  <c r="I144"/>
  <c r="H144"/>
  <c r="G144"/>
  <c r="F144"/>
  <c r="J144" s="1"/>
  <c r="H143"/>
  <c r="G143"/>
  <c r="I143" s="1"/>
  <c r="F143"/>
  <c r="H142"/>
  <c r="G142"/>
  <c r="I142" s="1"/>
  <c r="F142"/>
  <c r="I141"/>
  <c r="H141"/>
  <c r="G141"/>
  <c r="F141"/>
  <c r="J141" s="1"/>
  <c r="I140"/>
  <c r="H140"/>
  <c r="G140"/>
  <c r="F140"/>
  <c r="J140" s="1"/>
  <c r="H139"/>
  <c r="G139"/>
  <c r="I139" s="1"/>
  <c r="F139"/>
  <c r="H138"/>
  <c r="G138"/>
  <c r="F138"/>
  <c r="I137"/>
  <c r="H137"/>
  <c r="G137"/>
  <c r="F137"/>
  <c r="J137" s="1"/>
  <c r="I136"/>
  <c r="H136"/>
  <c r="G136"/>
  <c r="F136"/>
  <c r="J136" s="1"/>
  <c r="H135"/>
  <c r="G135"/>
  <c r="I135" s="1"/>
  <c r="F135"/>
  <c r="J135" s="1"/>
  <c r="H134"/>
  <c r="G134"/>
  <c r="F134"/>
  <c r="I133"/>
  <c r="H133"/>
  <c r="G133"/>
  <c r="F133"/>
  <c r="I132"/>
  <c r="H132"/>
  <c r="G132"/>
  <c r="F132"/>
  <c r="J132" s="1"/>
  <c r="H131"/>
  <c r="G131"/>
  <c r="I131" s="1"/>
  <c r="F131"/>
  <c r="H130"/>
  <c r="G130"/>
  <c r="F130"/>
  <c r="I129"/>
  <c r="H129"/>
  <c r="G129"/>
  <c r="F129"/>
  <c r="J129" s="1"/>
  <c r="I128"/>
  <c r="H128"/>
  <c r="G128"/>
  <c r="F128"/>
  <c r="J128" s="1"/>
  <c r="H127"/>
  <c r="G127"/>
  <c r="I127" s="1"/>
  <c r="F127"/>
  <c r="H126"/>
  <c r="G126"/>
  <c r="I126" s="1"/>
  <c r="F126"/>
  <c r="I125"/>
  <c r="H125"/>
  <c r="G125"/>
  <c r="F125"/>
  <c r="J125" s="1"/>
  <c r="I124"/>
  <c r="H124"/>
  <c r="G124"/>
  <c r="F124"/>
  <c r="J124" s="1"/>
  <c r="H123"/>
  <c r="G123"/>
  <c r="I123" s="1"/>
  <c r="F123"/>
  <c r="H122"/>
  <c r="G122"/>
  <c r="F122"/>
  <c r="I121"/>
  <c r="H121"/>
  <c r="G121"/>
  <c r="F121"/>
  <c r="J121" s="1"/>
  <c r="I120"/>
  <c r="H120"/>
  <c r="G120"/>
  <c r="F120"/>
  <c r="J120" s="1"/>
  <c r="H119"/>
  <c r="G119"/>
  <c r="I119" s="1"/>
  <c r="F119"/>
  <c r="J119" s="1"/>
  <c r="H118"/>
  <c r="G118"/>
  <c r="F118"/>
  <c r="I117"/>
  <c r="H117"/>
  <c r="G117"/>
  <c r="F117"/>
  <c r="I116"/>
  <c r="H116"/>
  <c r="G116"/>
  <c r="F116"/>
  <c r="J116" s="1"/>
  <c r="H115"/>
  <c r="G115"/>
  <c r="I115" s="1"/>
  <c r="F115"/>
  <c r="H114"/>
  <c r="G114"/>
  <c r="F114"/>
  <c r="I113"/>
  <c r="H113"/>
  <c r="G113"/>
  <c r="F113"/>
  <c r="J113" s="1"/>
  <c r="I112"/>
  <c r="H112"/>
  <c r="G112"/>
  <c r="F112"/>
  <c r="J112" s="1"/>
  <c r="H111"/>
  <c r="G111"/>
  <c r="I111" s="1"/>
  <c r="F111"/>
  <c r="H110"/>
  <c r="G110"/>
  <c r="I110" s="1"/>
  <c r="F110"/>
  <c r="H109"/>
  <c r="I109" s="1"/>
  <c r="G109"/>
  <c r="F109"/>
  <c r="I108"/>
  <c r="H108"/>
  <c r="G108"/>
  <c r="F108"/>
  <c r="J108" s="1"/>
  <c r="H107"/>
  <c r="G107"/>
  <c r="I107" s="1"/>
  <c r="F107"/>
  <c r="J107" s="1"/>
  <c r="H106"/>
  <c r="G106"/>
  <c r="I106" s="1"/>
  <c r="F106"/>
  <c r="H105"/>
  <c r="I105" s="1"/>
  <c r="G105"/>
  <c r="F105"/>
  <c r="I104"/>
  <c r="H104"/>
  <c r="G104"/>
  <c r="F104"/>
  <c r="J104" s="1"/>
  <c r="J103"/>
  <c r="H103"/>
  <c r="G103"/>
  <c r="I103" s="1"/>
  <c r="F103"/>
  <c r="H102"/>
  <c r="G102"/>
  <c r="I102" s="1"/>
  <c r="F102"/>
  <c r="H101"/>
  <c r="I101" s="1"/>
  <c r="G101"/>
  <c r="F101"/>
  <c r="I100"/>
  <c r="H100"/>
  <c r="G100"/>
  <c r="F100"/>
  <c r="J100" s="1"/>
  <c r="J99"/>
  <c r="H99"/>
  <c r="G99"/>
  <c r="I99" s="1"/>
  <c r="F99"/>
  <c r="H98"/>
  <c r="G98"/>
  <c r="F98"/>
  <c r="H97"/>
  <c r="I97" s="1"/>
  <c r="G97"/>
  <c r="F97"/>
  <c r="I96"/>
  <c r="H96"/>
  <c r="G96"/>
  <c r="F96"/>
  <c r="J96" s="1"/>
  <c r="J95"/>
  <c r="H95"/>
  <c r="G95"/>
  <c r="I95" s="1"/>
  <c r="F95"/>
  <c r="H94"/>
  <c r="G94"/>
  <c r="F94"/>
  <c r="H93"/>
  <c r="I93" s="1"/>
  <c r="G93"/>
  <c r="F93"/>
  <c r="I92"/>
  <c r="H92"/>
  <c r="G92"/>
  <c r="F92"/>
  <c r="J92" s="1"/>
  <c r="H91"/>
  <c r="G91"/>
  <c r="I91" s="1"/>
  <c r="F91"/>
  <c r="J91" s="1"/>
  <c r="H90"/>
  <c r="G90"/>
  <c r="F90"/>
  <c r="I89"/>
  <c r="H89"/>
  <c r="G89"/>
  <c r="F89"/>
  <c r="I88"/>
  <c r="H88"/>
  <c r="G88"/>
  <c r="F88"/>
  <c r="J88" s="1"/>
  <c r="H87"/>
  <c r="G87"/>
  <c r="I87" s="1"/>
  <c r="F87"/>
  <c r="J87" s="1"/>
  <c r="H86"/>
  <c r="G86"/>
  <c r="F86"/>
  <c r="H85"/>
  <c r="I85" s="1"/>
  <c r="G85"/>
  <c r="F85"/>
  <c r="I84"/>
  <c r="H84"/>
  <c r="G84"/>
  <c r="F84"/>
  <c r="J84" s="1"/>
  <c r="H83"/>
  <c r="G83"/>
  <c r="I83" s="1"/>
  <c r="F83"/>
  <c r="J83" s="1"/>
  <c r="H82"/>
  <c r="G82"/>
  <c r="F82"/>
  <c r="H81"/>
  <c r="I81" s="1"/>
  <c r="G81"/>
  <c r="F81"/>
  <c r="I80"/>
  <c r="H80"/>
  <c r="G80"/>
  <c r="F80"/>
  <c r="J80" s="1"/>
  <c r="J79"/>
  <c r="H79"/>
  <c r="G79"/>
  <c r="I79" s="1"/>
  <c r="F79"/>
  <c r="H78"/>
  <c r="G78"/>
  <c r="F78"/>
  <c r="H77"/>
  <c r="I77" s="1"/>
  <c r="G77"/>
  <c r="F77"/>
  <c r="I76"/>
  <c r="H76"/>
  <c r="G76"/>
  <c r="F76"/>
  <c r="J76" s="1"/>
  <c r="H75"/>
  <c r="G75"/>
  <c r="I75" s="1"/>
  <c r="F75"/>
  <c r="J75" s="1"/>
  <c r="H74"/>
  <c r="G74"/>
  <c r="F74"/>
  <c r="H73"/>
  <c r="I73" s="1"/>
  <c r="G73"/>
  <c r="F73"/>
  <c r="I72"/>
  <c r="H72"/>
  <c r="G72"/>
  <c r="F72"/>
  <c r="J72" s="1"/>
  <c r="H71"/>
  <c r="G71"/>
  <c r="I71" s="1"/>
  <c r="F71"/>
  <c r="J71" s="1"/>
  <c r="H70"/>
  <c r="G70"/>
  <c r="F70"/>
  <c r="I69"/>
  <c r="H69"/>
  <c r="G69"/>
  <c r="F69"/>
  <c r="I68"/>
  <c r="H68"/>
  <c r="G68"/>
  <c r="F68"/>
  <c r="J68" s="1"/>
  <c r="H67"/>
  <c r="G67"/>
  <c r="I67" s="1"/>
  <c r="F67"/>
  <c r="J67" s="1"/>
  <c r="H66"/>
  <c r="G66"/>
  <c r="F66"/>
  <c r="H65"/>
  <c r="I65" s="1"/>
  <c r="G65"/>
  <c r="F65"/>
  <c r="I64"/>
  <c r="H64"/>
  <c r="G64"/>
  <c r="F64"/>
  <c r="J64" s="1"/>
  <c r="H63"/>
  <c r="G63"/>
  <c r="I63" s="1"/>
  <c r="F63"/>
  <c r="J63" s="1"/>
  <c r="H62"/>
  <c r="G62"/>
  <c r="F62"/>
  <c r="H61"/>
  <c r="I61" s="1"/>
  <c r="G61"/>
  <c r="F61"/>
  <c r="I60"/>
  <c r="H60"/>
  <c r="G60"/>
  <c r="F60"/>
  <c r="J60" s="1"/>
  <c r="J59"/>
  <c r="H59"/>
  <c r="G59"/>
  <c r="I59" s="1"/>
  <c r="F59"/>
  <c r="H58"/>
  <c r="G58"/>
  <c r="F58"/>
  <c r="H57"/>
  <c r="I57" s="1"/>
  <c r="G57"/>
  <c r="F57"/>
  <c r="I56"/>
  <c r="H56"/>
  <c r="G56"/>
  <c r="F56"/>
  <c r="J56" s="1"/>
  <c r="H55"/>
  <c r="G55"/>
  <c r="I55" s="1"/>
  <c r="F55"/>
  <c r="J55" s="1"/>
  <c r="H54"/>
  <c r="G54"/>
  <c r="F54"/>
  <c r="H53"/>
  <c r="I53" s="1"/>
  <c r="G53"/>
  <c r="F53"/>
  <c r="I52"/>
  <c r="H52"/>
  <c r="G52"/>
  <c r="F52"/>
  <c r="J52" s="1"/>
  <c r="H51"/>
  <c r="G51"/>
  <c r="I51" s="1"/>
  <c r="F51"/>
  <c r="J51" s="1"/>
  <c r="H50"/>
  <c r="G50"/>
  <c r="F50"/>
  <c r="I49"/>
  <c r="H49"/>
  <c r="G49"/>
  <c r="F49"/>
  <c r="I48"/>
  <c r="H48"/>
  <c r="G48"/>
  <c r="F48"/>
  <c r="J48" s="1"/>
  <c r="H47"/>
  <c r="G47"/>
  <c r="F47"/>
  <c r="I46"/>
  <c r="H46"/>
  <c r="G46"/>
  <c r="F46"/>
  <c r="J46" s="1"/>
  <c r="H45"/>
  <c r="I45" s="1"/>
  <c r="G45"/>
  <c r="F45"/>
  <c r="H44"/>
  <c r="G44"/>
  <c r="I44" s="1"/>
  <c r="F44"/>
  <c r="H43"/>
  <c r="G43"/>
  <c r="F43"/>
  <c r="H42"/>
  <c r="G42"/>
  <c r="I42" s="1"/>
  <c r="F42"/>
  <c r="H41"/>
  <c r="I41" s="1"/>
  <c r="G41"/>
  <c r="F41"/>
  <c r="I40"/>
  <c r="H40"/>
  <c r="G40"/>
  <c r="F40"/>
  <c r="J40" s="1"/>
  <c r="H39"/>
  <c r="G39"/>
  <c r="I39" s="1"/>
  <c r="F39"/>
  <c r="J39" s="1"/>
  <c r="I38"/>
  <c r="H38"/>
  <c r="G38"/>
  <c r="F38"/>
  <c r="J38" s="1"/>
  <c r="H37"/>
  <c r="I37" s="1"/>
  <c r="G37"/>
  <c r="F37"/>
  <c r="H36"/>
  <c r="G36"/>
  <c r="I36" s="1"/>
  <c r="F36"/>
  <c r="H35"/>
  <c r="G35"/>
  <c r="I35" s="1"/>
  <c r="F35"/>
  <c r="J35" s="1"/>
  <c r="H34"/>
  <c r="G34"/>
  <c r="I34" s="1"/>
  <c r="F34"/>
  <c r="H33"/>
  <c r="I33" s="1"/>
  <c r="G33"/>
  <c r="F33"/>
  <c r="I32"/>
  <c r="H32"/>
  <c r="G32"/>
  <c r="F32"/>
  <c r="J32" s="1"/>
  <c r="J31"/>
  <c r="H31"/>
  <c r="G31"/>
  <c r="I31" s="1"/>
  <c r="F31"/>
  <c r="I30"/>
  <c r="H30"/>
  <c r="G30"/>
  <c r="F30"/>
  <c r="H29"/>
  <c r="I29" s="1"/>
  <c r="G29"/>
  <c r="F29"/>
  <c r="H28"/>
  <c r="G28"/>
  <c r="I28" s="1"/>
  <c r="F28"/>
  <c r="J28" s="1"/>
  <c r="H27"/>
  <c r="G27"/>
  <c r="I27" s="1"/>
  <c r="J27" s="1"/>
  <c r="F27"/>
  <c r="H26"/>
  <c r="G26"/>
  <c r="I26" s="1"/>
  <c r="F26"/>
  <c r="H25"/>
  <c r="I25" s="1"/>
  <c r="G25"/>
  <c r="F25"/>
  <c r="I24"/>
  <c r="H24"/>
  <c r="G24"/>
  <c r="F24"/>
  <c r="J24" s="1"/>
  <c r="H23"/>
  <c r="G23"/>
  <c r="I23" s="1"/>
  <c r="F23"/>
  <c r="J23" s="1"/>
  <c r="I22"/>
  <c r="H22"/>
  <c r="G22"/>
  <c r="F22"/>
  <c r="J22" s="1"/>
  <c r="H21"/>
  <c r="I21" s="1"/>
  <c r="G21"/>
  <c r="F21"/>
  <c r="J21" s="1"/>
  <c r="H20"/>
  <c r="G20"/>
  <c r="I20" s="1"/>
  <c r="F20"/>
  <c r="H19"/>
  <c r="G19"/>
  <c r="F19"/>
  <c r="H18"/>
  <c r="G18"/>
  <c r="I18" s="1"/>
  <c r="F18"/>
  <c r="I17"/>
  <c r="H17"/>
  <c r="G17"/>
  <c r="F17"/>
  <c r="I16"/>
  <c r="H16"/>
  <c r="G16"/>
  <c r="F16"/>
  <c r="J16" s="1"/>
  <c r="H15"/>
  <c r="G15"/>
  <c r="I15" s="1"/>
  <c r="F15"/>
  <c r="J15" s="1"/>
  <c r="I14"/>
  <c r="H14"/>
  <c r="G14"/>
  <c r="F14"/>
  <c r="J14" s="1"/>
  <c r="H13"/>
  <c r="I13" s="1"/>
  <c r="G13"/>
  <c r="F13"/>
  <c r="J13" s="1"/>
  <c r="H12"/>
  <c r="G12"/>
  <c r="I12" s="1"/>
  <c r="F12"/>
  <c r="H11"/>
  <c r="G11"/>
  <c r="F11"/>
  <c r="H10"/>
  <c r="G10"/>
  <c r="I10" s="1"/>
  <c r="F10"/>
  <c r="I9"/>
  <c r="H9"/>
  <c r="G9"/>
  <c r="F9"/>
  <c r="J9" s="1"/>
  <c r="I8"/>
  <c r="H8"/>
  <c r="G8"/>
  <c r="F8"/>
  <c r="J8" s="1"/>
  <c r="H7"/>
  <c r="G7"/>
  <c r="I7" s="1"/>
  <c r="F7"/>
  <c r="J7" s="1"/>
  <c r="H6"/>
  <c r="G6"/>
  <c r="I6" s="1"/>
  <c r="F6"/>
  <c r="J6" s="1"/>
  <c r="H5"/>
  <c r="I5" s="1"/>
  <c r="G5"/>
  <c r="F5"/>
  <c r="H4"/>
  <c r="G4"/>
  <c r="I4" s="1"/>
  <c r="F4"/>
  <c r="H3"/>
  <c r="G3"/>
  <c r="F3"/>
  <c r="H2"/>
  <c r="G2"/>
  <c r="I2" s="1"/>
  <c r="F2"/>
  <c r="A4694" i="2"/>
  <c r="A4693"/>
  <c r="A4692"/>
  <c r="A4691"/>
  <c r="A4690"/>
  <c r="A4689"/>
  <c r="A4688"/>
  <c r="A4687"/>
  <c r="A4686"/>
  <c r="A4685"/>
  <c r="A4684"/>
  <c r="A4683"/>
  <c r="A4682"/>
  <c r="A4681"/>
  <c r="A4680"/>
  <c r="A4679"/>
  <c r="A4678"/>
  <c r="A4677"/>
  <c r="A4676"/>
  <c r="A4675"/>
  <c r="A4674"/>
  <c r="A4673"/>
  <c r="A4672"/>
  <c r="A4671"/>
  <c r="A4670"/>
  <c r="A4669"/>
  <c r="A4668"/>
  <c r="A4667"/>
  <c r="A4666"/>
  <c r="A4665"/>
  <c r="A4664"/>
  <c r="A4663"/>
  <c r="A4662"/>
  <c r="A4661"/>
  <c r="A4660"/>
  <c r="A4659"/>
  <c r="A4658"/>
  <c r="A4657"/>
  <c r="A4656"/>
  <c r="A4655"/>
  <c r="A4654"/>
  <c r="A4653"/>
  <c r="A4652"/>
  <c r="A4651"/>
  <c r="A4650"/>
  <c r="A4649"/>
  <c r="A4648"/>
  <c r="A4647"/>
  <c r="A4646"/>
  <c r="A4645"/>
  <c r="A4644"/>
  <c r="A4643"/>
  <c r="A4642"/>
  <c r="A4641"/>
  <c r="A4640"/>
  <c r="A4639"/>
  <c r="A4638"/>
  <c r="A4637"/>
  <c r="A4636"/>
  <c r="A4635"/>
  <c r="A4634"/>
  <c r="A4633"/>
  <c r="A4632"/>
  <c r="A4631"/>
  <c r="A4630"/>
  <c r="A4629"/>
  <c r="A4628"/>
  <c r="A4627"/>
  <c r="A4626"/>
  <c r="A4625"/>
  <c r="A4624"/>
  <c r="A4623"/>
  <c r="A4622"/>
  <c r="A4621"/>
  <c r="A4620"/>
  <c r="A4619"/>
  <c r="A4618"/>
  <c r="A4617"/>
  <c r="A4616"/>
  <c r="A4615"/>
  <c r="A4614"/>
  <c r="A4613"/>
  <c r="A4612"/>
  <c r="A4611"/>
  <c r="A4610"/>
  <c r="A4609"/>
  <c r="A4608"/>
  <c r="A4607"/>
  <c r="A4606"/>
  <c r="A4605"/>
  <c r="A4604"/>
  <c r="A4603"/>
  <c r="A4602"/>
  <c r="A4601"/>
  <c r="A4600"/>
  <c r="A4599"/>
  <c r="A4598"/>
  <c r="A4597"/>
  <c r="A4596"/>
  <c r="A4595"/>
  <c r="A4594"/>
  <c r="A4593"/>
  <c r="A4592"/>
  <c r="A4591"/>
  <c r="A4590"/>
  <c r="A4589"/>
  <c r="A4588"/>
  <c r="A4587"/>
  <c r="A4586"/>
  <c r="A4585"/>
  <c r="A4584"/>
  <c r="A4583"/>
  <c r="A4582"/>
  <c r="A4581"/>
  <c r="A4580"/>
  <c r="A4579"/>
  <c r="A4578"/>
  <c r="A4577"/>
  <c r="A4576"/>
  <c r="A4575"/>
  <c r="A4574"/>
  <c r="A4573"/>
  <c r="A4572"/>
  <c r="A4571"/>
  <c r="A4570"/>
  <c r="A4569"/>
  <c r="A4568"/>
  <c r="A4567"/>
  <c r="A4566"/>
  <c r="A4565"/>
  <c r="A4564"/>
  <c r="A4563"/>
  <c r="A4562"/>
  <c r="A4561"/>
  <c r="A4560"/>
  <c r="A4559"/>
  <c r="A4558"/>
  <c r="A4557"/>
  <c r="A4556"/>
  <c r="A4555"/>
  <c r="A4554"/>
  <c r="A4553"/>
  <c r="A4552"/>
  <c r="A4551"/>
  <c r="A4550"/>
  <c r="A4549"/>
  <c r="A4548"/>
  <c r="A4547"/>
  <c r="A4546"/>
  <c r="A4545"/>
  <c r="A4544"/>
  <c r="A4543"/>
  <c r="A4542"/>
  <c r="A4541"/>
  <c r="A4540"/>
  <c r="A4539"/>
  <c r="A4538"/>
  <c r="A4537"/>
  <c r="A4536"/>
  <c r="A4535"/>
  <c r="A4534"/>
  <c r="A4533"/>
  <c r="A4532"/>
  <c r="A4531"/>
  <c r="A4530"/>
  <c r="A4529"/>
  <c r="A4528"/>
  <c r="A4527"/>
  <c r="A4526"/>
  <c r="A4525"/>
  <c r="A4524"/>
  <c r="A4523"/>
  <c r="A4522"/>
  <c r="A4521"/>
  <c r="A4520"/>
  <c r="A4519"/>
  <c r="A4518"/>
  <c r="A4517"/>
  <c r="A4516"/>
  <c r="A4515"/>
  <c r="A4514"/>
  <c r="A4513"/>
  <c r="A4512"/>
  <c r="A4511"/>
  <c r="A4510"/>
  <c r="A4509"/>
  <c r="A4508"/>
  <c r="A4507"/>
  <c r="A4506"/>
  <c r="A4505"/>
  <c r="A4504"/>
  <c r="A4503"/>
  <c r="A4502"/>
  <c r="A4501"/>
  <c r="A4500"/>
  <c r="A4499"/>
  <c r="A4498"/>
  <c r="A4497"/>
  <c r="A4496"/>
  <c r="A4495"/>
  <c r="A4494"/>
  <c r="A4493"/>
  <c r="A4492"/>
  <c r="A4491"/>
  <c r="A4490"/>
  <c r="A4489"/>
  <c r="A4488"/>
  <c r="A4487"/>
  <c r="A4486"/>
  <c r="A4485"/>
  <c r="A4484"/>
  <c r="A4483"/>
  <c r="A4482"/>
  <c r="A4481"/>
  <c r="A4480"/>
  <c r="A4479"/>
  <c r="A4478"/>
  <c r="A4477"/>
  <c r="A4476"/>
  <c r="A4475"/>
  <c r="A4474"/>
  <c r="A4473"/>
  <c r="A4472"/>
  <c r="A4471"/>
  <c r="A4470"/>
  <c r="A4469"/>
  <c r="A4468"/>
  <c r="A4467"/>
  <c r="A4466"/>
  <c r="A4465"/>
  <c r="A4464"/>
  <c r="A4463"/>
  <c r="A4462"/>
  <c r="A4461"/>
  <c r="A4460"/>
  <c r="A4459"/>
  <c r="A4458"/>
  <c r="A4457"/>
  <c r="A4456"/>
  <c r="A4455"/>
  <c r="A4454"/>
  <c r="A4453"/>
  <c r="A4452"/>
  <c r="A4451"/>
  <c r="A4450"/>
  <c r="A4449"/>
  <c r="A4448"/>
  <c r="A4447"/>
  <c r="A4446"/>
  <c r="A4445"/>
  <c r="A4444"/>
  <c r="A4443"/>
  <c r="A4442"/>
  <c r="A4441"/>
  <c r="A4440"/>
  <c r="A4439"/>
  <c r="A4438"/>
  <c r="A4437"/>
  <c r="A4436"/>
  <c r="A4435"/>
  <c r="A4434"/>
  <c r="A4433"/>
  <c r="A4432"/>
  <c r="A4431"/>
  <c r="A4430"/>
  <c r="A4429"/>
  <c r="A4428"/>
  <c r="A4427"/>
  <c r="A4426"/>
  <c r="A4425"/>
  <c r="A4424"/>
  <c r="A4423"/>
  <c r="A4422"/>
  <c r="A4421"/>
  <c r="A4420"/>
  <c r="A4419"/>
  <c r="A4418"/>
  <c r="A4417"/>
  <c r="A4416"/>
  <c r="A4415"/>
  <c r="A4414"/>
  <c r="A4413"/>
  <c r="A4412"/>
  <c r="A4411"/>
  <c r="A4410"/>
  <c r="A4409"/>
  <c r="A4408"/>
  <c r="A4407"/>
  <c r="A4406"/>
  <c r="A4405"/>
  <c r="A4404"/>
  <c r="A4403"/>
  <c r="A4402"/>
  <c r="A4401"/>
  <c r="A4400"/>
  <c r="A4399"/>
  <c r="A4398"/>
  <c r="A4397"/>
  <c r="A4396"/>
  <c r="A4395"/>
  <c r="A4394"/>
  <c r="A4393"/>
  <c r="A4392"/>
  <c r="A4391"/>
  <c r="A4390"/>
  <c r="A4389"/>
  <c r="A4388"/>
  <c r="A4387"/>
  <c r="A4386"/>
  <c r="A4385"/>
  <c r="A4384"/>
  <c r="A4383"/>
  <c r="A4382"/>
  <c r="A4381"/>
  <c r="A4380"/>
  <c r="A4379"/>
  <c r="A4378"/>
  <c r="A4377"/>
  <c r="A4376"/>
  <c r="A4375"/>
  <c r="A4374"/>
  <c r="A4373"/>
  <c r="A4372"/>
  <c r="A4371"/>
  <c r="A4370"/>
  <c r="A4369"/>
  <c r="A4368"/>
  <c r="A4367"/>
  <c r="A4366"/>
  <c r="A4365"/>
  <c r="A4364"/>
  <c r="A4363"/>
  <c r="A4362"/>
  <c r="A4361"/>
  <c r="A4360"/>
  <c r="A4359"/>
  <c r="A4358"/>
  <c r="A4357"/>
  <c r="A4356"/>
  <c r="A4355"/>
  <c r="A4354"/>
  <c r="A4353"/>
  <c r="A4352"/>
  <c r="A4351"/>
  <c r="A4350"/>
  <c r="A4349"/>
  <c r="A4348"/>
  <c r="A4347"/>
  <c r="A4346"/>
  <c r="A4345"/>
  <c r="A4344"/>
  <c r="A4343"/>
  <c r="A4342"/>
  <c r="A4341"/>
  <c r="A4340"/>
  <c r="A4339"/>
  <c r="A4338"/>
  <c r="A4337"/>
  <c r="A4336"/>
  <c r="A4335"/>
  <c r="A4334"/>
  <c r="A4333"/>
  <c r="A4332"/>
  <c r="A4331"/>
  <c r="A4330"/>
  <c r="A4329"/>
  <c r="A4328"/>
  <c r="A4327"/>
  <c r="A4326"/>
  <c r="A4325"/>
  <c r="A4324"/>
  <c r="A4323"/>
  <c r="A4322"/>
  <c r="A4321"/>
  <c r="A4320"/>
  <c r="A4319"/>
  <c r="A4318"/>
  <c r="A4317"/>
  <c r="A4316"/>
  <c r="A4315"/>
  <c r="A4314"/>
  <c r="A4313"/>
  <c r="A4312"/>
  <c r="A4311"/>
  <c r="A4310"/>
  <c r="A4309"/>
  <c r="A4308"/>
  <c r="A4307"/>
  <c r="A4306"/>
  <c r="A4305"/>
  <c r="A4304"/>
  <c r="A4303"/>
  <c r="A4302"/>
  <c r="A4301"/>
  <c r="A4300"/>
  <c r="A4299"/>
  <c r="A4298"/>
  <c r="A4297"/>
  <c r="A4296"/>
  <c r="A4295"/>
  <c r="A4294"/>
  <c r="A4293"/>
  <c r="A4292"/>
  <c r="A4291"/>
  <c r="A4290"/>
  <c r="A4289"/>
  <c r="A4288"/>
  <c r="A4287"/>
  <c r="A4286"/>
  <c r="A4285"/>
  <c r="A4284"/>
  <c r="A4283"/>
  <c r="A4282"/>
  <c r="A4281"/>
  <c r="A4280"/>
  <c r="A4279"/>
  <c r="A4278"/>
  <c r="A4277"/>
  <c r="A4276"/>
  <c r="A4275"/>
  <c r="A4274"/>
  <c r="A4273"/>
  <c r="A4272"/>
  <c r="A4271"/>
  <c r="A4270"/>
  <c r="A4269"/>
  <c r="A4268"/>
  <c r="A4267"/>
  <c r="A4266"/>
  <c r="A4265"/>
  <c r="A4264"/>
  <c r="A4263"/>
  <c r="A4262"/>
  <c r="A4261"/>
  <c r="A4260"/>
  <c r="A4259"/>
  <c r="A4258"/>
  <c r="A4257"/>
  <c r="A4256"/>
  <c r="A4255"/>
  <c r="A4254"/>
  <c r="A4253"/>
  <c r="A4252"/>
  <c r="A4251"/>
  <c r="A4250"/>
  <c r="A4249"/>
  <c r="A4248"/>
  <c r="A4247"/>
  <c r="A4246"/>
  <c r="A4245"/>
  <c r="A4244"/>
  <c r="A4243"/>
  <c r="A4242"/>
  <c r="A4241"/>
  <c r="A4240"/>
  <c r="A4239"/>
  <c r="A4238"/>
  <c r="A4237"/>
  <c r="A4236"/>
  <c r="A4235"/>
  <c r="A4234"/>
  <c r="A4233"/>
  <c r="A4232"/>
  <c r="A4231"/>
  <c r="A4230"/>
  <c r="A4229"/>
  <c r="A4228"/>
  <c r="A4227"/>
  <c r="A4226"/>
  <c r="A4225"/>
  <c r="A4224"/>
  <c r="A4223"/>
  <c r="A4222"/>
  <c r="A4221"/>
  <c r="A4220"/>
  <c r="A4219"/>
  <c r="A4218"/>
  <c r="A4217"/>
  <c r="A4216"/>
  <c r="A4215"/>
  <c r="A4214"/>
  <c r="A4213"/>
  <c r="A4212"/>
  <c r="A4211"/>
  <c r="A4210"/>
  <c r="A4209"/>
  <c r="A4208"/>
  <c r="A4207"/>
  <c r="A4206"/>
  <c r="A4205"/>
  <c r="A4204"/>
  <c r="A4203"/>
  <c r="A4202"/>
  <c r="A4201"/>
  <c r="A4200"/>
  <c r="A4199"/>
  <c r="A4198"/>
  <c r="A4197"/>
  <c r="A4196"/>
  <c r="A4195"/>
  <c r="A4194"/>
  <c r="A4193"/>
  <c r="A4192"/>
  <c r="A4191"/>
  <c r="A4190"/>
  <c r="A4189"/>
  <c r="A4188"/>
  <c r="A4187"/>
  <c r="A4186"/>
  <c r="A4185"/>
  <c r="A4184"/>
  <c r="A4183"/>
  <c r="A4182"/>
  <c r="A4181"/>
  <c r="A4180"/>
  <c r="A4179"/>
  <c r="A4178"/>
  <c r="A4177"/>
  <c r="A4176"/>
  <c r="A4175"/>
  <c r="A4174"/>
  <c r="A4173"/>
  <c r="A4172"/>
  <c r="A4171"/>
  <c r="A4170"/>
  <c r="A4169"/>
  <c r="A4168"/>
  <c r="A4167"/>
  <c r="A4166"/>
  <c r="A4165"/>
  <c r="A4164"/>
  <c r="A4163"/>
  <c r="A4162"/>
  <c r="A4161"/>
  <c r="A4160"/>
  <c r="A4159"/>
  <c r="A4158"/>
  <c r="A4157"/>
  <c r="A4156"/>
  <c r="A4155"/>
  <c r="A4154"/>
  <c r="A4153"/>
  <c r="A4152"/>
  <c r="A4151"/>
  <c r="A4150"/>
  <c r="A4149"/>
  <c r="A4148"/>
  <c r="A4147"/>
  <c r="A4146"/>
  <c r="A4145"/>
  <c r="A4144"/>
  <c r="A4143"/>
  <c r="A4142"/>
  <c r="A4141"/>
  <c r="A4140"/>
  <c r="A4139"/>
  <c r="A4138"/>
  <c r="A4137"/>
  <c r="A4136"/>
  <c r="A4135"/>
  <c r="A4134"/>
  <c r="A4133"/>
  <c r="A4132"/>
  <c r="A4131"/>
  <c r="A4130"/>
  <c r="A4129"/>
  <c r="A4128"/>
  <c r="A4127"/>
  <c r="A4126"/>
  <c r="A4125"/>
  <c r="A4124"/>
  <c r="A4123"/>
  <c r="A4122"/>
  <c r="A4121"/>
  <c r="A4120"/>
  <c r="A4119"/>
  <c r="A4118"/>
  <c r="A4117"/>
  <c r="A4116"/>
  <c r="A4115"/>
  <c r="A4114"/>
  <c r="A4113"/>
  <c r="A4112"/>
  <c r="A4111"/>
  <c r="A4110"/>
  <c r="A4109"/>
  <c r="A4108"/>
  <c r="A4107"/>
  <c r="A4106"/>
  <c r="A4105"/>
  <c r="A4104"/>
  <c r="A4103"/>
  <c r="A4102"/>
  <c r="A4101"/>
  <c r="A4100"/>
  <c r="A4099"/>
  <c r="A4098"/>
  <c r="A4097"/>
  <c r="A4096"/>
  <c r="A4095"/>
  <c r="A4094"/>
  <c r="A4093"/>
  <c r="A4092"/>
  <c r="A4091"/>
  <c r="A4090"/>
  <c r="A4089"/>
  <c r="A4088"/>
  <c r="A4087"/>
  <c r="A4086"/>
  <c r="A4085"/>
  <c r="A4084"/>
  <c r="A4083"/>
  <c r="A4082"/>
  <c r="A4081"/>
  <c r="A4080"/>
  <c r="A4079"/>
  <c r="A4078"/>
  <c r="A4077"/>
  <c r="A4076"/>
  <c r="A4075"/>
  <c r="A4074"/>
  <c r="A4073"/>
  <c r="A4072"/>
  <c r="A4071"/>
  <c r="A4070"/>
  <c r="A4069"/>
  <c r="A4068"/>
  <c r="A4067"/>
  <c r="A4066"/>
  <c r="A4065"/>
  <c r="A4064"/>
  <c r="A4063"/>
  <c r="A4062"/>
  <c r="A4061"/>
  <c r="A4060"/>
  <c r="A4059"/>
  <c r="A4058"/>
  <c r="A4057"/>
  <c r="A4056"/>
  <c r="A4055"/>
  <c r="A4054"/>
  <c r="A4053"/>
  <c r="A4052"/>
  <c r="A4051"/>
  <c r="A4050"/>
  <c r="A4049"/>
  <c r="A4048"/>
  <c r="A4047"/>
  <c r="A4046"/>
  <c r="A4045"/>
  <c r="A4044"/>
  <c r="A4043"/>
  <c r="A4042"/>
  <c r="A4041"/>
  <c r="A4040"/>
  <c r="A4039"/>
  <c r="A4038"/>
  <c r="A4037"/>
  <c r="A4036"/>
  <c r="A4035"/>
  <c r="A4034"/>
  <c r="A4033"/>
  <c r="A4032"/>
  <c r="A4031"/>
  <c r="A4030"/>
  <c r="A4029"/>
  <c r="A4028"/>
  <c r="A4027"/>
  <c r="A4026"/>
  <c r="A4025"/>
  <c r="A4024"/>
  <c r="A4023"/>
  <c r="A4022"/>
  <c r="A4021"/>
  <c r="A4020"/>
  <c r="A4019"/>
  <c r="A4018"/>
  <c r="A4017"/>
  <c r="A4016"/>
  <c r="A4015"/>
  <c r="A4014"/>
  <c r="A4013"/>
  <c r="A4012"/>
  <c r="A4011"/>
  <c r="A4010"/>
  <c r="A4009"/>
  <c r="A4008"/>
  <c r="A4007"/>
  <c r="A4006"/>
  <c r="A4005"/>
  <c r="A4004"/>
  <c r="A4003"/>
  <c r="A4002"/>
  <c r="A4001"/>
  <c r="A4000"/>
  <c r="A3999"/>
  <c r="A3998"/>
  <c r="A3997"/>
  <c r="A3996"/>
  <c r="A3995"/>
  <c r="A3994"/>
  <c r="A3993"/>
  <c r="A3992"/>
  <c r="A3991"/>
  <c r="A3990"/>
  <c r="A3989"/>
  <c r="A3988"/>
  <c r="A3987"/>
  <c r="A3986"/>
  <c r="A3985"/>
  <c r="A3984"/>
  <c r="A3983"/>
  <c r="A3982"/>
  <c r="A3981"/>
  <c r="A3980"/>
  <c r="A3979"/>
  <c r="A3978"/>
  <c r="A3977"/>
  <c r="A3976"/>
  <c r="A3975"/>
  <c r="A3974"/>
  <c r="A3973"/>
  <c r="A3972"/>
  <c r="A3971"/>
  <c r="A3970"/>
  <c r="A3969"/>
  <c r="A3968"/>
  <c r="A3967"/>
  <c r="A3966"/>
  <c r="A3965"/>
  <c r="A3964"/>
  <c r="A3963"/>
  <c r="A3962"/>
  <c r="A3961"/>
  <c r="A3960"/>
  <c r="A3959"/>
  <c r="A3958"/>
  <c r="A3957"/>
  <c r="A3956"/>
  <c r="A3955"/>
  <c r="A3954"/>
  <c r="A3953"/>
  <c r="A3952"/>
  <c r="A3951"/>
  <c r="A3950"/>
  <c r="A3949"/>
  <c r="A3948"/>
  <c r="A3947"/>
  <c r="A3946"/>
  <c r="A3945"/>
  <c r="A3944"/>
  <c r="A3943"/>
  <c r="A3942"/>
  <c r="A3941"/>
  <c r="A3940"/>
  <c r="A3939"/>
  <c r="A3938"/>
  <c r="A3937"/>
  <c r="A3936"/>
  <c r="A3935"/>
  <c r="A3934"/>
  <c r="A3933"/>
  <c r="A3932"/>
  <c r="A3931"/>
  <c r="A3930"/>
  <c r="A3929"/>
  <c r="A3928"/>
  <c r="A3927"/>
  <c r="A3926"/>
  <c r="A3925"/>
  <c r="A3924"/>
  <c r="A3923"/>
  <c r="A3922"/>
  <c r="A3921"/>
  <c r="A3920"/>
  <c r="A3919"/>
  <c r="A3918"/>
  <c r="A3917"/>
  <c r="A3916"/>
  <c r="A3915"/>
  <c r="A3914"/>
  <c r="A3913"/>
  <c r="A3912"/>
  <c r="A3911"/>
  <c r="A3910"/>
  <c r="A3909"/>
  <c r="A3908"/>
  <c r="A3907"/>
  <c r="A3906"/>
  <c r="A3905"/>
  <c r="A3904"/>
  <c r="A3903"/>
  <c r="A3902"/>
  <c r="A3901"/>
  <c r="A3900"/>
  <c r="A3899"/>
  <c r="A3898"/>
  <c r="A3897"/>
  <c r="A3896"/>
  <c r="A3895"/>
  <c r="A3894"/>
  <c r="A3893"/>
  <c r="A3892"/>
  <c r="A3891"/>
  <c r="A3890"/>
  <c r="A3889"/>
  <c r="A3888"/>
  <c r="A3887"/>
  <c r="A3886"/>
  <c r="A3885"/>
  <c r="A3884"/>
  <c r="A3883"/>
  <c r="A3882"/>
  <c r="A3881"/>
  <c r="A3880"/>
  <c r="A3879"/>
  <c r="A3878"/>
  <c r="A3877"/>
  <c r="A3876"/>
  <c r="A3875"/>
  <c r="A3874"/>
  <c r="A3873"/>
  <c r="A3872"/>
  <c r="A3871"/>
  <c r="A3870"/>
  <c r="A3869"/>
  <c r="A3868"/>
  <c r="A3867"/>
  <c r="A3866"/>
  <c r="A3865"/>
  <c r="A3864"/>
  <c r="A3863"/>
  <c r="A3862"/>
  <c r="A3861"/>
  <c r="A3860"/>
  <c r="A3859"/>
  <c r="A3858"/>
  <c r="A3857"/>
  <c r="A3856"/>
  <c r="A3855"/>
  <c r="A3854"/>
  <c r="A3853"/>
  <c r="A3852"/>
  <c r="A3851"/>
  <c r="A3850"/>
  <c r="A3849"/>
  <c r="A3848"/>
  <c r="A3847"/>
  <c r="A3846"/>
  <c r="A3845"/>
  <c r="A3844"/>
  <c r="A3843"/>
  <c r="A3842"/>
  <c r="A3841"/>
  <c r="A3840"/>
  <c r="A3839"/>
  <c r="A3838"/>
  <c r="A3837"/>
  <c r="A3836"/>
  <c r="A3835"/>
  <c r="A3834"/>
  <c r="A3833"/>
  <c r="A3832"/>
  <c r="A3831"/>
  <c r="A3830"/>
  <c r="A3829"/>
  <c r="A3828"/>
  <c r="A3827"/>
  <c r="A3826"/>
  <c r="A3825"/>
  <c r="A3824"/>
  <c r="A3823"/>
  <c r="A3822"/>
  <c r="A3821"/>
  <c r="A3820"/>
  <c r="A3819"/>
  <c r="A3818"/>
  <c r="A3817"/>
  <c r="A3816"/>
  <c r="A3815"/>
  <c r="A3814"/>
  <c r="A3813"/>
  <c r="A3812"/>
  <c r="A3811"/>
  <c r="A3810"/>
  <c r="A3809"/>
  <c r="A3808"/>
  <c r="A3807"/>
  <c r="A3806"/>
  <c r="A3805"/>
  <c r="A3804"/>
  <c r="A3803"/>
  <c r="A3802"/>
  <c r="A3801"/>
  <c r="A3800"/>
  <c r="A3799"/>
  <c r="A3798"/>
  <c r="A3797"/>
  <c r="A3796"/>
  <c r="A3795"/>
  <c r="A3794"/>
  <c r="A3793"/>
  <c r="A3792"/>
  <c r="A3791"/>
  <c r="A3790"/>
  <c r="A3789"/>
  <c r="A3788"/>
  <c r="A3787"/>
  <c r="A3786"/>
  <c r="A3785"/>
  <c r="A3784"/>
  <c r="A3783"/>
  <c r="A3782"/>
  <c r="A3781"/>
  <c r="A3780"/>
  <c r="A3779"/>
  <c r="A3778"/>
  <c r="A3777"/>
  <c r="A3776"/>
  <c r="A3775"/>
  <c r="A3774"/>
  <c r="A3773"/>
  <c r="A3772"/>
  <c r="A3771"/>
  <c r="A3770"/>
  <c r="A3769"/>
  <c r="A3768"/>
  <c r="A3767"/>
  <c r="A3766"/>
  <c r="A3765"/>
  <c r="A3764"/>
  <c r="A3763"/>
  <c r="A3762"/>
  <c r="A3761"/>
  <c r="A3760"/>
  <c r="A3759"/>
  <c r="A3758"/>
  <c r="A3757"/>
  <c r="A3756"/>
  <c r="A3755"/>
  <c r="A3754"/>
  <c r="A3753"/>
  <c r="A3752"/>
  <c r="A3751"/>
  <c r="A3750"/>
  <c r="A3749"/>
  <c r="A3748"/>
  <c r="A3747"/>
  <c r="A3746"/>
  <c r="A3745"/>
  <c r="A3744"/>
  <c r="A3743"/>
  <c r="A3742"/>
  <c r="A3741"/>
  <c r="A3740"/>
  <c r="A3739"/>
  <c r="A3738"/>
  <c r="A3737"/>
  <c r="A3736"/>
  <c r="A3735"/>
  <c r="A3734"/>
  <c r="A3733"/>
  <c r="A3732"/>
  <c r="A3731"/>
  <c r="A3730"/>
  <c r="A3729"/>
  <c r="A3728"/>
  <c r="A3727"/>
  <c r="A3726"/>
  <c r="A3725"/>
  <c r="A3724"/>
  <c r="A3723"/>
  <c r="A3722"/>
  <c r="A3721"/>
  <c r="A3720"/>
  <c r="A3719"/>
  <c r="A3718"/>
  <c r="A3717"/>
  <c r="A3716"/>
  <c r="A3715"/>
  <c r="A3714"/>
  <c r="A3713"/>
  <c r="A3712"/>
  <c r="A3711"/>
  <c r="A3710"/>
  <c r="A3709"/>
  <c r="A3708"/>
  <c r="A3707"/>
  <c r="A3706"/>
  <c r="A3705"/>
  <c r="A3704"/>
  <c r="A3703"/>
  <c r="A3702"/>
  <c r="A3701"/>
  <c r="A3700"/>
  <c r="A3699"/>
  <c r="A3698"/>
  <c r="A3697"/>
  <c r="A3696"/>
  <c r="A3695"/>
  <c r="A3694"/>
  <c r="A3693"/>
  <c r="A3692"/>
  <c r="A3691"/>
  <c r="A3690"/>
  <c r="A3689"/>
  <c r="A3688"/>
  <c r="A3687"/>
  <c r="A3686"/>
  <c r="A3685"/>
  <c r="A3684"/>
  <c r="A3683"/>
  <c r="A3682"/>
  <c r="A3681"/>
  <c r="A3680"/>
  <c r="A3679"/>
  <c r="A3678"/>
  <c r="A3677"/>
  <c r="A3676"/>
  <c r="A3675"/>
  <c r="A3674"/>
  <c r="A3673"/>
  <c r="A3672"/>
  <c r="A3671"/>
  <c r="A3670"/>
  <c r="A3669"/>
  <c r="A3668"/>
  <c r="A3667"/>
  <c r="A3666"/>
  <c r="A3665"/>
  <c r="A3664"/>
  <c r="A3663"/>
  <c r="A3662"/>
  <c r="A3661"/>
  <c r="A3660"/>
  <c r="A3659"/>
  <c r="A3658"/>
  <c r="A3657"/>
  <c r="A3656"/>
  <c r="A3655"/>
  <c r="A3654"/>
  <c r="A3653"/>
  <c r="A3652"/>
  <c r="A3651"/>
  <c r="A3650"/>
  <c r="A3649"/>
  <c r="A3648"/>
  <c r="A3647"/>
  <c r="A3646"/>
  <c r="A3645"/>
  <c r="A3644"/>
  <c r="A3643"/>
  <c r="A3642"/>
  <c r="A3641"/>
  <c r="A3640"/>
  <c r="A3639"/>
  <c r="A3638"/>
  <c r="A3637"/>
  <c r="A3636"/>
  <c r="A3635"/>
  <c r="A3634"/>
  <c r="A3633"/>
  <c r="A3632"/>
  <c r="A3631"/>
  <c r="A3630"/>
  <c r="A3629"/>
  <c r="A3628"/>
  <c r="A3627"/>
  <c r="A3626"/>
  <c r="A3625"/>
  <c r="A3624"/>
  <c r="A3623"/>
  <c r="A3622"/>
  <c r="A3621"/>
  <c r="A3620"/>
  <c r="A3619"/>
  <c r="A3618"/>
  <c r="A3617"/>
  <c r="A3616"/>
  <c r="A3615"/>
  <c r="A3614"/>
  <c r="A3613"/>
  <c r="A3612"/>
  <c r="A3611"/>
  <c r="A3610"/>
  <c r="A3609"/>
  <c r="A3608"/>
  <c r="A3607"/>
  <c r="A3606"/>
  <c r="A3605"/>
  <c r="A3604"/>
  <c r="A3603"/>
  <c r="A3602"/>
  <c r="A3601"/>
  <c r="A3600"/>
  <c r="A3599"/>
  <c r="A3598"/>
  <c r="A3597"/>
  <c r="A3596"/>
  <c r="A3595"/>
  <c r="A3594"/>
  <c r="A3593"/>
  <c r="A3592"/>
  <c r="A3591"/>
  <c r="A3590"/>
  <c r="A3589"/>
  <c r="A3588"/>
  <c r="A3587"/>
  <c r="A3586"/>
  <c r="A3585"/>
  <c r="A3584"/>
  <c r="A3583"/>
  <c r="A3582"/>
  <c r="A3581"/>
  <c r="A3580"/>
  <c r="A3579"/>
  <c r="A3578"/>
  <c r="A3577"/>
  <c r="A3576"/>
  <c r="A3575"/>
  <c r="A3574"/>
  <c r="A3573"/>
  <c r="A3572"/>
  <c r="A3571"/>
  <c r="A3570"/>
  <c r="A3569"/>
  <c r="A3568"/>
  <c r="A3567"/>
  <c r="A3566"/>
  <c r="A3565"/>
  <c r="A3564"/>
  <c r="A3563"/>
  <c r="A3562"/>
  <c r="A3561"/>
  <c r="A3560"/>
  <c r="A3559"/>
  <c r="A3558"/>
  <c r="A3557"/>
  <c r="A3556"/>
  <c r="A3555"/>
  <c r="A3554"/>
  <c r="A3553"/>
  <c r="A3552"/>
  <c r="A3551"/>
  <c r="A3550"/>
  <c r="A3549"/>
  <c r="A3548"/>
  <c r="A3547"/>
  <c r="A3546"/>
  <c r="A3545"/>
  <c r="A3544"/>
  <c r="A3543"/>
  <c r="A3542"/>
  <c r="A3541"/>
  <c r="A3540"/>
  <c r="A3539"/>
  <c r="A3538"/>
  <c r="A3537"/>
  <c r="A3536"/>
  <c r="A3535"/>
  <c r="A3534"/>
  <c r="A3533"/>
  <c r="A3532"/>
  <c r="A3531"/>
  <c r="A3530"/>
  <c r="A3529"/>
  <c r="A3528"/>
  <c r="A3527"/>
  <c r="A3526"/>
  <c r="A3525"/>
  <c r="A3524"/>
  <c r="A3523"/>
  <c r="A3522"/>
  <c r="A3521"/>
  <c r="A3520"/>
  <c r="A3519"/>
  <c r="A3518"/>
  <c r="A3517"/>
  <c r="A3516"/>
  <c r="A3515"/>
  <c r="A3514"/>
  <c r="A3513"/>
  <c r="A3512"/>
  <c r="A3511"/>
  <c r="A3510"/>
  <c r="A3509"/>
  <c r="A3508"/>
  <c r="A3507"/>
  <c r="A3506"/>
  <c r="A3505"/>
  <c r="A3504"/>
  <c r="A3503"/>
  <c r="A3502"/>
  <c r="A3501"/>
  <c r="A3500"/>
  <c r="A3499"/>
  <c r="A3498"/>
  <c r="A3497"/>
  <c r="A3496"/>
  <c r="A3495"/>
  <c r="A3494"/>
  <c r="A3493"/>
  <c r="A3492"/>
  <c r="A3491"/>
  <c r="A3490"/>
  <c r="A3489"/>
  <c r="A3488"/>
  <c r="A3487"/>
  <c r="A3486"/>
  <c r="A3485"/>
  <c r="A3484"/>
  <c r="A3483"/>
  <c r="A3482"/>
  <c r="A3481"/>
  <c r="A3480"/>
  <c r="A3479"/>
  <c r="A3478"/>
  <c r="A3477"/>
  <c r="A3476"/>
  <c r="A3475"/>
  <c r="A3474"/>
  <c r="A3473"/>
  <c r="A3472"/>
  <c r="A3471"/>
  <c r="A3470"/>
  <c r="A3469"/>
  <c r="A3468"/>
  <c r="A3467"/>
  <c r="A3466"/>
  <c r="A3465"/>
  <c r="A3464"/>
  <c r="A3463"/>
  <c r="A3462"/>
  <c r="A3461"/>
  <c r="A3460"/>
  <c r="A3459"/>
  <c r="A3458"/>
  <c r="A3457"/>
  <c r="A3456"/>
  <c r="A3455"/>
  <c r="A3454"/>
  <c r="A3453"/>
  <c r="A3452"/>
  <c r="A3451"/>
  <c r="A3450"/>
  <c r="A3449"/>
  <c r="A3448"/>
  <c r="A3447"/>
  <c r="A3446"/>
  <c r="A3445"/>
  <c r="A3444"/>
  <c r="A3443"/>
  <c r="A3442"/>
  <c r="A3441"/>
  <c r="A3440"/>
  <c r="A3439"/>
  <c r="A3438"/>
  <c r="A3437"/>
  <c r="A3436"/>
  <c r="A3435"/>
  <c r="A3434"/>
  <c r="A3433"/>
  <c r="A3432"/>
  <c r="A3431"/>
  <c r="A3430"/>
  <c r="A3429"/>
  <c r="A3428"/>
  <c r="A3427"/>
  <c r="A3426"/>
  <c r="A3425"/>
  <c r="A3424"/>
  <c r="A3423"/>
  <c r="A3422"/>
  <c r="A3421"/>
  <c r="A3420"/>
  <c r="A3419"/>
  <c r="A3418"/>
  <c r="A3417"/>
  <c r="A3416"/>
  <c r="A3415"/>
  <c r="A3414"/>
  <c r="A3413"/>
  <c r="A3412"/>
  <c r="A3411"/>
  <c r="A3410"/>
  <c r="A3409"/>
  <c r="A3408"/>
  <c r="A3407"/>
  <c r="A3406"/>
  <c r="A3405"/>
  <c r="A3404"/>
  <c r="A3403"/>
  <c r="A3402"/>
  <c r="A3401"/>
  <c r="A3400"/>
  <c r="A3399"/>
  <c r="A3398"/>
  <c r="A3397"/>
  <c r="A3396"/>
  <c r="A3395"/>
  <c r="A3394"/>
  <c r="A3393"/>
  <c r="A3392"/>
  <c r="A3391"/>
  <c r="A3390"/>
  <c r="A3389"/>
  <c r="A3388"/>
  <c r="A3387"/>
  <c r="A3386"/>
  <c r="A3385"/>
  <c r="A3384"/>
  <c r="A3383"/>
  <c r="A3382"/>
  <c r="A3381"/>
  <c r="A3380"/>
  <c r="A3379"/>
  <c r="A3378"/>
  <c r="A3377"/>
  <c r="A3376"/>
  <c r="A3375"/>
  <c r="A3374"/>
  <c r="A3373"/>
  <c r="A3372"/>
  <c r="A3371"/>
  <c r="A3370"/>
  <c r="A3369"/>
  <c r="A3368"/>
  <c r="A3367"/>
  <c r="A3366"/>
  <c r="A3365"/>
  <c r="A3364"/>
  <c r="A3363"/>
  <c r="A3362"/>
  <c r="A3361"/>
  <c r="A3360"/>
  <c r="A3359"/>
  <c r="A3358"/>
  <c r="A3357"/>
  <c r="A3356"/>
  <c r="A3355"/>
  <c r="A3354"/>
  <c r="A3353"/>
  <c r="A3352"/>
  <c r="A3351"/>
  <c r="A3350"/>
  <c r="A3349"/>
  <c r="A3348"/>
  <c r="A3347"/>
  <c r="A3346"/>
  <c r="A3345"/>
  <c r="A3344"/>
  <c r="A3343"/>
  <c r="A3342"/>
  <c r="A3341"/>
  <c r="A3340"/>
  <c r="A3339"/>
  <c r="A3338"/>
  <c r="A3337"/>
  <c r="A3336"/>
  <c r="A3335"/>
  <c r="A3334"/>
  <c r="A3333"/>
  <c r="A3332"/>
  <c r="A3331"/>
  <c r="A3330"/>
  <c r="A3329"/>
  <c r="A3328"/>
  <c r="A3327"/>
  <c r="A3326"/>
  <c r="A3325"/>
  <c r="A3324"/>
  <c r="A3323"/>
  <c r="A3322"/>
  <c r="A3321"/>
  <c r="A3320"/>
  <c r="A3319"/>
  <c r="A3318"/>
  <c r="A3317"/>
  <c r="A3316"/>
  <c r="A3315"/>
  <c r="A3314"/>
  <c r="A3313"/>
  <c r="A3312"/>
  <c r="A3311"/>
  <c r="A3310"/>
  <c r="A3309"/>
  <c r="A3308"/>
  <c r="A3307"/>
  <c r="A3306"/>
  <c r="A3305"/>
  <c r="A3304"/>
  <c r="A3303"/>
  <c r="A3302"/>
  <c r="A3301"/>
  <c r="A3300"/>
  <c r="A3299"/>
  <c r="A3298"/>
  <c r="A3297"/>
  <c r="A3296"/>
  <c r="A3295"/>
  <c r="A3294"/>
  <c r="A3293"/>
  <c r="A3292"/>
  <c r="A3291"/>
  <c r="A3290"/>
  <c r="A3289"/>
  <c r="A3288"/>
  <c r="A3287"/>
  <c r="A3286"/>
  <c r="A3285"/>
  <c r="A3284"/>
  <c r="A3283"/>
  <c r="A3282"/>
  <c r="A3281"/>
  <c r="A3280"/>
  <c r="A3279"/>
  <c r="A3278"/>
  <c r="A3277"/>
  <c r="A3276"/>
  <c r="A3275"/>
  <c r="A3274"/>
  <c r="A3273"/>
  <c r="A3272"/>
  <c r="A3271"/>
  <c r="A3270"/>
  <c r="A3269"/>
  <c r="A3268"/>
  <c r="A3267"/>
  <c r="A3266"/>
  <c r="A3265"/>
  <c r="A3264"/>
  <c r="A3263"/>
  <c r="A3262"/>
  <c r="A3261"/>
  <c r="A3260"/>
  <c r="A3259"/>
  <c r="A3258"/>
  <c r="A3257"/>
  <c r="A3256"/>
  <c r="A3255"/>
  <c r="A3254"/>
  <c r="A3253"/>
  <c r="A3252"/>
  <c r="A3251"/>
  <c r="A3250"/>
  <c r="A3249"/>
  <c r="A3248"/>
  <c r="A3247"/>
  <c r="A3246"/>
  <c r="A3245"/>
  <c r="A3244"/>
  <c r="A3243"/>
  <c r="A3242"/>
  <c r="A3241"/>
  <c r="A3240"/>
  <c r="A3239"/>
  <c r="A3238"/>
  <c r="A3237"/>
  <c r="A3236"/>
  <c r="A3235"/>
  <c r="A3234"/>
  <c r="A3233"/>
  <c r="A3232"/>
  <c r="A3231"/>
  <c r="A3230"/>
  <c r="A3229"/>
  <c r="A3228"/>
  <c r="A3227"/>
  <c r="A3226"/>
  <c r="A3225"/>
  <c r="A3224"/>
  <c r="A3223"/>
  <c r="A3222"/>
  <c r="A3221"/>
  <c r="A3220"/>
  <c r="A3219"/>
  <c r="A3218"/>
  <c r="A3217"/>
  <c r="A3216"/>
  <c r="A3215"/>
  <c r="A3214"/>
  <c r="A3213"/>
  <c r="A3212"/>
  <c r="A3211"/>
  <c r="A3210"/>
  <c r="A3209"/>
  <c r="A3208"/>
  <c r="A3207"/>
  <c r="A3206"/>
  <c r="A3205"/>
  <c r="A3204"/>
  <c r="A3203"/>
  <c r="A3202"/>
  <c r="A3201"/>
  <c r="A3200"/>
  <c r="A3199"/>
  <c r="A3198"/>
  <c r="A3197"/>
  <c r="A3196"/>
  <c r="A3195"/>
  <c r="A3194"/>
  <c r="A3193"/>
  <c r="A3192"/>
  <c r="A3191"/>
  <c r="A3190"/>
  <c r="A3189"/>
  <c r="A3188"/>
  <c r="A3187"/>
  <c r="A3186"/>
  <c r="A3185"/>
  <c r="A3184"/>
  <c r="A3183"/>
  <c r="A3182"/>
  <c r="A3181"/>
  <c r="A3180"/>
  <c r="A3179"/>
  <c r="A3178"/>
  <c r="A3177"/>
  <c r="A3176"/>
  <c r="A3175"/>
  <c r="A3174"/>
  <c r="A3173"/>
  <c r="A3172"/>
  <c r="A3171"/>
  <c r="A3170"/>
  <c r="A3169"/>
  <c r="A3168"/>
  <c r="A3167"/>
  <c r="A3166"/>
  <c r="A3165"/>
  <c r="A3164"/>
  <c r="A3163"/>
  <c r="A3162"/>
  <c r="A3161"/>
  <c r="A3160"/>
  <c r="A3159"/>
  <c r="A3158"/>
  <c r="A3157"/>
  <c r="A3156"/>
  <c r="A3155"/>
  <c r="A3154"/>
  <c r="A3153"/>
  <c r="A3152"/>
  <c r="A3151"/>
  <c r="A3150"/>
  <c r="A3149"/>
  <c r="A3148"/>
  <c r="A3147"/>
  <c r="A3146"/>
  <c r="A3145"/>
  <c r="A3144"/>
  <c r="A3143"/>
  <c r="A3142"/>
  <c r="A3141"/>
  <c r="A3140"/>
  <c r="A3139"/>
  <c r="A3138"/>
  <c r="A3137"/>
  <c r="A3136"/>
  <c r="A3135"/>
  <c r="A3134"/>
  <c r="A3133"/>
  <c r="A3132"/>
  <c r="A3131"/>
  <c r="A3130"/>
  <c r="A3129"/>
  <c r="A3128"/>
  <c r="A3127"/>
  <c r="A3126"/>
  <c r="A3125"/>
  <c r="A3124"/>
  <c r="A3123"/>
  <c r="A3122"/>
  <c r="A3121"/>
  <c r="A3120"/>
  <c r="A3119"/>
  <c r="A3118"/>
  <c r="A3117"/>
  <c r="A3116"/>
  <c r="A3115"/>
  <c r="A3114"/>
  <c r="A3113"/>
  <c r="A3112"/>
  <c r="A3111"/>
  <c r="A3110"/>
  <c r="A3109"/>
  <c r="A3108"/>
  <c r="A3107"/>
  <c r="A3106"/>
  <c r="A3105"/>
  <c r="A3104"/>
  <c r="A3103"/>
  <c r="A3102"/>
  <c r="A3101"/>
  <c r="A3100"/>
  <c r="A3099"/>
  <c r="A3098"/>
  <c r="A3097"/>
  <c r="A3096"/>
  <c r="A3095"/>
  <c r="A3094"/>
  <c r="A3093"/>
  <c r="A3092"/>
  <c r="A3091"/>
  <c r="A3090"/>
  <c r="A3089"/>
  <c r="A3088"/>
  <c r="A3087"/>
  <c r="A3086"/>
  <c r="A3085"/>
  <c r="A3084"/>
  <c r="A3083"/>
  <c r="A3082"/>
  <c r="A3081"/>
  <c r="A3080"/>
  <c r="A3079"/>
  <c r="A3078"/>
  <c r="A3077"/>
  <c r="A3076"/>
  <c r="A3075"/>
  <c r="A3074"/>
  <c r="A3073"/>
  <c r="A3072"/>
  <c r="A3071"/>
  <c r="A3070"/>
  <c r="A3069"/>
  <c r="A3068"/>
  <c r="A3067"/>
  <c r="A3066"/>
  <c r="A3065"/>
  <c r="A3064"/>
  <c r="A3063"/>
  <c r="A3062"/>
  <c r="A3061"/>
  <c r="A3060"/>
  <c r="A3059"/>
  <c r="A3058"/>
  <c r="A3057"/>
  <c r="A3056"/>
  <c r="A3055"/>
  <c r="A3054"/>
  <c r="A3053"/>
  <c r="A3052"/>
  <c r="A3051"/>
  <c r="A3050"/>
  <c r="A3049"/>
  <c r="A3048"/>
  <c r="A3047"/>
  <c r="A3046"/>
  <c r="A3045"/>
  <c r="A3044"/>
  <c r="A3043"/>
  <c r="A3042"/>
  <c r="A3041"/>
  <c r="A3040"/>
  <c r="A3039"/>
  <c r="A3038"/>
  <c r="A3037"/>
  <c r="A3036"/>
  <c r="A3035"/>
  <c r="A3034"/>
  <c r="A3033"/>
  <c r="A3032"/>
  <c r="A3031"/>
  <c r="A3030"/>
  <c r="A3029"/>
  <c r="A3028"/>
  <c r="A3027"/>
  <c r="A3026"/>
  <c r="A3025"/>
  <c r="A3024"/>
  <c r="A3023"/>
  <c r="A3022"/>
  <c r="A3021"/>
  <c r="A3020"/>
  <c r="A3019"/>
  <c r="A3018"/>
  <c r="A3017"/>
  <c r="A3016"/>
  <c r="A3015"/>
  <c r="A3014"/>
  <c r="A3013"/>
  <c r="A3012"/>
  <c r="A3011"/>
  <c r="A3010"/>
  <c r="A3009"/>
  <c r="A3008"/>
  <c r="A3007"/>
  <c r="A3006"/>
  <c r="A3005"/>
  <c r="A3004"/>
  <c r="A3003"/>
  <c r="A3002"/>
  <c r="A3001"/>
  <c r="A3000"/>
  <c r="A2999"/>
  <c r="A2998"/>
  <c r="A2997"/>
  <c r="A2996"/>
  <c r="A2995"/>
  <c r="A2994"/>
  <c r="A2993"/>
  <c r="A2992"/>
  <c r="A2991"/>
  <c r="A2990"/>
  <c r="A2989"/>
  <c r="A2988"/>
  <c r="A2987"/>
  <c r="A2986"/>
  <c r="A2985"/>
  <c r="A2984"/>
  <c r="A2983"/>
  <c r="A2982"/>
  <c r="A2981"/>
  <c r="A2980"/>
  <c r="A2979"/>
  <c r="A2978"/>
  <c r="A2977"/>
  <c r="A2976"/>
  <c r="A2975"/>
  <c r="A2974"/>
  <c r="A2973"/>
  <c r="A2972"/>
  <c r="A2971"/>
  <c r="A2970"/>
  <c r="A2969"/>
  <c r="A2968"/>
  <c r="A2967"/>
  <c r="A2966"/>
  <c r="A2965"/>
  <c r="A2964"/>
  <c r="A2963"/>
  <c r="A2962"/>
  <c r="A2961"/>
  <c r="A2960"/>
  <c r="A2959"/>
  <c r="A2958"/>
  <c r="A2957"/>
  <c r="A2956"/>
  <c r="A2955"/>
  <c r="A2954"/>
  <c r="A2953"/>
  <c r="A2952"/>
  <c r="A2951"/>
  <c r="A2950"/>
  <c r="A2949"/>
  <c r="A2948"/>
  <c r="A2947"/>
  <c r="A2946"/>
  <c r="A2945"/>
  <c r="A2944"/>
  <c r="A2943"/>
  <c r="A2942"/>
  <c r="A2941"/>
  <c r="A2940"/>
  <c r="A2939"/>
  <c r="A2938"/>
  <c r="A2937"/>
  <c r="A2936"/>
  <c r="A2935"/>
  <c r="A2934"/>
  <c r="A2933"/>
  <c r="A2932"/>
  <c r="A2931"/>
  <c r="A2930"/>
  <c r="A2929"/>
  <c r="A2928"/>
  <c r="A2927"/>
  <c r="A2926"/>
  <c r="A2925"/>
  <c r="A2924"/>
  <c r="A2923"/>
  <c r="A2922"/>
  <c r="A2921"/>
  <c r="A2920"/>
  <c r="A2919"/>
  <c r="A2918"/>
  <c r="A2917"/>
  <c r="A2916"/>
  <c r="A2915"/>
  <c r="A2914"/>
  <c r="A2913"/>
  <c r="A2912"/>
  <c r="A2911"/>
  <c r="A2910"/>
  <c r="A2909"/>
  <c r="A2908"/>
  <c r="A2907"/>
  <c r="A2906"/>
  <c r="A2905"/>
  <c r="A2904"/>
  <c r="A2903"/>
  <c r="A2902"/>
  <c r="A2901"/>
  <c r="A2900"/>
  <c r="A2899"/>
  <c r="A2898"/>
  <c r="A2897"/>
  <c r="A2896"/>
  <c r="A2895"/>
  <c r="A2894"/>
  <c r="A2893"/>
  <c r="A2892"/>
  <c r="A2891"/>
  <c r="A2890"/>
  <c r="A2889"/>
  <c r="A2888"/>
  <c r="A2887"/>
  <c r="A2886"/>
  <c r="A2885"/>
  <c r="A2884"/>
  <c r="A2883"/>
  <c r="A2882"/>
  <c r="A2881"/>
  <c r="A2880"/>
  <c r="A2879"/>
  <c r="A2878"/>
  <c r="A2877"/>
  <c r="A2876"/>
  <c r="A2875"/>
  <c r="A2874"/>
  <c r="A2873"/>
  <c r="A2872"/>
  <c r="A2871"/>
  <c r="A2870"/>
  <c r="A2869"/>
  <c r="A2868"/>
  <c r="A2867"/>
  <c r="A2866"/>
  <c r="A2865"/>
  <c r="A2864"/>
  <c r="A2863"/>
  <c r="A2862"/>
  <c r="A2861"/>
  <c r="A2860"/>
  <c r="A2859"/>
  <c r="A2858"/>
  <c r="A2857"/>
  <c r="A2856"/>
  <c r="A2855"/>
  <c r="A2854"/>
  <c r="A2853"/>
  <c r="A2852"/>
  <c r="A2851"/>
  <c r="A2850"/>
  <c r="A2849"/>
  <c r="A2848"/>
  <c r="A2847"/>
  <c r="A2846"/>
  <c r="A2845"/>
  <c r="A2844"/>
  <c r="A2843"/>
  <c r="A2842"/>
  <c r="A2841"/>
  <c r="A2840"/>
  <c r="A2839"/>
  <c r="A2838"/>
  <c r="A2837"/>
  <c r="A2836"/>
  <c r="A2835"/>
  <c r="A2834"/>
  <c r="A2833"/>
  <c r="A2832"/>
  <c r="A2831"/>
  <c r="A2830"/>
  <c r="A2829"/>
  <c r="A2828"/>
  <c r="A2827"/>
  <c r="A2826"/>
  <c r="A2825"/>
  <c r="A2824"/>
  <c r="A2823"/>
  <c r="A2822"/>
  <c r="A2821"/>
  <c r="A2820"/>
  <c r="A2819"/>
  <c r="A2818"/>
  <c r="A2817"/>
  <c r="A2816"/>
  <c r="A2815"/>
  <c r="A2814"/>
  <c r="A2813"/>
  <c r="A2812"/>
  <c r="A2811"/>
  <c r="A2810"/>
  <c r="A2809"/>
  <c r="A2808"/>
  <c r="A2807"/>
  <c r="A2806"/>
  <c r="A2805"/>
  <c r="A2804"/>
  <c r="A2803"/>
  <c r="A2802"/>
  <c r="A2801"/>
  <c r="A2800"/>
  <c r="A2799"/>
  <c r="A2798"/>
  <c r="A2797"/>
  <c r="A2796"/>
  <c r="A2795"/>
  <c r="A2794"/>
  <c r="A2793"/>
  <c r="A2792"/>
  <c r="A2791"/>
  <c r="A2790"/>
  <c r="A2789"/>
  <c r="A2788"/>
  <c r="A2787"/>
  <c r="A2786"/>
  <c r="A2785"/>
  <c r="A2784"/>
  <c r="A2783"/>
  <c r="A2782"/>
  <c r="A2781"/>
  <c r="A2780"/>
  <c r="A2779"/>
  <c r="A2778"/>
  <c r="A2777"/>
  <c r="A2776"/>
  <c r="A2775"/>
  <c r="A2774"/>
  <c r="A2773"/>
  <c r="A2772"/>
  <c r="A2771"/>
  <c r="A2770"/>
  <c r="A2769"/>
  <c r="A2768"/>
  <c r="A2767"/>
  <c r="A2766"/>
  <c r="A2765"/>
  <c r="A2764"/>
  <c r="A2763"/>
  <c r="A2762"/>
  <c r="A2761"/>
  <c r="A2760"/>
  <c r="A2759"/>
  <c r="A2758"/>
  <c r="A2757"/>
  <c r="A2756"/>
  <c r="A2755"/>
  <c r="A2754"/>
  <c r="A2753"/>
  <c r="A2752"/>
  <c r="A2751"/>
  <c r="A2750"/>
  <c r="A2749"/>
  <c r="A2748"/>
  <c r="A2747"/>
  <c r="A2746"/>
  <c r="A2745"/>
  <c r="A2744"/>
  <c r="A2743"/>
  <c r="A2742"/>
  <c r="A2741"/>
  <c r="A2740"/>
  <c r="A2739"/>
  <c r="A2738"/>
  <c r="A2737"/>
  <c r="A2736"/>
  <c r="A2735"/>
  <c r="A2734"/>
  <c r="A2733"/>
  <c r="A2732"/>
  <c r="A2731"/>
  <c r="A2730"/>
  <c r="A2729"/>
  <c r="A2728"/>
  <c r="A2727"/>
  <c r="A2726"/>
  <c r="A2725"/>
  <c r="A2724"/>
  <c r="A2723"/>
  <c r="A2722"/>
  <c r="A2721"/>
  <c r="A2720"/>
  <c r="A2719"/>
  <c r="A2718"/>
  <c r="A2717"/>
  <c r="A2716"/>
  <c r="A2715"/>
  <c r="A2714"/>
  <c r="A2713"/>
  <c r="A2712"/>
  <c r="A2711"/>
  <c r="A2710"/>
  <c r="A2709"/>
  <c r="A2708"/>
  <c r="A2707"/>
  <c r="A2706"/>
  <c r="A2705"/>
  <c r="A2704"/>
  <c r="A2703"/>
  <c r="A2702"/>
  <c r="A2701"/>
  <c r="A2700"/>
  <c r="A2699"/>
  <c r="A2698"/>
  <c r="A2697"/>
  <c r="A2696"/>
  <c r="A2695"/>
  <c r="A2694"/>
  <c r="A2693"/>
  <c r="A2692"/>
  <c r="A2691"/>
  <c r="A2690"/>
  <c r="A2689"/>
  <c r="A2688"/>
  <c r="A2687"/>
  <c r="A2686"/>
  <c r="A2685"/>
  <c r="A2684"/>
  <c r="A2683"/>
  <c r="A2682"/>
  <c r="A2681"/>
  <c r="A2680"/>
  <c r="A2679"/>
  <c r="A2678"/>
  <c r="A2677"/>
  <c r="A2676"/>
  <c r="A2675"/>
  <c r="A2674"/>
  <c r="A2673"/>
  <c r="A2672"/>
  <c r="A2671"/>
  <c r="A2670"/>
  <c r="A2669"/>
  <c r="A2668"/>
  <c r="A2667"/>
  <c r="A2666"/>
  <c r="A2665"/>
  <c r="A2664"/>
  <c r="A2663"/>
  <c r="A2662"/>
  <c r="A2661"/>
  <c r="A2660"/>
  <c r="A2659"/>
  <c r="A2658"/>
  <c r="A2657"/>
  <c r="A2656"/>
  <c r="A2655"/>
  <c r="A2654"/>
  <c r="A2653"/>
  <c r="A2652"/>
  <c r="A2651"/>
  <c r="A2650"/>
  <c r="A2649"/>
  <c r="A2648"/>
  <c r="A2647"/>
  <c r="A2646"/>
  <c r="A2645"/>
  <c r="A2644"/>
  <c r="A2643"/>
  <c r="A2642"/>
  <c r="A2641"/>
  <c r="A2640"/>
  <c r="A2639"/>
  <c r="A2638"/>
  <c r="A2637"/>
  <c r="A2636"/>
  <c r="A2635"/>
  <c r="A2634"/>
  <c r="A2633"/>
  <c r="A2632"/>
  <c r="A2631"/>
  <c r="A2630"/>
  <c r="A2629"/>
  <c r="A2628"/>
  <c r="A2627"/>
  <c r="A2626"/>
  <c r="A2625"/>
  <c r="A2624"/>
  <c r="A2623"/>
  <c r="A2622"/>
  <c r="A2621"/>
  <c r="A2620"/>
  <c r="A2619"/>
  <c r="A2618"/>
  <c r="A2617"/>
  <c r="A2616"/>
  <c r="A2615"/>
  <c r="A2614"/>
  <c r="A2613"/>
  <c r="A2612"/>
  <c r="A2611"/>
  <c r="A2610"/>
  <c r="A2609"/>
  <c r="A2608"/>
  <c r="A2607"/>
  <c r="A2606"/>
  <c r="A2605"/>
  <c r="A2604"/>
  <c r="A2603"/>
  <c r="A2602"/>
  <c r="A2601"/>
  <c r="A2600"/>
  <c r="A2599"/>
  <c r="A2598"/>
  <c r="A2597"/>
  <c r="A2596"/>
  <c r="A2595"/>
  <c r="A2594"/>
  <c r="A2593"/>
  <c r="A2592"/>
  <c r="A2591"/>
  <c r="A2590"/>
  <c r="A2589"/>
  <c r="A2588"/>
  <c r="A2587"/>
  <c r="A2586"/>
  <c r="A2585"/>
  <c r="A2584"/>
  <c r="A2583"/>
  <c r="A2582"/>
  <c r="A2581"/>
  <c r="A2580"/>
  <c r="A2579"/>
  <c r="A2578"/>
  <c r="A2577"/>
  <c r="A2576"/>
  <c r="A2575"/>
  <c r="A2574"/>
  <c r="A2573"/>
  <c r="A2572"/>
  <c r="A2571"/>
  <c r="A2570"/>
  <c r="A2569"/>
  <c r="A2568"/>
  <c r="A2567"/>
  <c r="A2566"/>
  <c r="A2565"/>
  <c r="A2564"/>
  <c r="A2563"/>
  <c r="A2562"/>
  <c r="A2561"/>
  <c r="A2560"/>
  <c r="A2559"/>
  <c r="A2558"/>
  <c r="A2557"/>
  <c r="A2556"/>
  <c r="A2555"/>
  <c r="A2554"/>
  <c r="A2553"/>
  <c r="A2552"/>
  <c r="A2551"/>
  <c r="A2550"/>
  <c r="A2549"/>
  <c r="A2548"/>
  <c r="A2547"/>
  <c r="A2546"/>
  <c r="A2545"/>
  <c r="A2544"/>
  <c r="A2543"/>
  <c r="A2542"/>
  <c r="A2541"/>
  <c r="A2540"/>
  <c r="A2539"/>
  <c r="A2538"/>
  <c r="A2537"/>
  <c r="A2536"/>
  <c r="A2535"/>
  <c r="A2534"/>
  <c r="A2533"/>
  <c r="A2532"/>
  <c r="A2531"/>
  <c r="A2530"/>
  <c r="A2529"/>
  <c r="A2528"/>
  <c r="A2527"/>
  <c r="A2526"/>
  <c r="A2525"/>
  <c r="A2524"/>
  <c r="A2523"/>
  <c r="A2522"/>
  <c r="A2521"/>
  <c r="A2520"/>
  <c r="A2519"/>
  <c r="A2518"/>
  <c r="A2517"/>
  <c r="A2516"/>
  <c r="A2515"/>
  <c r="A2514"/>
  <c r="A2513"/>
  <c r="A2512"/>
  <c r="A2511"/>
  <c r="A2510"/>
  <c r="A2509"/>
  <c r="A2508"/>
  <c r="A2507"/>
  <c r="A2506"/>
  <c r="A2505"/>
  <c r="A2504"/>
  <c r="A2503"/>
  <c r="A2502"/>
  <c r="A2501"/>
  <c r="A2500"/>
  <c r="A2499"/>
  <c r="A2498"/>
  <c r="A2497"/>
  <c r="A2496"/>
  <c r="A2495"/>
  <c r="A2494"/>
  <c r="A2493"/>
  <c r="A2492"/>
  <c r="A2491"/>
  <c r="A2490"/>
  <c r="A2489"/>
  <c r="A2488"/>
  <c r="A2487"/>
  <c r="A2486"/>
  <c r="A2485"/>
  <c r="A2484"/>
  <c r="A2483"/>
  <c r="A2482"/>
  <c r="A2481"/>
  <c r="A2480"/>
  <c r="A2479"/>
  <c r="A2478"/>
  <c r="A2477"/>
  <c r="A2476"/>
  <c r="A2475"/>
  <c r="A2474"/>
  <c r="A2473"/>
  <c r="A2472"/>
  <c r="A2471"/>
  <c r="A2470"/>
  <c r="A2469"/>
  <c r="A2468"/>
  <c r="A2467"/>
  <c r="A2466"/>
  <c r="A2465"/>
  <c r="A2464"/>
  <c r="A2463"/>
  <c r="A2462"/>
  <c r="A2461"/>
  <c r="A2460"/>
  <c r="A2459"/>
  <c r="A2458"/>
  <c r="A2457"/>
  <c r="A2456"/>
  <c r="A2455"/>
  <c r="A2454"/>
  <c r="A2453"/>
  <c r="A2452"/>
  <c r="A2451"/>
  <c r="A2450"/>
  <c r="A2449"/>
  <c r="A2448"/>
  <c r="A2447"/>
  <c r="A2446"/>
  <c r="A2445"/>
  <c r="A2444"/>
  <c r="A2443"/>
  <c r="A2442"/>
  <c r="A2441"/>
  <c r="A2440"/>
  <c r="A2439"/>
  <c r="A2438"/>
  <c r="A2437"/>
  <c r="A2436"/>
  <c r="A2435"/>
  <c r="A2434"/>
  <c r="A2433"/>
  <c r="A2432"/>
  <c r="A2431"/>
  <c r="A2430"/>
  <c r="A2429"/>
  <c r="A2428"/>
  <c r="A2427"/>
  <c r="A2426"/>
  <c r="A2425"/>
  <c r="A2424"/>
  <c r="A2423"/>
  <c r="A2422"/>
  <c r="A2421"/>
  <c r="A2420"/>
  <c r="A2419"/>
  <c r="A2418"/>
  <c r="A2417"/>
  <c r="A2416"/>
  <c r="A2415"/>
  <c r="A2414"/>
  <c r="A2413"/>
  <c r="A2412"/>
  <c r="A2411"/>
  <c r="A2410"/>
  <c r="A2409"/>
  <c r="A2408"/>
  <c r="A2407"/>
  <c r="A2406"/>
  <c r="A2405"/>
  <c r="A2404"/>
  <c r="A2403"/>
  <c r="A2402"/>
  <c r="A2401"/>
  <c r="A2400"/>
  <c r="A2399"/>
  <c r="A2398"/>
  <c r="A2397"/>
  <c r="A2396"/>
  <c r="A2395"/>
  <c r="A2394"/>
  <c r="A2393"/>
  <c r="A2392"/>
  <c r="A2391"/>
  <c r="A2390"/>
  <c r="A2389"/>
  <c r="A2388"/>
  <c r="A2387"/>
  <c r="A2386"/>
  <c r="A2385"/>
  <c r="A2384"/>
  <c r="A2383"/>
  <c r="A2382"/>
  <c r="A2381"/>
  <c r="A2380"/>
  <c r="A2379"/>
  <c r="A2378"/>
  <c r="A2377"/>
  <c r="A2376"/>
  <c r="A2375"/>
  <c r="A2374"/>
  <c r="A2373"/>
  <c r="A2372"/>
  <c r="A2371"/>
  <c r="A2370"/>
  <c r="A2369"/>
  <c r="A2368"/>
  <c r="A2367"/>
  <c r="A2366"/>
  <c r="A2365"/>
  <c r="A2364"/>
  <c r="A2363"/>
  <c r="A2362"/>
  <c r="A2361"/>
  <c r="A2360"/>
  <c r="A2359"/>
  <c r="A2358"/>
  <c r="A2357"/>
  <c r="A2356"/>
  <c r="A2355"/>
  <c r="A2354"/>
  <c r="A2353"/>
  <c r="A2352"/>
  <c r="A2351"/>
  <c r="A2350"/>
  <c r="A2349"/>
  <c r="A2348"/>
  <c r="A2347"/>
  <c r="A2346"/>
  <c r="A2345"/>
  <c r="A2344"/>
  <c r="A2343"/>
  <c r="A2342"/>
  <c r="A2341"/>
  <c r="A2340"/>
  <c r="A2339"/>
  <c r="A2338"/>
  <c r="A2337"/>
  <c r="A2336"/>
  <c r="A2335"/>
  <c r="A2334"/>
  <c r="A2333"/>
  <c r="A2332"/>
  <c r="A2331"/>
  <c r="A2330"/>
  <c r="A2329"/>
  <c r="A2328"/>
  <c r="A2327"/>
  <c r="A2326"/>
  <c r="A2325"/>
  <c r="A2324"/>
  <c r="A2323"/>
  <c r="A2322"/>
  <c r="A2321"/>
  <c r="A2320"/>
  <c r="A2319"/>
  <c r="A2318"/>
  <c r="A2317"/>
  <c r="A2316"/>
  <c r="A2315"/>
  <c r="A2314"/>
  <c r="A2313"/>
  <c r="A2312"/>
  <c r="A2311"/>
  <c r="A2310"/>
  <c r="A2309"/>
  <c r="A2308"/>
  <c r="A2307"/>
  <c r="A2306"/>
  <c r="A2305"/>
  <c r="A2304"/>
  <c r="A2303"/>
  <c r="A2302"/>
  <c r="A2301"/>
  <c r="A2300"/>
  <c r="A2299"/>
  <c r="A2298"/>
  <c r="A2297"/>
  <c r="A2296"/>
  <c r="A2295"/>
  <c r="A2294"/>
  <c r="A2293"/>
  <c r="A2292"/>
  <c r="A2291"/>
  <c r="A2290"/>
  <c r="A2289"/>
  <c r="A2288"/>
  <c r="A2287"/>
  <c r="A2286"/>
  <c r="A2285"/>
  <c r="A2284"/>
  <c r="A2283"/>
  <c r="A2282"/>
  <c r="A2281"/>
  <c r="A2280"/>
  <c r="A2279"/>
  <c r="A2278"/>
  <c r="A2277"/>
  <c r="A2276"/>
  <c r="A2275"/>
  <c r="A2274"/>
  <c r="A2273"/>
  <c r="A2272"/>
  <c r="A2271"/>
  <c r="A2270"/>
  <c r="A2269"/>
  <c r="A2268"/>
  <c r="A2267"/>
  <c r="A2266"/>
  <c r="A2265"/>
  <c r="A2264"/>
  <c r="A2263"/>
  <c r="A2262"/>
  <c r="A2261"/>
  <c r="A2260"/>
  <c r="A2259"/>
  <c r="A2258"/>
  <c r="A2257"/>
  <c r="A2256"/>
  <c r="A2255"/>
  <c r="A2254"/>
  <c r="A2253"/>
  <c r="A2252"/>
  <c r="A2251"/>
  <c r="A2250"/>
  <c r="A2249"/>
  <c r="A2248"/>
  <c r="A2247"/>
  <c r="A2246"/>
  <c r="A2245"/>
  <c r="A2244"/>
  <c r="A2243"/>
  <c r="A2242"/>
  <c r="A2241"/>
  <c r="A2240"/>
  <c r="A2239"/>
  <c r="A2238"/>
  <c r="A2237"/>
  <c r="A2236"/>
  <c r="A2235"/>
  <c r="A2234"/>
  <c r="A2233"/>
  <c r="A2232"/>
  <c r="A2231"/>
  <c r="A2230"/>
  <c r="A2229"/>
  <c r="A2228"/>
  <c r="A2227"/>
  <c r="A2226"/>
  <c r="A2225"/>
  <c r="A2224"/>
  <c r="A2223"/>
  <c r="A2222"/>
  <c r="A2221"/>
  <c r="A2220"/>
  <c r="A2219"/>
  <c r="A2218"/>
  <c r="A2217"/>
  <c r="A2216"/>
  <c r="A2215"/>
  <c r="A2214"/>
  <c r="A2213"/>
  <c r="A2212"/>
  <c r="A2211"/>
  <c r="A2210"/>
  <c r="A2209"/>
  <c r="A2208"/>
  <c r="A2207"/>
  <c r="A2206"/>
  <c r="A2205"/>
  <c r="A2204"/>
  <c r="A2203"/>
  <c r="A2202"/>
  <c r="A2201"/>
  <c r="A2200"/>
  <c r="A2199"/>
  <c r="A2198"/>
  <c r="A2197"/>
  <c r="A2196"/>
  <c r="A2195"/>
  <c r="A2194"/>
  <c r="A2193"/>
  <c r="A2192"/>
  <c r="A2191"/>
  <c r="A2190"/>
  <c r="A2189"/>
  <c r="A2188"/>
  <c r="A2187"/>
  <c r="A2186"/>
  <c r="A2185"/>
  <c r="A2184"/>
  <c r="A2183"/>
  <c r="A2182"/>
  <c r="A2181"/>
  <c r="A2180"/>
  <c r="A2179"/>
  <c r="A2178"/>
  <c r="A2177"/>
  <c r="A2176"/>
  <c r="A2175"/>
  <c r="A2174"/>
  <c r="A2173"/>
  <c r="A2172"/>
  <c r="A2171"/>
  <c r="A2170"/>
  <c r="A2169"/>
  <c r="A2168"/>
  <c r="A2167"/>
  <c r="A2166"/>
  <c r="A2165"/>
  <c r="A2164"/>
  <c r="A2163"/>
  <c r="A2162"/>
  <c r="A2161"/>
  <c r="A2160"/>
  <c r="A2159"/>
  <c r="A2158"/>
  <c r="A2157"/>
  <c r="A2156"/>
  <c r="A2155"/>
  <c r="A2154"/>
  <c r="A2153"/>
  <c r="A2152"/>
  <c r="A2151"/>
  <c r="A2150"/>
  <c r="A2149"/>
  <c r="A2148"/>
  <c r="A2147"/>
  <c r="A2146"/>
  <c r="A2145"/>
  <c r="A2144"/>
  <c r="A2143"/>
  <c r="A2142"/>
  <c r="A2141"/>
  <c r="A2140"/>
  <c r="A2139"/>
  <c r="A2138"/>
  <c r="A2137"/>
  <c r="A2136"/>
  <c r="A2135"/>
  <c r="A2134"/>
  <c r="A2133"/>
  <c r="A2132"/>
  <c r="A2131"/>
  <c r="A2130"/>
  <c r="A2129"/>
  <c r="A2128"/>
  <c r="A2127"/>
  <c r="A2126"/>
  <c r="A2125"/>
  <c r="A2124"/>
  <c r="A2123"/>
  <c r="A2122"/>
  <c r="A2121"/>
  <c r="A2120"/>
  <c r="A2119"/>
  <c r="A2118"/>
  <c r="A2117"/>
  <c r="A2116"/>
  <c r="A2115"/>
  <c r="A2114"/>
  <c r="A2113"/>
  <c r="A2112"/>
  <c r="A2111"/>
  <c r="A2110"/>
  <c r="A2109"/>
  <c r="A2108"/>
  <c r="A2107"/>
  <c r="A2106"/>
  <c r="A2105"/>
  <c r="A2104"/>
  <c r="A2103"/>
  <c r="A2102"/>
  <c r="A2101"/>
  <c r="A2100"/>
  <c r="A2099"/>
  <c r="A2098"/>
  <c r="A2097"/>
  <c r="A2096"/>
  <c r="A2095"/>
  <c r="A2094"/>
  <c r="A2093"/>
  <c r="A2092"/>
  <c r="A2091"/>
  <c r="A2090"/>
  <c r="A2089"/>
  <c r="A2088"/>
  <c r="A2087"/>
  <c r="A2086"/>
  <c r="A2085"/>
  <c r="A2084"/>
  <c r="A2083"/>
  <c r="A2082"/>
  <c r="A2081"/>
  <c r="A2080"/>
  <c r="A2079"/>
  <c r="A2078"/>
  <c r="A2077"/>
  <c r="A2076"/>
  <c r="A2075"/>
  <c r="A2074"/>
  <c r="A2073"/>
  <c r="A2072"/>
  <c r="A2071"/>
  <c r="A2070"/>
  <c r="A2069"/>
  <c r="A2068"/>
  <c r="A2067"/>
  <c r="A2066"/>
  <c r="A2065"/>
  <c r="A2064"/>
  <c r="A2063"/>
  <c r="A2062"/>
  <c r="A2061"/>
  <c r="A2060"/>
  <c r="A2059"/>
  <c r="A2058"/>
  <c r="A2057"/>
  <c r="A2056"/>
  <c r="A2055"/>
  <c r="A2054"/>
  <c r="A2053"/>
  <c r="A2052"/>
  <c r="A2051"/>
  <c r="A2050"/>
  <c r="A2049"/>
  <c r="A2048"/>
  <c r="A2047"/>
  <c r="A2046"/>
  <c r="A2045"/>
  <c r="A2044"/>
  <c r="A2043"/>
  <c r="A2042"/>
  <c r="A2041"/>
  <c r="A2040"/>
  <c r="A2039"/>
  <c r="A2038"/>
  <c r="A2037"/>
  <c r="A2036"/>
  <c r="A2035"/>
  <c r="A2034"/>
  <c r="A2033"/>
  <c r="A2032"/>
  <c r="A2031"/>
  <c r="A2030"/>
  <c r="A2029"/>
  <c r="A2028"/>
  <c r="A2027"/>
  <c r="A2026"/>
  <c r="A2025"/>
  <c r="A2024"/>
  <c r="A2023"/>
  <c r="A2022"/>
  <c r="A2021"/>
  <c r="A2020"/>
  <c r="A2019"/>
  <c r="A2018"/>
  <c r="A2017"/>
  <c r="A2016"/>
  <c r="A2015"/>
  <c r="A2014"/>
  <c r="A2013"/>
  <c r="A2012"/>
  <c r="A2011"/>
  <c r="A2010"/>
  <c r="A2009"/>
  <c r="A2008"/>
  <c r="A2007"/>
  <c r="A2006"/>
  <c r="A2005"/>
  <c r="A2004"/>
  <c r="A2003"/>
  <c r="A2002"/>
  <c r="A2001"/>
  <c r="A2000"/>
  <c r="A1999"/>
  <c r="A1998"/>
  <c r="A1997"/>
  <c r="A1996"/>
  <c r="A1995"/>
  <c r="A1994"/>
  <c r="A1993"/>
  <c r="A1992"/>
  <c r="A1991"/>
  <c r="A1990"/>
  <c r="A1989"/>
  <c r="A1988"/>
  <c r="A1987"/>
  <c r="A1986"/>
  <c r="A1985"/>
  <c r="A1984"/>
  <c r="A1983"/>
  <c r="A1982"/>
  <c r="A1981"/>
  <c r="A1980"/>
  <c r="A1979"/>
  <c r="A1978"/>
  <c r="A1977"/>
  <c r="A1976"/>
  <c r="A1975"/>
  <c r="A1974"/>
  <c r="A1973"/>
  <c r="A1972"/>
  <c r="A1971"/>
  <c r="A1970"/>
  <c r="A1969"/>
  <c r="A1968"/>
  <c r="A1967"/>
  <c r="A1966"/>
  <c r="A1965"/>
  <c r="A1964"/>
  <c r="A1963"/>
  <c r="A1962"/>
  <c r="A1961"/>
  <c r="A1960"/>
  <c r="A1959"/>
  <c r="A1958"/>
  <c r="A1957"/>
  <c r="A1956"/>
  <c r="A1955"/>
  <c r="A1954"/>
  <c r="A1953"/>
  <c r="A1952"/>
  <c r="A1951"/>
  <c r="A1950"/>
  <c r="A1949"/>
  <c r="A1948"/>
  <c r="A1947"/>
  <c r="A1946"/>
  <c r="A1945"/>
  <c r="A1944"/>
  <c r="A1943"/>
  <c r="A1942"/>
  <c r="A1941"/>
  <c r="A1940"/>
  <c r="A1939"/>
  <c r="A1938"/>
  <c r="A1937"/>
  <c r="A1936"/>
  <c r="A1935"/>
  <c r="A1934"/>
  <c r="A1933"/>
  <c r="A1932"/>
  <c r="A1931"/>
  <c r="A1930"/>
  <c r="A1929"/>
  <c r="A1928"/>
  <c r="A1927"/>
  <c r="A1926"/>
  <c r="A1925"/>
  <c r="A1924"/>
  <c r="A1923"/>
  <c r="A1922"/>
  <c r="A1921"/>
  <c r="A1920"/>
  <c r="A1919"/>
  <c r="A1918"/>
  <c r="A1917"/>
  <c r="A1916"/>
  <c r="A1915"/>
  <c r="A1914"/>
  <c r="A1913"/>
  <c r="A1912"/>
  <c r="A1911"/>
  <c r="A1910"/>
  <c r="A1909"/>
  <c r="A1908"/>
  <c r="A1907"/>
  <c r="A1906"/>
  <c r="A1905"/>
  <c r="A1904"/>
  <c r="A1903"/>
  <c r="A1902"/>
  <c r="A1901"/>
  <c r="A1900"/>
  <c r="A1899"/>
  <c r="A1898"/>
  <c r="A1897"/>
  <c r="A1896"/>
  <c r="A1895"/>
  <c r="A1894"/>
  <c r="A1893"/>
  <c r="A1892"/>
  <c r="A1891"/>
  <c r="A1890"/>
  <c r="A1889"/>
  <c r="A1888"/>
  <c r="A1887"/>
  <c r="A1886"/>
  <c r="A1885"/>
  <c r="A1884"/>
  <c r="A1883"/>
  <c r="A1882"/>
  <c r="A1881"/>
  <c r="A1880"/>
  <c r="A1879"/>
  <c r="A1878"/>
  <c r="A1877"/>
  <c r="A1876"/>
  <c r="A1875"/>
  <c r="A1874"/>
  <c r="A1873"/>
  <c r="A1872"/>
  <c r="A1871"/>
  <c r="A1870"/>
  <c r="A1869"/>
  <c r="A1868"/>
  <c r="A1867"/>
  <c r="A1866"/>
  <c r="A1865"/>
  <c r="A1864"/>
  <c r="A1863"/>
  <c r="A1862"/>
  <c r="A1861"/>
  <c r="A1860"/>
  <c r="A1859"/>
  <c r="A1858"/>
  <c r="A1857"/>
  <c r="A1856"/>
  <c r="A1855"/>
  <c r="A1854"/>
  <c r="A1853"/>
  <c r="A1852"/>
  <c r="A1851"/>
  <c r="A1850"/>
  <c r="A1849"/>
  <c r="A1848"/>
  <c r="A1847"/>
  <c r="A1846"/>
  <c r="A1845"/>
  <c r="A1844"/>
  <c r="A1843"/>
  <c r="A1842"/>
  <c r="A1841"/>
  <c r="A1840"/>
  <c r="A1839"/>
  <c r="A1838"/>
  <c r="A1837"/>
  <c r="A1836"/>
  <c r="A1835"/>
  <c r="A1834"/>
  <c r="A1833"/>
  <c r="A1832"/>
  <c r="A1831"/>
  <c r="A1830"/>
  <c r="A1829"/>
  <c r="A1828"/>
  <c r="A1827"/>
  <c r="A1826"/>
  <c r="A1825"/>
  <c r="A1824"/>
  <c r="A1823"/>
  <c r="A1822"/>
  <c r="A1821"/>
  <c r="A1820"/>
  <c r="A1819"/>
  <c r="A1818"/>
  <c r="A1817"/>
  <c r="A1816"/>
  <c r="A1815"/>
  <c r="A1814"/>
  <c r="A1813"/>
  <c r="A1812"/>
  <c r="A1811"/>
  <c r="A1810"/>
  <c r="A1809"/>
  <c r="A1808"/>
  <c r="A1807"/>
  <c r="A1806"/>
  <c r="A1805"/>
  <c r="A1804"/>
  <c r="A1803"/>
  <c r="A1802"/>
  <c r="A1801"/>
  <c r="A1800"/>
  <c r="A1799"/>
  <c r="A1798"/>
  <c r="A1797"/>
  <c r="A1796"/>
  <c r="A1795"/>
  <c r="A1794"/>
  <c r="A1793"/>
  <c r="A1792"/>
  <c r="A1791"/>
  <c r="A1790"/>
  <c r="A1789"/>
  <c r="A1788"/>
  <c r="A1787"/>
  <c r="A1786"/>
  <c r="A1785"/>
  <c r="A1784"/>
  <c r="A1783"/>
  <c r="A1782"/>
  <c r="A1781"/>
  <c r="A1780"/>
  <c r="A1779"/>
  <c r="A1778"/>
  <c r="A1777"/>
  <c r="A1776"/>
  <c r="A1775"/>
  <c r="A1774"/>
  <c r="A1773"/>
  <c r="A1772"/>
  <c r="A1771"/>
  <c r="A1770"/>
  <c r="A1769"/>
  <c r="A1768"/>
  <c r="A1767"/>
  <c r="A1766"/>
  <c r="A1765"/>
  <c r="A1764"/>
  <c r="A1763"/>
  <c r="A1762"/>
  <c r="A1761"/>
  <c r="A1760"/>
  <c r="A1759"/>
  <c r="A1758"/>
  <c r="A1757"/>
  <c r="A1756"/>
  <c r="A1755"/>
  <c r="A1754"/>
  <c r="A1753"/>
  <c r="A1752"/>
  <c r="A1751"/>
  <c r="A1750"/>
  <c r="A1749"/>
  <c r="A1748"/>
  <c r="A1747"/>
  <c r="A1746"/>
  <c r="A1745"/>
  <c r="A1744"/>
  <c r="A1743"/>
  <c r="A1742"/>
  <c r="A1741"/>
  <c r="A1740"/>
  <c r="A1739"/>
  <c r="A1738"/>
  <c r="A1737"/>
  <c r="A1736"/>
  <c r="A1735"/>
  <c r="A1734"/>
  <c r="A1733"/>
  <c r="A1732"/>
  <c r="A1731"/>
  <c r="A1730"/>
  <c r="A1729"/>
  <c r="A1728"/>
  <c r="A1727"/>
  <c r="A1726"/>
  <c r="A1725"/>
  <c r="A1724"/>
  <c r="A1723"/>
  <c r="A1722"/>
  <c r="A1721"/>
  <c r="A1720"/>
  <c r="A1719"/>
  <c r="A1718"/>
  <c r="A1717"/>
  <c r="A1716"/>
  <c r="A1715"/>
  <c r="A1714"/>
  <c r="A1713"/>
  <c r="A1712"/>
  <c r="A1711"/>
  <c r="A1710"/>
  <c r="A1709"/>
  <c r="A1708"/>
  <c r="A1707"/>
  <c r="A1706"/>
  <c r="A1705"/>
  <c r="A1704"/>
  <c r="A1703"/>
  <c r="A1702"/>
  <c r="A1701"/>
  <c r="A1700"/>
  <c r="A1699"/>
  <c r="A1698"/>
  <c r="A1697"/>
  <c r="A1696"/>
  <c r="A1695"/>
  <c r="A1694"/>
  <c r="A1693"/>
  <c r="A1692"/>
  <c r="A1691"/>
  <c r="A1690"/>
  <c r="A1689"/>
  <c r="A1688"/>
  <c r="A1687"/>
  <c r="A1686"/>
  <c r="A1685"/>
  <c r="A1684"/>
  <c r="A1683"/>
  <c r="A1682"/>
  <c r="A1681"/>
  <c r="A1680"/>
  <c r="A1679"/>
  <c r="A1678"/>
  <c r="A1677"/>
  <c r="A1676"/>
  <c r="A1675"/>
  <c r="A1674"/>
  <c r="A1673"/>
  <c r="A1672"/>
  <c r="A1671"/>
  <c r="A1670"/>
  <c r="A1669"/>
  <c r="A1668"/>
  <c r="A1667"/>
  <c r="A1666"/>
  <c r="A1665"/>
  <c r="A1664"/>
  <c r="A1663"/>
  <c r="A1662"/>
  <c r="A1661"/>
  <c r="A1660"/>
  <c r="A1659"/>
  <c r="A1658"/>
  <c r="A1657"/>
  <c r="A1656"/>
  <c r="A1655"/>
  <c r="A1654"/>
  <c r="A1653"/>
  <c r="A1652"/>
  <c r="A1651"/>
  <c r="A1650"/>
  <c r="A1649"/>
  <c r="A1648"/>
  <c r="A1647"/>
  <c r="A1646"/>
  <c r="A1645"/>
  <c r="A1644"/>
  <c r="A1643"/>
  <c r="A1642"/>
  <c r="A1641"/>
  <c r="A1640"/>
  <c r="A1639"/>
  <c r="A1638"/>
  <c r="A1637"/>
  <c r="A1636"/>
  <c r="A1635"/>
  <c r="A1634"/>
  <c r="A1633"/>
  <c r="A1632"/>
  <c r="A1631"/>
  <c r="A1630"/>
  <c r="A1629"/>
  <c r="A1628"/>
  <c r="A1627"/>
  <c r="A1626"/>
  <c r="A1625"/>
  <c r="A1624"/>
  <c r="A1623"/>
  <c r="A1622"/>
  <c r="A1621"/>
  <c r="A1620"/>
  <c r="A1619"/>
  <c r="A1618"/>
  <c r="A1617"/>
  <c r="A1616"/>
  <c r="A1615"/>
  <c r="A1614"/>
  <c r="A1613"/>
  <c r="A1612"/>
  <c r="A1611"/>
  <c r="A1610"/>
  <c r="A1609"/>
  <c r="A1608"/>
  <c r="A1607"/>
  <c r="A1606"/>
  <c r="A1605"/>
  <c r="A1604"/>
  <c r="A1603"/>
  <c r="A1602"/>
  <c r="A1601"/>
  <c r="A1600"/>
  <c r="A1599"/>
  <c r="A1598"/>
  <c r="A1597"/>
  <c r="A1596"/>
  <c r="A1595"/>
  <c r="A1594"/>
  <c r="A1593"/>
  <c r="A1592"/>
  <c r="A1591"/>
  <c r="A1590"/>
  <c r="A1589"/>
  <c r="A1588"/>
  <c r="A1587"/>
  <c r="A1586"/>
  <c r="A1585"/>
  <c r="A1584"/>
  <c r="A1583"/>
  <c r="A1582"/>
  <c r="A1581"/>
  <c r="A1580"/>
  <c r="A1579"/>
  <c r="A1578"/>
  <c r="A1577"/>
  <c r="A1576"/>
  <c r="A1575"/>
  <c r="A1574"/>
  <c r="A1573"/>
  <c r="A1572"/>
  <c r="A1571"/>
  <c r="A1570"/>
  <c r="A1569"/>
  <c r="A1568"/>
  <c r="A1567"/>
  <c r="A1566"/>
  <c r="A1565"/>
  <c r="A1564"/>
  <c r="A1563"/>
  <c r="A1562"/>
  <c r="A1561"/>
  <c r="A1560"/>
  <c r="A1559"/>
  <c r="A1558"/>
  <c r="A1557"/>
  <c r="A1556"/>
  <c r="A1555"/>
  <c r="A1554"/>
  <c r="A1553"/>
  <c r="A1552"/>
  <c r="A1551"/>
  <c r="A1550"/>
  <c r="A1549"/>
  <c r="A1548"/>
  <c r="A1547"/>
  <c r="A1546"/>
  <c r="A1545"/>
  <c r="A1544"/>
  <c r="A1543"/>
  <c r="A1542"/>
  <c r="A1541"/>
  <c r="A1540"/>
  <c r="A1539"/>
  <c r="A1538"/>
  <c r="A1537"/>
  <c r="A1536"/>
  <c r="A1535"/>
  <c r="A1534"/>
  <c r="A1533"/>
  <c r="A1532"/>
  <c r="A1531"/>
  <c r="A1530"/>
  <c r="A1529"/>
  <c r="A1528"/>
  <c r="A1527"/>
  <c r="A1526"/>
  <c r="A1525"/>
  <c r="A1524"/>
  <c r="A1523"/>
  <c r="A1522"/>
  <c r="A1521"/>
  <c r="A1520"/>
  <c r="A1519"/>
  <c r="A1518"/>
  <c r="A1517"/>
  <c r="A1516"/>
  <c r="A1515"/>
  <c r="A1514"/>
  <c r="A1513"/>
  <c r="A1512"/>
  <c r="A1511"/>
  <c r="A1510"/>
  <c r="A1509"/>
  <c r="A1508"/>
  <c r="A1507"/>
  <c r="A1506"/>
  <c r="A1505"/>
  <c r="A1504"/>
  <c r="A1503"/>
  <c r="A1502"/>
  <c r="A1501"/>
  <c r="A1500"/>
  <c r="A1499"/>
  <c r="A1498"/>
  <c r="A1497"/>
  <c r="A1496"/>
  <c r="A1495"/>
  <c r="A1494"/>
  <c r="A1493"/>
  <c r="A1492"/>
  <c r="A1491"/>
  <c r="A1490"/>
  <c r="A1489"/>
  <c r="A1488"/>
  <c r="A1487"/>
  <c r="A1486"/>
  <c r="A1485"/>
  <c r="A1484"/>
  <c r="A1483"/>
  <c r="A1482"/>
  <c r="A1481"/>
  <c r="A1480"/>
  <c r="A1479"/>
  <c r="A1478"/>
  <c r="A1477"/>
  <c r="A1476"/>
  <c r="A1475"/>
  <c r="A1474"/>
  <c r="A1473"/>
  <c r="A1472"/>
  <c r="A1471"/>
  <c r="A1470"/>
  <c r="A1469"/>
  <c r="A1468"/>
  <c r="A1467"/>
  <c r="A1466"/>
  <c r="A1465"/>
  <c r="A1464"/>
  <c r="A1463"/>
  <c r="A1462"/>
  <c r="A1461"/>
  <c r="A1460"/>
  <c r="A1459"/>
  <c r="A1458"/>
  <c r="A1457"/>
  <c r="A1456"/>
  <c r="A1455"/>
  <c r="A1454"/>
  <c r="A1453"/>
  <c r="A1452"/>
  <c r="A1451"/>
  <c r="A1450"/>
  <c r="A1449"/>
  <c r="A1448"/>
  <c r="A1447"/>
  <c r="A1446"/>
  <c r="A1445"/>
  <c r="A1444"/>
  <c r="A1443"/>
  <c r="A1442"/>
  <c r="A1441"/>
  <c r="A1440"/>
  <c r="A1439"/>
  <c r="A1438"/>
  <c r="A1437"/>
  <c r="A1436"/>
  <c r="A1435"/>
  <c r="A1434"/>
  <c r="A1433"/>
  <c r="A1432"/>
  <c r="A1431"/>
  <c r="A1430"/>
  <c r="A1429"/>
  <c r="A1428"/>
  <c r="A1427"/>
  <c r="A1426"/>
  <c r="A1425"/>
  <c r="A1424"/>
  <c r="A1423"/>
  <c r="A1422"/>
  <c r="A1421"/>
  <c r="A1420"/>
  <c r="A1419"/>
  <c r="A1418"/>
  <c r="A1417"/>
  <c r="A1416"/>
  <c r="A1415"/>
  <c r="A1414"/>
  <c r="A1413"/>
  <c r="A1412"/>
  <c r="A1411"/>
  <c r="A1410"/>
  <c r="A1409"/>
  <c r="A1408"/>
  <c r="A1407"/>
  <c r="A1406"/>
  <c r="A1405"/>
  <c r="A1404"/>
  <c r="A1403"/>
  <c r="A1402"/>
  <c r="A1401"/>
  <c r="A1400"/>
  <c r="A1399"/>
  <c r="A1398"/>
  <c r="A1397"/>
  <c r="A1396"/>
  <c r="A1395"/>
  <c r="A1394"/>
  <c r="A1393"/>
  <c r="A1392"/>
  <c r="A1391"/>
  <c r="A1390"/>
  <c r="A1389"/>
  <c r="A1388"/>
  <c r="A1387"/>
  <c r="A1386"/>
  <c r="A1385"/>
  <c r="A1384"/>
  <c r="A1383"/>
  <c r="A1382"/>
  <c r="A1381"/>
  <c r="A1380"/>
  <c r="A1379"/>
  <c r="A1378"/>
  <c r="A1377"/>
  <c r="A1376"/>
  <c r="A1375"/>
  <c r="A1374"/>
  <c r="A1373"/>
  <c r="A1372"/>
  <c r="A1371"/>
  <c r="A1370"/>
  <c r="A1369"/>
  <c r="A1368"/>
  <c r="A1367"/>
  <c r="A1366"/>
  <c r="A1365"/>
  <c r="A1364"/>
  <c r="A1363"/>
  <c r="A1362"/>
  <c r="A1361"/>
  <c r="A1360"/>
  <c r="A1359"/>
  <c r="A1358"/>
  <c r="A1357"/>
  <c r="A1356"/>
  <c r="A1355"/>
  <c r="A1354"/>
  <c r="A1353"/>
  <c r="A1352"/>
  <c r="A1351"/>
  <c r="A1350"/>
  <c r="A1349"/>
  <c r="A1348"/>
  <c r="A1347"/>
  <c r="A1346"/>
  <c r="A1345"/>
  <c r="A1344"/>
  <c r="A1343"/>
  <c r="A1342"/>
  <c r="A1341"/>
  <c r="A1340"/>
  <c r="A1339"/>
  <c r="A1338"/>
  <c r="A1337"/>
  <c r="A1336"/>
  <c r="A1335"/>
  <c r="A1334"/>
  <c r="A1333"/>
  <c r="A1332"/>
  <c r="A1331"/>
  <c r="A1330"/>
  <c r="A1329"/>
  <c r="A1328"/>
  <c r="A1327"/>
  <c r="A1326"/>
  <c r="A1325"/>
  <c r="A1324"/>
  <c r="A1323"/>
  <c r="A1322"/>
  <c r="A1321"/>
  <c r="A1320"/>
  <c r="A1319"/>
  <c r="A1318"/>
  <c r="A1317"/>
  <c r="A1316"/>
  <c r="A1315"/>
  <c r="A1314"/>
  <c r="A1313"/>
  <c r="A1312"/>
  <c r="A1311"/>
  <c r="A1310"/>
  <c r="A1309"/>
  <c r="A1308"/>
  <c r="A1307"/>
  <c r="A1306"/>
  <c r="A1305"/>
  <c r="A1304"/>
  <c r="A1303"/>
  <c r="A1302"/>
  <c r="A1301"/>
  <c r="A1300"/>
  <c r="A1299"/>
  <c r="A1298"/>
  <c r="A1297"/>
  <c r="A1296"/>
  <c r="A1295"/>
  <c r="A1294"/>
  <c r="A1293"/>
  <c r="A1292"/>
  <c r="A1291"/>
  <c r="A1290"/>
  <c r="A1289"/>
  <c r="A1288"/>
  <c r="A1287"/>
  <c r="A1286"/>
  <c r="A1285"/>
  <c r="A1284"/>
  <c r="A1283"/>
  <c r="A1282"/>
  <c r="A1281"/>
  <c r="A1280"/>
  <c r="A1279"/>
  <c r="A1278"/>
  <c r="A1277"/>
  <c r="A1276"/>
  <c r="A1275"/>
  <c r="A1274"/>
  <c r="A1273"/>
  <c r="A1272"/>
  <c r="A1271"/>
  <c r="A1270"/>
  <c r="A1269"/>
  <c r="A1268"/>
  <c r="A1267"/>
  <c r="A1266"/>
  <c r="A1265"/>
  <c r="A1264"/>
  <c r="A1263"/>
  <c r="A1262"/>
  <c r="A1261"/>
  <c r="A1260"/>
  <c r="A1259"/>
  <c r="A1258"/>
  <c r="A1257"/>
  <c r="A1256"/>
  <c r="A1255"/>
  <c r="A1254"/>
  <c r="A1253"/>
  <c r="A1252"/>
  <c r="A1251"/>
  <c r="A1250"/>
  <c r="A1249"/>
  <c r="A1248"/>
  <c r="A1247"/>
  <c r="A1246"/>
  <c r="A1245"/>
  <c r="A1244"/>
  <c r="A1243"/>
  <c r="A1242"/>
  <c r="A1241"/>
  <c r="A1240"/>
  <c r="A1239"/>
  <c r="A1238"/>
  <c r="A1237"/>
  <c r="A1236"/>
  <c r="A1235"/>
  <c r="A1234"/>
  <c r="A1233"/>
  <c r="A1232"/>
  <c r="A1231"/>
  <c r="A1230"/>
  <c r="A1229"/>
  <c r="A1228"/>
  <c r="A1227"/>
  <c r="A1226"/>
  <c r="A1225"/>
  <c r="A1224"/>
  <c r="A1223"/>
  <c r="A1222"/>
  <c r="A1221"/>
  <c r="A1220"/>
  <c r="A1219"/>
  <c r="A1218"/>
  <c r="A1217"/>
  <c r="A1216"/>
  <c r="A1215"/>
  <c r="A1214"/>
  <c r="A1213"/>
  <c r="A1212"/>
  <c r="A1211"/>
  <c r="A1210"/>
  <c r="A1209"/>
  <c r="A1208"/>
  <c r="A1207"/>
  <c r="A1206"/>
  <c r="A1205"/>
  <c r="A1204"/>
  <c r="A1203"/>
  <c r="A1202"/>
  <c r="A1201"/>
  <c r="A1200"/>
  <c r="A1199"/>
  <c r="A1198"/>
  <c r="A1197"/>
  <c r="A1196"/>
  <c r="A1195"/>
  <c r="A1194"/>
  <c r="A1193"/>
  <c r="A1192"/>
  <c r="A1191"/>
  <c r="A1190"/>
  <c r="A1189"/>
  <c r="A1188"/>
  <c r="A1187"/>
  <c r="A1186"/>
  <c r="A1185"/>
  <c r="A1184"/>
  <c r="A1183"/>
  <c r="A1182"/>
  <c r="A1181"/>
  <c r="A1180"/>
  <c r="A1179"/>
  <c r="A1178"/>
  <c r="A1177"/>
  <c r="A1176"/>
  <c r="A1175"/>
  <c r="A1174"/>
  <c r="A1173"/>
  <c r="A1172"/>
  <c r="A1171"/>
  <c r="A1170"/>
  <c r="A1169"/>
  <c r="A1168"/>
  <c r="A1167"/>
  <c r="A1166"/>
  <c r="A1165"/>
  <c r="A1164"/>
  <c r="A1163"/>
  <c r="A1162"/>
  <c r="A1161"/>
  <c r="A1160"/>
  <c r="A1159"/>
  <c r="A1158"/>
  <c r="A1157"/>
  <c r="A1156"/>
  <c r="A1155"/>
  <c r="A1154"/>
  <c r="A1153"/>
  <c r="A1152"/>
  <c r="A1151"/>
  <c r="A1150"/>
  <c r="A1149"/>
  <c r="A1148"/>
  <c r="A1147"/>
  <c r="A1146"/>
  <c r="A1145"/>
  <c r="A1144"/>
  <c r="A1143"/>
  <c r="A1142"/>
  <c r="A1141"/>
  <c r="A1140"/>
  <c r="A1139"/>
  <c r="A1138"/>
  <c r="A1137"/>
  <c r="A1136"/>
  <c r="A1135"/>
  <c r="A1134"/>
  <c r="A1133"/>
  <c r="A1132"/>
  <c r="A1131"/>
  <c r="A1130"/>
  <c r="A1129"/>
  <c r="A1128"/>
  <c r="A1127"/>
  <c r="A1126"/>
  <c r="A1125"/>
  <c r="A1124"/>
  <c r="A1123"/>
  <c r="A1122"/>
  <c r="A1121"/>
  <c r="A1120"/>
  <c r="A1119"/>
  <c r="A1118"/>
  <c r="A1117"/>
  <c r="A1116"/>
  <c r="A1115"/>
  <c r="A1114"/>
  <c r="A1113"/>
  <c r="A1112"/>
  <c r="A1111"/>
  <c r="A1110"/>
  <c r="A1109"/>
  <c r="A1108"/>
  <c r="A1107"/>
  <c r="A1106"/>
  <c r="A1105"/>
  <c r="A1104"/>
  <c r="A1103"/>
  <c r="A1102"/>
  <c r="A1101"/>
  <c r="A1100"/>
  <c r="A1099"/>
  <c r="A1098"/>
  <c r="A1097"/>
  <c r="A1096"/>
  <c r="A1095"/>
  <c r="A1094"/>
  <c r="A1093"/>
  <c r="A1092"/>
  <c r="A1091"/>
  <c r="A1090"/>
  <c r="A1089"/>
  <c r="A1088"/>
  <c r="A1087"/>
  <c r="A1086"/>
  <c r="A1085"/>
  <c r="A1084"/>
  <c r="A1083"/>
  <c r="A1082"/>
  <c r="A1081"/>
  <c r="A1080"/>
  <c r="A1079"/>
  <c r="A1078"/>
  <c r="A1077"/>
  <c r="A1076"/>
  <c r="A1075"/>
  <c r="A1074"/>
  <c r="A1073"/>
  <c r="A1072"/>
  <c r="A1071"/>
  <c r="A1070"/>
  <c r="A1069"/>
  <c r="A1068"/>
  <c r="A1067"/>
  <c r="A1066"/>
  <c r="A1065"/>
  <c r="A1064"/>
  <c r="A1063"/>
  <c r="A1062"/>
  <c r="A1061"/>
  <c r="A1060"/>
  <c r="A1059"/>
  <c r="A1058"/>
  <c r="A1057"/>
  <c r="A1056"/>
  <c r="A1055"/>
  <c r="A1054"/>
  <c r="A1053"/>
  <c r="A1052"/>
  <c r="A1051"/>
  <c r="A1050"/>
  <c r="A1049"/>
  <c r="A1048"/>
  <c r="A1047"/>
  <c r="A1046"/>
  <c r="A1045"/>
  <c r="A1044"/>
  <c r="A1043"/>
  <c r="A1042"/>
  <c r="A1041"/>
  <c r="A1040"/>
  <c r="A1039"/>
  <c r="A1038"/>
  <c r="A1037"/>
  <c r="A1036"/>
  <c r="A1035"/>
  <c r="A1034"/>
  <c r="A1033"/>
  <c r="A1032"/>
  <c r="A1031"/>
  <c r="A1030"/>
  <c r="A1029"/>
  <c r="A1028"/>
  <c r="A1027"/>
  <c r="A1026"/>
  <c r="A1025"/>
  <c r="A1024"/>
  <c r="A1023"/>
  <c r="A1022"/>
  <c r="A1021"/>
  <c r="A1020"/>
  <c r="A1019"/>
  <c r="A1018"/>
  <c r="A1017"/>
  <c r="A1016"/>
  <c r="A1015"/>
  <c r="A1014"/>
  <c r="A1013"/>
  <c r="A1012"/>
  <c r="A1011"/>
  <c r="A1010"/>
  <c r="A1009"/>
  <c r="A1008"/>
  <c r="A1007"/>
  <c r="A1006"/>
  <c r="A1005"/>
  <c r="A1004"/>
  <c r="A1003"/>
  <c r="A1002"/>
  <c r="A1001"/>
  <c r="A1000"/>
  <c r="A999"/>
  <c r="A998"/>
  <c r="A997"/>
  <c r="A996"/>
  <c r="A995"/>
  <c r="A994"/>
  <c r="A993"/>
  <c r="A992"/>
  <c r="A991"/>
  <c r="A990"/>
  <c r="A989"/>
  <c r="A988"/>
  <c r="A987"/>
  <c r="A986"/>
  <c r="A985"/>
  <c r="A984"/>
  <c r="A983"/>
  <c r="A982"/>
  <c r="A981"/>
  <c r="A980"/>
  <c r="A979"/>
  <c r="A978"/>
  <c r="A977"/>
  <c r="A976"/>
  <c r="A975"/>
  <c r="A974"/>
  <c r="A973"/>
  <c r="A972"/>
  <c r="A971"/>
  <c r="A970"/>
  <c r="A969"/>
  <c r="A968"/>
  <c r="A967"/>
  <c r="A966"/>
  <c r="A965"/>
  <c r="A964"/>
  <c r="A963"/>
  <c r="A962"/>
  <c r="A961"/>
  <c r="A960"/>
  <c r="A959"/>
  <c r="A958"/>
  <c r="A957"/>
  <c r="A956"/>
  <c r="A955"/>
  <c r="A954"/>
  <c r="A953"/>
  <c r="A952"/>
  <c r="A951"/>
  <c r="A950"/>
  <c r="A949"/>
  <c r="A948"/>
  <c r="A947"/>
  <c r="A946"/>
  <c r="A945"/>
  <c r="A944"/>
  <c r="A943"/>
  <c r="A942"/>
  <c r="A941"/>
  <c r="A940"/>
  <c r="A939"/>
  <c r="A938"/>
  <c r="A937"/>
  <c r="A936"/>
  <c r="A935"/>
  <c r="A934"/>
  <c r="A933"/>
  <c r="A932"/>
  <c r="A931"/>
  <c r="A930"/>
  <c r="A929"/>
  <c r="A928"/>
  <c r="A927"/>
  <c r="A926"/>
  <c r="A925"/>
  <c r="A924"/>
  <c r="A923"/>
  <c r="A922"/>
  <c r="A921"/>
  <c r="A920"/>
  <c r="A919"/>
  <c r="A918"/>
  <c r="A917"/>
  <c r="A916"/>
  <c r="A915"/>
  <c r="A914"/>
  <c r="A913"/>
  <c r="A912"/>
  <c r="A911"/>
  <c r="A910"/>
  <c r="A909"/>
  <c r="A908"/>
  <c r="A907"/>
  <c r="A906"/>
  <c r="A905"/>
  <c r="A904"/>
  <c r="A903"/>
  <c r="A902"/>
  <c r="A901"/>
  <c r="A900"/>
  <c r="A899"/>
  <c r="A898"/>
  <c r="A897"/>
  <c r="A896"/>
  <c r="A895"/>
  <c r="A894"/>
  <c r="A893"/>
  <c r="A892"/>
  <c r="A891"/>
  <c r="A890"/>
  <c r="A889"/>
  <c r="A888"/>
  <c r="A887"/>
  <c r="A886"/>
  <c r="A885"/>
  <c r="A884"/>
  <c r="A883"/>
  <c r="A882"/>
  <c r="A881"/>
  <c r="A880"/>
  <c r="A879"/>
  <c r="A878"/>
  <c r="A877"/>
  <c r="A876"/>
  <c r="A875"/>
  <c r="A874"/>
  <c r="A873"/>
  <c r="A872"/>
  <c r="A871"/>
  <c r="A870"/>
  <c r="A869"/>
  <c r="A868"/>
  <c r="A867"/>
  <c r="A866"/>
  <c r="A865"/>
  <c r="A864"/>
  <c r="A863"/>
  <c r="A862"/>
  <c r="A861"/>
  <c r="A860"/>
  <c r="A859"/>
  <c r="A858"/>
  <c r="A857"/>
  <c r="A856"/>
  <c r="A855"/>
  <c r="A854"/>
  <c r="A853"/>
  <c r="A852"/>
  <c r="A851"/>
  <c r="A850"/>
  <c r="A849"/>
  <c r="A848"/>
  <c r="A847"/>
  <c r="A846"/>
  <c r="A845"/>
  <c r="A844"/>
  <c r="A843"/>
  <c r="A842"/>
  <c r="A841"/>
  <c r="A840"/>
  <c r="A839"/>
  <c r="A838"/>
  <c r="A837"/>
  <c r="A836"/>
  <c r="A835"/>
  <c r="A834"/>
  <c r="A833"/>
  <c r="A832"/>
  <c r="A831"/>
  <c r="A830"/>
  <c r="A829"/>
  <c r="A828"/>
  <c r="A827"/>
  <c r="A826"/>
  <c r="A825"/>
  <c r="A824"/>
  <c r="A823"/>
  <c r="A822"/>
  <c r="A821"/>
  <c r="A820"/>
  <c r="A819"/>
  <c r="A818"/>
  <c r="A817"/>
  <c r="A816"/>
  <c r="A815"/>
  <c r="A814"/>
  <c r="A813"/>
  <c r="A812"/>
  <c r="A811"/>
  <c r="A810"/>
  <c r="A809"/>
  <c r="A808"/>
  <c r="A807"/>
  <c r="A806"/>
  <c r="A805"/>
  <c r="A804"/>
  <c r="A803"/>
  <c r="A802"/>
  <c r="A801"/>
  <c r="A800"/>
  <c r="A799"/>
  <c r="A798"/>
  <c r="A797"/>
  <c r="A796"/>
  <c r="A795"/>
  <c r="A794"/>
  <c r="A793"/>
  <c r="A792"/>
  <c r="A791"/>
  <c r="A790"/>
  <c r="A789"/>
  <c r="A788"/>
  <c r="A787"/>
  <c r="A786"/>
  <c r="A785"/>
  <c r="A784"/>
  <c r="A783"/>
  <c r="A782"/>
  <c r="A781"/>
  <c r="A780"/>
  <c r="A779"/>
  <c r="A778"/>
  <c r="A777"/>
  <c r="A776"/>
  <c r="A775"/>
  <c r="A774"/>
  <c r="A773"/>
  <c r="A772"/>
  <c r="A771"/>
  <c r="A770"/>
  <c r="A769"/>
  <c r="A768"/>
  <c r="A767"/>
  <c r="A766"/>
  <c r="A765"/>
  <c r="A764"/>
  <c r="A763"/>
  <c r="A762"/>
  <c r="A761"/>
  <c r="A760"/>
  <c r="A759"/>
  <c r="A758"/>
  <c r="A757"/>
  <c r="A756"/>
  <c r="A755"/>
  <c r="A754"/>
  <c r="A753"/>
  <c r="A752"/>
  <c r="A751"/>
  <c r="A750"/>
  <c r="A749"/>
  <c r="A748"/>
  <c r="A747"/>
  <c r="A746"/>
  <c r="A745"/>
  <c r="A744"/>
  <c r="A743"/>
  <c r="A742"/>
  <c r="A741"/>
  <c r="A740"/>
  <c r="A739"/>
  <c r="A738"/>
  <c r="A737"/>
  <c r="A736"/>
  <c r="A735"/>
  <c r="A734"/>
  <c r="A733"/>
  <c r="A732"/>
  <c r="A731"/>
  <c r="A730"/>
  <c r="A729"/>
  <c r="A728"/>
  <c r="A727"/>
  <c r="A726"/>
  <c r="A725"/>
  <c r="A724"/>
  <c r="A723"/>
  <c r="A722"/>
  <c r="A721"/>
  <c r="A720"/>
  <c r="A719"/>
  <c r="A718"/>
  <c r="A717"/>
  <c r="A716"/>
  <c r="A715"/>
  <c r="A714"/>
  <c r="A713"/>
  <c r="A712"/>
  <c r="A711"/>
  <c r="A710"/>
  <c r="A709"/>
  <c r="A708"/>
  <c r="A707"/>
  <c r="A706"/>
  <c r="A705"/>
  <c r="A704"/>
  <c r="A703"/>
  <c r="A702"/>
  <c r="A701"/>
  <c r="A700"/>
  <c r="A699"/>
  <c r="A698"/>
  <c r="A697"/>
  <c r="A696"/>
  <c r="A695"/>
  <c r="A694"/>
  <c r="A693"/>
  <c r="A692"/>
  <c r="A691"/>
  <c r="A690"/>
  <c r="A689"/>
  <c r="A688"/>
  <c r="A687"/>
  <c r="A686"/>
  <c r="A685"/>
  <c r="A684"/>
  <c r="A683"/>
  <c r="A682"/>
  <c r="A681"/>
  <c r="A680"/>
  <c r="A679"/>
  <c r="A678"/>
  <c r="A677"/>
  <c r="A676"/>
  <c r="A675"/>
  <c r="A674"/>
  <c r="A673"/>
  <c r="A672"/>
  <c r="A671"/>
  <c r="A670"/>
  <c r="A669"/>
  <c r="A668"/>
  <c r="A667"/>
  <c r="A666"/>
  <c r="A665"/>
  <c r="A664"/>
  <c r="A663"/>
  <c r="A662"/>
  <c r="A661"/>
  <c r="A660"/>
  <c r="A659"/>
  <c r="A658"/>
  <c r="A657"/>
  <c r="A656"/>
  <c r="A655"/>
  <c r="A654"/>
  <c r="A653"/>
  <c r="A652"/>
  <c r="A651"/>
  <c r="A650"/>
  <c r="A649"/>
  <c r="A648"/>
  <c r="A647"/>
  <c r="A646"/>
  <c r="A645"/>
  <c r="A644"/>
  <c r="A643"/>
  <c r="A642"/>
  <c r="A641"/>
  <c r="A640"/>
  <c r="A639"/>
  <c r="A638"/>
  <c r="A637"/>
  <c r="A636"/>
  <c r="A635"/>
  <c r="A634"/>
  <c r="A633"/>
  <c r="A632"/>
  <c r="A631"/>
  <c r="A630"/>
  <c r="A629"/>
  <c r="A628"/>
  <c r="A627"/>
  <c r="A626"/>
  <c r="A625"/>
  <c r="A624"/>
  <c r="A623"/>
  <c r="A622"/>
  <c r="A621"/>
  <c r="A620"/>
  <c r="A619"/>
  <c r="A618"/>
  <c r="A617"/>
  <c r="A616"/>
  <c r="A615"/>
  <c r="A614"/>
  <c r="A613"/>
  <c r="A612"/>
  <c r="A611"/>
  <c r="A610"/>
  <c r="A609"/>
  <c r="A608"/>
  <c r="A607"/>
  <c r="A606"/>
  <c r="A605"/>
  <c r="A604"/>
  <c r="A603"/>
  <c r="A602"/>
  <c r="A601"/>
  <c r="A600"/>
  <c r="A599"/>
  <c r="A598"/>
  <c r="A597"/>
  <c r="A596"/>
  <c r="A595"/>
  <c r="A594"/>
  <c r="A593"/>
  <c r="A592"/>
  <c r="A591"/>
  <c r="A590"/>
  <c r="A589"/>
  <c r="A588"/>
  <c r="A587"/>
  <c r="A586"/>
  <c r="A585"/>
  <c r="A584"/>
  <c r="A583"/>
  <c r="A582"/>
  <c r="A581"/>
  <c r="A580"/>
  <c r="A579"/>
  <c r="A578"/>
  <c r="A577"/>
  <c r="A576"/>
  <c r="A575"/>
  <c r="A574"/>
  <c r="A573"/>
  <c r="A572"/>
  <c r="A571"/>
  <c r="A570"/>
  <c r="A569"/>
  <c r="A568"/>
  <c r="A567"/>
  <c r="A566"/>
  <c r="A565"/>
  <c r="A564"/>
  <c r="A563"/>
  <c r="A562"/>
  <c r="A561"/>
  <c r="A560"/>
  <c r="A559"/>
  <c r="A558"/>
  <c r="A557"/>
  <c r="A556"/>
  <c r="A555"/>
  <c r="A554"/>
  <c r="A553"/>
  <c r="A552"/>
  <c r="A551"/>
  <c r="A550"/>
  <c r="A549"/>
  <c r="A548"/>
  <c r="A547"/>
  <c r="A546"/>
  <c r="A545"/>
  <c r="A544"/>
  <c r="A543"/>
  <c r="A542"/>
  <c r="A541"/>
  <c r="A540"/>
  <c r="A539"/>
  <c r="A538"/>
  <c r="A537"/>
  <c r="A536"/>
  <c r="A535"/>
  <c r="A534"/>
  <c r="A533"/>
  <c r="A532"/>
  <c r="A531"/>
  <c r="A530"/>
  <c r="A529"/>
  <c r="A528"/>
  <c r="A527"/>
  <c r="A526"/>
  <c r="A525"/>
  <c r="A524"/>
  <c r="A523"/>
  <c r="A522"/>
  <c r="A521"/>
  <c r="A520"/>
  <c r="A519"/>
  <c r="A518"/>
  <c r="A517"/>
  <c r="A516"/>
  <c r="A515"/>
  <c r="A514"/>
  <c r="A513"/>
  <c r="A512"/>
  <c r="A511"/>
  <c r="A510"/>
  <c r="A509"/>
  <c r="A508"/>
  <c r="A507"/>
  <c r="A506"/>
  <c r="A505"/>
  <c r="A504"/>
  <c r="A503"/>
  <c r="A502"/>
  <c r="A501"/>
  <c r="A500"/>
  <c r="A499"/>
  <c r="A498"/>
  <c r="A497"/>
  <c r="A496"/>
  <c r="A495"/>
  <c r="A494"/>
  <c r="A493"/>
  <c r="A492"/>
  <c r="A491"/>
  <c r="A490"/>
  <c r="A489"/>
  <c r="A488"/>
  <c r="A487"/>
  <c r="A486"/>
  <c r="A485"/>
  <c r="A484"/>
  <c r="A483"/>
  <c r="A482"/>
  <c r="A481"/>
  <c r="A480"/>
  <c r="A479"/>
  <c r="A478"/>
  <c r="A477"/>
  <c r="A476"/>
  <c r="A475"/>
  <c r="A474"/>
  <c r="A473"/>
  <c r="A472"/>
  <c r="A471"/>
  <c r="A470"/>
  <c r="A469"/>
  <c r="A468"/>
  <c r="A467"/>
  <c r="A466"/>
  <c r="A465"/>
  <c r="A464"/>
  <c r="A463"/>
  <c r="A462"/>
  <c r="A461"/>
  <c r="A460"/>
  <c r="A459"/>
  <c r="A458"/>
  <c r="A457"/>
  <c r="A456"/>
  <c r="A455"/>
  <c r="A454"/>
  <c r="A453"/>
  <c r="A452"/>
  <c r="A451"/>
  <c r="A450"/>
  <c r="A449"/>
  <c r="A448"/>
  <c r="A447"/>
  <c r="A446"/>
  <c r="A445"/>
  <c r="A444"/>
  <c r="A443"/>
  <c r="A442"/>
  <c r="A441"/>
  <c r="A440"/>
  <c r="A439"/>
  <c r="A438"/>
  <c r="A437"/>
  <c r="A436"/>
  <c r="A435"/>
  <c r="A434"/>
  <c r="A433"/>
  <c r="A432"/>
  <c r="A431"/>
  <c r="A430"/>
  <c r="A429"/>
  <c r="A428"/>
  <c r="A427"/>
  <c r="A426"/>
  <c r="A425"/>
  <c r="A424"/>
  <c r="A423"/>
  <c r="A422"/>
  <c r="A421"/>
  <c r="A420"/>
  <c r="A419"/>
  <c r="A418"/>
  <c r="A417"/>
  <c r="A416"/>
  <c r="A415"/>
  <c r="A414"/>
  <c r="A413"/>
  <c r="A412"/>
  <c r="A411"/>
  <c r="A410"/>
  <c r="A409"/>
  <c r="A408"/>
  <c r="A407"/>
  <c r="A406"/>
  <c r="A405"/>
  <c r="A404"/>
  <c r="A403"/>
  <c r="A402"/>
  <c r="A401"/>
  <c r="A400"/>
  <c r="A399"/>
  <c r="A398"/>
  <c r="A397"/>
  <c r="A396"/>
  <c r="A395"/>
  <c r="A394"/>
  <c r="A393"/>
  <c r="A392"/>
  <c r="A391"/>
  <c r="A390"/>
  <c r="A389"/>
  <c r="A388"/>
  <c r="A387"/>
  <c r="A386"/>
  <c r="A385"/>
  <c r="A384"/>
  <c r="A383"/>
  <c r="A382"/>
  <c r="A381"/>
  <c r="A380"/>
  <c r="A379"/>
  <c r="A378"/>
  <c r="A377"/>
  <c r="A376"/>
  <c r="A375"/>
  <c r="A374"/>
  <c r="A373"/>
  <c r="A372"/>
  <c r="A371"/>
  <c r="A370"/>
  <c r="A369"/>
  <c r="A368"/>
  <c r="A367"/>
  <c r="A366"/>
  <c r="A365"/>
  <c r="A364"/>
  <c r="A363"/>
  <c r="A362"/>
  <c r="A361"/>
  <c r="A360"/>
  <c r="A359"/>
  <c r="A358"/>
  <c r="A357"/>
  <c r="A356"/>
  <c r="A355"/>
  <c r="A354"/>
  <c r="A353"/>
  <c r="A352"/>
  <c r="A351"/>
  <c r="A350"/>
  <c r="A349"/>
  <c r="A348"/>
  <c r="A347"/>
  <c r="A346"/>
  <c r="A345"/>
  <c r="A344"/>
  <c r="A343"/>
  <c r="A342"/>
  <c r="A341"/>
  <c r="A340"/>
  <c r="A339"/>
  <c r="A338"/>
  <c r="A337"/>
  <c r="A336"/>
  <c r="A335"/>
  <c r="A334"/>
  <c r="A333"/>
  <c r="A332"/>
  <c r="A331"/>
  <c r="A330"/>
  <c r="A329"/>
  <c r="A328"/>
  <c r="A327"/>
  <c r="A326"/>
  <c r="A325"/>
  <c r="A324"/>
  <c r="A323"/>
  <c r="A322"/>
  <c r="A321"/>
  <c r="A320"/>
  <c r="A319"/>
  <c r="A318"/>
  <c r="A317"/>
  <c r="A316"/>
  <c r="A315"/>
  <c r="A314"/>
  <c r="A313"/>
  <c r="A312"/>
  <c r="A311"/>
  <c r="A310"/>
  <c r="A309"/>
  <c r="A308"/>
  <c r="A307"/>
  <c r="A306"/>
  <c r="A305"/>
  <c r="A304"/>
  <c r="A303"/>
  <c r="A302"/>
  <c r="A301"/>
  <c r="A300"/>
  <c r="A299"/>
  <c r="A298"/>
  <c r="A297"/>
  <c r="A296"/>
  <c r="A295"/>
  <c r="A294"/>
  <c r="A293"/>
  <c r="A292"/>
  <c r="A291"/>
  <c r="A290"/>
  <c r="A289"/>
  <c r="A288"/>
  <c r="A287"/>
  <c r="A286"/>
  <c r="A285"/>
  <c r="A284"/>
  <c r="A283"/>
  <c r="A282"/>
  <c r="A281"/>
  <c r="A280"/>
  <c r="A279"/>
  <c r="A278"/>
  <c r="A277"/>
  <c r="A276"/>
  <c r="A275"/>
  <c r="A274"/>
  <c r="A273"/>
  <c r="A272"/>
  <c r="A271"/>
  <c r="A270"/>
  <c r="A269"/>
  <c r="A268"/>
  <c r="A267"/>
  <c r="A266"/>
  <c r="A265"/>
  <c r="A264"/>
  <c r="A263"/>
  <c r="A262"/>
  <c r="A261"/>
  <c r="A260"/>
  <c r="A259"/>
  <c r="A258"/>
  <c r="A257"/>
  <c r="A256"/>
  <c r="A255"/>
  <c r="A254"/>
  <c r="A253"/>
  <c r="A252"/>
  <c r="A251"/>
  <c r="A250"/>
  <c r="A249"/>
  <c r="A248"/>
  <c r="A247"/>
  <c r="A246"/>
  <c r="A245"/>
  <c r="A244"/>
  <c r="A243"/>
  <c r="A242"/>
  <c r="A241"/>
  <c r="A240"/>
  <c r="A239"/>
  <c r="A238"/>
  <c r="A237"/>
  <c r="A236"/>
  <c r="A235"/>
  <c r="A234"/>
  <c r="A233"/>
  <c r="A232"/>
  <c r="A231"/>
  <c r="A230"/>
  <c r="A229"/>
  <c r="A228"/>
  <c r="A227"/>
  <c r="A226"/>
  <c r="A225"/>
  <c r="A224"/>
  <c r="A223"/>
  <c r="A222"/>
  <c r="A221"/>
  <c r="A220"/>
  <c r="A219"/>
  <c r="A218"/>
  <c r="A217"/>
  <c r="A216"/>
  <c r="A215"/>
  <c r="A214"/>
  <c r="A213"/>
  <c r="A212"/>
  <c r="A211"/>
  <c r="A210"/>
  <c r="A209"/>
  <c r="A208"/>
  <c r="A207"/>
  <c r="A206"/>
  <c r="A205"/>
  <c r="A204"/>
  <c r="A203"/>
  <c r="A202"/>
  <c r="A201"/>
  <c r="A200"/>
  <c r="A199"/>
  <c r="A198"/>
  <c r="A197"/>
  <c r="A196"/>
  <c r="A195"/>
  <c r="A194"/>
  <c r="A193"/>
  <c r="A192"/>
  <c r="A191"/>
  <c r="A190"/>
  <c r="A189"/>
  <c r="A188"/>
  <c r="A187"/>
  <c r="A186"/>
  <c r="A185"/>
  <c r="A184"/>
  <c r="A183"/>
  <c r="A182"/>
  <c r="A181"/>
  <c r="A180"/>
  <c r="A179"/>
  <c r="A178"/>
  <c r="A177"/>
  <c r="A176"/>
  <c r="A175"/>
  <c r="A174"/>
  <c r="A173"/>
  <c r="A172"/>
  <c r="A171"/>
  <c r="A170"/>
  <c r="A169"/>
  <c r="A168"/>
  <c r="A167"/>
  <c r="A166"/>
  <c r="A165"/>
  <c r="A164"/>
  <c r="A163"/>
  <c r="A162"/>
  <c r="A161"/>
  <c r="A160"/>
  <c r="A159"/>
  <c r="A158"/>
  <c r="A157"/>
  <c r="A156"/>
  <c r="A155"/>
  <c r="A154"/>
  <c r="A153"/>
  <c r="A152"/>
  <c r="A151"/>
  <c r="A150"/>
  <c r="A149"/>
  <c r="A148"/>
  <c r="A147"/>
  <c r="A146"/>
  <c r="A145"/>
  <c r="A144"/>
  <c r="A143"/>
  <c r="A142"/>
  <c r="A141"/>
  <c r="A140"/>
  <c r="A139"/>
  <c r="A138"/>
  <c r="A137"/>
  <c r="A136"/>
  <c r="A135"/>
  <c r="A134"/>
  <c r="A133"/>
  <c r="A132"/>
  <c r="A131"/>
  <c r="A130"/>
  <c r="A129"/>
  <c r="A128"/>
  <c r="A127"/>
  <c r="A126"/>
  <c r="A125"/>
  <c r="A124"/>
  <c r="A123"/>
  <c r="A122"/>
  <c r="A121"/>
  <c r="A120"/>
  <c r="A119"/>
  <c r="A118"/>
  <c r="A117"/>
  <c r="A116"/>
  <c r="A115"/>
  <c r="A114"/>
  <c r="A113"/>
  <c r="A112"/>
  <c r="A111"/>
  <c r="A110"/>
  <c r="A109"/>
  <c r="A108"/>
  <c r="A107"/>
  <c r="A106"/>
  <c r="A105"/>
  <c r="A104"/>
  <c r="A103"/>
  <c r="A102"/>
  <c r="A101"/>
  <c r="A100"/>
  <c r="A99"/>
  <c r="A98"/>
  <c r="A97"/>
  <c r="A96"/>
  <c r="A95"/>
  <c r="A94"/>
  <c r="A93"/>
  <c r="A92"/>
  <c r="A91"/>
  <c r="A90"/>
  <c r="A89"/>
  <c r="A88"/>
  <c r="A87"/>
  <c r="A86"/>
  <c r="A85"/>
  <c r="A84"/>
  <c r="A83"/>
  <c r="A82"/>
  <c r="A81"/>
  <c r="A80"/>
  <c r="A79"/>
  <c r="A78"/>
  <c r="A77"/>
  <c r="A76"/>
  <c r="A75"/>
  <c r="A74"/>
  <c r="A73"/>
  <c r="A72"/>
  <c r="A71"/>
  <c r="A70"/>
  <c r="A69"/>
  <c r="A68"/>
  <c r="A67"/>
  <c r="A66"/>
  <c r="A65"/>
  <c r="A64"/>
  <c r="A63"/>
  <c r="A62"/>
  <c r="A61"/>
  <c r="A60"/>
  <c r="A59"/>
  <c r="A58"/>
  <c r="A57"/>
  <c r="A56"/>
  <c r="A55"/>
  <c r="A54"/>
  <c r="A53"/>
  <c r="A52"/>
  <c r="A51"/>
  <c r="A50"/>
  <c r="A49"/>
  <c r="A48"/>
  <c r="A47"/>
  <c r="A46"/>
  <c r="A45"/>
  <c r="A44"/>
  <c r="A43"/>
  <c r="A42"/>
  <c r="A41"/>
  <c r="A40"/>
  <c r="A39"/>
  <c r="A38"/>
  <c r="A37"/>
  <c r="A36"/>
  <c r="A35"/>
  <c r="A34"/>
  <c r="A33"/>
  <c r="A32"/>
  <c r="A31"/>
  <c r="A30"/>
  <c r="A29"/>
  <c r="A28"/>
  <c r="A27"/>
  <c r="A26"/>
  <c r="A25"/>
  <c r="A24"/>
  <c r="A23"/>
  <c r="A22"/>
  <c r="A21"/>
  <c r="A20"/>
  <c r="A19"/>
  <c r="A18"/>
  <c r="A17"/>
  <c r="A16"/>
  <c r="A15"/>
  <c r="A14"/>
  <c r="A13"/>
  <c r="A12"/>
  <c r="A11"/>
  <c r="A10"/>
  <c r="A9"/>
  <c r="A8"/>
  <c r="A7"/>
  <c r="A6"/>
  <c r="A5"/>
  <c r="A4"/>
  <c r="A3"/>
  <c r="A2"/>
  <c r="F384" i="3" s="1"/>
  <c r="Z66" i="1"/>
  <c r="Y66"/>
  <c r="X66"/>
  <c r="AA66" s="1"/>
  <c r="U66"/>
  <c r="T66"/>
  <c r="S66"/>
  <c r="R66"/>
  <c r="Q66"/>
  <c r="V66" s="1"/>
  <c r="D66"/>
  <c r="E66" s="1"/>
  <c r="F66" s="1"/>
  <c r="C66"/>
  <c r="B66"/>
  <c r="AF66" s="1"/>
  <c r="Z65"/>
  <c r="Y65"/>
  <c r="X65"/>
  <c r="AA65" s="1"/>
  <c r="U65"/>
  <c r="T65"/>
  <c r="S65"/>
  <c r="R65"/>
  <c r="Q65"/>
  <c r="V65" s="1"/>
  <c r="E65"/>
  <c r="F65" s="1"/>
  <c r="D65"/>
  <c r="C65"/>
  <c r="B65"/>
  <c r="AF65" s="1"/>
  <c r="Z64"/>
  <c r="Y64"/>
  <c r="X64"/>
  <c r="AA64" s="1"/>
  <c r="U64"/>
  <c r="T64"/>
  <c r="S64"/>
  <c r="R64"/>
  <c r="Q64"/>
  <c r="V64" s="1"/>
  <c r="D64"/>
  <c r="C64"/>
  <c r="E64" s="1"/>
  <c r="F64" s="1"/>
  <c r="B64"/>
  <c r="AF64" s="1"/>
  <c r="Z63"/>
  <c r="Y63"/>
  <c r="AA63" s="1"/>
  <c r="AC63" s="1"/>
  <c r="AD63" s="1"/>
  <c r="X63"/>
  <c r="AB63" s="1"/>
  <c r="U63"/>
  <c r="T63"/>
  <c r="S63"/>
  <c r="R63"/>
  <c r="Q63"/>
  <c r="V63" s="1"/>
  <c r="D63"/>
  <c r="C63"/>
  <c r="E63" s="1"/>
  <c r="F63" s="1"/>
  <c r="B63"/>
  <c r="AF63" s="1"/>
  <c r="Z62"/>
  <c r="Y62"/>
  <c r="X62"/>
  <c r="U62"/>
  <c r="T62"/>
  <c r="S62"/>
  <c r="R62"/>
  <c r="Q62"/>
  <c r="D62"/>
  <c r="C62"/>
  <c r="B62"/>
  <c r="AF62" s="1"/>
  <c r="Z61"/>
  <c r="Y61"/>
  <c r="X61"/>
  <c r="AA61" s="1"/>
  <c r="U61"/>
  <c r="T61"/>
  <c r="S61"/>
  <c r="R61"/>
  <c r="Q61"/>
  <c r="V61" s="1"/>
  <c r="E61"/>
  <c r="F61" s="1"/>
  <c r="D61"/>
  <c r="C61"/>
  <c r="B61"/>
  <c r="AF61" s="1"/>
  <c r="Z60"/>
  <c r="Y60"/>
  <c r="X60"/>
  <c r="AA60" s="1"/>
  <c r="U60"/>
  <c r="T60"/>
  <c r="S60"/>
  <c r="R60"/>
  <c r="Q60"/>
  <c r="V60" s="1"/>
  <c r="D60"/>
  <c r="C60"/>
  <c r="E60" s="1"/>
  <c r="F60" s="1"/>
  <c r="B60"/>
  <c r="AF60" s="1"/>
  <c r="Z59"/>
  <c r="Y59"/>
  <c r="AA59" s="1"/>
  <c r="X59"/>
  <c r="AB59" s="1"/>
  <c r="U59"/>
  <c r="T59"/>
  <c r="S59"/>
  <c r="R59"/>
  <c r="Q59"/>
  <c r="V59" s="1"/>
  <c r="D59"/>
  <c r="C59"/>
  <c r="E59" s="1"/>
  <c r="F59" s="1"/>
  <c r="B59"/>
  <c r="AF59" s="1"/>
  <c r="Z58"/>
  <c r="Y58"/>
  <c r="X58"/>
  <c r="AA58" s="1"/>
  <c r="U58"/>
  <c r="T58"/>
  <c r="S58"/>
  <c r="R58"/>
  <c r="Q58"/>
  <c r="V58" s="1"/>
  <c r="D58"/>
  <c r="E58" s="1"/>
  <c r="F58" s="1"/>
  <c r="C58"/>
  <c r="B58"/>
  <c r="AF58" s="1"/>
  <c r="Z57"/>
  <c r="Y57"/>
  <c r="X57"/>
  <c r="AA57" s="1"/>
  <c r="U57"/>
  <c r="T57"/>
  <c r="S57"/>
  <c r="R57"/>
  <c r="Q57"/>
  <c r="V57" s="1"/>
  <c r="E57"/>
  <c r="F57" s="1"/>
  <c r="D57"/>
  <c r="C57"/>
  <c r="B57"/>
  <c r="AF57" s="1"/>
  <c r="Z56"/>
  <c r="Y56"/>
  <c r="X56"/>
  <c r="AA56" s="1"/>
  <c r="U56"/>
  <c r="T56"/>
  <c r="S56"/>
  <c r="R56"/>
  <c r="Q56"/>
  <c r="V56" s="1"/>
  <c r="D56"/>
  <c r="C56"/>
  <c r="E56" s="1"/>
  <c r="F56" s="1"/>
  <c r="B56"/>
  <c r="AF56" s="1"/>
  <c r="Z55"/>
  <c r="Y55"/>
  <c r="AA55" s="1"/>
  <c r="X55"/>
  <c r="AB55" s="1"/>
  <c r="U55"/>
  <c r="T55"/>
  <c r="S55"/>
  <c r="R55"/>
  <c r="Q55"/>
  <c r="V55" s="1"/>
  <c r="D55"/>
  <c r="C55"/>
  <c r="E55" s="1"/>
  <c r="F55" s="1"/>
  <c r="B55"/>
  <c r="AF55" s="1"/>
  <c r="Z54"/>
  <c r="Y54"/>
  <c r="X54"/>
  <c r="AA54" s="1"/>
  <c r="U54"/>
  <c r="T54"/>
  <c r="S54"/>
  <c r="R54"/>
  <c r="Q54"/>
  <c r="V54" s="1"/>
  <c r="D54"/>
  <c r="E54" s="1"/>
  <c r="F54" s="1"/>
  <c r="C54"/>
  <c r="B54"/>
  <c r="AF54" s="1"/>
  <c r="Z53"/>
  <c r="Y53"/>
  <c r="X53"/>
  <c r="AA53" s="1"/>
  <c r="U53"/>
  <c r="T53"/>
  <c r="S53"/>
  <c r="R53"/>
  <c r="Q53"/>
  <c r="V53" s="1"/>
  <c r="E53"/>
  <c r="F53" s="1"/>
  <c r="D53"/>
  <c r="C53"/>
  <c r="B53"/>
  <c r="AF53" s="1"/>
  <c r="Z52"/>
  <c r="Y52"/>
  <c r="X52"/>
  <c r="AA52" s="1"/>
  <c r="U52"/>
  <c r="T52"/>
  <c r="S52"/>
  <c r="R52"/>
  <c r="Q52"/>
  <c r="V52" s="1"/>
  <c r="D52"/>
  <c r="C52"/>
  <c r="E52" s="1"/>
  <c r="F52" s="1"/>
  <c r="B52"/>
  <c r="AF52" s="1"/>
  <c r="Z51"/>
  <c r="Y51"/>
  <c r="AA51" s="1"/>
  <c r="X51"/>
  <c r="AB51" s="1"/>
  <c r="U51"/>
  <c r="T51"/>
  <c r="S51"/>
  <c r="R51"/>
  <c r="Q51"/>
  <c r="V51" s="1"/>
  <c r="D51"/>
  <c r="C51"/>
  <c r="E51" s="1"/>
  <c r="F51" s="1"/>
  <c r="B51"/>
  <c r="AF51" s="1"/>
  <c r="Z50"/>
  <c r="Y50"/>
  <c r="X50"/>
  <c r="AA50" s="1"/>
  <c r="U50"/>
  <c r="T50"/>
  <c r="S50"/>
  <c r="R50"/>
  <c r="Q50"/>
  <c r="V50" s="1"/>
  <c r="D50"/>
  <c r="E50" s="1"/>
  <c r="F50" s="1"/>
  <c r="C50"/>
  <c r="B50"/>
  <c r="AF50" s="1"/>
  <c r="Z49"/>
  <c r="Y49"/>
  <c r="X49"/>
  <c r="AA49" s="1"/>
  <c r="U49"/>
  <c r="T49"/>
  <c r="S49"/>
  <c r="R49"/>
  <c r="Q49"/>
  <c r="V49" s="1"/>
  <c r="E49"/>
  <c r="F49" s="1"/>
  <c r="D49"/>
  <c r="C49"/>
  <c r="B49"/>
  <c r="AF49" s="1"/>
  <c r="Z48"/>
  <c r="Y48"/>
  <c r="X48"/>
  <c r="AA48" s="1"/>
  <c r="U48"/>
  <c r="T48"/>
  <c r="S48"/>
  <c r="R48"/>
  <c r="Q48"/>
  <c r="V48" s="1"/>
  <c r="D48"/>
  <c r="C48"/>
  <c r="E48" s="1"/>
  <c r="F48" s="1"/>
  <c r="B48"/>
  <c r="AF48" s="1"/>
  <c r="AA47"/>
  <c r="AC47" s="1"/>
  <c r="AD47" s="1"/>
  <c r="Z47"/>
  <c r="Y47"/>
  <c r="X47"/>
  <c r="AB47" s="1"/>
  <c r="U47"/>
  <c r="T47"/>
  <c r="S47"/>
  <c r="R47"/>
  <c r="Q47"/>
  <c r="V47" s="1"/>
  <c r="D47"/>
  <c r="C47"/>
  <c r="E47" s="1"/>
  <c r="F47" s="1"/>
  <c r="B47"/>
  <c r="AF47" s="1"/>
  <c r="Z46"/>
  <c r="Y46"/>
  <c r="X46"/>
  <c r="AA46" s="1"/>
  <c r="U46"/>
  <c r="T46"/>
  <c r="S46"/>
  <c r="R46"/>
  <c r="Q46"/>
  <c r="V46" s="1"/>
  <c r="D46"/>
  <c r="E46" s="1"/>
  <c r="F46" s="1"/>
  <c r="C46"/>
  <c r="B46"/>
  <c r="AF46" s="1"/>
  <c r="Z45"/>
  <c r="Y45"/>
  <c r="X45"/>
  <c r="AA45" s="1"/>
  <c r="U45"/>
  <c r="T45"/>
  <c r="S45"/>
  <c r="R45"/>
  <c r="Q45"/>
  <c r="V45" s="1"/>
  <c r="E45"/>
  <c r="F45" s="1"/>
  <c r="D45"/>
  <c r="C45"/>
  <c r="B45"/>
  <c r="AF45" s="1"/>
  <c r="Z44"/>
  <c r="Y44"/>
  <c r="X44"/>
  <c r="AA44" s="1"/>
  <c r="U44"/>
  <c r="T44"/>
  <c r="S44"/>
  <c r="R44"/>
  <c r="D44"/>
  <c r="C44"/>
  <c r="E44" s="1"/>
  <c r="F44" s="1"/>
  <c r="B44"/>
  <c r="AF44" s="1"/>
  <c r="AA43"/>
  <c r="AC43" s="1"/>
  <c r="AD43" s="1"/>
  <c r="Z43"/>
  <c r="Y43"/>
  <c r="X43"/>
  <c r="AB43" s="1"/>
  <c r="U43"/>
  <c r="T43"/>
  <c r="S43"/>
  <c r="Q43"/>
  <c r="D43"/>
  <c r="C43"/>
  <c r="E43" s="1"/>
  <c r="F43" s="1"/>
  <c r="B43"/>
  <c r="AF43" s="1"/>
  <c r="Z42"/>
  <c r="Y42"/>
  <c r="X42"/>
  <c r="AA42" s="1"/>
  <c r="U42"/>
  <c r="T42"/>
  <c r="R42"/>
  <c r="Q42"/>
  <c r="D42"/>
  <c r="E42" s="1"/>
  <c r="F42" s="1"/>
  <c r="C42"/>
  <c r="B42"/>
  <c r="AF42" s="1"/>
  <c r="Z41"/>
  <c r="Y41"/>
  <c r="X41"/>
  <c r="AA41" s="1"/>
  <c r="U41"/>
  <c r="T41"/>
  <c r="S41"/>
  <c r="R41"/>
  <c r="Q41"/>
  <c r="V41" s="1"/>
  <c r="E41"/>
  <c r="F41" s="1"/>
  <c r="D41"/>
  <c r="C41"/>
  <c r="B41"/>
  <c r="AF41" s="1"/>
  <c r="Z40"/>
  <c r="Y40"/>
  <c r="X40"/>
  <c r="AA40" s="1"/>
  <c r="U40"/>
  <c r="T40"/>
  <c r="S40"/>
  <c r="R40"/>
  <c r="D40"/>
  <c r="C40"/>
  <c r="E40" s="1"/>
  <c r="F40" s="1"/>
  <c r="B40"/>
  <c r="AF40" s="1"/>
  <c r="AA39"/>
  <c r="AC39" s="1"/>
  <c r="AD39" s="1"/>
  <c r="Z39"/>
  <c r="Y39"/>
  <c r="X39"/>
  <c r="AB39" s="1"/>
  <c r="U39"/>
  <c r="T39"/>
  <c r="S39"/>
  <c r="Q39"/>
  <c r="D39"/>
  <c r="C39"/>
  <c r="E39" s="1"/>
  <c r="F39" s="1"/>
  <c r="B39"/>
  <c r="AF39" s="1"/>
  <c r="Z38"/>
  <c r="Y38"/>
  <c r="X38"/>
  <c r="AA38" s="1"/>
  <c r="U38"/>
  <c r="T38"/>
  <c r="S38"/>
  <c r="R38"/>
  <c r="V38" s="1"/>
  <c r="Q38"/>
  <c r="D38"/>
  <c r="E38" s="1"/>
  <c r="F38" s="1"/>
  <c r="C38"/>
  <c r="B38"/>
  <c r="AF38" s="1"/>
  <c r="Z37"/>
  <c r="Y37"/>
  <c r="X37"/>
  <c r="AA37" s="1"/>
  <c r="U37"/>
  <c r="S37"/>
  <c r="R37"/>
  <c r="Q37"/>
  <c r="E37"/>
  <c r="F37" s="1"/>
  <c r="D37"/>
  <c r="C37"/>
  <c r="B37"/>
  <c r="AF37" s="1"/>
  <c r="Z36"/>
  <c r="Y36"/>
  <c r="X36"/>
  <c r="AA36" s="1"/>
  <c r="U36"/>
  <c r="T36"/>
  <c r="S36"/>
  <c r="R36"/>
  <c r="D36"/>
  <c r="C36"/>
  <c r="E36" s="1"/>
  <c r="F36" s="1"/>
  <c r="B36"/>
  <c r="AF36" s="1"/>
  <c r="AA35"/>
  <c r="AC35" s="1"/>
  <c r="AD35" s="1"/>
  <c r="Z35"/>
  <c r="Y35"/>
  <c r="X35"/>
  <c r="AB35" s="1"/>
  <c r="U35"/>
  <c r="T35"/>
  <c r="S35"/>
  <c r="R35"/>
  <c r="Q35"/>
  <c r="V35" s="1"/>
  <c r="D35"/>
  <c r="C35"/>
  <c r="E35" s="1"/>
  <c r="F35" s="1"/>
  <c r="B35"/>
  <c r="AF35" s="1"/>
  <c r="Z34"/>
  <c r="Y34"/>
  <c r="X34"/>
  <c r="AA34" s="1"/>
  <c r="U34"/>
  <c r="T34"/>
  <c r="R34"/>
  <c r="Q34"/>
  <c r="D34"/>
  <c r="E34" s="1"/>
  <c r="F34" s="1"/>
  <c r="C34"/>
  <c r="B34"/>
  <c r="AF34" s="1"/>
  <c r="Z33"/>
  <c r="Y33"/>
  <c r="X33"/>
  <c r="AA33" s="1"/>
  <c r="U33"/>
  <c r="S33"/>
  <c r="R33"/>
  <c r="Q33"/>
  <c r="E33"/>
  <c r="F33" s="1"/>
  <c r="D33"/>
  <c r="C33"/>
  <c r="B33"/>
  <c r="AF33" s="1"/>
  <c r="Z32"/>
  <c r="Y32"/>
  <c r="X32"/>
  <c r="AA32" s="1"/>
  <c r="U32"/>
  <c r="T32"/>
  <c r="S32"/>
  <c r="R32"/>
  <c r="Q32"/>
  <c r="V32" s="1"/>
  <c r="D32"/>
  <c r="C32"/>
  <c r="E32" s="1"/>
  <c r="F32" s="1"/>
  <c r="B32"/>
  <c r="AF32" s="1"/>
  <c r="AA31"/>
  <c r="AC31" s="1"/>
  <c r="AD31" s="1"/>
  <c r="Z31"/>
  <c r="Y31"/>
  <c r="X31"/>
  <c r="AB31" s="1"/>
  <c r="U31"/>
  <c r="T31"/>
  <c r="S31"/>
  <c r="Q31"/>
  <c r="D31"/>
  <c r="C31"/>
  <c r="E31" s="1"/>
  <c r="F31" s="1"/>
  <c r="B31"/>
  <c r="AF31" s="1"/>
  <c r="Z30"/>
  <c r="Y30"/>
  <c r="X30"/>
  <c r="AA30" s="1"/>
  <c r="U30"/>
  <c r="T30"/>
  <c r="R30"/>
  <c r="Q30"/>
  <c r="E30"/>
  <c r="F30" s="1"/>
  <c r="D30"/>
  <c r="C30"/>
  <c r="B30"/>
  <c r="AF30" s="1"/>
  <c r="Z29"/>
  <c r="Y29"/>
  <c r="X29"/>
  <c r="AA29" s="1"/>
  <c r="U29"/>
  <c r="S29"/>
  <c r="R29"/>
  <c r="Q29"/>
  <c r="E29"/>
  <c r="F29" s="1"/>
  <c r="D29"/>
  <c r="C29"/>
  <c r="B29"/>
  <c r="AF29" s="1"/>
  <c r="Z28"/>
  <c r="Y28"/>
  <c r="X28"/>
  <c r="AA28" s="1"/>
  <c r="U28"/>
  <c r="T28"/>
  <c r="S28"/>
  <c r="R28"/>
  <c r="D28"/>
  <c r="C28"/>
  <c r="E28" s="1"/>
  <c r="F28" s="1"/>
  <c r="B28"/>
  <c r="AF28" s="1"/>
  <c r="AA27"/>
  <c r="AC27" s="1"/>
  <c r="AD27" s="1"/>
  <c r="Z27"/>
  <c r="Y27"/>
  <c r="X27"/>
  <c r="AB27" s="1"/>
  <c r="U27"/>
  <c r="T27"/>
  <c r="S27"/>
  <c r="Q27"/>
  <c r="D27"/>
  <c r="C27"/>
  <c r="E27" s="1"/>
  <c r="F27" s="1"/>
  <c r="B27"/>
  <c r="AF27" s="1"/>
  <c r="Z26"/>
  <c r="Y26"/>
  <c r="X26"/>
  <c r="AA26" s="1"/>
  <c r="U26"/>
  <c r="T26"/>
  <c r="R26"/>
  <c r="Q26"/>
  <c r="D26"/>
  <c r="E26" s="1"/>
  <c r="F26" s="1"/>
  <c r="C26"/>
  <c r="B26"/>
  <c r="AF26" s="1"/>
  <c r="Z25"/>
  <c r="Y25"/>
  <c r="X25"/>
  <c r="AA25" s="1"/>
  <c r="U25"/>
  <c r="T25"/>
  <c r="S25"/>
  <c r="R25"/>
  <c r="Q25"/>
  <c r="V25" s="1"/>
  <c r="E25"/>
  <c r="F25" s="1"/>
  <c r="D25"/>
  <c r="C25"/>
  <c r="B25"/>
  <c r="AF25" s="1"/>
  <c r="Z24"/>
  <c r="Y24"/>
  <c r="X24"/>
  <c r="AB24" s="1"/>
  <c r="U24"/>
  <c r="T24"/>
  <c r="S24"/>
  <c r="R24"/>
  <c r="V24" s="1"/>
  <c r="Q24"/>
  <c r="D24"/>
  <c r="C24"/>
  <c r="E24" s="1"/>
  <c r="F24" s="1"/>
  <c r="B24"/>
  <c r="AF24" s="1"/>
  <c r="AA23"/>
  <c r="Z23"/>
  <c r="Y23"/>
  <c r="X23"/>
  <c r="AB23" s="1"/>
  <c r="U23"/>
  <c r="T23"/>
  <c r="S23"/>
  <c r="Q23"/>
  <c r="D23"/>
  <c r="C23"/>
  <c r="E23" s="1"/>
  <c r="F23" s="1"/>
  <c r="B23"/>
  <c r="AF23" s="1"/>
  <c r="Z22"/>
  <c r="Y22"/>
  <c r="X22"/>
  <c r="AA22" s="1"/>
  <c r="U22"/>
  <c r="T22"/>
  <c r="R22"/>
  <c r="Q22"/>
  <c r="D22"/>
  <c r="E22" s="1"/>
  <c r="F22" s="1"/>
  <c r="C22"/>
  <c r="B22"/>
  <c r="AF22" s="1"/>
  <c r="Z21"/>
  <c r="Y21"/>
  <c r="X21"/>
  <c r="AA21" s="1"/>
  <c r="U21"/>
  <c r="S21"/>
  <c r="R21"/>
  <c r="Q21"/>
  <c r="E21"/>
  <c r="F21" s="1"/>
  <c r="D21"/>
  <c r="C21"/>
  <c r="B21"/>
  <c r="AF21" s="1"/>
  <c r="Z20"/>
  <c r="Y20"/>
  <c r="X20"/>
  <c r="AB20" s="1"/>
  <c r="U20"/>
  <c r="T20"/>
  <c r="S20"/>
  <c r="R20"/>
  <c r="D20"/>
  <c r="C20"/>
  <c r="E20" s="1"/>
  <c r="F20" s="1"/>
  <c r="B20"/>
  <c r="AF20" s="1"/>
  <c r="AA19"/>
  <c r="Z19"/>
  <c r="Y19"/>
  <c r="X19"/>
  <c r="AB19" s="1"/>
  <c r="U19"/>
  <c r="T19"/>
  <c r="S19"/>
  <c r="Q19"/>
  <c r="D19"/>
  <c r="C19"/>
  <c r="E19" s="1"/>
  <c r="F19" s="1"/>
  <c r="B19"/>
  <c r="AF19" s="1"/>
  <c r="Z18"/>
  <c r="Y18"/>
  <c r="X18"/>
  <c r="AA18" s="1"/>
  <c r="U18"/>
  <c r="T18"/>
  <c r="R18"/>
  <c r="Q18"/>
  <c r="D18"/>
  <c r="E18" s="1"/>
  <c r="F18" s="1"/>
  <c r="C18"/>
  <c r="B18"/>
  <c r="AF18" s="1"/>
  <c r="Z17"/>
  <c r="Y17"/>
  <c r="X17"/>
  <c r="AA17" s="1"/>
  <c r="U17"/>
  <c r="S17"/>
  <c r="R17"/>
  <c r="Q17"/>
  <c r="E17"/>
  <c r="F17" s="1"/>
  <c r="D17"/>
  <c r="C17"/>
  <c r="B17"/>
  <c r="AF17" s="1"/>
  <c r="Z16"/>
  <c r="Y16"/>
  <c r="X16"/>
  <c r="AB16" s="1"/>
  <c r="U16"/>
  <c r="T16"/>
  <c r="S16"/>
  <c r="R16"/>
  <c r="D16"/>
  <c r="C16"/>
  <c r="E16" s="1"/>
  <c r="F16" s="1"/>
  <c r="B16"/>
  <c r="AF16" s="1"/>
  <c r="AA15"/>
  <c r="Z15"/>
  <c r="Y15"/>
  <c r="X15"/>
  <c r="AB15" s="1"/>
  <c r="U15"/>
  <c r="T15"/>
  <c r="S15"/>
  <c r="Q15"/>
  <c r="D15"/>
  <c r="C15"/>
  <c r="E15" s="1"/>
  <c r="F15" s="1"/>
  <c r="B15"/>
  <c r="AF15" s="1"/>
  <c r="Z14"/>
  <c r="Y14"/>
  <c r="X14"/>
  <c r="AA14" s="1"/>
  <c r="U14"/>
  <c r="T14"/>
  <c r="R14"/>
  <c r="Q14"/>
  <c r="D14"/>
  <c r="E14" s="1"/>
  <c r="F14" s="1"/>
  <c r="C14"/>
  <c r="B14"/>
  <c r="AF14" s="1"/>
  <c r="Z13"/>
  <c r="Y13"/>
  <c r="X13"/>
  <c r="AA13" s="1"/>
  <c r="U13"/>
  <c r="S13"/>
  <c r="R13"/>
  <c r="E13"/>
  <c r="F13" s="1"/>
  <c r="D13"/>
  <c r="C13"/>
  <c r="B13"/>
  <c r="AF13" s="1"/>
  <c r="Z12"/>
  <c r="Y12"/>
  <c r="X12"/>
  <c r="AB12" s="1"/>
  <c r="U12"/>
  <c r="T12"/>
  <c r="S12"/>
  <c r="Q12"/>
  <c r="D12"/>
  <c r="C12"/>
  <c r="E12" s="1"/>
  <c r="F12" s="1"/>
  <c r="B12"/>
  <c r="AF12" s="1"/>
  <c r="AA11"/>
  <c r="AC11" s="1"/>
  <c r="AD11" s="1"/>
  <c r="Z11"/>
  <c r="Y11"/>
  <c r="X11"/>
  <c r="AB11" s="1"/>
  <c r="U11"/>
  <c r="T11"/>
  <c r="S11"/>
  <c r="R11"/>
  <c r="Q11"/>
  <c r="V11" s="1"/>
  <c r="D11"/>
  <c r="C11"/>
  <c r="E11" s="1"/>
  <c r="F11" s="1"/>
  <c r="B11"/>
  <c r="AF11" s="1"/>
  <c r="Z10"/>
  <c r="Y10"/>
  <c r="X10"/>
  <c r="AA10" s="1"/>
  <c r="U10"/>
  <c r="T10"/>
  <c r="S10"/>
  <c r="R10"/>
  <c r="V10" s="1"/>
  <c r="Q10"/>
  <c r="D10"/>
  <c r="E10" s="1"/>
  <c r="F10" s="1"/>
  <c r="C10"/>
  <c r="B10"/>
  <c r="AF10" s="1"/>
  <c r="Z9"/>
  <c r="Y9"/>
  <c r="AA9" s="1"/>
  <c r="AC9" s="1"/>
  <c r="AD9" s="1"/>
  <c r="X9"/>
  <c r="AB9" s="1"/>
  <c r="U9"/>
  <c r="T9"/>
  <c r="S9"/>
  <c r="R9"/>
  <c r="Q9"/>
  <c r="V9" s="1"/>
  <c r="E9"/>
  <c r="F9" s="1"/>
  <c r="D9"/>
  <c r="C9"/>
  <c r="B9"/>
  <c r="AF9" s="1"/>
  <c r="Z8"/>
  <c r="Y8"/>
  <c r="X8"/>
  <c r="AB8" s="1"/>
  <c r="U8"/>
  <c r="T8"/>
  <c r="S8"/>
  <c r="R8"/>
  <c r="V8" s="1"/>
  <c r="Q8"/>
  <c r="D8"/>
  <c r="C8"/>
  <c r="E8" s="1"/>
  <c r="F8" s="1"/>
  <c r="B8"/>
  <c r="AF8" s="1"/>
  <c r="AA7"/>
  <c r="AC7" s="1"/>
  <c r="AD7" s="1"/>
  <c r="Z7"/>
  <c r="Y7"/>
  <c r="X7"/>
  <c r="AB7" s="1"/>
  <c r="U7"/>
  <c r="T7"/>
  <c r="R7"/>
  <c r="Q7"/>
  <c r="D7"/>
  <c r="C7"/>
  <c r="E7" s="1"/>
  <c r="F7" s="1"/>
  <c r="B7"/>
  <c r="AF7" s="1"/>
  <c r="Z6"/>
  <c r="Y6"/>
  <c r="X6"/>
  <c r="AA6" s="1"/>
  <c r="U6"/>
  <c r="T6"/>
  <c r="S6"/>
  <c r="R6"/>
  <c r="V6" s="1"/>
  <c r="Q6"/>
  <c r="D6"/>
  <c r="E6" s="1"/>
  <c r="F6" s="1"/>
  <c r="C6"/>
  <c r="B6"/>
  <c r="AF6" s="1"/>
  <c r="Z5"/>
  <c r="Y5"/>
  <c r="AA5" s="1"/>
  <c r="X5"/>
  <c r="AB5" s="1"/>
  <c r="U5"/>
  <c r="T5"/>
  <c r="S5"/>
  <c r="R5"/>
  <c r="Q5"/>
  <c r="V5" s="1"/>
  <c r="E5"/>
  <c r="F5" s="1"/>
  <c r="D5"/>
  <c r="C5"/>
  <c r="B5"/>
  <c r="AF5" s="1"/>
  <c r="Z4"/>
  <c r="Y4"/>
  <c r="X4"/>
  <c r="AB4" s="1"/>
  <c r="U4"/>
  <c r="T4"/>
  <c r="S4"/>
  <c r="Q4"/>
  <c r="D4"/>
  <c r="C4"/>
  <c r="B4"/>
  <c r="B67" s="1"/>
  <c r="AA62" l="1"/>
  <c r="D67"/>
  <c r="V62"/>
  <c r="C67"/>
  <c r="E62"/>
  <c r="F62" s="1"/>
  <c r="AG9"/>
  <c r="AH9" s="1"/>
  <c r="W9"/>
  <c r="W8"/>
  <c r="AC5"/>
  <c r="AD5" s="1"/>
  <c r="AC19"/>
  <c r="AD19" s="1"/>
  <c r="W24"/>
  <c r="W10"/>
  <c r="W5"/>
  <c r="AG5"/>
  <c r="AH5" s="1"/>
  <c r="W6"/>
  <c r="W25"/>
  <c r="AC15"/>
  <c r="AD15" s="1"/>
  <c r="AC23"/>
  <c r="AD23" s="1"/>
  <c r="W11"/>
  <c r="AG11"/>
  <c r="AH11" s="1"/>
  <c r="AG47"/>
  <c r="AH47" s="1"/>
  <c r="W47"/>
  <c r="W48"/>
  <c r="W49"/>
  <c r="W54"/>
  <c r="W59"/>
  <c r="W64"/>
  <c r="W65"/>
  <c r="AA4"/>
  <c r="AA8"/>
  <c r="AC8" s="1"/>
  <c r="AD8" s="1"/>
  <c r="AA12"/>
  <c r="AC12" s="1"/>
  <c r="AD12" s="1"/>
  <c r="AB13"/>
  <c r="AC13" s="1"/>
  <c r="AD13" s="1"/>
  <c r="AA16"/>
  <c r="AC16" s="1"/>
  <c r="AD16" s="1"/>
  <c r="AB17"/>
  <c r="AC17" s="1"/>
  <c r="AD17" s="1"/>
  <c r="AA20"/>
  <c r="AC20" s="1"/>
  <c r="AD20" s="1"/>
  <c r="AB21"/>
  <c r="AC21" s="1"/>
  <c r="AD21" s="1"/>
  <c r="AA24"/>
  <c r="AC24" s="1"/>
  <c r="AD24" s="1"/>
  <c r="AB25"/>
  <c r="AC25" s="1"/>
  <c r="AC51"/>
  <c r="AD51" s="1"/>
  <c r="W38"/>
  <c r="W41"/>
  <c r="W50"/>
  <c r="W55"/>
  <c r="W60"/>
  <c r="W61"/>
  <c r="W66"/>
  <c r="AB6"/>
  <c r="AC6" s="1"/>
  <c r="AB10"/>
  <c r="AC10" s="1"/>
  <c r="AB14"/>
  <c r="AC14" s="1"/>
  <c r="AD14" s="1"/>
  <c r="AB18"/>
  <c r="AC18" s="1"/>
  <c r="AD18" s="1"/>
  <c r="AB22"/>
  <c r="AC22" s="1"/>
  <c r="AD22" s="1"/>
  <c r="AB26"/>
  <c r="AC26" s="1"/>
  <c r="AD26" s="1"/>
  <c r="W45"/>
  <c r="AG51"/>
  <c r="AH51" s="1"/>
  <c r="W51"/>
  <c r="W56"/>
  <c r="W57"/>
  <c r="W62"/>
  <c r="E4"/>
  <c r="U67"/>
  <c r="AC59"/>
  <c r="AD59" s="1"/>
  <c r="W32"/>
  <c r="AG35"/>
  <c r="AH35" s="1"/>
  <c r="W35"/>
  <c r="W46"/>
  <c r="W52"/>
  <c r="W53"/>
  <c r="W58"/>
  <c r="AG63"/>
  <c r="AH63" s="1"/>
  <c r="W63"/>
  <c r="AF4"/>
  <c r="AF67" s="1"/>
  <c r="AC36"/>
  <c r="AD36" s="1"/>
  <c r="AC55"/>
  <c r="AD55" s="1"/>
  <c r="AB28"/>
  <c r="AC28" s="1"/>
  <c r="AD28" s="1"/>
  <c r="AB32"/>
  <c r="AC32" s="1"/>
  <c r="AB36"/>
  <c r="AB40"/>
  <c r="AC40" s="1"/>
  <c r="AD40" s="1"/>
  <c r="AB44"/>
  <c r="AC44" s="1"/>
  <c r="AD44" s="1"/>
  <c r="AB48"/>
  <c r="AC48" s="1"/>
  <c r="AB52"/>
  <c r="AC52" s="1"/>
  <c r="AB56"/>
  <c r="AC56" s="1"/>
  <c r="AB60"/>
  <c r="AC60" s="1"/>
  <c r="AB64"/>
  <c r="AC64" s="1"/>
  <c r="E2" i="3"/>
  <c r="E3"/>
  <c r="E4"/>
  <c r="E5"/>
  <c r="E6"/>
  <c r="E7"/>
  <c r="E8"/>
  <c r="E9"/>
  <c r="E10"/>
  <c r="E11"/>
  <c r="E12"/>
  <c r="E13"/>
  <c r="E14"/>
  <c r="E15"/>
  <c r="E16"/>
  <c r="E17"/>
  <c r="E18"/>
  <c r="E19"/>
  <c r="E20"/>
  <c r="E21"/>
  <c r="E22"/>
  <c r="E23"/>
  <c r="E24"/>
  <c r="E25"/>
  <c r="E26"/>
  <c r="E27"/>
  <c r="E28"/>
  <c r="E29"/>
  <c r="E30"/>
  <c r="E31"/>
  <c r="E32"/>
  <c r="E33"/>
  <c r="E34"/>
  <c r="E35"/>
  <c r="E36"/>
  <c r="E37"/>
  <c r="E38"/>
  <c r="E39"/>
  <c r="E40"/>
  <c r="E41"/>
  <c r="E42"/>
  <c r="E43"/>
  <c r="E44"/>
  <c r="E45"/>
  <c r="E46"/>
  <c r="E47"/>
  <c r="E48"/>
  <c r="E49"/>
  <c r="E50"/>
  <c r="E51"/>
  <c r="E52"/>
  <c r="E53"/>
  <c r="E54"/>
  <c r="E55"/>
  <c r="E56"/>
  <c r="E57"/>
  <c r="E58"/>
  <c r="E59"/>
  <c r="E60"/>
  <c r="E61"/>
  <c r="E62"/>
  <c r="E63"/>
  <c r="E64"/>
  <c r="E65"/>
  <c r="E66"/>
  <c r="E67"/>
  <c r="E68"/>
  <c r="E69"/>
  <c r="E70"/>
  <c r="E71"/>
  <c r="E72"/>
  <c r="E73"/>
  <c r="E74"/>
  <c r="E75"/>
  <c r="E76"/>
  <c r="E77"/>
  <c r="E78"/>
  <c r="E79"/>
  <c r="E80"/>
  <c r="E81"/>
  <c r="E82"/>
  <c r="E83"/>
  <c r="E84"/>
  <c r="E85"/>
  <c r="E86"/>
  <c r="E87"/>
  <c r="E88"/>
  <c r="E89"/>
  <c r="E90"/>
  <c r="E91"/>
  <c r="E92"/>
  <c r="E93"/>
  <c r="E94"/>
  <c r="E95"/>
  <c r="E96"/>
  <c r="E97"/>
  <c r="E98"/>
  <c r="E99"/>
  <c r="E100"/>
  <c r="E101"/>
  <c r="E102"/>
  <c r="E103"/>
  <c r="E104"/>
  <c r="E105"/>
  <c r="E106"/>
  <c r="E107"/>
  <c r="E108"/>
  <c r="E109"/>
  <c r="E110"/>
  <c r="E111"/>
  <c r="E112"/>
  <c r="E113"/>
  <c r="E114"/>
  <c r="E115"/>
  <c r="E116"/>
  <c r="E117"/>
  <c r="E118"/>
  <c r="E119"/>
  <c r="E120"/>
  <c r="E121"/>
  <c r="E122"/>
  <c r="E123"/>
  <c r="E124"/>
  <c r="E125"/>
  <c r="E126"/>
  <c r="E127"/>
  <c r="E128"/>
  <c r="E129"/>
  <c r="E130"/>
  <c r="E131"/>
  <c r="E132"/>
  <c r="E133"/>
  <c r="E134"/>
  <c r="E135"/>
  <c r="E136"/>
  <c r="E137"/>
  <c r="E138"/>
  <c r="E139"/>
  <c r="E140"/>
  <c r="E141"/>
  <c r="E142"/>
  <c r="E143"/>
  <c r="E144"/>
  <c r="E145"/>
  <c r="E146"/>
  <c r="E147"/>
  <c r="E148"/>
  <c r="E149"/>
  <c r="E150"/>
  <c r="E151"/>
  <c r="E152"/>
  <c r="E153"/>
  <c r="E154"/>
  <c r="E155"/>
  <c r="E156"/>
  <c r="E157"/>
  <c r="E158"/>
  <c r="E159"/>
  <c r="E160"/>
  <c r="E161"/>
  <c r="E162"/>
  <c r="E163"/>
  <c r="E164"/>
  <c r="E165"/>
  <c r="E166"/>
  <c r="E167"/>
  <c r="E168"/>
  <c r="E169"/>
  <c r="E170"/>
  <c r="E171"/>
  <c r="E172"/>
  <c r="E173"/>
  <c r="E174"/>
  <c r="E175"/>
  <c r="E176"/>
  <c r="E177"/>
  <c r="E178"/>
  <c r="E179"/>
  <c r="E180"/>
  <c r="E181"/>
  <c r="E182"/>
  <c r="E183"/>
  <c r="E184"/>
  <c r="E185"/>
  <c r="E186"/>
  <c r="E187"/>
  <c r="E188"/>
  <c r="E189"/>
  <c r="E190"/>
  <c r="E191"/>
  <c r="E192"/>
  <c r="E193"/>
  <c r="E194"/>
  <c r="E195"/>
  <c r="E196"/>
  <c r="E197"/>
  <c r="E198"/>
  <c r="E199"/>
  <c r="E200"/>
  <c r="E201"/>
  <c r="E202"/>
  <c r="E203"/>
  <c r="E204"/>
  <c r="E205"/>
  <c r="E206"/>
  <c r="E207"/>
  <c r="E208"/>
  <c r="E209"/>
  <c r="E210"/>
  <c r="E211"/>
  <c r="E212"/>
  <c r="E213"/>
  <c r="E214"/>
  <c r="E215"/>
  <c r="E216"/>
  <c r="E217"/>
  <c r="E218"/>
  <c r="E219"/>
  <c r="E220"/>
  <c r="E221"/>
  <c r="E222"/>
  <c r="E223"/>
  <c r="E224"/>
  <c r="E225"/>
  <c r="E226"/>
  <c r="E227"/>
  <c r="E228"/>
  <c r="E229"/>
  <c r="E230"/>
  <c r="E231"/>
  <c r="E232"/>
  <c r="E233"/>
  <c r="E234"/>
  <c r="E235"/>
  <c r="E236"/>
  <c r="E237"/>
  <c r="E238"/>
  <c r="E239"/>
  <c r="E240"/>
  <c r="E241"/>
  <c r="E242"/>
  <c r="E243"/>
  <c r="E244"/>
  <c r="E245"/>
  <c r="E246"/>
  <c r="E247"/>
  <c r="E248"/>
  <c r="E249"/>
  <c r="E250"/>
  <c r="E251"/>
  <c r="E252"/>
  <c r="E253"/>
  <c r="E254"/>
  <c r="E255"/>
  <c r="E256"/>
  <c r="E257"/>
  <c r="E258"/>
  <c r="E259"/>
  <c r="E260"/>
  <c r="E261"/>
  <c r="E262"/>
  <c r="E263"/>
  <c r="E264"/>
  <c r="E265"/>
  <c r="E266"/>
  <c r="E267"/>
  <c r="E268"/>
  <c r="E269"/>
  <c r="E270"/>
  <c r="E271"/>
  <c r="E272"/>
  <c r="E273"/>
  <c r="E274"/>
  <c r="E275"/>
  <c r="E276"/>
  <c r="E277"/>
  <c r="E278"/>
  <c r="E279"/>
  <c r="E280"/>
  <c r="E281"/>
  <c r="E282"/>
  <c r="E283"/>
  <c r="E284"/>
  <c r="E285"/>
  <c r="E286"/>
  <c r="E287"/>
  <c r="E288"/>
  <c r="E289"/>
  <c r="E290"/>
  <c r="E291"/>
  <c r="E292"/>
  <c r="E293"/>
  <c r="E294"/>
  <c r="E295"/>
  <c r="E296"/>
  <c r="E297"/>
  <c r="E298"/>
  <c r="E299"/>
  <c r="E300"/>
  <c r="E301"/>
  <c r="E302"/>
  <c r="E303"/>
  <c r="E304"/>
  <c r="E305"/>
  <c r="E306"/>
  <c r="E307"/>
  <c r="E308"/>
  <c r="E309"/>
  <c r="E310"/>
  <c r="E311"/>
  <c r="E312"/>
  <c r="E313"/>
  <c r="E314"/>
  <c r="E315"/>
  <c r="E316"/>
  <c r="E317"/>
  <c r="E318"/>
  <c r="E319"/>
  <c r="E320"/>
  <c r="E321"/>
  <c r="E322"/>
  <c r="E323"/>
  <c r="E324"/>
  <c r="E325"/>
  <c r="E326"/>
  <c r="E327"/>
  <c r="E328"/>
  <c r="E329"/>
  <c r="E330"/>
  <c r="E331"/>
  <c r="E332"/>
  <c r="E333"/>
  <c r="E334"/>
  <c r="E335"/>
  <c r="E336"/>
  <c r="E337"/>
  <c r="E338"/>
  <c r="E339"/>
  <c r="E340"/>
  <c r="E341"/>
  <c r="E342"/>
  <c r="E343"/>
  <c r="E344"/>
  <c r="E345"/>
  <c r="E346"/>
  <c r="E347"/>
  <c r="E348"/>
  <c r="E349"/>
  <c r="E350"/>
  <c r="E351"/>
  <c r="E352"/>
  <c r="E353"/>
  <c r="E354"/>
  <c r="E355"/>
  <c r="E356"/>
  <c r="E357"/>
  <c r="E358"/>
  <c r="E359"/>
  <c r="E360"/>
  <c r="E361"/>
  <c r="E362"/>
  <c r="E363"/>
  <c r="E364"/>
  <c r="E365"/>
  <c r="E366"/>
  <c r="E367"/>
  <c r="E368"/>
  <c r="E369"/>
  <c r="E370"/>
  <c r="E371"/>
  <c r="E372"/>
  <c r="E373"/>
  <c r="E374"/>
  <c r="E375"/>
  <c r="E376"/>
  <c r="E377"/>
  <c r="E378"/>
  <c r="E379"/>
  <c r="E380"/>
  <c r="E381"/>
  <c r="F386"/>
  <c r="F388"/>
  <c r="F390"/>
  <c r="F392"/>
  <c r="F394"/>
  <c r="F396"/>
  <c r="F398"/>
  <c r="F400"/>
  <c r="F402"/>
  <c r="AB29" i="1"/>
  <c r="AC29" s="1"/>
  <c r="AD29" s="1"/>
  <c r="AB33"/>
  <c r="AC33" s="1"/>
  <c r="AD33" s="1"/>
  <c r="AB37"/>
  <c r="AC37" s="1"/>
  <c r="AD37" s="1"/>
  <c r="AB41"/>
  <c r="AC41" s="1"/>
  <c r="AB45"/>
  <c r="AC45" s="1"/>
  <c r="AB49"/>
  <c r="AC49" s="1"/>
  <c r="AB53"/>
  <c r="AC53" s="1"/>
  <c r="AB57"/>
  <c r="AC57" s="1"/>
  <c r="AB61"/>
  <c r="AC61" s="1"/>
  <c r="AB65"/>
  <c r="AC65" s="1"/>
  <c r="D2" i="3"/>
  <c r="D3"/>
  <c r="D4"/>
  <c r="D5"/>
  <c r="D6"/>
  <c r="D7"/>
  <c r="D8"/>
  <c r="D9"/>
  <c r="D10"/>
  <c r="D11"/>
  <c r="D12"/>
  <c r="D13"/>
  <c r="D14"/>
  <c r="D15"/>
  <c r="D16"/>
  <c r="D17"/>
  <c r="D18"/>
  <c r="D19"/>
  <c r="D20"/>
  <c r="D21"/>
  <c r="D22"/>
  <c r="D23"/>
  <c r="D24"/>
  <c r="D25"/>
  <c r="D26"/>
  <c r="D27"/>
  <c r="D28"/>
  <c r="D29"/>
  <c r="D30"/>
  <c r="D31"/>
  <c r="D32"/>
  <c r="D33"/>
  <c r="D34"/>
  <c r="D35"/>
  <c r="D36"/>
  <c r="D37"/>
  <c r="D38"/>
  <c r="D39"/>
  <c r="D40"/>
  <c r="D41"/>
  <c r="D42"/>
  <c r="D43"/>
  <c r="D44"/>
  <c r="D45"/>
  <c r="D46"/>
  <c r="D47"/>
  <c r="D48"/>
  <c r="D49"/>
  <c r="D50"/>
  <c r="D51"/>
  <c r="D52"/>
  <c r="D53"/>
  <c r="D54"/>
  <c r="D55"/>
  <c r="D56"/>
  <c r="D57"/>
  <c r="D58"/>
  <c r="D59"/>
  <c r="D60"/>
  <c r="D61"/>
  <c r="D62"/>
  <c r="D63"/>
  <c r="D64"/>
  <c r="D65"/>
  <c r="D66"/>
  <c r="D67"/>
  <c r="D68"/>
  <c r="D69"/>
  <c r="D70"/>
  <c r="D71"/>
  <c r="D72"/>
  <c r="D73"/>
  <c r="D74"/>
  <c r="D75"/>
  <c r="D76"/>
  <c r="D77"/>
  <c r="D78"/>
  <c r="D79"/>
  <c r="D80"/>
  <c r="D81"/>
  <c r="D82"/>
  <c r="D83"/>
  <c r="D84"/>
  <c r="D85"/>
  <c r="D86"/>
  <c r="D87"/>
  <c r="D88"/>
  <c r="D89"/>
  <c r="D90"/>
  <c r="D91"/>
  <c r="D92"/>
  <c r="D93"/>
  <c r="D94"/>
  <c r="D95"/>
  <c r="D96"/>
  <c r="D97"/>
  <c r="D98"/>
  <c r="D99"/>
  <c r="D100"/>
  <c r="D101"/>
  <c r="D102"/>
  <c r="D103"/>
  <c r="D104"/>
  <c r="D105"/>
  <c r="D106"/>
  <c r="D107"/>
  <c r="D108"/>
  <c r="D109"/>
  <c r="D110"/>
  <c r="D111"/>
  <c r="D112"/>
  <c r="D113"/>
  <c r="D114"/>
  <c r="D115"/>
  <c r="D116"/>
  <c r="D117"/>
  <c r="D118"/>
  <c r="D119"/>
  <c r="D120"/>
  <c r="D121"/>
  <c r="D122"/>
  <c r="D123"/>
  <c r="D124"/>
  <c r="D125"/>
  <c r="D126"/>
  <c r="D127"/>
  <c r="D128"/>
  <c r="D129"/>
  <c r="D130"/>
  <c r="D131"/>
  <c r="D132"/>
  <c r="D133"/>
  <c r="D134"/>
  <c r="D135"/>
  <c r="D136"/>
  <c r="D137"/>
  <c r="D138"/>
  <c r="D139"/>
  <c r="D140"/>
  <c r="D141"/>
  <c r="D142"/>
  <c r="D143"/>
  <c r="D144"/>
  <c r="D145"/>
  <c r="D146"/>
  <c r="D147"/>
  <c r="D148"/>
  <c r="D149"/>
  <c r="D150"/>
  <c r="D151"/>
  <c r="D152"/>
  <c r="D153"/>
  <c r="D154"/>
  <c r="D155"/>
  <c r="D156"/>
  <c r="D157"/>
  <c r="D158"/>
  <c r="D159"/>
  <c r="D160"/>
  <c r="D161"/>
  <c r="D162"/>
  <c r="D163"/>
  <c r="D164"/>
  <c r="D165"/>
  <c r="D166"/>
  <c r="D167"/>
  <c r="D168"/>
  <c r="D169"/>
  <c r="D170"/>
  <c r="D171"/>
  <c r="D172"/>
  <c r="D173"/>
  <c r="D174"/>
  <c r="D175"/>
  <c r="D176"/>
  <c r="D177"/>
  <c r="D178"/>
  <c r="D179"/>
  <c r="D180"/>
  <c r="D181"/>
  <c r="D182"/>
  <c r="D183"/>
  <c r="D184"/>
  <c r="D185"/>
  <c r="D186"/>
  <c r="D187"/>
  <c r="D188"/>
  <c r="D189"/>
  <c r="D190"/>
  <c r="D191"/>
  <c r="D192"/>
  <c r="D193"/>
  <c r="D194"/>
  <c r="D195"/>
  <c r="D196"/>
  <c r="D197"/>
  <c r="D198"/>
  <c r="D199"/>
  <c r="D200"/>
  <c r="D201"/>
  <c r="D202"/>
  <c r="D203"/>
  <c r="D204"/>
  <c r="D205"/>
  <c r="D206"/>
  <c r="D207"/>
  <c r="D208"/>
  <c r="D209"/>
  <c r="D210"/>
  <c r="D211"/>
  <c r="D212"/>
  <c r="D213"/>
  <c r="D214"/>
  <c r="D215"/>
  <c r="D216"/>
  <c r="D217"/>
  <c r="D218"/>
  <c r="D219"/>
  <c r="D220"/>
  <c r="D221"/>
  <c r="D222"/>
  <c r="D223"/>
  <c r="D224"/>
  <c r="D225"/>
  <c r="D226"/>
  <c r="D227"/>
  <c r="D228"/>
  <c r="D229"/>
  <c r="D230"/>
  <c r="D231"/>
  <c r="D232"/>
  <c r="D233"/>
  <c r="D234"/>
  <c r="D235"/>
  <c r="D236"/>
  <c r="D237"/>
  <c r="D238"/>
  <c r="D239"/>
  <c r="D240"/>
  <c r="D241"/>
  <c r="D242"/>
  <c r="D243"/>
  <c r="D244"/>
  <c r="D245"/>
  <c r="D246"/>
  <c r="D247"/>
  <c r="D248"/>
  <c r="D249"/>
  <c r="D250"/>
  <c r="D251"/>
  <c r="D252"/>
  <c r="D253"/>
  <c r="D254"/>
  <c r="D255"/>
  <c r="D256"/>
  <c r="D257"/>
  <c r="D258"/>
  <c r="D259"/>
  <c r="D260"/>
  <c r="D261"/>
  <c r="D262"/>
  <c r="D263"/>
  <c r="D264"/>
  <c r="D265"/>
  <c r="D266"/>
  <c r="D267"/>
  <c r="D268"/>
  <c r="D269"/>
  <c r="D270"/>
  <c r="D271"/>
  <c r="D272"/>
  <c r="D273"/>
  <c r="D274"/>
  <c r="D275"/>
  <c r="D276"/>
  <c r="D277"/>
  <c r="D278"/>
  <c r="D279"/>
  <c r="D280"/>
  <c r="D281"/>
  <c r="D282"/>
  <c r="D283"/>
  <c r="D284"/>
  <c r="D285"/>
  <c r="D286"/>
  <c r="D287"/>
  <c r="D288"/>
  <c r="D289"/>
  <c r="D290"/>
  <c r="D291"/>
  <c r="D292"/>
  <c r="D293"/>
  <c r="D294"/>
  <c r="D295"/>
  <c r="D296"/>
  <c r="D297"/>
  <c r="D298"/>
  <c r="D299"/>
  <c r="D300"/>
  <c r="D301"/>
  <c r="D302"/>
  <c r="D303"/>
  <c r="D304"/>
  <c r="D305"/>
  <c r="D306"/>
  <c r="D307"/>
  <c r="D308"/>
  <c r="D309"/>
  <c r="D310"/>
  <c r="D311"/>
  <c r="D312"/>
  <c r="D313"/>
  <c r="D314"/>
  <c r="D315"/>
  <c r="D316"/>
  <c r="D317"/>
  <c r="D318"/>
  <c r="D319"/>
  <c r="D320"/>
  <c r="D321"/>
  <c r="D322"/>
  <c r="D323"/>
  <c r="D324"/>
  <c r="D325"/>
  <c r="D326"/>
  <c r="D327"/>
  <c r="D328"/>
  <c r="D329"/>
  <c r="D330"/>
  <c r="D331"/>
  <c r="D332"/>
  <c r="D333"/>
  <c r="D334"/>
  <c r="D335"/>
  <c r="D336"/>
  <c r="D337"/>
  <c r="D338"/>
  <c r="D339"/>
  <c r="D340"/>
  <c r="D341"/>
  <c r="D342"/>
  <c r="D343"/>
  <c r="D344"/>
  <c r="D345"/>
  <c r="D346"/>
  <c r="D347"/>
  <c r="D348"/>
  <c r="D349"/>
  <c r="D350"/>
  <c r="D351"/>
  <c r="D352"/>
  <c r="D353"/>
  <c r="D354"/>
  <c r="D355"/>
  <c r="D356"/>
  <c r="D357"/>
  <c r="D358"/>
  <c r="D359"/>
  <c r="D360"/>
  <c r="D361"/>
  <c r="D362"/>
  <c r="D363"/>
  <c r="D364"/>
  <c r="D365"/>
  <c r="D366"/>
  <c r="D367"/>
  <c r="D368"/>
  <c r="D369"/>
  <c r="D370"/>
  <c r="D371"/>
  <c r="D372"/>
  <c r="D373"/>
  <c r="D374"/>
  <c r="D375"/>
  <c r="D376"/>
  <c r="D377"/>
  <c r="D378"/>
  <c r="D379"/>
  <c r="D380"/>
  <c r="D381"/>
  <c r="F382"/>
  <c r="F383"/>
  <c r="D1765"/>
  <c r="D1764"/>
  <c r="D1763"/>
  <c r="D1762"/>
  <c r="D1761"/>
  <c r="D1760"/>
  <c r="D1759"/>
  <c r="D1758"/>
  <c r="D1757"/>
  <c r="D1756"/>
  <c r="D1755"/>
  <c r="D1754"/>
  <c r="D1753"/>
  <c r="D1752"/>
  <c r="D1751"/>
  <c r="D1750"/>
  <c r="D1749"/>
  <c r="D1748"/>
  <c r="D1747"/>
  <c r="D1746"/>
  <c r="D1745"/>
  <c r="D1744"/>
  <c r="D1743"/>
  <c r="D1742"/>
  <c r="D1741"/>
  <c r="D1740"/>
  <c r="D1739"/>
  <c r="D1738"/>
  <c r="D1737"/>
  <c r="D1736"/>
  <c r="D1735"/>
  <c r="D1734"/>
  <c r="D1733"/>
  <c r="D1732"/>
  <c r="D1731"/>
  <c r="D1730"/>
  <c r="D1729"/>
  <c r="D1728"/>
  <c r="D1727"/>
  <c r="D1726"/>
  <c r="D1725"/>
  <c r="D1724"/>
  <c r="D1723"/>
  <c r="D1722"/>
  <c r="D1721"/>
  <c r="D1720"/>
  <c r="D1719"/>
  <c r="D1718"/>
  <c r="D1717"/>
  <c r="G1765"/>
  <c r="E1764"/>
  <c r="G1763"/>
  <c r="E1762"/>
  <c r="G1761"/>
  <c r="E1760"/>
  <c r="G1759"/>
  <c r="E1758"/>
  <c r="G1757"/>
  <c r="E1756"/>
  <c r="G1755"/>
  <c r="E1754"/>
  <c r="G1753"/>
  <c r="E1752"/>
  <c r="G1751"/>
  <c r="E1750"/>
  <c r="G1749"/>
  <c r="E1748"/>
  <c r="G1747"/>
  <c r="E1746"/>
  <c r="G1745"/>
  <c r="E1744"/>
  <c r="G1743"/>
  <c r="E1742"/>
  <c r="G1741"/>
  <c r="E1740"/>
  <c r="G1739"/>
  <c r="E1738"/>
  <c r="G1737"/>
  <c r="E1736"/>
  <c r="G1735"/>
  <c r="E1734"/>
  <c r="G1733"/>
  <c r="E1732"/>
  <c r="G1731"/>
  <c r="E1730"/>
  <c r="G1729"/>
  <c r="E1728"/>
  <c r="G1727"/>
  <c r="E1726"/>
  <c r="G1725"/>
  <c r="E1724"/>
  <c r="G1723"/>
  <c r="E1722"/>
  <c r="G1721"/>
  <c r="E1720"/>
  <c r="G1719"/>
  <c r="E1718"/>
  <c r="G1717"/>
  <c r="F1716"/>
  <c r="F1715"/>
  <c r="F1714"/>
  <c r="F1713"/>
  <c r="F1712"/>
  <c r="F1711"/>
  <c r="F1710"/>
  <c r="F1709"/>
  <c r="F1708"/>
  <c r="F1707"/>
  <c r="F1706"/>
  <c r="F1705"/>
  <c r="F1704"/>
  <c r="F1703"/>
  <c r="F1702"/>
  <c r="F1701"/>
  <c r="F1700"/>
  <c r="F1699"/>
  <c r="F1698"/>
  <c r="F1697"/>
  <c r="F1696"/>
  <c r="F1695"/>
  <c r="F1694"/>
  <c r="F1693"/>
  <c r="F1692"/>
  <c r="F1691"/>
  <c r="F1690"/>
  <c r="F1689"/>
  <c r="F1688"/>
  <c r="F1687"/>
  <c r="F1686"/>
  <c r="F1685"/>
  <c r="F1684"/>
  <c r="F1683"/>
  <c r="F1682"/>
  <c r="F1681"/>
  <c r="F1680"/>
  <c r="F1679"/>
  <c r="F1678"/>
  <c r="F1677"/>
  <c r="F1676"/>
  <c r="F1675"/>
  <c r="F1674"/>
  <c r="F1673"/>
  <c r="F1672"/>
  <c r="F1671"/>
  <c r="F1670"/>
  <c r="F1669"/>
  <c r="F1668"/>
  <c r="F1667"/>
  <c r="F1666"/>
  <c r="F1665"/>
  <c r="F1664"/>
  <c r="F1663"/>
  <c r="F1662"/>
  <c r="F1661"/>
  <c r="F1660"/>
  <c r="F1659"/>
  <c r="F1658"/>
  <c r="F1657"/>
  <c r="F1656"/>
  <c r="F1655"/>
  <c r="F1654"/>
  <c r="F1653"/>
  <c r="F1652"/>
  <c r="F1651"/>
  <c r="F1650"/>
  <c r="F1649"/>
  <c r="F1648"/>
  <c r="F1647"/>
  <c r="F1646"/>
  <c r="F1645"/>
  <c r="F1644"/>
  <c r="F1643"/>
  <c r="F1642"/>
  <c r="F1641"/>
  <c r="F1640"/>
  <c r="F1639"/>
  <c r="F1638"/>
  <c r="F1637"/>
  <c r="F1636"/>
  <c r="F1635"/>
  <c r="F1634"/>
  <c r="F1633"/>
  <c r="F1632"/>
  <c r="F1631"/>
  <c r="F1630"/>
  <c r="F1629"/>
  <c r="F1628"/>
  <c r="F1627"/>
  <c r="F1626"/>
  <c r="F1625"/>
  <c r="F1624"/>
  <c r="F1623"/>
  <c r="F1622"/>
  <c r="F1621"/>
  <c r="F1620"/>
  <c r="F1619"/>
  <c r="F1618"/>
  <c r="F1617"/>
  <c r="F1616"/>
  <c r="F1615"/>
  <c r="F1614"/>
  <c r="F1613"/>
  <c r="F1612"/>
  <c r="F1611"/>
  <c r="F1610"/>
  <c r="F1609"/>
  <c r="F1608"/>
  <c r="F1607"/>
  <c r="F1606"/>
  <c r="F1605"/>
  <c r="F1604"/>
  <c r="F1603"/>
  <c r="F1602"/>
  <c r="F1601"/>
  <c r="F1600"/>
  <c r="F1599"/>
  <c r="F1598"/>
  <c r="F1597"/>
  <c r="F1596"/>
  <c r="F1595"/>
  <c r="F1594"/>
  <c r="F1593"/>
  <c r="F1592"/>
  <c r="F1591"/>
  <c r="F1590"/>
  <c r="F1589"/>
  <c r="F1588"/>
  <c r="F1587"/>
  <c r="F1586"/>
  <c r="F1585"/>
  <c r="F1584"/>
  <c r="F1583"/>
  <c r="F1582"/>
  <c r="F1581"/>
  <c r="F1580"/>
  <c r="F1579"/>
  <c r="F1578"/>
  <c r="F1577"/>
  <c r="F1576"/>
  <c r="F1575"/>
  <c r="F1574"/>
  <c r="F1573"/>
  <c r="F1572"/>
  <c r="F1571"/>
  <c r="F1570"/>
  <c r="F1569"/>
  <c r="F1568"/>
  <c r="F1567"/>
  <c r="F1566"/>
  <c r="F1565"/>
  <c r="F1564"/>
  <c r="F1563"/>
  <c r="F1562"/>
  <c r="F1561"/>
  <c r="F1560"/>
  <c r="F1559"/>
  <c r="F1558"/>
  <c r="F1557"/>
  <c r="F1556"/>
  <c r="F1555"/>
  <c r="F1554"/>
  <c r="F1553"/>
  <c r="F1552"/>
  <c r="F1551"/>
  <c r="F1550"/>
  <c r="F1549"/>
  <c r="F1548"/>
  <c r="F1547"/>
  <c r="F1546"/>
  <c r="F1545"/>
  <c r="F1544"/>
  <c r="F1543"/>
  <c r="F1542"/>
  <c r="F1541"/>
  <c r="F1540"/>
  <c r="F1539"/>
  <c r="F1538"/>
  <c r="F1537"/>
  <c r="F1536"/>
  <c r="F1535"/>
  <c r="F1534"/>
  <c r="F1533"/>
  <c r="F1532"/>
  <c r="F1531"/>
  <c r="F1530"/>
  <c r="F1529"/>
  <c r="F1528"/>
  <c r="F1527"/>
  <c r="F1526"/>
  <c r="E1765"/>
  <c r="F1764"/>
  <c r="F1763"/>
  <c r="G1762"/>
  <c r="E1757"/>
  <c r="F1756"/>
  <c r="F1755"/>
  <c r="G1754"/>
  <c r="E1749"/>
  <c r="F1748"/>
  <c r="F1747"/>
  <c r="G1746"/>
  <c r="E1741"/>
  <c r="F1740"/>
  <c r="F1739"/>
  <c r="G1738"/>
  <c r="E1733"/>
  <c r="F1732"/>
  <c r="F1731"/>
  <c r="G1730"/>
  <c r="E1725"/>
  <c r="F1724"/>
  <c r="F1723"/>
  <c r="G1722"/>
  <c r="E1717"/>
  <c r="G1716"/>
  <c r="D1715"/>
  <c r="G1714"/>
  <c r="D1713"/>
  <c r="G1712"/>
  <c r="D1711"/>
  <c r="G1710"/>
  <c r="D1709"/>
  <c r="G1708"/>
  <c r="D1707"/>
  <c r="G1706"/>
  <c r="D1705"/>
  <c r="G1704"/>
  <c r="D1703"/>
  <c r="G1702"/>
  <c r="D1701"/>
  <c r="G1700"/>
  <c r="D1699"/>
  <c r="G1698"/>
  <c r="D1697"/>
  <c r="G1696"/>
  <c r="D1695"/>
  <c r="G1694"/>
  <c r="D1693"/>
  <c r="G1692"/>
  <c r="D1691"/>
  <c r="G1690"/>
  <c r="D1689"/>
  <c r="G1688"/>
  <c r="D1687"/>
  <c r="G1686"/>
  <c r="D1685"/>
  <c r="G1684"/>
  <c r="D1683"/>
  <c r="G1682"/>
  <c r="D1681"/>
  <c r="G1680"/>
  <c r="D1679"/>
  <c r="G1678"/>
  <c r="D1677"/>
  <c r="G1676"/>
  <c r="D1675"/>
  <c r="G1674"/>
  <c r="D1673"/>
  <c r="G1672"/>
  <c r="D1671"/>
  <c r="G1670"/>
  <c r="D1669"/>
  <c r="G1668"/>
  <c r="D1667"/>
  <c r="G1666"/>
  <c r="D1665"/>
  <c r="G1664"/>
  <c r="D1663"/>
  <c r="G1662"/>
  <c r="D1661"/>
  <c r="G1660"/>
  <c r="D1659"/>
  <c r="G1658"/>
  <c r="D1657"/>
  <c r="G1656"/>
  <c r="D1655"/>
  <c r="G1654"/>
  <c r="D1653"/>
  <c r="G1652"/>
  <c r="D1651"/>
  <c r="G1650"/>
  <c r="D1649"/>
  <c r="G1648"/>
  <c r="D1647"/>
  <c r="G1646"/>
  <c r="D1645"/>
  <c r="G1644"/>
  <c r="D1643"/>
  <c r="G1642"/>
  <c r="D1641"/>
  <c r="G1640"/>
  <c r="D1639"/>
  <c r="G1638"/>
  <c r="D1637"/>
  <c r="G1636"/>
  <c r="D1635"/>
  <c r="G1634"/>
  <c r="D1633"/>
  <c r="G1632"/>
  <c r="D1631"/>
  <c r="G1630"/>
  <c r="D1629"/>
  <c r="G1628"/>
  <c r="D1627"/>
  <c r="G1626"/>
  <c r="D1625"/>
  <c r="G1624"/>
  <c r="D1623"/>
  <c r="G1622"/>
  <c r="D1621"/>
  <c r="G1620"/>
  <c r="D1619"/>
  <c r="G1618"/>
  <c r="D1617"/>
  <c r="G1616"/>
  <c r="D1615"/>
  <c r="G1614"/>
  <c r="D1613"/>
  <c r="G1612"/>
  <c r="D1611"/>
  <c r="G1610"/>
  <c r="D1609"/>
  <c r="G1608"/>
  <c r="D1607"/>
  <c r="G1606"/>
  <c r="D1605"/>
  <c r="G1604"/>
  <c r="D1603"/>
  <c r="G1602"/>
  <c r="D1601"/>
  <c r="G1600"/>
  <c r="D1599"/>
  <c r="G1598"/>
  <c r="D1597"/>
  <c r="G1596"/>
  <c r="D1595"/>
  <c r="G1594"/>
  <c r="D1593"/>
  <c r="G1592"/>
  <c r="G1764"/>
  <c r="E1763"/>
  <c r="G1758"/>
  <c r="F1757"/>
  <c r="G1752"/>
  <c r="F1751"/>
  <c r="F1750"/>
  <c r="F1745"/>
  <c r="F1744"/>
  <c r="E1743"/>
  <c r="F1738"/>
  <c r="E1737"/>
  <c r="G1732"/>
  <c r="E1731"/>
  <c r="G1726"/>
  <c r="F1725"/>
  <c r="G1720"/>
  <c r="F1719"/>
  <c r="F1718"/>
  <c r="D1716"/>
  <c r="E1715"/>
  <c r="E1714"/>
  <c r="G1713"/>
  <c r="D1708"/>
  <c r="E1707"/>
  <c r="E1706"/>
  <c r="G1705"/>
  <c r="D1700"/>
  <c r="E1699"/>
  <c r="E1698"/>
  <c r="G1697"/>
  <c r="D1692"/>
  <c r="E1691"/>
  <c r="E1690"/>
  <c r="G1689"/>
  <c r="D1684"/>
  <c r="E1683"/>
  <c r="E1682"/>
  <c r="G1681"/>
  <c r="D1676"/>
  <c r="E1675"/>
  <c r="E1674"/>
  <c r="G1673"/>
  <c r="D1668"/>
  <c r="E1667"/>
  <c r="E1666"/>
  <c r="G1665"/>
  <c r="D1660"/>
  <c r="E1659"/>
  <c r="E1658"/>
  <c r="G1657"/>
  <c r="D1652"/>
  <c r="E1651"/>
  <c r="E1650"/>
  <c r="G1649"/>
  <c r="D1644"/>
  <c r="E1643"/>
  <c r="E1642"/>
  <c r="G1641"/>
  <c r="D1636"/>
  <c r="E1635"/>
  <c r="E1634"/>
  <c r="G1633"/>
  <c r="D1628"/>
  <c r="E1627"/>
  <c r="E1626"/>
  <c r="G1625"/>
  <c r="D1620"/>
  <c r="E1619"/>
  <c r="E1618"/>
  <c r="G1617"/>
  <c r="D1612"/>
  <c r="E1611"/>
  <c r="E1610"/>
  <c r="G1609"/>
  <c r="D1604"/>
  <c r="E1603"/>
  <c r="E1602"/>
  <c r="G1601"/>
  <c r="D1596"/>
  <c r="E1595"/>
  <c r="E1594"/>
  <c r="G1593"/>
  <c r="D1591"/>
  <c r="G1590"/>
  <c r="D1589"/>
  <c r="G1588"/>
  <c r="D1587"/>
  <c r="G1586"/>
  <c r="D1585"/>
  <c r="G1584"/>
  <c r="D1583"/>
  <c r="G1582"/>
  <c r="D1581"/>
  <c r="G1580"/>
  <c r="D1579"/>
  <c r="G1578"/>
  <c r="D1577"/>
  <c r="G1576"/>
  <c r="D1575"/>
  <c r="G1574"/>
  <c r="D1573"/>
  <c r="G1572"/>
  <c r="D1571"/>
  <c r="G1570"/>
  <c r="D1569"/>
  <c r="G1568"/>
  <c r="D1567"/>
  <c r="G1566"/>
  <c r="D1565"/>
  <c r="G1564"/>
  <c r="D1563"/>
  <c r="G1562"/>
  <c r="D1561"/>
  <c r="G1560"/>
  <c r="D1559"/>
  <c r="G1558"/>
  <c r="D1557"/>
  <c r="G1556"/>
  <c r="D1555"/>
  <c r="G1554"/>
  <c r="D1553"/>
  <c r="G1552"/>
  <c r="D1551"/>
  <c r="G1550"/>
  <c r="D1549"/>
  <c r="G1548"/>
  <c r="D1547"/>
  <c r="G1546"/>
  <c r="D1545"/>
  <c r="G1544"/>
  <c r="D1543"/>
  <c r="G1542"/>
  <c r="D1541"/>
  <c r="G1540"/>
  <c r="D1539"/>
  <c r="G1538"/>
  <c r="D1537"/>
  <c r="G1536"/>
  <c r="D1535"/>
  <c r="G1534"/>
  <c r="D1533"/>
  <c r="G1532"/>
  <c r="D1531"/>
  <c r="G1530"/>
  <c r="D1529"/>
  <c r="G1528"/>
  <c r="D1527"/>
  <c r="G1526"/>
  <c r="F1525"/>
  <c r="F1524"/>
  <c r="F1523"/>
  <c r="F1522"/>
  <c r="F1521"/>
  <c r="F1520"/>
  <c r="F1519"/>
  <c r="F1518"/>
  <c r="F1517"/>
  <c r="F1516"/>
  <c r="F1515"/>
  <c r="F1514"/>
  <c r="F1513"/>
  <c r="F1512"/>
  <c r="F1511"/>
  <c r="F1510"/>
  <c r="F1509"/>
  <c r="F1508"/>
  <c r="F1507"/>
  <c r="F1506"/>
  <c r="F1505"/>
  <c r="F1504"/>
  <c r="F1503"/>
  <c r="F1502"/>
  <c r="F1501"/>
  <c r="F1500"/>
  <c r="F1499"/>
  <c r="F1498"/>
  <c r="F1497"/>
  <c r="F1496"/>
  <c r="F1495"/>
  <c r="F1494"/>
  <c r="F1493"/>
  <c r="F1492"/>
  <c r="F1491"/>
  <c r="F1490"/>
  <c r="F1489"/>
  <c r="F1488"/>
  <c r="F1487"/>
  <c r="F1486"/>
  <c r="F1485"/>
  <c r="F1484"/>
  <c r="F1483"/>
  <c r="F1482"/>
  <c r="F1481"/>
  <c r="F1480"/>
  <c r="F1479"/>
  <c r="F1478"/>
  <c r="F1477"/>
  <c r="F1476"/>
  <c r="F1475"/>
  <c r="F1474"/>
  <c r="F1473"/>
  <c r="F1472"/>
  <c r="F1471"/>
  <c r="F1470"/>
  <c r="F1469"/>
  <c r="F1468"/>
  <c r="F1467"/>
  <c r="F1466"/>
  <c r="F1465"/>
  <c r="F1464"/>
  <c r="F1463"/>
  <c r="F1462"/>
  <c r="F1461"/>
  <c r="F1460"/>
  <c r="F1459"/>
  <c r="F1458"/>
  <c r="F1457"/>
  <c r="F1456"/>
  <c r="F1455"/>
  <c r="F1454"/>
  <c r="F1453"/>
  <c r="F1452"/>
  <c r="F1451"/>
  <c r="F1450"/>
  <c r="F1449"/>
  <c r="F1448"/>
  <c r="F1447"/>
  <c r="F1446"/>
  <c r="F1445"/>
  <c r="F1444"/>
  <c r="F1443"/>
  <c r="F1442"/>
  <c r="F1441"/>
  <c r="F1440"/>
  <c r="F1439"/>
  <c r="F1438"/>
  <c r="F1437"/>
  <c r="F1436"/>
  <c r="F1435"/>
  <c r="F1434"/>
  <c r="F1433"/>
  <c r="F1432"/>
  <c r="F1431"/>
  <c r="F1430"/>
  <c r="F1429"/>
  <c r="F1428"/>
  <c r="F1427"/>
  <c r="F1426"/>
  <c r="F1425"/>
  <c r="F1424"/>
  <c r="F1423"/>
  <c r="F1422"/>
  <c r="F1421"/>
  <c r="F1420"/>
  <c r="F1419"/>
  <c r="F1418"/>
  <c r="F1417"/>
  <c r="F1416"/>
  <c r="F1415"/>
  <c r="F1414"/>
  <c r="F1413"/>
  <c r="F1412"/>
  <c r="F1765"/>
  <c r="F1762"/>
  <c r="G1760"/>
  <c r="E1759"/>
  <c r="F1754"/>
  <c r="E1751"/>
  <c r="F1746"/>
  <c r="F1743"/>
  <c r="F1735"/>
  <c r="E1729"/>
  <c r="F1727"/>
  <c r="G1724"/>
  <c r="E1721"/>
  <c r="G1715"/>
  <c r="D1714"/>
  <c r="G1709"/>
  <c r="E1708"/>
  <c r="G1703"/>
  <c r="E1702"/>
  <c r="E1701"/>
  <c r="E1696"/>
  <c r="E1695"/>
  <c r="D1694"/>
  <c r="E1689"/>
  <c r="D1688"/>
  <c r="G1683"/>
  <c r="D1682"/>
  <c r="G1677"/>
  <c r="E1676"/>
  <c r="G1671"/>
  <c r="E1670"/>
  <c r="E1669"/>
  <c r="E1664"/>
  <c r="E1663"/>
  <c r="D1662"/>
  <c r="E1657"/>
  <c r="D1656"/>
  <c r="G1651"/>
  <c r="D1650"/>
  <c r="G1645"/>
  <c r="E1644"/>
  <c r="G1639"/>
  <c r="E1638"/>
  <c r="E1637"/>
  <c r="E1632"/>
  <c r="E1631"/>
  <c r="D1630"/>
  <c r="E1625"/>
  <c r="D1624"/>
  <c r="G1619"/>
  <c r="D1618"/>
  <c r="G1613"/>
  <c r="E1612"/>
  <c r="G1607"/>
  <c r="E1606"/>
  <c r="E1605"/>
  <c r="E1600"/>
  <c r="E1599"/>
  <c r="D1598"/>
  <c r="E1593"/>
  <c r="D1592"/>
  <c r="E1591"/>
  <c r="E1590"/>
  <c r="G1589"/>
  <c r="D1584"/>
  <c r="E1583"/>
  <c r="E1582"/>
  <c r="G1581"/>
  <c r="D1576"/>
  <c r="E1575"/>
  <c r="E1574"/>
  <c r="G1573"/>
  <c r="D1568"/>
  <c r="E1567"/>
  <c r="E1566"/>
  <c r="G1565"/>
  <c r="D1560"/>
  <c r="E1559"/>
  <c r="E1558"/>
  <c r="G1557"/>
  <c r="D1552"/>
  <c r="E1551"/>
  <c r="E1550"/>
  <c r="G1549"/>
  <c r="D1544"/>
  <c r="E1543"/>
  <c r="E1542"/>
  <c r="G1541"/>
  <c r="D1536"/>
  <c r="E1535"/>
  <c r="E1534"/>
  <c r="G1533"/>
  <c r="D1528"/>
  <c r="E1527"/>
  <c r="E1526"/>
  <c r="E1524"/>
  <c r="E1522"/>
  <c r="E1520"/>
  <c r="E1518"/>
  <c r="E1516"/>
  <c r="E1514"/>
  <c r="E1512"/>
  <c r="E1510"/>
  <c r="E1508"/>
  <c r="E1506"/>
  <c r="E1504"/>
  <c r="E1502"/>
  <c r="E1500"/>
  <c r="E1498"/>
  <c r="E1496"/>
  <c r="E1494"/>
  <c r="E1492"/>
  <c r="E1490"/>
  <c r="E1488"/>
  <c r="E1486"/>
  <c r="E1484"/>
  <c r="E1482"/>
  <c r="E1480"/>
  <c r="E1478"/>
  <c r="E1476"/>
  <c r="E1474"/>
  <c r="E1472"/>
  <c r="E1470"/>
  <c r="E1468"/>
  <c r="E1466"/>
  <c r="E1464"/>
  <c r="E1462"/>
  <c r="E1460"/>
  <c r="E1458"/>
  <c r="E1456"/>
  <c r="E1454"/>
  <c r="E1452"/>
  <c r="E1450"/>
  <c r="E1448"/>
  <c r="E1446"/>
  <c r="E1444"/>
  <c r="E1442"/>
  <c r="E1440"/>
  <c r="E1438"/>
  <c r="E1436"/>
  <c r="E1434"/>
  <c r="E1432"/>
  <c r="E1430"/>
  <c r="E1428"/>
  <c r="E1426"/>
  <c r="E1424"/>
  <c r="E1422"/>
  <c r="E1420"/>
  <c r="E1418"/>
  <c r="E1416"/>
  <c r="E1414"/>
  <c r="E1412"/>
  <c r="D1411"/>
  <c r="D1410"/>
  <c r="D1409"/>
  <c r="D1408"/>
  <c r="D1407"/>
  <c r="D1406"/>
  <c r="D1405"/>
  <c r="D1404"/>
  <c r="D1403"/>
  <c r="D1402"/>
  <c r="D1401"/>
  <c r="D1400"/>
  <c r="D1399"/>
  <c r="D1398"/>
  <c r="D1397"/>
  <c r="D1396"/>
  <c r="D1395"/>
  <c r="D1394"/>
  <c r="D1393"/>
  <c r="D1392"/>
  <c r="D1391"/>
  <c r="D1390"/>
  <c r="D1389"/>
  <c r="D1388"/>
  <c r="D1387"/>
  <c r="D1386"/>
  <c r="D1385"/>
  <c r="D1384"/>
  <c r="D1383"/>
  <c r="D1382"/>
  <c r="D1381"/>
  <c r="D1380"/>
  <c r="D1379"/>
  <c r="D1378"/>
  <c r="D1377"/>
  <c r="D1376"/>
  <c r="D1375"/>
  <c r="D1374"/>
  <c r="D1373"/>
  <c r="D1372"/>
  <c r="D1371"/>
  <c r="D1370"/>
  <c r="D1369"/>
  <c r="D1368"/>
  <c r="D1367"/>
  <c r="D1366"/>
  <c r="D1365"/>
  <c r="D1364"/>
  <c r="D1363"/>
  <c r="D1362"/>
  <c r="D1361"/>
  <c r="D1360"/>
  <c r="D1359"/>
  <c r="D1358"/>
  <c r="D1357"/>
  <c r="D1356"/>
  <c r="D1355"/>
  <c r="D1354"/>
  <c r="D1353"/>
  <c r="D1352"/>
  <c r="D1351"/>
  <c r="D1350"/>
  <c r="D1349"/>
  <c r="D1348"/>
  <c r="D1347"/>
  <c r="D1346"/>
  <c r="D1345"/>
  <c r="D1344"/>
  <c r="D1343"/>
  <c r="D1342"/>
  <c r="D1341"/>
  <c r="D1340"/>
  <c r="D1339"/>
  <c r="D1338"/>
  <c r="D1337"/>
  <c r="D1336"/>
  <c r="D1335"/>
  <c r="D1334"/>
  <c r="D1333"/>
  <c r="D1332"/>
  <c r="D1331"/>
  <c r="D1330"/>
  <c r="D1329"/>
  <c r="D1328"/>
  <c r="D1327"/>
  <c r="D1326"/>
  <c r="D1325"/>
  <c r="D1324"/>
  <c r="D1323"/>
  <c r="D1322"/>
  <c r="D1321"/>
  <c r="D1320"/>
  <c r="D1319"/>
  <c r="D1318"/>
  <c r="D1317"/>
  <c r="D1316"/>
  <c r="D1315"/>
  <c r="D1314"/>
  <c r="D1313"/>
  <c r="D1312"/>
  <c r="D1311"/>
  <c r="D1310"/>
  <c r="D1309"/>
  <c r="D1308"/>
  <c r="D1307"/>
  <c r="D1306"/>
  <c r="D1305"/>
  <c r="D1304"/>
  <c r="D1303"/>
  <c r="D1302"/>
  <c r="D1301"/>
  <c r="D1300"/>
  <c r="D1299"/>
  <c r="D1298"/>
  <c r="D1297"/>
  <c r="D1296"/>
  <c r="D1295"/>
  <c r="D1294"/>
  <c r="D1293"/>
  <c r="D1292"/>
  <c r="D1291"/>
  <c r="D1290"/>
  <c r="D1289"/>
  <c r="D1288"/>
  <c r="D1287"/>
  <c r="D1286"/>
  <c r="D1285"/>
  <c r="D1284"/>
  <c r="D1283"/>
  <c r="D1282"/>
  <c r="D1281"/>
  <c r="D1280"/>
  <c r="D1279"/>
  <c r="D1278"/>
  <c r="D1277"/>
  <c r="D1276"/>
  <c r="D1275"/>
  <c r="D1274"/>
  <c r="D1273"/>
  <c r="D1272"/>
  <c r="D1271"/>
  <c r="D1270"/>
  <c r="D1269"/>
  <c r="D1268"/>
  <c r="D1267"/>
  <c r="D1266"/>
  <c r="D1265"/>
  <c r="D1264"/>
  <c r="D1263"/>
  <c r="D1262"/>
  <c r="D1261"/>
  <c r="D1260"/>
  <c r="D1259"/>
  <c r="D1258"/>
  <c r="D1257"/>
  <c r="D1256"/>
  <c r="D1255"/>
  <c r="D1254"/>
  <c r="D1253"/>
  <c r="D1252"/>
  <c r="D1251"/>
  <c r="D1250"/>
  <c r="D1249"/>
  <c r="D1248"/>
  <c r="D1247"/>
  <c r="D1246"/>
  <c r="D1245"/>
  <c r="D1244"/>
  <c r="D1243"/>
  <c r="D1242"/>
  <c r="D1241"/>
  <c r="D1240"/>
  <c r="D1239"/>
  <c r="D1238"/>
  <c r="D1237"/>
  <c r="D1236"/>
  <c r="D1235"/>
  <c r="D1234"/>
  <c r="D1233"/>
  <c r="D1232"/>
  <c r="D1231"/>
  <c r="D1230"/>
  <c r="D1229"/>
  <c r="D1228"/>
  <c r="D1227"/>
  <c r="D1226"/>
  <c r="D1225"/>
  <c r="D1224"/>
  <c r="D1223"/>
  <c r="D1222"/>
  <c r="D1221"/>
  <c r="D1220"/>
  <c r="D1219"/>
  <c r="D1218"/>
  <c r="D1217"/>
  <c r="D1216"/>
  <c r="D1215"/>
  <c r="D1214"/>
  <c r="D1213"/>
  <c r="D1212"/>
  <c r="D1211"/>
  <c r="D1210"/>
  <c r="D1209"/>
  <c r="D1208"/>
  <c r="D1207"/>
  <c r="D1206"/>
  <c r="D1205"/>
  <c r="D1204"/>
  <c r="D1203"/>
  <c r="D1202"/>
  <c r="D1201"/>
  <c r="D1200"/>
  <c r="D1199"/>
  <c r="D1198"/>
  <c r="D1197"/>
  <c r="D1196"/>
  <c r="D1195"/>
  <c r="D1194"/>
  <c r="D1193"/>
  <c r="D1192"/>
  <c r="D1191"/>
  <c r="D1190"/>
  <c r="D1189"/>
  <c r="D1188"/>
  <c r="D1187"/>
  <c r="D1186"/>
  <c r="D1185"/>
  <c r="D1184"/>
  <c r="D1183"/>
  <c r="D1182"/>
  <c r="D1181"/>
  <c r="D1180"/>
  <c r="D1179"/>
  <c r="D1178"/>
  <c r="D1177"/>
  <c r="D1176"/>
  <c r="D1175"/>
  <c r="D1174"/>
  <c r="D1173"/>
  <c r="D1172"/>
  <c r="D1171"/>
  <c r="D1170"/>
  <c r="D1169"/>
  <c r="D1168"/>
  <c r="D1167"/>
  <c r="D1166"/>
  <c r="D1165"/>
  <c r="D1164"/>
  <c r="D1163"/>
  <c r="D1162"/>
  <c r="D1161"/>
  <c r="D1160"/>
  <c r="D1159"/>
  <c r="D1158"/>
  <c r="D1157"/>
  <c r="D1156"/>
  <c r="D1155"/>
  <c r="D1154"/>
  <c r="D1153"/>
  <c r="D1152"/>
  <c r="D1151"/>
  <c r="D1150"/>
  <c r="D1149"/>
  <c r="D1148"/>
  <c r="D1147"/>
  <c r="D1146"/>
  <c r="D1145"/>
  <c r="D1144"/>
  <c r="D1143"/>
  <c r="D1142"/>
  <c r="D1141"/>
  <c r="D1140"/>
  <c r="D1139"/>
  <c r="D1138"/>
  <c r="D1137"/>
  <c r="D1136"/>
  <c r="D1135"/>
  <c r="D1134"/>
  <c r="D1133"/>
  <c r="D1132"/>
  <c r="D1131"/>
  <c r="D1130"/>
  <c r="D1129"/>
  <c r="D1128"/>
  <c r="D1127"/>
  <c r="D1126"/>
  <c r="D1125"/>
  <c r="D1124"/>
  <c r="D1123"/>
  <c r="D1122"/>
  <c r="D1121"/>
  <c r="D1120"/>
  <c r="D1119"/>
  <c r="D1118"/>
  <c r="D1117"/>
  <c r="D1116"/>
  <c r="D1115"/>
  <c r="D1114"/>
  <c r="D1113"/>
  <c r="D1112"/>
  <c r="D1111"/>
  <c r="D1110"/>
  <c r="D1109"/>
  <c r="D1108"/>
  <c r="D1107"/>
  <c r="F1761"/>
  <c r="F1758"/>
  <c r="E1755"/>
  <c r="F1753"/>
  <c r="G1750"/>
  <c r="E1747"/>
  <c r="G1742"/>
  <c r="E1739"/>
  <c r="F1736"/>
  <c r="G1734"/>
  <c r="F1728"/>
  <c r="F1720"/>
  <c r="F1717"/>
  <c r="E1712"/>
  <c r="E1711"/>
  <c r="D1710"/>
  <c r="E1705"/>
  <c r="D1704"/>
  <c r="G1699"/>
  <c r="D1698"/>
  <c r="G1693"/>
  <c r="E1692"/>
  <c r="G1687"/>
  <c r="E1686"/>
  <c r="E1685"/>
  <c r="E1680"/>
  <c r="E1679"/>
  <c r="D1678"/>
  <c r="E1673"/>
  <c r="D1672"/>
  <c r="G1667"/>
  <c r="D1666"/>
  <c r="G1661"/>
  <c r="E1660"/>
  <c r="G1655"/>
  <c r="E1654"/>
  <c r="E1653"/>
  <c r="E1648"/>
  <c r="E1647"/>
  <c r="D1646"/>
  <c r="E1641"/>
  <c r="D1640"/>
  <c r="G1635"/>
  <c r="D1634"/>
  <c r="G1629"/>
  <c r="E1628"/>
  <c r="G1623"/>
  <c r="E1622"/>
  <c r="E1621"/>
  <c r="E1616"/>
  <c r="E1615"/>
  <c r="D1614"/>
  <c r="E1609"/>
  <c r="D1608"/>
  <c r="G1603"/>
  <c r="D1602"/>
  <c r="G1597"/>
  <c r="E1596"/>
  <c r="D1588"/>
  <c r="E1587"/>
  <c r="E1586"/>
  <c r="G1585"/>
  <c r="D1580"/>
  <c r="E1579"/>
  <c r="E1578"/>
  <c r="G1577"/>
  <c r="D1572"/>
  <c r="E1571"/>
  <c r="E1570"/>
  <c r="G1569"/>
  <c r="D1564"/>
  <c r="E1563"/>
  <c r="E1562"/>
  <c r="G1561"/>
  <c r="D1556"/>
  <c r="E1555"/>
  <c r="E1554"/>
  <c r="G1553"/>
  <c r="D1548"/>
  <c r="E1547"/>
  <c r="E1546"/>
  <c r="G1545"/>
  <c r="D1540"/>
  <c r="E1539"/>
  <c r="E1538"/>
  <c r="G1537"/>
  <c r="D1532"/>
  <c r="E1531"/>
  <c r="E1530"/>
  <c r="G1529"/>
  <c r="E1525"/>
  <c r="E1523"/>
  <c r="E1521"/>
  <c r="E1519"/>
  <c r="E1517"/>
  <c r="E1515"/>
  <c r="E1513"/>
  <c r="E1511"/>
  <c r="E1509"/>
  <c r="E1507"/>
  <c r="E1505"/>
  <c r="E1503"/>
  <c r="E1501"/>
  <c r="E1499"/>
  <c r="E1497"/>
  <c r="E1761"/>
  <c r="G1748"/>
  <c r="E1745"/>
  <c r="F1742"/>
  <c r="F1729"/>
  <c r="F1726"/>
  <c r="E1723"/>
  <c r="D1712"/>
  <c r="G1707"/>
  <c r="E1700"/>
  <c r="G1695"/>
  <c r="E1693"/>
  <c r="E1688"/>
  <c r="D1686"/>
  <c r="E1681"/>
  <c r="D1674"/>
  <c r="G1669"/>
  <c r="E1662"/>
  <c r="E1655"/>
  <c r="D1648"/>
  <c r="G1643"/>
  <c r="E1636"/>
  <c r="G1631"/>
  <c r="E1629"/>
  <c r="E1624"/>
  <c r="D1622"/>
  <c r="E1617"/>
  <c r="D1610"/>
  <c r="G1605"/>
  <c r="E1598"/>
  <c r="G1591"/>
  <c r="D1586"/>
  <c r="E1584"/>
  <c r="E1577"/>
  <c r="G1575"/>
  <c r="D1570"/>
  <c r="E1568"/>
  <c r="E1561"/>
  <c r="G1559"/>
  <c r="D1554"/>
  <c r="E1552"/>
  <c r="E1545"/>
  <c r="G1543"/>
  <c r="D1538"/>
  <c r="E1536"/>
  <c r="E1529"/>
  <c r="G1527"/>
  <c r="G1524"/>
  <c r="D1523"/>
  <c r="G1520"/>
  <c r="D1519"/>
  <c r="G1516"/>
  <c r="D1515"/>
  <c r="G1512"/>
  <c r="D1511"/>
  <c r="G1508"/>
  <c r="D1507"/>
  <c r="G1504"/>
  <c r="D1503"/>
  <c r="G1500"/>
  <c r="D1499"/>
  <c r="G1496"/>
  <c r="G1495"/>
  <c r="D1491"/>
  <c r="D1490"/>
  <c r="E1489"/>
  <c r="G1488"/>
  <c r="G1487"/>
  <c r="D1483"/>
  <c r="D1482"/>
  <c r="E1481"/>
  <c r="G1480"/>
  <c r="G1479"/>
  <c r="D1475"/>
  <c r="D1474"/>
  <c r="E1473"/>
  <c r="G1472"/>
  <c r="G1471"/>
  <c r="D1467"/>
  <c r="D1466"/>
  <c r="E1465"/>
  <c r="G1464"/>
  <c r="G1463"/>
  <c r="D1459"/>
  <c r="D1458"/>
  <c r="E1457"/>
  <c r="G1456"/>
  <c r="G1455"/>
  <c r="D1451"/>
  <c r="D1450"/>
  <c r="E1449"/>
  <c r="G1448"/>
  <c r="G1447"/>
  <c r="D1443"/>
  <c r="D1442"/>
  <c r="E1441"/>
  <c r="G1440"/>
  <c r="G1439"/>
  <c r="D1435"/>
  <c r="D1434"/>
  <c r="E1433"/>
  <c r="G1432"/>
  <c r="G1431"/>
  <c r="D1427"/>
  <c r="D1426"/>
  <c r="E1425"/>
  <c r="G1424"/>
  <c r="G1423"/>
  <c r="D1419"/>
  <c r="D1418"/>
  <c r="E1417"/>
  <c r="G1416"/>
  <c r="G1415"/>
  <c r="E1411"/>
  <c r="G1410"/>
  <c r="E1409"/>
  <c r="G1408"/>
  <c r="E1407"/>
  <c r="G1406"/>
  <c r="E1405"/>
  <c r="G1404"/>
  <c r="E1403"/>
  <c r="G1402"/>
  <c r="E1401"/>
  <c r="G1400"/>
  <c r="E1399"/>
  <c r="G1398"/>
  <c r="E1397"/>
  <c r="G1396"/>
  <c r="E1395"/>
  <c r="G1394"/>
  <c r="E1393"/>
  <c r="G1392"/>
  <c r="E1391"/>
  <c r="G1390"/>
  <c r="E1389"/>
  <c r="G1388"/>
  <c r="E1387"/>
  <c r="G1386"/>
  <c r="E1385"/>
  <c r="G1384"/>
  <c r="E1383"/>
  <c r="G1382"/>
  <c r="E1381"/>
  <c r="G1380"/>
  <c r="E1379"/>
  <c r="G1378"/>
  <c r="E1377"/>
  <c r="G1376"/>
  <c r="E1375"/>
  <c r="G1374"/>
  <c r="E1373"/>
  <c r="G1372"/>
  <c r="E1371"/>
  <c r="G1370"/>
  <c r="E1369"/>
  <c r="G1368"/>
  <c r="E1367"/>
  <c r="G1366"/>
  <c r="E1365"/>
  <c r="G1364"/>
  <c r="E1363"/>
  <c r="G1362"/>
  <c r="E1361"/>
  <c r="G1360"/>
  <c r="E1359"/>
  <c r="G1358"/>
  <c r="E1357"/>
  <c r="G1356"/>
  <c r="E1355"/>
  <c r="G1354"/>
  <c r="E1353"/>
  <c r="G1352"/>
  <c r="E1351"/>
  <c r="G1350"/>
  <c r="E1349"/>
  <c r="G1348"/>
  <c r="E1347"/>
  <c r="G1346"/>
  <c r="E1345"/>
  <c r="G1344"/>
  <c r="E1343"/>
  <c r="G1342"/>
  <c r="E1341"/>
  <c r="G1340"/>
  <c r="E1339"/>
  <c r="G1338"/>
  <c r="E1337"/>
  <c r="G1336"/>
  <c r="E1335"/>
  <c r="G1334"/>
  <c r="E1333"/>
  <c r="G1332"/>
  <c r="E1331"/>
  <c r="G1330"/>
  <c r="E1329"/>
  <c r="G1328"/>
  <c r="E1327"/>
  <c r="G1326"/>
  <c r="E1325"/>
  <c r="G1324"/>
  <c r="E1323"/>
  <c r="G1322"/>
  <c r="E1321"/>
  <c r="G1320"/>
  <c r="E1319"/>
  <c r="G1318"/>
  <c r="E1317"/>
  <c r="G1316"/>
  <c r="E1315"/>
  <c r="G1314"/>
  <c r="E1313"/>
  <c r="G1312"/>
  <c r="E1311"/>
  <c r="G1310"/>
  <c r="E1309"/>
  <c r="G1308"/>
  <c r="E1307"/>
  <c r="G1306"/>
  <c r="E1305"/>
  <c r="G1304"/>
  <c r="E1303"/>
  <c r="G1302"/>
  <c r="E1301"/>
  <c r="G1300"/>
  <c r="E1299"/>
  <c r="G1298"/>
  <c r="F1752"/>
  <c r="F1749"/>
  <c r="G1736"/>
  <c r="F1733"/>
  <c r="F1730"/>
  <c r="E1727"/>
  <c r="E1710"/>
  <c r="E1703"/>
  <c r="D1696"/>
  <c r="G1691"/>
  <c r="E1684"/>
  <c r="G1679"/>
  <c r="E1677"/>
  <c r="E1672"/>
  <c r="D1670"/>
  <c r="E1665"/>
  <c r="D1658"/>
  <c r="G1653"/>
  <c r="E1646"/>
  <c r="E1639"/>
  <c r="D1632"/>
  <c r="G1627"/>
  <c r="E1620"/>
  <c r="G1615"/>
  <c r="E1613"/>
  <c r="E1608"/>
  <c r="D1606"/>
  <c r="E1601"/>
  <c r="D1594"/>
  <c r="D1590"/>
  <c r="E1588"/>
  <c r="E1581"/>
  <c r="G1579"/>
  <c r="D1574"/>
  <c r="E1572"/>
  <c r="E1565"/>
  <c r="G1563"/>
  <c r="D1558"/>
  <c r="E1556"/>
  <c r="E1549"/>
  <c r="G1547"/>
  <c r="D1542"/>
  <c r="E1540"/>
  <c r="E1533"/>
  <c r="G1531"/>
  <c r="D1526"/>
  <c r="G1523"/>
  <c r="D1522"/>
  <c r="G1519"/>
  <c r="D1518"/>
  <c r="G1515"/>
  <c r="D1514"/>
  <c r="G1511"/>
  <c r="D1510"/>
  <c r="G1507"/>
  <c r="D1506"/>
  <c r="G1503"/>
  <c r="D1502"/>
  <c r="G1499"/>
  <c r="D1498"/>
  <c r="D1493"/>
  <c r="D1492"/>
  <c r="E1491"/>
  <c r="G1490"/>
  <c r="G1489"/>
  <c r="D1485"/>
  <c r="D1484"/>
  <c r="E1483"/>
  <c r="G1482"/>
  <c r="G1481"/>
  <c r="D1477"/>
  <c r="D1476"/>
  <c r="E1475"/>
  <c r="G1474"/>
  <c r="G1473"/>
  <c r="D1469"/>
  <c r="D1468"/>
  <c r="E1467"/>
  <c r="G1466"/>
  <c r="G1465"/>
  <c r="D1461"/>
  <c r="D1460"/>
  <c r="E1459"/>
  <c r="G1458"/>
  <c r="G1457"/>
  <c r="D1453"/>
  <c r="D1452"/>
  <c r="E1451"/>
  <c r="G1450"/>
  <c r="G1449"/>
  <c r="D1445"/>
  <c r="D1444"/>
  <c r="E1443"/>
  <c r="G1442"/>
  <c r="G1441"/>
  <c r="D1437"/>
  <c r="D1436"/>
  <c r="E1435"/>
  <c r="G1434"/>
  <c r="G1433"/>
  <c r="D1429"/>
  <c r="D1428"/>
  <c r="E1427"/>
  <c r="G1426"/>
  <c r="G1425"/>
  <c r="D1421"/>
  <c r="D1420"/>
  <c r="E1419"/>
  <c r="G1418"/>
  <c r="G1417"/>
  <c r="D1413"/>
  <c r="D1412"/>
  <c r="F1411"/>
  <c r="F1409"/>
  <c r="F1407"/>
  <c r="F1405"/>
  <c r="F1403"/>
  <c r="F1401"/>
  <c r="F1399"/>
  <c r="F1397"/>
  <c r="F1395"/>
  <c r="F1393"/>
  <c r="F1391"/>
  <c r="F1389"/>
  <c r="F1387"/>
  <c r="F1385"/>
  <c r="F1383"/>
  <c r="F1381"/>
  <c r="F1379"/>
  <c r="F1377"/>
  <c r="F1375"/>
  <c r="F1373"/>
  <c r="F1371"/>
  <c r="F1369"/>
  <c r="F1367"/>
  <c r="F1365"/>
  <c r="F1363"/>
  <c r="F1361"/>
  <c r="F1359"/>
  <c r="F1357"/>
  <c r="F1355"/>
  <c r="F1353"/>
  <c r="F1351"/>
  <c r="F1349"/>
  <c r="F1347"/>
  <c r="F1345"/>
  <c r="F1343"/>
  <c r="F1341"/>
  <c r="F1339"/>
  <c r="F1337"/>
  <c r="F1335"/>
  <c r="F1333"/>
  <c r="F1331"/>
  <c r="F1329"/>
  <c r="F1327"/>
  <c r="F1325"/>
  <c r="F1323"/>
  <c r="F1321"/>
  <c r="F1319"/>
  <c r="F1317"/>
  <c r="F1315"/>
  <c r="F1313"/>
  <c r="F1311"/>
  <c r="F1309"/>
  <c r="F1307"/>
  <c r="F1305"/>
  <c r="F1303"/>
  <c r="F1301"/>
  <c r="F1299"/>
  <c r="F1297"/>
  <c r="F1295"/>
  <c r="F1293"/>
  <c r="F1291"/>
  <c r="F1289"/>
  <c r="F1287"/>
  <c r="F1285"/>
  <c r="F1283"/>
  <c r="F1281"/>
  <c r="F1279"/>
  <c r="F1277"/>
  <c r="F1275"/>
  <c r="F1273"/>
  <c r="F1271"/>
  <c r="F1269"/>
  <c r="F1267"/>
  <c r="F1265"/>
  <c r="F1263"/>
  <c r="F1261"/>
  <c r="F1259"/>
  <c r="F1257"/>
  <c r="F1255"/>
  <c r="F1253"/>
  <c r="F1251"/>
  <c r="F1249"/>
  <c r="F1247"/>
  <c r="F1245"/>
  <c r="F1243"/>
  <c r="F1241"/>
  <c r="F1239"/>
  <c r="F1237"/>
  <c r="F1235"/>
  <c r="F1233"/>
  <c r="F1231"/>
  <c r="F1229"/>
  <c r="F1227"/>
  <c r="F1225"/>
  <c r="F1223"/>
  <c r="F1221"/>
  <c r="F1219"/>
  <c r="F1760"/>
  <c r="G1744"/>
  <c r="F1741"/>
  <c r="E1735"/>
  <c r="G1728"/>
  <c r="F1722"/>
  <c r="E1719"/>
  <c r="E1716"/>
  <c r="G1711"/>
  <c r="E1709"/>
  <c r="E1704"/>
  <c r="D1702"/>
  <c r="E1697"/>
  <c r="D1690"/>
  <c r="G1685"/>
  <c r="E1678"/>
  <c r="E1671"/>
  <c r="D1664"/>
  <c r="G1659"/>
  <c r="E1652"/>
  <c r="G1647"/>
  <c r="E1645"/>
  <c r="E1640"/>
  <c r="D1638"/>
  <c r="E1633"/>
  <c r="D1626"/>
  <c r="G1621"/>
  <c r="E1614"/>
  <c r="E1607"/>
  <c r="D1600"/>
  <c r="G1595"/>
  <c r="E1589"/>
  <c r="G1587"/>
  <c r="D1582"/>
  <c r="E1580"/>
  <c r="E1573"/>
  <c r="G1571"/>
  <c r="D1566"/>
  <c r="E1564"/>
  <c r="E1557"/>
  <c r="G1555"/>
  <c r="D1550"/>
  <c r="E1548"/>
  <c r="E1541"/>
  <c r="G1539"/>
  <c r="D1534"/>
  <c r="E1532"/>
  <c r="G1525"/>
  <c r="D1524"/>
  <c r="G1521"/>
  <c r="D1520"/>
  <c r="G1517"/>
  <c r="D1516"/>
  <c r="G1513"/>
  <c r="D1512"/>
  <c r="G1509"/>
  <c r="D1508"/>
  <c r="G1505"/>
  <c r="D1504"/>
  <c r="G1501"/>
  <c r="D1500"/>
  <c r="G1497"/>
  <c r="D1496"/>
  <c r="E1495"/>
  <c r="G1494"/>
  <c r="G1493"/>
  <c r="D1489"/>
  <c r="D1488"/>
  <c r="E1487"/>
  <c r="G1486"/>
  <c r="G1485"/>
  <c r="D1481"/>
  <c r="D1480"/>
  <c r="E1479"/>
  <c r="G1478"/>
  <c r="G1477"/>
  <c r="D1473"/>
  <c r="D1472"/>
  <c r="E1471"/>
  <c r="G1470"/>
  <c r="G1469"/>
  <c r="D1465"/>
  <c r="D1464"/>
  <c r="E1463"/>
  <c r="G1462"/>
  <c r="G1461"/>
  <c r="D1457"/>
  <c r="D1456"/>
  <c r="E1455"/>
  <c r="G1454"/>
  <c r="G1453"/>
  <c r="D1449"/>
  <c r="D1448"/>
  <c r="E1447"/>
  <c r="G1446"/>
  <c r="G1445"/>
  <c r="D1441"/>
  <c r="D1440"/>
  <c r="E1439"/>
  <c r="G1438"/>
  <c r="G1437"/>
  <c r="D1433"/>
  <c r="D1432"/>
  <c r="E1431"/>
  <c r="G1430"/>
  <c r="G1429"/>
  <c r="D1425"/>
  <c r="D1424"/>
  <c r="E1423"/>
  <c r="G1422"/>
  <c r="G1421"/>
  <c r="D1417"/>
  <c r="D1416"/>
  <c r="E1415"/>
  <c r="G1414"/>
  <c r="G1413"/>
  <c r="F1410"/>
  <c r="F1408"/>
  <c r="F1406"/>
  <c r="F1404"/>
  <c r="F1402"/>
  <c r="F1400"/>
  <c r="F1398"/>
  <c r="F1396"/>
  <c r="F1394"/>
  <c r="F1392"/>
  <c r="F1390"/>
  <c r="F1388"/>
  <c r="F1386"/>
  <c r="F1384"/>
  <c r="F1382"/>
  <c r="F1380"/>
  <c r="F1378"/>
  <c r="F1376"/>
  <c r="F1374"/>
  <c r="F1372"/>
  <c r="F1370"/>
  <c r="F1368"/>
  <c r="F1366"/>
  <c r="F1364"/>
  <c r="F1362"/>
  <c r="F1360"/>
  <c r="F1358"/>
  <c r="F1356"/>
  <c r="F1354"/>
  <c r="F1352"/>
  <c r="F1350"/>
  <c r="F1348"/>
  <c r="F1346"/>
  <c r="F1344"/>
  <c r="F1342"/>
  <c r="F1340"/>
  <c r="F1338"/>
  <c r="F1336"/>
  <c r="F1334"/>
  <c r="F1332"/>
  <c r="F1330"/>
  <c r="F1328"/>
  <c r="F1326"/>
  <c r="F1324"/>
  <c r="F1322"/>
  <c r="F1320"/>
  <c r="F1318"/>
  <c r="F1316"/>
  <c r="F1314"/>
  <c r="F1312"/>
  <c r="F1310"/>
  <c r="F1308"/>
  <c r="F1306"/>
  <c r="F1304"/>
  <c r="F1302"/>
  <c r="F1300"/>
  <c r="F1298"/>
  <c r="F1296"/>
  <c r="F1294"/>
  <c r="F1292"/>
  <c r="F1290"/>
  <c r="F1288"/>
  <c r="F1286"/>
  <c r="F1284"/>
  <c r="F1282"/>
  <c r="F1280"/>
  <c r="F1278"/>
  <c r="F1276"/>
  <c r="F1274"/>
  <c r="F1272"/>
  <c r="F1270"/>
  <c r="F1268"/>
  <c r="F1266"/>
  <c r="F1264"/>
  <c r="F1262"/>
  <c r="F1260"/>
  <c r="F1258"/>
  <c r="F1256"/>
  <c r="F1254"/>
  <c r="F1252"/>
  <c r="F1250"/>
  <c r="F1248"/>
  <c r="F1246"/>
  <c r="F1244"/>
  <c r="F1242"/>
  <c r="F1240"/>
  <c r="F1238"/>
  <c r="F1236"/>
  <c r="F1234"/>
  <c r="F1232"/>
  <c r="F1230"/>
  <c r="F1228"/>
  <c r="F1226"/>
  <c r="F1224"/>
  <c r="F1222"/>
  <c r="F1220"/>
  <c r="F1759"/>
  <c r="F1734"/>
  <c r="F1721"/>
  <c r="G1701"/>
  <c r="G1663"/>
  <c r="D1654"/>
  <c r="D1616"/>
  <c r="E1597"/>
  <c r="G1567"/>
  <c r="E1560"/>
  <c r="E1553"/>
  <c r="D1546"/>
  <c r="D1525"/>
  <c r="G1514"/>
  <c r="D1509"/>
  <c r="G1498"/>
  <c r="D1494"/>
  <c r="D1487"/>
  <c r="G1483"/>
  <c r="G1476"/>
  <c r="E1469"/>
  <c r="D1462"/>
  <c r="D1455"/>
  <c r="G1451"/>
  <c r="G1444"/>
  <c r="E1437"/>
  <c r="D1430"/>
  <c r="D1423"/>
  <c r="G1419"/>
  <c r="G1412"/>
  <c r="G1409"/>
  <c r="E1404"/>
  <c r="G1401"/>
  <c r="E1396"/>
  <c r="G1393"/>
  <c r="E1388"/>
  <c r="G1385"/>
  <c r="E1380"/>
  <c r="G1377"/>
  <c r="E1372"/>
  <c r="G1369"/>
  <c r="E1364"/>
  <c r="G1361"/>
  <c r="E1356"/>
  <c r="G1353"/>
  <c r="E1348"/>
  <c r="G1345"/>
  <c r="E1340"/>
  <c r="G1337"/>
  <c r="E1332"/>
  <c r="G1329"/>
  <c r="E1324"/>
  <c r="G1321"/>
  <c r="E1316"/>
  <c r="G1313"/>
  <c r="E1308"/>
  <c r="G1305"/>
  <c r="E1300"/>
  <c r="G1296"/>
  <c r="E1295"/>
  <c r="G1292"/>
  <c r="E1291"/>
  <c r="G1288"/>
  <c r="E1287"/>
  <c r="G1284"/>
  <c r="E1283"/>
  <c r="G1280"/>
  <c r="E1279"/>
  <c r="G1276"/>
  <c r="E1275"/>
  <c r="G1272"/>
  <c r="E1271"/>
  <c r="G1268"/>
  <c r="E1267"/>
  <c r="G1264"/>
  <c r="E1263"/>
  <c r="G1260"/>
  <c r="E1259"/>
  <c r="G1256"/>
  <c r="E1255"/>
  <c r="G1252"/>
  <c r="E1251"/>
  <c r="G1248"/>
  <c r="E1247"/>
  <c r="G1244"/>
  <c r="E1243"/>
  <c r="G1240"/>
  <c r="E1239"/>
  <c r="G1236"/>
  <c r="E1235"/>
  <c r="G1232"/>
  <c r="E1231"/>
  <c r="G1228"/>
  <c r="E1227"/>
  <c r="G1224"/>
  <c r="E1223"/>
  <c r="G1220"/>
  <c r="E1219"/>
  <c r="E1218"/>
  <c r="F1217"/>
  <c r="F1215"/>
  <c r="F1213"/>
  <c r="F1211"/>
  <c r="F1209"/>
  <c r="F1207"/>
  <c r="F1205"/>
  <c r="F1203"/>
  <c r="F1201"/>
  <c r="F1199"/>
  <c r="F1197"/>
  <c r="F1195"/>
  <c r="F1193"/>
  <c r="F1191"/>
  <c r="F1189"/>
  <c r="F1187"/>
  <c r="F1185"/>
  <c r="F1183"/>
  <c r="F1181"/>
  <c r="F1179"/>
  <c r="F1177"/>
  <c r="F1175"/>
  <c r="F1173"/>
  <c r="F1171"/>
  <c r="F1169"/>
  <c r="F1167"/>
  <c r="F1165"/>
  <c r="F1163"/>
  <c r="F1161"/>
  <c r="F1159"/>
  <c r="F1157"/>
  <c r="F1155"/>
  <c r="F1153"/>
  <c r="F1737"/>
  <c r="E1713"/>
  <c r="E1694"/>
  <c r="G1675"/>
  <c r="E1656"/>
  <c r="G1637"/>
  <c r="G1599"/>
  <c r="G1583"/>
  <c r="E1576"/>
  <c r="E1569"/>
  <c r="D1562"/>
  <c r="D1521"/>
  <c r="G1510"/>
  <c r="D1505"/>
  <c r="D1495"/>
  <c r="G1491"/>
  <c r="G1484"/>
  <c r="E1477"/>
  <c r="D1470"/>
  <c r="D1463"/>
  <c r="G1459"/>
  <c r="G1452"/>
  <c r="E1445"/>
  <c r="D1438"/>
  <c r="D1431"/>
  <c r="G1427"/>
  <c r="G1420"/>
  <c r="E1413"/>
  <c r="E1410"/>
  <c r="G1407"/>
  <c r="E1402"/>
  <c r="G1399"/>
  <c r="E1394"/>
  <c r="G1391"/>
  <c r="E1386"/>
  <c r="G1383"/>
  <c r="E1378"/>
  <c r="G1375"/>
  <c r="E1370"/>
  <c r="G1367"/>
  <c r="E1362"/>
  <c r="G1359"/>
  <c r="E1354"/>
  <c r="G1351"/>
  <c r="E1346"/>
  <c r="G1343"/>
  <c r="E1338"/>
  <c r="G1335"/>
  <c r="E1330"/>
  <c r="G1327"/>
  <c r="E1322"/>
  <c r="G1319"/>
  <c r="E1314"/>
  <c r="G1311"/>
  <c r="E1306"/>
  <c r="G1303"/>
  <c r="E1298"/>
  <c r="G1295"/>
  <c r="E1294"/>
  <c r="G1291"/>
  <c r="E1290"/>
  <c r="G1287"/>
  <c r="E1286"/>
  <c r="G1283"/>
  <c r="E1282"/>
  <c r="G1279"/>
  <c r="E1278"/>
  <c r="G1275"/>
  <c r="E1274"/>
  <c r="G1271"/>
  <c r="E1270"/>
  <c r="G1267"/>
  <c r="E1266"/>
  <c r="G1263"/>
  <c r="E1262"/>
  <c r="G1259"/>
  <c r="E1258"/>
  <c r="G1255"/>
  <c r="E1254"/>
  <c r="G1251"/>
  <c r="E1250"/>
  <c r="G1247"/>
  <c r="E1246"/>
  <c r="G1243"/>
  <c r="E1242"/>
  <c r="G1239"/>
  <c r="E1238"/>
  <c r="G1235"/>
  <c r="E1234"/>
  <c r="G1231"/>
  <c r="E1230"/>
  <c r="G1227"/>
  <c r="E1226"/>
  <c r="G1223"/>
  <c r="E1222"/>
  <c r="G1219"/>
  <c r="F1218"/>
  <c r="G1217"/>
  <c r="E1216"/>
  <c r="G1215"/>
  <c r="E1214"/>
  <c r="G1213"/>
  <c r="E1212"/>
  <c r="G1211"/>
  <c r="E1210"/>
  <c r="G1209"/>
  <c r="E1208"/>
  <c r="G1207"/>
  <c r="E1206"/>
  <c r="G1205"/>
  <c r="E1204"/>
  <c r="G1203"/>
  <c r="E1202"/>
  <c r="G1201"/>
  <c r="E1200"/>
  <c r="G1199"/>
  <c r="E1198"/>
  <c r="G1197"/>
  <c r="E1196"/>
  <c r="G1195"/>
  <c r="E1194"/>
  <c r="G1193"/>
  <c r="E1192"/>
  <c r="G1191"/>
  <c r="E1190"/>
  <c r="G1189"/>
  <c r="E1188"/>
  <c r="G1187"/>
  <c r="E1753"/>
  <c r="G1740"/>
  <c r="D1706"/>
  <c r="E1687"/>
  <c r="E1668"/>
  <c r="E1649"/>
  <c r="E1630"/>
  <c r="G1611"/>
  <c r="E1592"/>
  <c r="E1585"/>
  <c r="D1578"/>
  <c r="G1535"/>
  <c r="E1528"/>
  <c r="G1522"/>
  <c r="D1517"/>
  <c r="G1506"/>
  <c r="D1501"/>
  <c r="G1492"/>
  <c r="E1485"/>
  <c r="D1478"/>
  <c r="D1471"/>
  <c r="G1467"/>
  <c r="G1460"/>
  <c r="E1453"/>
  <c r="D1446"/>
  <c r="D1439"/>
  <c r="G1435"/>
  <c r="G1428"/>
  <c r="E1421"/>
  <c r="D1414"/>
  <c r="E1408"/>
  <c r="G1405"/>
  <c r="E1400"/>
  <c r="G1397"/>
  <c r="E1392"/>
  <c r="G1389"/>
  <c r="E1384"/>
  <c r="G1381"/>
  <c r="E1376"/>
  <c r="G1373"/>
  <c r="E1368"/>
  <c r="G1365"/>
  <c r="E1360"/>
  <c r="G1357"/>
  <c r="E1352"/>
  <c r="G1349"/>
  <c r="E1344"/>
  <c r="G1341"/>
  <c r="E1336"/>
  <c r="G1333"/>
  <c r="E1328"/>
  <c r="G1325"/>
  <c r="E1320"/>
  <c r="G1317"/>
  <c r="E1312"/>
  <c r="G1309"/>
  <c r="E1304"/>
  <c r="G1301"/>
  <c r="E1297"/>
  <c r="G1294"/>
  <c r="E1293"/>
  <c r="G1290"/>
  <c r="E1289"/>
  <c r="G1286"/>
  <c r="E1285"/>
  <c r="G1282"/>
  <c r="E1281"/>
  <c r="G1278"/>
  <c r="E1277"/>
  <c r="G1274"/>
  <c r="E1273"/>
  <c r="G1270"/>
  <c r="E1269"/>
  <c r="G1266"/>
  <c r="E1265"/>
  <c r="G1262"/>
  <c r="E1261"/>
  <c r="G1258"/>
  <c r="E1257"/>
  <c r="G1254"/>
  <c r="E1253"/>
  <c r="G1250"/>
  <c r="E1249"/>
  <c r="G1246"/>
  <c r="E1245"/>
  <c r="G1242"/>
  <c r="E1241"/>
  <c r="G1238"/>
  <c r="E1237"/>
  <c r="G1234"/>
  <c r="E1233"/>
  <c r="G1230"/>
  <c r="E1229"/>
  <c r="G1226"/>
  <c r="E1225"/>
  <c r="G1222"/>
  <c r="E1221"/>
  <c r="G1218"/>
  <c r="F1216"/>
  <c r="F1214"/>
  <c r="F1212"/>
  <c r="F1210"/>
  <c r="F1208"/>
  <c r="F1206"/>
  <c r="F1204"/>
  <c r="F1202"/>
  <c r="F1200"/>
  <c r="F1198"/>
  <c r="F1196"/>
  <c r="F1194"/>
  <c r="F1192"/>
  <c r="F1190"/>
  <c r="F1188"/>
  <c r="F1186"/>
  <c r="F1184"/>
  <c r="F1182"/>
  <c r="F1180"/>
  <c r="F1178"/>
  <c r="F1176"/>
  <c r="F1174"/>
  <c r="F1172"/>
  <c r="F1170"/>
  <c r="F1168"/>
  <c r="F1166"/>
  <c r="F1164"/>
  <c r="F1162"/>
  <c r="F1160"/>
  <c r="F1158"/>
  <c r="F1156"/>
  <c r="F1154"/>
  <c r="G1756"/>
  <c r="G1718"/>
  <c r="D1680"/>
  <c r="E1661"/>
  <c r="D1642"/>
  <c r="E1623"/>
  <c r="E1604"/>
  <c r="G1551"/>
  <c r="E1544"/>
  <c r="E1537"/>
  <c r="D1530"/>
  <c r="G1518"/>
  <c r="D1513"/>
  <c r="G1502"/>
  <c r="D1497"/>
  <c r="E1493"/>
  <c r="D1486"/>
  <c r="D1479"/>
  <c r="G1475"/>
  <c r="G1468"/>
  <c r="E1461"/>
  <c r="D1454"/>
  <c r="D1447"/>
  <c r="G1443"/>
  <c r="G1436"/>
  <c r="E1429"/>
  <c r="D1422"/>
  <c r="D1415"/>
  <c r="G1411"/>
  <c r="E1406"/>
  <c r="G1403"/>
  <c r="E1398"/>
  <c r="G1395"/>
  <c r="E1390"/>
  <c r="G1387"/>
  <c r="E1382"/>
  <c r="G1379"/>
  <c r="E1374"/>
  <c r="G1371"/>
  <c r="E1366"/>
  <c r="G1363"/>
  <c r="E1358"/>
  <c r="G1355"/>
  <c r="E1350"/>
  <c r="G1347"/>
  <c r="E1342"/>
  <c r="G1339"/>
  <c r="E1334"/>
  <c r="G1331"/>
  <c r="E1326"/>
  <c r="G1323"/>
  <c r="E1318"/>
  <c r="G1315"/>
  <c r="E1310"/>
  <c r="G1307"/>
  <c r="E1302"/>
  <c r="G1299"/>
  <c r="G1297"/>
  <c r="E1296"/>
  <c r="G1293"/>
  <c r="E1292"/>
  <c r="G1289"/>
  <c r="E1288"/>
  <c r="G1285"/>
  <c r="E1284"/>
  <c r="G1281"/>
  <c r="E1280"/>
  <c r="G1277"/>
  <c r="E1276"/>
  <c r="G1273"/>
  <c r="E1272"/>
  <c r="G1269"/>
  <c r="E1268"/>
  <c r="G1265"/>
  <c r="E1264"/>
  <c r="G1261"/>
  <c r="E1260"/>
  <c r="G1257"/>
  <c r="E1256"/>
  <c r="G1253"/>
  <c r="E1252"/>
  <c r="G1249"/>
  <c r="E1248"/>
  <c r="G1245"/>
  <c r="E1244"/>
  <c r="G1241"/>
  <c r="E1240"/>
  <c r="G1237"/>
  <c r="E1236"/>
  <c r="G1233"/>
  <c r="E1232"/>
  <c r="G1229"/>
  <c r="E1228"/>
  <c r="G1225"/>
  <c r="E1224"/>
  <c r="G1221"/>
  <c r="E1220"/>
  <c r="E1217"/>
  <c r="G1216"/>
  <c r="E1215"/>
  <c r="G1214"/>
  <c r="E1213"/>
  <c r="G1212"/>
  <c r="E1211"/>
  <c r="G1210"/>
  <c r="E1209"/>
  <c r="G1208"/>
  <c r="E1207"/>
  <c r="G1206"/>
  <c r="E1205"/>
  <c r="G1204"/>
  <c r="E1203"/>
  <c r="G1202"/>
  <c r="E1201"/>
  <c r="G1200"/>
  <c r="E1199"/>
  <c r="G1198"/>
  <c r="E1197"/>
  <c r="G1196"/>
  <c r="E1195"/>
  <c r="G1194"/>
  <c r="E1193"/>
  <c r="G1192"/>
  <c r="E1191"/>
  <c r="G1190"/>
  <c r="G1184"/>
  <c r="E1183"/>
  <c r="G1180"/>
  <c r="E1179"/>
  <c r="G1176"/>
  <c r="E1175"/>
  <c r="G1172"/>
  <c r="E1171"/>
  <c r="G1168"/>
  <c r="E1167"/>
  <c r="G1164"/>
  <c r="E1163"/>
  <c r="G1160"/>
  <c r="E1159"/>
  <c r="G1156"/>
  <c r="E1155"/>
  <c r="E1152"/>
  <c r="G1151"/>
  <c r="E1150"/>
  <c r="G1149"/>
  <c r="E1148"/>
  <c r="G1147"/>
  <c r="E1146"/>
  <c r="G1145"/>
  <c r="E1144"/>
  <c r="G1143"/>
  <c r="E1142"/>
  <c r="G1141"/>
  <c r="E1140"/>
  <c r="G1139"/>
  <c r="E1138"/>
  <c r="G1137"/>
  <c r="E1136"/>
  <c r="G1135"/>
  <c r="E1134"/>
  <c r="G1133"/>
  <c r="E1132"/>
  <c r="G1131"/>
  <c r="E1130"/>
  <c r="G1129"/>
  <c r="E1128"/>
  <c r="G1127"/>
  <c r="E1126"/>
  <c r="G1125"/>
  <c r="E1124"/>
  <c r="G1123"/>
  <c r="E1122"/>
  <c r="G1121"/>
  <c r="E1120"/>
  <c r="G1119"/>
  <c r="E1118"/>
  <c r="G1117"/>
  <c r="E1116"/>
  <c r="G1115"/>
  <c r="E1114"/>
  <c r="G1113"/>
  <c r="E1112"/>
  <c r="G1111"/>
  <c r="E1110"/>
  <c r="G1109"/>
  <c r="E1108"/>
  <c r="G1107"/>
  <c r="F1106"/>
  <c r="F1105"/>
  <c r="F1104"/>
  <c r="F1103"/>
  <c r="F1102"/>
  <c r="F1101"/>
  <c r="F1100"/>
  <c r="F1099"/>
  <c r="F1098"/>
  <c r="F1097"/>
  <c r="F1096"/>
  <c r="F1095"/>
  <c r="F1094"/>
  <c r="F1093"/>
  <c r="F1092"/>
  <c r="F1091"/>
  <c r="F1090"/>
  <c r="F1089"/>
  <c r="F1088"/>
  <c r="F1087"/>
  <c r="F1086"/>
  <c r="F1085"/>
  <c r="F1084"/>
  <c r="F1083"/>
  <c r="F1082"/>
  <c r="F1081"/>
  <c r="F1080"/>
  <c r="F1079"/>
  <c r="F1078"/>
  <c r="F1077"/>
  <c r="F1076"/>
  <c r="F1075"/>
  <c r="F1074"/>
  <c r="F1073"/>
  <c r="F1072"/>
  <c r="F1071"/>
  <c r="F1070"/>
  <c r="F1069"/>
  <c r="F1068"/>
  <c r="F1067"/>
  <c r="F1066"/>
  <c r="F1065"/>
  <c r="F1064"/>
  <c r="F1063"/>
  <c r="F1062"/>
  <c r="F1061"/>
  <c r="F1060"/>
  <c r="F1059"/>
  <c r="F1058"/>
  <c r="F1057"/>
  <c r="F1056"/>
  <c r="F1055"/>
  <c r="F1054"/>
  <c r="F1053"/>
  <c r="F1052"/>
  <c r="F1051"/>
  <c r="F1050"/>
  <c r="F1049"/>
  <c r="F1048"/>
  <c r="F1047"/>
  <c r="F1046"/>
  <c r="F1045"/>
  <c r="F1044"/>
  <c r="F1043"/>
  <c r="F1042"/>
  <c r="F1041"/>
  <c r="F1040"/>
  <c r="F1039"/>
  <c r="F1038"/>
  <c r="F1037"/>
  <c r="F1036"/>
  <c r="F1035"/>
  <c r="F1034"/>
  <c r="F1033"/>
  <c r="F1032"/>
  <c r="F1031"/>
  <c r="F1030"/>
  <c r="F1029"/>
  <c r="F1028"/>
  <c r="F1027"/>
  <c r="F1026"/>
  <c r="F1025"/>
  <c r="F1024"/>
  <c r="F1023"/>
  <c r="F1022"/>
  <c r="F1021"/>
  <c r="F1020"/>
  <c r="F1019"/>
  <c r="F1018"/>
  <c r="F1017"/>
  <c r="F1016"/>
  <c r="F1015"/>
  <c r="F1014"/>
  <c r="F1013"/>
  <c r="F1012"/>
  <c r="F1011"/>
  <c r="F1010"/>
  <c r="F1009"/>
  <c r="F1008"/>
  <c r="F1007"/>
  <c r="F1006"/>
  <c r="F1005"/>
  <c r="F1004"/>
  <c r="F1003"/>
  <c r="F1002"/>
  <c r="F1001"/>
  <c r="F1000"/>
  <c r="F999"/>
  <c r="F998"/>
  <c r="F997"/>
  <c r="F996"/>
  <c r="F995"/>
  <c r="F994"/>
  <c r="F993"/>
  <c r="F992"/>
  <c r="F991"/>
  <c r="F990"/>
  <c r="F989"/>
  <c r="F988"/>
  <c r="F987"/>
  <c r="F986"/>
  <c r="F985"/>
  <c r="F984"/>
  <c r="F983"/>
  <c r="F982"/>
  <c r="F981"/>
  <c r="F980"/>
  <c r="F979"/>
  <c r="F978"/>
  <c r="F977"/>
  <c r="F976"/>
  <c r="F975"/>
  <c r="F974"/>
  <c r="F973"/>
  <c r="F972"/>
  <c r="F971"/>
  <c r="F970"/>
  <c r="F969"/>
  <c r="F968"/>
  <c r="F967"/>
  <c r="F966"/>
  <c r="F965"/>
  <c r="F964"/>
  <c r="F963"/>
  <c r="F962"/>
  <c r="F961"/>
  <c r="F960"/>
  <c r="F959"/>
  <c r="F958"/>
  <c r="F957"/>
  <c r="F956"/>
  <c r="F955"/>
  <c r="F954"/>
  <c r="F953"/>
  <c r="F952"/>
  <c r="F951"/>
  <c r="F950"/>
  <c r="F949"/>
  <c r="F948"/>
  <c r="F947"/>
  <c r="F946"/>
  <c r="F945"/>
  <c r="F944"/>
  <c r="F943"/>
  <c r="F942"/>
  <c r="F941"/>
  <c r="F940"/>
  <c r="F939"/>
  <c r="F938"/>
  <c r="F937"/>
  <c r="F936"/>
  <c r="F935"/>
  <c r="F934"/>
  <c r="F933"/>
  <c r="F932"/>
  <c r="F931"/>
  <c r="F930"/>
  <c r="F929"/>
  <c r="F928"/>
  <c r="F927"/>
  <c r="F926"/>
  <c r="F925"/>
  <c r="F924"/>
  <c r="F923"/>
  <c r="F922"/>
  <c r="F921"/>
  <c r="F920"/>
  <c r="F919"/>
  <c r="F918"/>
  <c r="F917"/>
  <c r="F916"/>
  <c r="F915"/>
  <c r="F914"/>
  <c r="F913"/>
  <c r="F912"/>
  <c r="F911"/>
  <c r="F910"/>
  <c r="F909"/>
  <c r="F908"/>
  <c r="F907"/>
  <c r="F906"/>
  <c r="F905"/>
  <c r="F904"/>
  <c r="F903"/>
  <c r="F902"/>
  <c r="F901"/>
  <c r="F900"/>
  <c r="F899"/>
  <c r="G1188"/>
  <c r="E1186"/>
  <c r="G1183"/>
  <c r="E1182"/>
  <c r="G1179"/>
  <c r="E1178"/>
  <c r="G1175"/>
  <c r="E1174"/>
  <c r="G1171"/>
  <c r="E1170"/>
  <c r="G1167"/>
  <c r="E1166"/>
  <c r="G1163"/>
  <c r="E1162"/>
  <c r="G1159"/>
  <c r="E1158"/>
  <c r="G1155"/>
  <c r="E1154"/>
  <c r="F1152"/>
  <c r="F1150"/>
  <c r="F1148"/>
  <c r="F1146"/>
  <c r="F1144"/>
  <c r="F1142"/>
  <c r="F1140"/>
  <c r="F1138"/>
  <c r="F1136"/>
  <c r="F1134"/>
  <c r="F1132"/>
  <c r="F1130"/>
  <c r="F1128"/>
  <c r="F1126"/>
  <c r="F1124"/>
  <c r="F1122"/>
  <c r="F1120"/>
  <c r="F1118"/>
  <c r="F1116"/>
  <c r="F1114"/>
  <c r="F1112"/>
  <c r="F1110"/>
  <c r="F1108"/>
  <c r="G1106"/>
  <c r="G1105"/>
  <c r="G1104"/>
  <c r="G1103"/>
  <c r="G1102"/>
  <c r="G1101"/>
  <c r="G1100"/>
  <c r="G1099"/>
  <c r="G1098"/>
  <c r="G1097"/>
  <c r="G1096"/>
  <c r="G1095"/>
  <c r="G1094"/>
  <c r="G1093"/>
  <c r="G1092"/>
  <c r="G1091"/>
  <c r="G1090"/>
  <c r="G1089"/>
  <c r="G1088"/>
  <c r="G1087"/>
  <c r="G1086"/>
  <c r="G1085"/>
  <c r="G1084"/>
  <c r="G1083"/>
  <c r="G1082"/>
  <c r="G1081"/>
  <c r="G1080"/>
  <c r="G1079"/>
  <c r="G1078"/>
  <c r="G1077"/>
  <c r="G1076"/>
  <c r="G1075"/>
  <c r="G1074"/>
  <c r="G1073"/>
  <c r="G1072"/>
  <c r="G1071"/>
  <c r="G1070"/>
  <c r="G1069"/>
  <c r="G1068"/>
  <c r="G1067"/>
  <c r="G1066"/>
  <c r="G1065"/>
  <c r="G1064"/>
  <c r="G1063"/>
  <c r="G1062"/>
  <c r="G1061"/>
  <c r="G1060"/>
  <c r="G1059"/>
  <c r="G1058"/>
  <c r="G1057"/>
  <c r="G1056"/>
  <c r="G1055"/>
  <c r="G1054"/>
  <c r="G1053"/>
  <c r="G1052"/>
  <c r="G1051"/>
  <c r="G1050"/>
  <c r="G1049"/>
  <c r="G1048"/>
  <c r="G1047"/>
  <c r="G1046"/>
  <c r="G1045"/>
  <c r="G1044"/>
  <c r="G1043"/>
  <c r="G1042"/>
  <c r="G1041"/>
  <c r="G1040"/>
  <c r="G1039"/>
  <c r="G1038"/>
  <c r="G1037"/>
  <c r="G1036"/>
  <c r="G1035"/>
  <c r="G1034"/>
  <c r="G1033"/>
  <c r="G1032"/>
  <c r="G1031"/>
  <c r="G1030"/>
  <c r="G1029"/>
  <c r="G1028"/>
  <c r="G1027"/>
  <c r="G1026"/>
  <c r="G1025"/>
  <c r="G1024"/>
  <c r="G1023"/>
  <c r="G1022"/>
  <c r="G1021"/>
  <c r="G1020"/>
  <c r="G1019"/>
  <c r="G1018"/>
  <c r="G1017"/>
  <c r="G1016"/>
  <c r="G1015"/>
  <c r="G1014"/>
  <c r="G1013"/>
  <c r="G1012"/>
  <c r="G1011"/>
  <c r="G1010"/>
  <c r="G1009"/>
  <c r="G1008"/>
  <c r="G1007"/>
  <c r="G1006"/>
  <c r="G1005"/>
  <c r="G1004"/>
  <c r="G1003"/>
  <c r="G1002"/>
  <c r="G1001"/>
  <c r="G1000"/>
  <c r="G999"/>
  <c r="G998"/>
  <c r="G997"/>
  <c r="G996"/>
  <c r="G995"/>
  <c r="G994"/>
  <c r="G993"/>
  <c r="G992"/>
  <c r="G991"/>
  <c r="G990"/>
  <c r="G989"/>
  <c r="G988"/>
  <c r="G987"/>
  <c r="G986"/>
  <c r="G985"/>
  <c r="G984"/>
  <c r="G983"/>
  <c r="G982"/>
  <c r="G981"/>
  <c r="G980"/>
  <c r="G979"/>
  <c r="G978"/>
  <c r="G977"/>
  <c r="G976"/>
  <c r="G975"/>
  <c r="G974"/>
  <c r="G973"/>
  <c r="G972"/>
  <c r="G971"/>
  <c r="G970"/>
  <c r="G969"/>
  <c r="G968"/>
  <c r="G967"/>
  <c r="G966"/>
  <c r="G965"/>
  <c r="G964"/>
  <c r="G963"/>
  <c r="G962"/>
  <c r="G961"/>
  <c r="G960"/>
  <c r="G959"/>
  <c r="G958"/>
  <c r="G957"/>
  <c r="G956"/>
  <c r="G955"/>
  <c r="G954"/>
  <c r="G953"/>
  <c r="G952"/>
  <c r="G951"/>
  <c r="G950"/>
  <c r="G949"/>
  <c r="G948"/>
  <c r="G947"/>
  <c r="G946"/>
  <c r="G945"/>
  <c r="G944"/>
  <c r="G943"/>
  <c r="G942"/>
  <c r="G941"/>
  <c r="G940"/>
  <c r="G939"/>
  <c r="G938"/>
  <c r="G937"/>
  <c r="G936"/>
  <c r="G935"/>
  <c r="G934"/>
  <c r="G933"/>
  <c r="G932"/>
  <c r="G931"/>
  <c r="G930"/>
  <c r="G929"/>
  <c r="G928"/>
  <c r="G927"/>
  <c r="G926"/>
  <c r="G925"/>
  <c r="G924"/>
  <c r="G923"/>
  <c r="G922"/>
  <c r="G921"/>
  <c r="G920"/>
  <c r="G919"/>
  <c r="G918"/>
  <c r="G917"/>
  <c r="G916"/>
  <c r="G915"/>
  <c r="G914"/>
  <c r="G913"/>
  <c r="G912"/>
  <c r="G911"/>
  <c r="G910"/>
  <c r="G909"/>
  <c r="G908"/>
  <c r="G907"/>
  <c r="G906"/>
  <c r="G905"/>
  <c r="G904"/>
  <c r="G903"/>
  <c r="G902"/>
  <c r="G901"/>
  <c r="G900"/>
  <c r="G899"/>
  <c r="G898"/>
  <c r="G897"/>
  <c r="G896"/>
  <c r="G895"/>
  <c r="G894"/>
  <c r="G893"/>
  <c r="G892"/>
  <c r="G891"/>
  <c r="G890"/>
  <c r="G889"/>
  <c r="E1189"/>
  <c r="G1186"/>
  <c r="E1185"/>
  <c r="G1182"/>
  <c r="E1181"/>
  <c r="G1178"/>
  <c r="E1177"/>
  <c r="G1174"/>
  <c r="E1173"/>
  <c r="G1170"/>
  <c r="E1169"/>
  <c r="G1166"/>
  <c r="E1165"/>
  <c r="G1162"/>
  <c r="E1161"/>
  <c r="G1158"/>
  <c r="E1157"/>
  <c r="G1154"/>
  <c r="E1153"/>
  <c r="G1152"/>
  <c r="E1151"/>
  <c r="G1150"/>
  <c r="E1149"/>
  <c r="G1148"/>
  <c r="E1147"/>
  <c r="G1146"/>
  <c r="E1145"/>
  <c r="G1144"/>
  <c r="E1143"/>
  <c r="G1142"/>
  <c r="E1141"/>
  <c r="G1140"/>
  <c r="E1139"/>
  <c r="G1138"/>
  <c r="E1137"/>
  <c r="G1136"/>
  <c r="E1135"/>
  <c r="G1134"/>
  <c r="E1133"/>
  <c r="G1132"/>
  <c r="E1131"/>
  <c r="G1130"/>
  <c r="E1129"/>
  <c r="G1128"/>
  <c r="E1127"/>
  <c r="G1126"/>
  <c r="E1125"/>
  <c r="G1124"/>
  <c r="E1123"/>
  <c r="G1122"/>
  <c r="E1121"/>
  <c r="G1120"/>
  <c r="E1119"/>
  <c r="G1118"/>
  <c r="E1117"/>
  <c r="G1116"/>
  <c r="E1115"/>
  <c r="G1114"/>
  <c r="E1113"/>
  <c r="G1112"/>
  <c r="E1111"/>
  <c r="G1110"/>
  <c r="E1109"/>
  <c r="G1108"/>
  <c r="E1107"/>
  <c r="D1106"/>
  <c r="D1105"/>
  <c r="D1104"/>
  <c r="D1103"/>
  <c r="D1102"/>
  <c r="D1101"/>
  <c r="D1100"/>
  <c r="D1099"/>
  <c r="D1098"/>
  <c r="D1097"/>
  <c r="D1096"/>
  <c r="D1095"/>
  <c r="D1094"/>
  <c r="D1093"/>
  <c r="D1092"/>
  <c r="D1091"/>
  <c r="D1090"/>
  <c r="D1089"/>
  <c r="D1088"/>
  <c r="D1087"/>
  <c r="D1086"/>
  <c r="D1085"/>
  <c r="D1084"/>
  <c r="D1083"/>
  <c r="D1082"/>
  <c r="D1081"/>
  <c r="D1080"/>
  <c r="D1079"/>
  <c r="D1078"/>
  <c r="D1077"/>
  <c r="D1076"/>
  <c r="D1075"/>
  <c r="D1074"/>
  <c r="D1073"/>
  <c r="D1072"/>
  <c r="D1071"/>
  <c r="D1070"/>
  <c r="D1069"/>
  <c r="D1068"/>
  <c r="D1067"/>
  <c r="D1066"/>
  <c r="D1065"/>
  <c r="D1064"/>
  <c r="D1063"/>
  <c r="D1062"/>
  <c r="D1061"/>
  <c r="D1060"/>
  <c r="D1059"/>
  <c r="D1058"/>
  <c r="D1057"/>
  <c r="D1056"/>
  <c r="D1055"/>
  <c r="D1054"/>
  <c r="D1053"/>
  <c r="D1052"/>
  <c r="D1051"/>
  <c r="D1050"/>
  <c r="D1049"/>
  <c r="D1048"/>
  <c r="D1047"/>
  <c r="D1046"/>
  <c r="D1045"/>
  <c r="D1044"/>
  <c r="D1043"/>
  <c r="D1042"/>
  <c r="D1041"/>
  <c r="D1040"/>
  <c r="D1039"/>
  <c r="D1038"/>
  <c r="D1037"/>
  <c r="D1036"/>
  <c r="D1035"/>
  <c r="D1034"/>
  <c r="D1033"/>
  <c r="D1032"/>
  <c r="D1031"/>
  <c r="D1030"/>
  <c r="D1029"/>
  <c r="D1028"/>
  <c r="D1027"/>
  <c r="D1026"/>
  <c r="D1025"/>
  <c r="D1024"/>
  <c r="D1023"/>
  <c r="D1022"/>
  <c r="D1021"/>
  <c r="D1020"/>
  <c r="D1019"/>
  <c r="D1018"/>
  <c r="D1017"/>
  <c r="D1016"/>
  <c r="D1015"/>
  <c r="D1014"/>
  <c r="D1013"/>
  <c r="D1012"/>
  <c r="D1011"/>
  <c r="D1010"/>
  <c r="D1009"/>
  <c r="D1008"/>
  <c r="D1007"/>
  <c r="D1006"/>
  <c r="D1005"/>
  <c r="D1004"/>
  <c r="D1003"/>
  <c r="D1002"/>
  <c r="D1001"/>
  <c r="D1000"/>
  <c r="D999"/>
  <c r="D998"/>
  <c r="D997"/>
  <c r="D996"/>
  <c r="D995"/>
  <c r="D994"/>
  <c r="D993"/>
  <c r="D992"/>
  <c r="D991"/>
  <c r="D990"/>
  <c r="D989"/>
  <c r="D988"/>
  <c r="D987"/>
  <c r="D986"/>
  <c r="D985"/>
  <c r="D984"/>
  <c r="D983"/>
  <c r="D982"/>
  <c r="D981"/>
  <c r="D980"/>
  <c r="D979"/>
  <c r="D978"/>
  <c r="D977"/>
  <c r="D976"/>
  <c r="D975"/>
  <c r="D974"/>
  <c r="D973"/>
  <c r="D972"/>
  <c r="D971"/>
  <c r="D970"/>
  <c r="D969"/>
  <c r="D968"/>
  <c r="D967"/>
  <c r="D966"/>
  <c r="D965"/>
  <c r="D964"/>
  <c r="D963"/>
  <c r="D962"/>
  <c r="D961"/>
  <c r="D960"/>
  <c r="D959"/>
  <c r="D958"/>
  <c r="D957"/>
  <c r="D956"/>
  <c r="D955"/>
  <c r="D954"/>
  <c r="D953"/>
  <c r="D952"/>
  <c r="D951"/>
  <c r="D950"/>
  <c r="D949"/>
  <c r="D948"/>
  <c r="D947"/>
  <c r="D946"/>
  <c r="D945"/>
  <c r="D944"/>
  <c r="D943"/>
  <c r="D942"/>
  <c r="D941"/>
  <c r="D940"/>
  <c r="D939"/>
  <c r="D938"/>
  <c r="D937"/>
  <c r="D936"/>
  <c r="D935"/>
  <c r="D934"/>
  <c r="D933"/>
  <c r="D932"/>
  <c r="D931"/>
  <c r="D930"/>
  <c r="D929"/>
  <c r="D928"/>
  <c r="D927"/>
  <c r="D926"/>
  <c r="D925"/>
  <c r="D924"/>
  <c r="D923"/>
  <c r="D922"/>
  <c r="D921"/>
  <c r="D920"/>
  <c r="D919"/>
  <c r="D918"/>
  <c r="D917"/>
  <c r="D916"/>
  <c r="D915"/>
  <c r="D914"/>
  <c r="D913"/>
  <c r="D912"/>
  <c r="D911"/>
  <c r="D910"/>
  <c r="D909"/>
  <c r="D908"/>
  <c r="D907"/>
  <c r="D906"/>
  <c r="D905"/>
  <c r="D904"/>
  <c r="D903"/>
  <c r="D902"/>
  <c r="D901"/>
  <c r="D900"/>
  <c r="D899"/>
  <c r="E1187"/>
  <c r="G1185"/>
  <c r="E1184"/>
  <c r="G1181"/>
  <c r="E1180"/>
  <c r="G1177"/>
  <c r="E1176"/>
  <c r="G1173"/>
  <c r="E1172"/>
  <c r="G1169"/>
  <c r="E1168"/>
  <c r="G1165"/>
  <c r="E1164"/>
  <c r="G1161"/>
  <c r="E1160"/>
  <c r="G1157"/>
  <c r="E1156"/>
  <c r="G1153"/>
  <c r="F1151"/>
  <c r="F1149"/>
  <c r="F1147"/>
  <c r="F1145"/>
  <c r="F1143"/>
  <c r="F1141"/>
  <c r="F1139"/>
  <c r="F1137"/>
  <c r="F1135"/>
  <c r="F1133"/>
  <c r="F1131"/>
  <c r="F1129"/>
  <c r="F1127"/>
  <c r="F1125"/>
  <c r="F1123"/>
  <c r="F1121"/>
  <c r="F1119"/>
  <c r="F1117"/>
  <c r="F1115"/>
  <c r="F1113"/>
  <c r="F1111"/>
  <c r="F1109"/>
  <c r="F1107"/>
  <c r="E1106"/>
  <c r="E1105"/>
  <c r="E1104"/>
  <c r="E1103"/>
  <c r="E1102"/>
  <c r="E1101"/>
  <c r="E1100"/>
  <c r="E1099"/>
  <c r="E1098"/>
  <c r="E1097"/>
  <c r="E1096"/>
  <c r="E1095"/>
  <c r="E1094"/>
  <c r="E1093"/>
  <c r="E1092"/>
  <c r="E1091"/>
  <c r="E1090"/>
  <c r="E1089"/>
  <c r="E1088"/>
  <c r="E1087"/>
  <c r="E1086"/>
  <c r="E1085"/>
  <c r="E1084"/>
  <c r="E1083"/>
  <c r="E1082"/>
  <c r="E1081"/>
  <c r="E1080"/>
  <c r="E1079"/>
  <c r="E1078"/>
  <c r="E1077"/>
  <c r="E1076"/>
  <c r="E1075"/>
  <c r="E1074"/>
  <c r="E1073"/>
  <c r="E1072"/>
  <c r="E1071"/>
  <c r="E1070"/>
  <c r="E1069"/>
  <c r="E1068"/>
  <c r="E1067"/>
  <c r="E1066"/>
  <c r="E1065"/>
  <c r="E1064"/>
  <c r="E1063"/>
  <c r="E1062"/>
  <c r="E1061"/>
  <c r="E1060"/>
  <c r="E1059"/>
  <c r="E1058"/>
  <c r="E1057"/>
  <c r="E1056"/>
  <c r="E1055"/>
  <c r="E1054"/>
  <c r="E1053"/>
  <c r="E1052"/>
  <c r="E1051"/>
  <c r="E1050"/>
  <c r="E1049"/>
  <c r="E1048"/>
  <c r="E1047"/>
  <c r="E1046"/>
  <c r="E1045"/>
  <c r="E1044"/>
  <c r="E1043"/>
  <c r="E1042"/>
  <c r="E1041"/>
  <c r="E1040"/>
  <c r="E1039"/>
  <c r="E1038"/>
  <c r="E1037"/>
  <c r="E1036"/>
  <c r="E1035"/>
  <c r="E1034"/>
  <c r="E1033"/>
  <c r="E1032"/>
  <c r="E1031"/>
  <c r="E1030"/>
  <c r="E1029"/>
  <c r="E1028"/>
  <c r="E1027"/>
  <c r="E1026"/>
  <c r="E1025"/>
  <c r="E1024"/>
  <c r="E1023"/>
  <c r="E1022"/>
  <c r="E1021"/>
  <c r="E1020"/>
  <c r="E1019"/>
  <c r="E1018"/>
  <c r="E1017"/>
  <c r="E1016"/>
  <c r="E1015"/>
  <c r="E1014"/>
  <c r="E1013"/>
  <c r="E1012"/>
  <c r="E1011"/>
  <c r="E1010"/>
  <c r="E1009"/>
  <c r="E1008"/>
  <c r="E1007"/>
  <c r="E1006"/>
  <c r="E1005"/>
  <c r="E1004"/>
  <c r="E1003"/>
  <c r="E1002"/>
  <c r="E1001"/>
  <c r="E1000"/>
  <c r="E999"/>
  <c r="E998"/>
  <c r="E997"/>
  <c r="E996"/>
  <c r="E995"/>
  <c r="E994"/>
  <c r="E993"/>
  <c r="E992"/>
  <c r="E991"/>
  <c r="E990"/>
  <c r="E989"/>
  <c r="E988"/>
  <c r="E987"/>
  <c r="E986"/>
  <c r="E985"/>
  <c r="E984"/>
  <c r="E983"/>
  <c r="E982"/>
  <c r="E981"/>
  <c r="E980"/>
  <c r="E979"/>
  <c r="E978"/>
  <c r="E977"/>
  <c r="E976"/>
  <c r="E975"/>
  <c r="E974"/>
  <c r="E973"/>
  <c r="E972"/>
  <c r="E971"/>
  <c r="E970"/>
  <c r="E969"/>
  <c r="E968"/>
  <c r="E967"/>
  <c r="E966"/>
  <c r="E965"/>
  <c r="E964"/>
  <c r="E963"/>
  <c r="E962"/>
  <c r="E961"/>
  <c r="E960"/>
  <c r="E959"/>
  <c r="E958"/>
  <c r="E957"/>
  <c r="E956"/>
  <c r="E955"/>
  <c r="E954"/>
  <c r="E953"/>
  <c r="E952"/>
  <c r="E951"/>
  <c r="E950"/>
  <c r="E949"/>
  <c r="E948"/>
  <c r="E947"/>
  <c r="E946"/>
  <c r="E945"/>
  <c r="E944"/>
  <c r="E943"/>
  <c r="E942"/>
  <c r="E941"/>
  <c r="E940"/>
  <c r="E939"/>
  <c r="E938"/>
  <c r="E937"/>
  <c r="E936"/>
  <c r="E935"/>
  <c r="E934"/>
  <c r="E933"/>
  <c r="E932"/>
  <c r="E931"/>
  <c r="E930"/>
  <c r="E929"/>
  <c r="E928"/>
  <c r="E927"/>
  <c r="E926"/>
  <c r="E925"/>
  <c r="E924"/>
  <c r="E923"/>
  <c r="E922"/>
  <c r="E921"/>
  <c r="E920"/>
  <c r="E919"/>
  <c r="E918"/>
  <c r="E917"/>
  <c r="E916"/>
  <c r="E915"/>
  <c r="E914"/>
  <c r="E913"/>
  <c r="E912"/>
  <c r="E911"/>
  <c r="E910"/>
  <c r="E909"/>
  <c r="E908"/>
  <c r="E907"/>
  <c r="E906"/>
  <c r="E905"/>
  <c r="E904"/>
  <c r="E903"/>
  <c r="E902"/>
  <c r="E901"/>
  <c r="E900"/>
  <c r="E899"/>
  <c r="E898"/>
  <c r="E897"/>
  <c r="E896"/>
  <c r="E895"/>
  <c r="E894"/>
  <c r="E893"/>
  <c r="E892"/>
  <c r="E891"/>
  <c r="E890"/>
  <c r="E889"/>
  <c r="D898"/>
  <c r="D897"/>
  <c r="D896"/>
  <c r="D895"/>
  <c r="D894"/>
  <c r="D893"/>
  <c r="D892"/>
  <c r="D891"/>
  <c r="D890"/>
  <c r="D889"/>
  <c r="D888"/>
  <c r="D887"/>
  <c r="D886"/>
  <c r="D885"/>
  <c r="D884"/>
  <c r="D883"/>
  <c r="D882"/>
  <c r="D881"/>
  <c r="D880"/>
  <c r="D879"/>
  <c r="D878"/>
  <c r="D877"/>
  <c r="D876"/>
  <c r="D875"/>
  <c r="D874"/>
  <c r="D873"/>
  <c r="D872"/>
  <c r="D871"/>
  <c r="D870"/>
  <c r="D869"/>
  <c r="D868"/>
  <c r="D867"/>
  <c r="D866"/>
  <c r="D865"/>
  <c r="D864"/>
  <c r="D863"/>
  <c r="D862"/>
  <c r="D861"/>
  <c r="D860"/>
  <c r="D859"/>
  <c r="D858"/>
  <c r="D857"/>
  <c r="D856"/>
  <c r="D855"/>
  <c r="D854"/>
  <c r="D853"/>
  <c r="D852"/>
  <c r="D851"/>
  <c r="D850"/>
  <c r="D849"/>
  <c r="D848"/>
  <c r="D847"/>
  <c r="D846"/>
  <c r="D845"/>
  <c r="D844"/>
  <c r="D843"/>
  <c r="D842"/>
  <c r="D841"/>
  <c r="D840"/>
  <c r="D839"/>
  <c r="D838"/>
  <c r="D837"/>
  <c r="D836"/>
  <c r="D835"/>
  <c r="D834"/>
  <c r="D833"/>
  <c r="D832"/>
  <c r="D831"/>
  <c r="D830"/>
  <c r="D829"/>
  <c r="D828"/>
  <c r="D827"/>
  <c r="D826"/>
  <c r="D825"/>
  <c r="D824"/>
  <c r="D823"/>
  <c r="D822"/>
  <c r="D821"/>
  <c r="D820"/>
  <c r="D819"/>
  <c r="D818"/>
  <c r="D817"/>
  <c r="D816"/>
  <c r="D815"/>
  <c r="D814"/>
  <c r="D813"/>
  <c r="D812"/>
  <c r="D811"/>
  <c r="D810"/>
  <c r="D809"/>
  <c r="D808"/>
  <c r="D807"/>
  <c r="D806"/>
  <c r="D805"/>
  <c r="D804"/>
  <c r="D803"/>
  <c r="D802"/>
  <c r="D801"/>
  <c r="D800"/>
  <c r="D799"/>
  <c r="D798"/>
  <c r="D797"/>
  <c r="D796"/>
  <c r="D795"/>
  <c r="D794"/>
  <c r="D793"/>
  <c r="D792"/>
  <c r="D791"/>
  <c r="D790"/>
  <c r="D789"/>
  <c r="D788"/>
  <c r="D787"/>
  <c r="D786"/>
  <c r="D785"/>
  <c r="D784"/>
  <c r="D783"/>
  <c r="D782"/>
  <c r="D781"/>
  <c r="D780"/>
  <c r="D779"/>
  <c r="D778"/>
  <c r="D777"/>
  <c r="D776"/>
  <c r="D775"/>
  <c r="D774"/>
  <c r="D773"/>
  <c r="D772"/>
  <c r="D771"/>
  <c r="D770"/>
  <c r="D769"/>
  <c r="D768"/>
  <c r="D767"/>
  <c r="D766"/>
  <c r="D765"/>
  <c r="D764"/>
  <c r="D763"/>
  <c r="D762"/>
  <c r="D761"/>
  <c r="D760"/>
  <c r="D759"/>
  <c r="D758"/>
  <c r="D757"/>
  <c r="D756"/>
  <c r="D755"/>
  <c r="D754"/>
  <c r="D753"/>
  <c r="D752"/>
  <c r="D751"/>
  <c r="D750"/>
  <c r="D749"/>
  <c r="D748"/>
  <c r="D747"/>
  <c r="D746"/>
  <c r="D745"/>
  <c r="D744"/>
  <c r="D743"/>
  <c r="D742"/>
  <c r="D741"/>
  <c r="D740"/>
  <c r="D739"/>
  <c r="D738"/>
  <c r="D737"/>
  <c r="D736"/>
  <c r="D735"/>
  <c r="D734"/>
  <c r="D733"/>
  <c r="D732"/>
  <c r="D731"/>
  <c r="D730"/>
  <c r="D729"/>
  <c r="D728"/>
  <c r="D727"/>
  <c r="D726"/>
  <c r="D725"/>
  <c r="D724"/>
  <c r="D723"/>
  <c r="D722"/>
  <c r="D721"/>
  <c r="D720"/>
  <c r="D719"/>
  <c r="D718"/>
  <c r="D717"/>
  <c r="D716"/>
  <c r="D715"/>
  <c r="D714"/>
  <c r="D713"/>
  <c r="D712"/>
  <c r="D711"/>
  <c r="D710"/>
  <c r="D709"/>
  <c r="D708"/>
  <c r="D707"/>
  <c r="D706"/>
  <c r="D705"/>
  <c r="D704"/>
  <c r="D703"/>
  <c r="D702"/>
  <c r="D701"/>
  <c r="D700"/>
  <c r="D699"/>
  <c r="D698"/>
  <c r="D697"/>
  <c r="D696"/>
  <c r="D695"/>
  <c r="D694"/>
  <c r="D693"/>
  <c r="D692"/>
  <c r="D691"/>
  <c r="D690"/>
  <c r="D689"/>
  <c r="D688"/>
  <c r="D687"/>
  <c r="D686"/>
  <c r="D685"/>
  <c r="D684"/>
  <c r="D683"/>
  <c r="D682"/>
  <c r="D681"/>
  <c r="D680"/>
  <c r="D679"/>
  <c r="D678"/>
  <c r="D677"/>
  <c r="D676"/>
  <c r="D675"/>
  <c r="D674"/>
  <c r="D673"/>
  <c r="D672"/>
  <c r="D671"/>
  <c r="D670"/>
  <c r="D669"/>
  <c r="D668"/>
  <c r="D667"/>
  <c r="D666"/>
  <c r="D665"/>
  <c r="D664"/>
  <c r="D663"/>
  <c r="D662"/>
  <c r="D661"/>
  <c r="D660"/>
  <c r="D659"/>
  <c r="D658"/>
  <c r="D657"/>
  <c r="D656"/>
  <c r="D655"/>
  <c r="D654"/>
  <c r="D653"/>
  <c r="D652"/>
  <c r="D651"/>
  <c r="D650"/>
  <c r="D649"/>
  <c r="D648"/>
  <c r="D647"/>
  <c r="D646"/>
  <c r="D645"/>
  <c r="D644"/>
  <c r="D643"/>
  <c r="D642"/>
  <c r="D641"/>
  <c r="D640"/>
  <c r="D639"/>
  <c r="D638"/>
  <c r="D637"/>
  <c r="D636"/>
  <c r="D635"/>
  <c r="D634"/>
  <c r="D633"/>
  <c r="D632"/>
  <c r="D631"/>
  <c r="D630"/>
  <c r="D629"/>
  <c r="D628"/>
  <c r="D627"/>
  <c r="D626"/>
  <c r="D625"/>
  <c r="D624"/>
  <c r="D623"/>
  <c r="D622"/>
  <c r="D621"/>
  <c r="D620"/>
  <c r="D619"/>
  <c r="D618"/>
  <c r="D617"/>
  <c r="D616"/>
  <c r="D615"/>
  <c r="D614"/>
  <c r="D613"/>
  <c r="D612"/>
  <c r="D611"/>
  <c r="D610"/>
  <c r="D609"/>
  <c r="D608"/>
  <c r="D607"/>
  <c r="D606"/>
  <c r="D605"/>
  <c r="D604"/>
  <c r="D603"/>
  <c r="D602"/>
  <c r="D601"/>
  <c r="D600"/>
  <c r="D599"/>
  <c r="D598"/>
  <c r="D597"/>
  <c r="D596"/>
  <c r="D595"/>
  <c r="D594"/>
  <c r="D593"/>
  <c r="D592"/>
  <c r="D591"/>
  <c r="D590"/>
  <c r="D589"/>
  <c r="D588"/>
  <c r="D587"/>
  <c r="D586"/>
  <c r="D585"/>
  <c r="D584"/>
  <c r="D583"/>
  <c r="D582"/>
  <c r="D581"/>
  <c r="D580"/>
  <c r="D579"/>
  <c r="D578"/>
  <c r="D577"/>
  <c r="D576"/>
  <c r="D575"/>
  <c r="D574"/>
  <c r="D573"/>
  <c r="D572"/>
  <c r="D571"/>
  <c r="D570"/>
  <c r="D569"/>
  <c r="D568"/>
  <c r="D567"/>
  <c r="D566"/>
  <c r="D565"/>
  <c r="D564"/>
  <c r="D563"/>
  <c r="D562"/>
  <c r="D561"/>
  <c r="D560"/>
  <c r="D559"/>
  <c r="D558"/>
  <c r="D557"/>
  <c r="D556"/>
  <c r="D555"/>
  <c r="D554"/>
  <c r="D553"/>
  <c r="D552"/>
  <c r="D551"/>
  <c r="D550"/>
  <c r="D549"/>
  <c r="D548"/>
  <c r="D547"/>
  <c r="D546"/>
  <c r="D545"/>
  <c r="D544"/>
  <c r="D543"/>
  <c r="D542"/>
  <c r="D541"/>
  <c r="D540"/>
  <c r="D539"/>
  <c r="D538"/>
  <c r="D537"/>
  <c r="D536"/>
  <c r="D535"/>
  <c r="D534"/>
  <c r="D533"/>
  <c r="D532"/>
  <c r="D531"/>
  <c r="D530"/>
  <c r="D529"/>
  <c r="D528"/>
  <c r="D527"/>
  <c r="D526"/>
  <c r="D525"/>
  <c r="D524"/>
  <c r="D523"/>
  <c r="D522"/>
  <c r="D521"/>
  <c r="D520"/>
  <c r="D519"/>
  <c r="D518"/>
  <c r="D517"/>
  <c r="D516"/>
  <c r="D515"/>
  <c r="D514"/>
  <c r="D513"/>
  <c r="D512"/>
  <c r="D511"/>
  <c r="D510"/>
  <c r="D509"/>
  <c r="D508"/>
  <c r="D507"/>
  <c r="D506"/>
  <c r="D505"/>
  <c r="D504"/>
  <c r="D503"/>
  <c r="D502"/>
  <c r="D501"/>
  <c r="D500"/>
  <c r="D499"/>
  <c r="D498"/>
  <c r="D497"/>
  <c r="D496"/>
  <c r="D495"/>
  <c r="D494"/>
  <c r="D493"/>
  <c r="D492"/>
  <c r="D491"/>
  <c r="D490"/>
  <c r="D489"/>
  <c r="D488"/>
  <c r="D487"/>
  <c r="D486"/>
  <c r="D485"/>
  <c r="D484"/>
  <c r="D483"/>
  <c r="D482"/>
  <c r="D481"/>
  <c r="D480"/>
  <c r="D479"/>
  <c r="D478"/>
  <c r="D477"/>
  <c r="D476"/>
  <c r="D475"/>
  <c r="D474"/>
  <c r="D473"/>
  <c r="D472"/>
  <c r="D471"/>
  <c r="D470"/>
  <c r="D469"/>
  <c r="D468"/>
  <c r="D467"/>
  <c r="D466"/>
  <c r="D465"/>
  <c r="D464"/>
  <c r="D463"/>
  <c r="D462"/>
  <c r="D461"/>
  <c r="D460"/>
  <c r="D459"/>
  <c r="D458"/>
  <c r="D457"/>
  <c r="D456"/>
  <c r="D455"/>
  <c r="D454"/>
  <c r="D453"/>
  <c r="D452"/>
  <c r="D451"/>
  <c r="D450"/>
  <c r="D449"/>
  <c r="D448"/>
  <c r="D447"/>
  <c r="D446"/>
  <c r="D445"/>
  <c r="D444"/>
  <c r="D443"/>
  <c r="D442"/>
  <c r="D441"/>
  <c r="D440"/>
  <c r="D439"/>
  <c r="D438"/>
  <c r="D437"/>
  <c r="D436"/>
  <c r="D435"/>
  <c r="D434"/>
  <c r="D433"/>
  <c r="D432"/>
  <c r="D431"/>
  <c r="D430"/>
  <c r="D429"/>
  <c r="D428"/>
  <c r="D427"/>
  <c r="D426"/>
  <c r="D425"/>
  <c r="D424"/>
  <c r="D423"/>
  <c r="D422"/>
  <c r="D421"/>
  <c r="D420"/>
  <c r="D419"/>
  <c r="D418"/>
  <c r="D417"/>
  <c r="D416"/>
  <c r="D415"/>
  <c r="D414"/>
  <c r="D413"/>
  <c r="D412"/>
  <c r="D411"/>
  <c r="D410"/>
  <c r="D409"/>
  <c r="D408"/>
  <c r="D407"/>
  <c r="D406"/>
  <c r="D405"/>
  <c r="D404"/>
  <c r="D403"/>
  <c r="D402"/>
  <c r="D401"/>
  <c r="D400"/>
  <c r="D399"/>
  <c r="D398"/>
  <c r="D397"/>
  <c r="D396"/>
  <c r="D395"/>
  <c r="D394"/>
  <c r="D393"/>
  <c r="D392"/>
  <c r="D391"/>
  <c r="D390"/>
  <c r="D389"/>
  <c r="D388"/>
  <c r="D387"/>
  <c r="D386"/>
  <c r="D385"/>
  <c r="D384"/>
  <c r="D383"/>
  <c r="D382"/>
  <c r="F898"/>
  <c r="F897"/>
  <c r="F896"/>
  <c r="F895"/>
  <c r="F894"/>
  <c r="F893"/>
  <c r="F892"/>
  <c r="F891"/>
  <c r="F890"/>
  <c r="F889"/>
  <c r="E888"/>
  <c r="E887"/>
  <c r="E886"/>
  <c r="E885"/>
  <c r="E884"/>
  <c r="E883"/>
  <c r="E882"/>
  <c r="E881"/>
  <c r="E880"/>
  <c r="E879"/>
  <c r="E878"/>
  <c r="E877"/>
  <c r="E876"/>
  <c r="E875"/>
  <c r="E874"/>
  <c r="E873"/>
  <c r="E872"/>
  <c r="E871"/>
  <c r="E870"/>
  <c r="E869"/>
  <c r="E868"/>
  <c r="E867"/>
  <c r="E866"/>
  <c r="E865"/>
  <c r="E864"/>
  <c r="E863"/>
  <c r="E862"/>
  <c r="E861"/>
  <c r="E860"/>
  <c r="E859"/>
  <c r="E858"/>
  <c r="E857"/>
  <c r="E856"/>
  <c r="E855"/>
  <c r="E854"/>
  <c r="E853"/>
  <c r="E852"/>
  <c r="E851"/>
  <c r="E850"/>
  <c r="E849"/>
  <c r="E848"/>
  <c r="E847"/>
  <c r="E846"/>
  <c r="E845"/>
  <c r="E844"/>
  <c r="E843"/>
  <c r="E842"/>
  <c r="E841"/>
  <c r="E840"/>
  <c r="E839"/>
  <c r="E838"/>
  <c r="E837"/>
  <c r="E836"/>
  <c r="E835"/>
  <c r="E834"/>
  <c r="E833"/>
  <c r="E832"/>
  <c r="E831"/>
  <c r="E830"/>
  <c r="E829"/>
  <c r="E828"/>
  <c r="E827"/>
  <c r="E826"/>
  <c r="E825"/>
  <c r="E824"/>
  <c r="E823"/>
  <c r="E822"/>
  <c r="E821"/>
  <c r="E820"/>
  <c r="E819"/>
  <c r="E818"/>
  <c r="E817"/>
  <c r="E816"/>
  <c r="E815"/>
  <c r="E814"/>
  <c r="E813"/>
  <c r="E812"/>
  <c r="E811"/>
  <c r="E810"/>
  <c r="E809"/>
  <c r="E808"/>
  <c r="E807"/>
  <c r="E806"/>
  <c r="E805"/>
  <c r="E804"/>
  <c r="E803"/>
  <c r="E802"/>
  <c r="E801"/>
  <c r="E800"/>
  <c r="E799"/>
  <c r="E798"/>
  <c r="E797"/>
  <c r="E796"/>
  <c r="E795"/>
  <c r="E794"/>
  <c r="E793"/>
  <c r="E792"/>
  <c r="E791"/>
  <c r="E790"/>
  <c r="E789"/>
  <c r="E788"/>
  <c r="E787"/>
  <c r="E786"/>
  <c r="E785"/>
  <c r="E784"/>
  <c r="E783"/>
  <c r="E782"/>
  <c r="E781"/>
  <c r="E780"/>
  <c r="E779"/>
  <c r="E778"/>
  <c r="E777"/>
  <c r="E776"/>
  <c r="E775"/>
  <c r="E774"/>
  <c r="E773"/>
  <c r="E772"/>
  <c r="E771"/>
  <c r="E770"/>
  <c r="E769"/>
  <c r="E768"/>
  <c r="E767"/>
  <c r="E766"/>
  <c r="E765"/>
  <c r="E764"/>
  <c r="E763"/>
  <c r="E762"/>
  <c r="E761"/>
  <c r="E760"/>
  <c r="E759"/>
  <c r="E758"/>
  <c r="E757"/>
  <c r="E756"/>
  <c r="E755"/>
  <c r="E754"/>
  <c r="E753"/>
  <c r="E752"/>
  <c r="E751"/>
  <c r="E750"/>
  <c r="E749"/>
  <c r="E748"/>
  <c r="E747"/>
  <c r="E746"/>
  <c r="E745"/>
  <c r="E744"/>
  <c r="E743"/>
  <c r="E742"/>
  <c r="E741"/>
  <c r="E740"/>
  <c r="E739"/>
  <c r="E738"/>
  <c r="E737"/>
  <c r="E736"/>
  <c r="E735"/>
  <c r="E734"/>
  <c r="E733"/>
  <c r="E732"/>
  <c r="E731"/>
  <c r="E730"/>
  <c r="E729"/>
  <c r="E728"/>
  <c r="E727"/>
  <c r="E726"/>
  <c r="E725"/>
  <c r="E724"/>
  <c r="E723"/>
  <c r="E722"/>
  <c r="E721"/>
  <c r="E720"/>
  <c r="E719"/>
  <c r="E718"/>
  <c r="E717"/>
  <c r="E716"/>
  <c r="E715"/>
  <c r="E714"/>
  <c r="E713"/>
  <c r="E712"/>
  <c r="E711"/>
  <c r="E710"/>
  <c r="E709"/>
  <c r="E708"/>
  <c r="E707"/>
  <c r="E706"/>
  <c r="E705"/>
  <c r="E704"/>
  <c r="E703"/>
  <c r="E702"/>
  <c r="E701"/>
  <c r="E700"/>
  <c r="E699"/>
  <c r="E698"/>
  <c r="E697"/>
  <c r="E696"/>
  <c r="E695"/>
  <c r="E694"/>
  <c r="E693"/>
  <c r="E692"/>
  <c r="E691"/>
  <c r="E690"/>
  <c r="E689"/>
  <c r="E688"/>
  <c r="E687"/>
  <c r="E686"/>
  <c r="E685"/>
  <c r="E684"/>
  <c r="E683"/>
  <c r="E682"/>
  <c r="E681"/>
  <c r="E680"/>
  <c r="E679"/>
  <c r="E678"/>
  <c r="E677"/>
  <c r="E676"/>
  <c r="E675"/>
  <c r="E674"/>
  <c r="E673"/>
  <c r="E672"/>
  <c r="E671"/>
  <c r="E670"/>
  <c r="E669"/>
  <c r="E668"/>
  <c r="E667"/>
  <c r="E666"/>
  <c r="E665"/>
  <c r="E664"/>
  <c r="E663"/>
  <c r="E662"/>
  <c r="E661"/>
  <c r="E660"/>
  <c r="E659"/>
  <c r="E658"/>
  <c r="E657"/>
  <c r="E656"/>
  <c r="E655"/>
  <c r="E654"/>
  <c r="E653"/>
  <c r="E652"/>
  <c r="E651"/>
  <c r="E650"/>
  <c r="E649"/>
  <c r="E648"/>
  <c r="E647"/>
  <c r="E646"/>
  <c r="E645"/>
  <c r="E644"/>
  <c r="E643"/>
  <c r="E642"/>
  <c r="E641"/>
  <c r="E640"/>
  <c r="E639"/>
  <c r="E638"/>
  <c r="E637"/>
  <c r="E636"/>
  <c r="E635"/>
  <c r="E634"/>
  <c r="E633"/>
  <c r="E632"/>
  <c r="E631"/>
  <c r="E630"/>
  <c r="E629"/>
  <c r="E628"/>
  <c r="E627"/>
  <c r="E626"/>
  <c r="E625"/>
  <c r="E624"/>
  <c r="E623"/>
  <c r="E622"/>
  <c r="E621"/>
  <c r="E620"/>
  <c r="E619"/>
  <c r="E618"/>
  <c r="E617"/>
  <c r="E616"/>
  <c r="E615"/>
  <c r="E614"/>
  <c r="E613"/>
  <c r="E612"/>
  <c r="E611"/>
  <c r="E610"/>
  <c r="E609"/>
  <c r="E608"/>
  <c r="E607"/>
  <c r="E606"/>
  <c r="E605"/>
  <c r="E604"/>
  <c r="E603"/>
  <c r="E602"/>
  <c r="E601"/>
  <c r="E600"/>
  <c r="E599"/>
  <c r="E598"/>
  <c r="E597"/>
  <c r="E596"/>
  <c r="E595"/>
  <c r="E594"/>
  <c r="E593"/>
  <c r="E592"/>
  <c r="E591"/>
  <c r="E590"/>
  <c r="E589"/>
  <c r="E588"/>
  <c r="E587"/>
  <c r="E586"/>
  <c r="E585"/>
  <c r="E584"/>
  <c r="E583"/>
  <c r="E582"/>
  <c r="E581"/>
  <c r="E580"/>
  <c r="E579"/>
  <c r="E578"/>
  <c r="E577"/>
  <c r="E576"/>
  <c r="E575"/>
  <c r="E574"/>
  <c r="E573"/>
  <c r="E572"/>
  <c r="E571"/>
  <c r="E570"/>
  <c r="E569"/>
  <c r="E568"/>
  <c r="E567"/>
  <c r="E566"/>
  <c r="E565"/>
  <c r="E564"/>
  <c r="E563"/>
  <c r="E562"/>
  <c r="E561"/>
  <c r="E560"/>
  <c r="E559"/>
  <c r="E558"/>
  <c r="E557"/>
  <c r="E556"/>
  <c r="E555"/>
  <c r="E554"/>
  <c r="E553"/>
  <c r="E552"/>
  <c r="E551"/>
  <c r="E550"/>
  <c r="E549"/>
  <c r="E548"/>
  <c r="E547"/>
  <c r="E546"/>
  <c r="E545"/>
  <c r="E544"/>
  <c r="E543"/>
  <c r="E542"/>
  <c r="E541"/>
  <c r="E540"/>
  <c r="E539"/>
  <c r="E538"/>
  <c r="E537"/>
  <c r="E536"/>
  <c r="E535"/>
  <c r="E534"/>
  <c r="E533"/>
  <c r="E532"/>
  <c r="E531"/>
  <c r="E530"/>
  <c r="E529"/>
  <c r="E528"/>
  <c r="E527"/>
  <c r="E526"/>
  <c r="E525"/>
  <c r="E524"/>
  <c r="E523"/>
  <c r="E522"/>
  <c r="E521"/>
  <c r="E520"/>
  <c r="E519"/>
  <c r="E518"/>
  <c r="E517"/>
  <c r="E516"/>
  <c r="E515"/>
  <c r="E514"/>
  <c r="E513"/>
  <c r="E512"/>
  <c r="E511"/>
  <c r="E510"/>
  <c r="E509"/>
  <c r="E508"/>
  <c r="E507"/>
  <c r="E506"/>
  <c r="E505"/>
  <c r="E504"/>
  <c r="E503"/>
  <c r="E502"/>
  <c r="E501"/>
  <c r="E500"/>
  <c r="E499"/>
  <c r="E498"/>
  <c r="E497"/>
  <c r="E496"/>
  <c r="E495"/>
  <c r="E494"/>
  <c r="E493"/>
  <c r="E492"/>
  <c r="E491"/>
  <c r="E490"/>
  <c r="E489"/>
  <c r="E488"/>
  <c r="E487"/>
  <c r="E486"/>
  <c r="E485"/>
  <c r="E484"/>
  <c r="E483"/>
  <c r="E482"/>
  <c r="E481"/>
  <c r="E480"/>
  <c r="E479"/>
  <c r="E478"/>
  <c r="E477"/>
  <c r="E476"/>
  <c r="E475"/>
  <c r="E474"/>
  <c r="E473"/>
  <c r="E472"/>
  <c r="E471"/>
  <c r="E470"/>
  <c r="E469"/>
  <c r="E468"/>
  <c r="E467"/>
  <c r="E466"/>
  <c r="E465"/>
  <c r="E464"/>
  <c r="E463"/>
  <c r="E462"/>
  <c r="E461"/>
  <c r="E460"/>
  <c r="E459"/>
  <c r="E458"/>
  <c r="E457"/>
  <c r="E456"/>
  <c r="E455"/>
  <c r="E454"/>
  <c r="E453"/>
  <c r="E452"/>
  <c r="E451"/>
  <c r="E450"/>
  <c r="E449"/>
  <c r="E448"/>
  <c r="E447"/>
  <c r="E446"/>
  <c r="E445"/>
  <c r="E444"/>
  <c r="E443"/>
  <c r="E442"/>
  <c r="E441"/>
  <c r="E440"/>
  <c r="E439"/>
  <c r="E438"/>
  <c r="E437"/>
  <c r="E436"/>
  <c r="E435"/>
  <c r="E434"/>
  <c r="E433"/>
  <c r="E432"/>
  <c r="E431"/>
  <c r="E430"/>
  <c r="E429"/>
  <c r="E428"/>
  <c r="E427"/>
  <c r="E426"/>
  <c r="E425"/>
  <c r="E424"/>
  <c r="E423"/>
  <c r="E422"/>
  <c r="E421"/>
  <c r="E420"/>
  <c r="E419"/>
  <c r="E418"/>
  <c r="E417"/>
  <c r="E416"/>
  <c r="E415"/>
  <c r="E414"/>
  <c r="E413"/>
  <c r="E412"/>
  <c r="E411"/>
  <c r="E410"/>
  <c r="E409"/>
  <c r="E408"/>
  <c r="E407"/>
  <c r="E406"/>
  <c r="E405"/>
  <c r="E404"/>
  <c r="E403"/>
  <c r="E402"/>
  <c r="E401"/>
  <c r="E400"/>
  <c r="E399"/>
  <c r="E398"/>
  <c r="E397"/>
  <c r="E396"/>
  <c r="E395"/>
  <c r="E394"/>
  <c r="E393"/>
  <c r="E392"/>
  <c r="E391"/>
  <c r="E390"/>
  <c r="E389"/>
  <c r="E388"/>
  <c r="E387"/>
  <c r="E386"/>
  <c r="E385"/>
  <c r="F888"/>
  <c r="F887"/>
  <c r="F886"/>
  <c r="F885"/>
  <c r="F884"/>
  <c r="F883"/>
  <c r="F882"/>
  <c r="F881"/>
  <c r="F880"/>
  <c r="F879"/>
  <c r="F878"/>
  <c r="F877"/>
  <c r="F876"/>
  <c r="F875"/>
  <c r="F874"/>
  <c r="F873"/>
  <c r="F872"/>
  <c r="F871"/>
  <c r="F870"/>
  <c r="F869"/>
  <c r="F868"/>
  <c r="F867"/>
  <c r="F866"/>
  <c r="F865"/>
  <c r="F864"/>
  <c r="F863"/>
  <c r="F862"/>
  <c r="F861"/>
  <c r="F860"/>
  <c r="F859"/>
  <c r="F858"/>
  <c r="F857"/>
  <c r="F856"/>
  <c r="F855"/>
  <c r="F854"/>
  <c r="F853"/>
  <c r="F852"/>
  <c r="F851"/>
  <c r="F850"/>
  <c r="F849"/>
  <c r="F848"/>
  <c r="F847"/>
  <c r="F846"/>
  <c r="F845"/>
  <c r="F844"/>
  <c r="F843"/>
  <c r="F842"/>
  <c r="F841"/>
  <c r="F840"/>
  <c r="F839"/>
  <c r="F838"/>
  <c r="F837"/>
  <c r="F836"/>
  <c r="F835"/>
  <c r="F834"/>
  <c r="F833"/>
  <c r="F832"/>
  <c r="F831"/>
  <c r="F830"/>
  <c r="F829"/>
  <c r="F828"/>
  <c r="F827"/>
  <c r="F826"/>
  <c r="F825"/>
  <c r="F824"/>
  <c r="F823"/>
  <c r="F822"/>
  <c r="F821"/>
  <c r="F820"/>
  <c r="F819"/>
  <c r="F818"/>
  <c r="F817"/>
  <c r="F816"/>
  <c r="F815"/>
  <c r="F814"/>
  <c r="F813"/>
  <c r="F812"/>
  <c r="F811"/>
  <c r="F810"/>
  <c r="F809"/>
  <c r="F808"/>
  <c r="F807"/>
  <c r="F806"/>
  <c r="F805"/>
  <c r="F804"/>
  <c r="F803"/>
  <c r="F802"/>
  <c r="F801"/>
  <c r="F800"/>
  <c r="F799"/>
  <c r="F798"/>
  <c r="F797"/>
  <c r="F796"/>
  <c r="F795"/>
  <c r="F794"/>
  <c r="F793"/>
  <c r="F792"/>
  <c r="F791"/>
  <c r="F790"/>
  <c r="F789"/>
  <c r="F788"/>
  <c r="F787"/>
  <c r="F786"/>
  <c r="F785"/>
  <c r="F784"/>
  <c r="F783"/>
  <c r="F782"/>
  <c r="F781"/>
  <c r="F780"/>
  <c r="F779"/>
  <c r="F778"/>
  <c r="F777"/>
  <c r="F776"/>
  <c r="F775"/>
  <c r="F774"/>
  <c r="F773"/>
  <c r="F772"/>
  <c r="F771"/>
  <c r="F770"/>
  <c r="F769"/>
  <c r="F768"/>
  <c r="F767"/>
  <c r="F766"/>
  <c r="F765"/>
  <c r="F764"/>
  <c r="F763"/>
  <c r="F762"/>
  <c r="F761"/>
  <c r="F760"/>
  <c r="F759"/>
  <c r="F758"/>
  <c r="F757"/>
  <c r="F756"/>
  <c r="F755"/>
  <c r="F754"/>
  <c r="F753"/>
  <c r="F752"/>
  <c r="F751"/>
  <c r="F750"/>
  <c r="F749"/>
  <c r="F748"/>
  <c r="F747"/>
  <c r="F746"/>
  <c r="F745"/>
  <c r="F744"/>
  <c r="F743"/>
  <c r="F742"/>
  <c r="F741"/>
  <c r="F740"/>
  <c r="F739"/>
  <c r="F738"/>
  <c r="F737"/>
  <c r="F736"/>
  <c r="F735"/>
  <c r="F734"/>
  <c r="F733"/>
  <c r="F732"/>
  <c r="F731"/>
  <c r="F730"/>
  <c r="F729"/>
  <c r="F728"/>
  <c r="F727"/>
  <c r="F726"/>
  <c r="F725"/>
  <c r="F724"/>
  <c r="F723"/>
  <c r="F722"/>
  <c r="F721"/>
  <c r="F720"/>
  <c r="F719"/>
  <c r="F718"/>
  <c r="F717"/>
  <c r="F716"/>
  <c r="F715"/>
  <c r="F714"/>
  <c r="F713"/>
  <c r="F712"/>
  <c r="F711"/>
  <c r="F710"/>
  <c r="F709"/>
  <c r="F708"/>
  <c r="F707"/>
  <c r="F706"/>
  <c r="F705"/>
  <c r="F704"/>
  <c r="F703"/>
  <c r="F702"/>
  <c r="F701"/>
  <c r="F700"/>
  <c r="F699"/>
  <c r="F698"/>
  <c r="F697"/>
  <c r="F696"/>
  <c r="F695"/>
  <c r="F694"/>
  <c r="F693"/>
  <c r="F692"/>
  <c r="F691"/>
  <c r="F690"/>
  <c r="F689"/>
  <c r="F688"/>
  <c r="F687"/>
  <c r="F686"/>
  <c r="F685"/>
  <c r="F684"/>
  <c r="F683"/>
  <c r="F682"/>
  <c r="F681"/>
  <c r="F680"/>
  <c r="F679"/>
  <c r="F678"/>
  <c r="F677"/>
  <c r="F676"/>
  <c r="F675"/>
  <c r="F674"/>
  <c r="F673"/>
  <c r="F672"/>
  <c r="F671"/>
  <c r="F670"/>
  <c r="F669"/>
  <c r="F668"/>
  <c r="F667"/>
  <c r="F666"/>
  <c r="F665"/>
  <c r="F664"/>
  <c r="F663"/>
  <c r="F662"/>
  <c r="F661"/>
  <c r="F660"/>
  <c r="F659"/>
  <c r="F658"/>
  <c r="F657"/>
  <c r="F656"/>
  <c r="F655"/>
  <c r="F654"/>
  <c r="F653"/>
  <c r="F652"/>
  <c r="F651"/>
  <c r="F650"/>
  <c r="F649"/>
  <c r="F648"/>
  <c r="F647"/>
  <c r="F646"/>
  <c r="F645"/>
  <c r="F644"/>
  <c r="F643"/>
  <c r="F642"/>
  <c r="F641"/>
  <c r="F640"/>
  <c r="F639"/>
  <c r="F638"/>
  <c r="F637"/>
  <c r="F636"/>
  <c r="F635"/>
  <c r="F634"/>
  <c r="F633"/>
  <c r="F632"/>
  <c r="F631"/>
  <c r="F630"/>
  <c r="F629"/>
  <c r="F628"/>
  <c r="F627"/>
  <c r="F626"/>
  <c r="F625"/>
  <c r="F624"/>
  <c r="F623"/>
  <c r="F622"/>
  <c r="F621"/>
  <c r="F620"/>
  <c r="F619"/>
  <c r="F618"/>
  <c r="F617"/>
  <c r="F616"/>
  <c r="F615"/>
  <c r="F614"/>
  <c r="F613"/>
  <c r="F612"/>
  <c r="F611"/>
  <c r="F610"/>
  <c r="F609"/>
  <c r="F608"/>
  <c r="F607"/>
  <c r="F606"/>
  <c r="F605"/>
  <c r="F604"/>
  <c r="F603"/>
  <c r="F602"/>
  <c r="F601"/>
  <c r="F600"/>
  <c r="F599"/>
  <c r="F598"/>
  <c r="F597"/>
  <c r="F596"/>
  <c r="F595"/>
  <c r="F594"/>
  <c r="F593"/>
  <c r="F592"/>
  <c r="F591"/>
  <c r="F590"/>
  <c r="F589"/>
  <c r="F588"/>
  <c r="F587"/>
  <c r="F586"/>
  <c r="F585"/>
  <c r="F584"/>
  <c r="F583"/>
  <c r="F582"/>
  <c r="F581"/>
  <c r="F580"/>
  <c r="F579"/>
  <c r="F578"/>
  <c r="F577"/>
  <c r="F576"/>
  <c r="F575"/>
  <c r="F574"/>
  <c r="F573"/>
  <c r="F572"/>
  <c r="F571"/>
  <c r="F570"/>
  <c r="F569"/>
  <c r="F568"/>
  <c r="F567"/>
  <c r="F566"/>
  <c r="F565"/>
  <c r="F564"/>
  <c r="F563"/>
  <c r="F562"/>
  <c r="F561"/>
  <c r="F560"/>
  <c r="F559"/>
  <c r="F558"/>
  <c r="F557"/>
  <c r="F556"/>
  <c r="F555"/>
  <c r="F554"/>
  <c r="F553"/>
  <c r="F552"/>
  <c r="F551"/>
  <c r="F550"/>
  <c r="F549"/>
  <c r="F548"/>
  <c r="F547"/>
  <c r="F546"/>
  <c r="F545"/>
  <c r="F544"/>
  <c r="F543"/>
  <c r="F542"/>
  <c r="F541"/>
  <c r="F540"/>
  <c r="F539"/>
  <c r="F538"/>
  <c r="F537"/>
  <c r="F536"/>
  <c r="F535"/>
  <c r="F534"/>
  <c r="F533"/>
  <c r="F532"/>
  <c r="F531"/>
  <c r="F530"/>
  <c r="F529"/>
  <c r="F528"/>
  <c r="F527"/>
  <c r="F526"/>
  <c r="F525"/>
  <c r="F524"/>
  <c r="F523"/>
  <c r="F522"/>
  <c r="F521"/>
  <c r="F520"/>
  <c r="F519"/>
  <c r="F518"/>
  <c r="F517"/>
  <c r="F516"/>
  <c r="F515"/>
  <c r="F514"/>
  <c r="F513"/>
  <c r="F512"/>
  <c r="F511"/>
  <c r="F510"/>
  <c r="F509"/>
  <c r="F508"/>
  <c r="F507"/>
  <c r="F506"/>
  <c r="F505"/>
  <c r="F504"/>
  <c r="F503"/>
  <c r="F502"/>
  <c r="F501"/>
  <c r="F500"/>
  <c r="F499"/>
  <c r="F498"/>
  <c r="F497"/>
  <c r="F496"/>
  <c r="F495"/>
  <c r="F494"/>
  <c r="F493"/>
  <c r="F492"/>
  <c r="F491"/>
  <c r="F490"/>
  <c r="F489"/>
  <c r="F488"/>
  <c r="F487"/>
  <c r="F486"/>
  <c r="F485"/>
  <c r="F484"/>
  <c r="F483"/>
  <c r="F482"/>
  <c r="F481"/>
  <c r="F480"/>
  <c r="F479"/>
  <c r="F478"/>
  <c r="F477"/>
  <c r="F476"/>
  <c r="F475"/>
  <c r="F474"/>
  <c r="F473"/>
  <c r="F472"/>
  <c r="F471"/>
  <c r="F470"/>
  <c r="F469"/>
  <c r="F468"/>
  <c r="F467"/>
  <c r="F466"/>
  <c r="F465"/>
  <c r="F464"/>
  <c r="F463"/>
  <c r="F462"/>
  <c r="F461"/>
  <c r="F460"/>
  <c r="F459"/>
  <c r="F458"/>
  <c r="F457"/>
  <c r="F456"/>
  <c r="F455"/>
  <c r="F454"/>
  <c r="F453"/>
  <c r="F452"/>
  <c r="F451"/>
  <c r="F450"/>
  <c r="F449"/>
  <c r="F448"/>
  <c r="F447"/>
  <c r="F446"/>
  <c r="F445"/>
  <c r="F444"/>
  <c r="F443"/>
  <c r="F442"/>
  <c r="F441"/>
  <c r="F440"/>
  <c r="F439"/>
  <c r="F438"/>
  <c r="F437"/>
  <c r="F436"/>
  <c r="F435"/>
  <c r="F434"/>
  <c r="F433"/>
  <c r="F432"/>
  <c r="F431"/>
  <c r="F430"/>
  <c r="F429"/>
  <c r="F428"/>
  <c r="F427"/>
  <c r="F426"/>
  <c r="F425"/>
  <c r="F424"/>
  <c r="F423"/>
  <c r="F422"/>
  <c r="F421"/>
  <c r="F420"/>
  <c r="F419"/>
  <c r="F418"/>
  <c r="F417"/>
  <c r="F416"/>
  <c r="F415"/>
  <c r="F414"/>
  <c r="F413"/>
  <c r="F412"/>
  <c r="F411"/>
  <c r="F410"/>
  <c r="F409"/>
  <c r="F408"/>
  <c r="F407"/>
  <c r="F406"/>
  <c r="F405"/>
  <c r="F404"/>
  <c r="G888"/>
  <c r="G887"/>
  <c r="G886"/>
  <c r="G885"/>
  <c r="G884"/>
  <c r="G883"/>
  <c r="G882"/>
  <c r="G881"/>
  <c r="G880"/>
  <c r="G879"/>
  <c r="G878"/>
  <c r="G877"/>
  <c r="G876"/>
  <c r="G875"/>
  <c r="G874"/>
  <c r="G873"/>
  <c r="G872"/>
  <c r="G871"/>
  <c r="G870"/>
  <c r="G869"/>
  <c r="G868"/>
  <c r="G867"/>
  <c r="G866"/>
  <c r="G865"/>
  <c r="G864"/>
  <c r="G863"/>
  <c r="G862"/>
  <c r="G861"/>
  <c r="G860"/>
  <c r="G859"/>
  <c r="G858"/>
  <c r="G857"/>
  <c r="G856"/>
  <c r="G855"/>
  <c r="G854"/>
  <c r="G853"/>
  <c r="G852"/>
  <c r="G851"/>
  <c r="G850"/>
  <c r="G849"/>
  <c r="G848"/>
  <c r="G847"/>
  <c r="G846"/>
  <c r="G845"/>
  <c r="G844"/>
  <c r="G843"/>
  <c r="G842"/>
  <c r="G841"/>
  <c r="G840"/>
  <c r="G839"/>
  <c r="G838"/>
  <c r="G837"/>
  <c r="G836"/>
  <c r="G835"/>
  <c r="G834"/>
  <c r="G833"/>
  <c r="G832"/>
  <c r="G831"/>
  <c r="G830"/>
  <c r="G829"/>
  <c r="G828"/>
  <c r="G827"/>
  <c r="G826"/>
  <c r="G825"/>
  <c r="G824"/>
  <c r="G823"/>
  <c r="G822"/>
  <c r="G821"/>
  <c r="G820"/>
  <c r="G819"/>
  <c r="G818"/>
  <c r="G817"/>
  <c r="G816"/>
  <c r="G815"/>
  <c r="G814"/>
  <c r="G813"/>
  <c r="G812"/>
  <c r="G811"/>
  <c r="G810"/>
  <c r="G809"/>
  <c r="G808"/>
  <c r="G807"/>
  <c r="G806"/>
  <c r="G805"/>
  <c r="G804"/>
  <c r="G803"/>
  <c r="G802"/>
  <c r="G801"/>
  <c r="G800"/>
  <c r="G799"/>
  <c r="G798"/>
  <c r="G797"/>
  <c r="G796"/>
  <c r="G795"/>
  <c r="G794"/>
  <c r="G793"/>
  <c r="G792"/>
  <c r="G791"/>
  <c r="G790"/>
  <c r="G789"/>
  <c r="G788"/>
  <c r="G787"/>
  <c r="G786"/>
  <c r="G785"/>
  <c r="G784"/>
  <c r="G783"/>
  <c r="G782"/>
  <c r="G781"/>
  <c r="G780"/>
  <c r="G779"/>
  <c r="G778"/>
  <c r="G777"/>
  <c r="G776"/>
  <c r="G775"/>
  <c r="G774"/>
  <c r="G773"/>
  <c r="G772"/>
  <c r="G771"/>
  <c r="G770"/>
  <c r="G769"/>
  <c r="G768"/>
  <c r="G767"/>
  <c r="G766"/>
  <c r="G765"/>
  <c r="G764"/>
  <c r="G763"/>
  <c r="G762"/>
  <c r="G761"/>
  <c r="G760"/>
  <c r="G759"/>
  <c r="G758"/>
  <c r="G757"/>
  <c r="G756"/>
  <c r="G755"/>
  <c r="G754"/>
  <c r="G753"/>
  <c r="G752"/>
  <c r="G751"/>
  <c r="G750"/>
  <c r="G749"/>
  <c r="G748"/>
  <c r="G747"/>
  <c r="G746"/>
  <c r="G745"/>
  <c r="G744"/>
  <c r="G743"/>
  <c r="G742"/>
  <c r="G741"/>
  <c r="G740"/>
  <c r="G739"/>
  <c r="G738"/>
  <c r="G737"/>
  <c r="G736"/>
  <c r="G735"/>
  <c r="G734"/>
  <c r="G733"/>
  <c r="G732"/>
  <c r="G731"/>
  <c r="G730"/>
  <c r="G729"/>
  <c r="G728"/>
  <c r="G727"/>
  <c r="G726"/>
  <c r="G725"/>
  <c r="G724"/>
  <c r="G723"/>
  <c r="G722"/>
  <c r="G721"/>
  <c r="G720"/>
  <c r="G719"/>
  <c r="G718"/>
  <c r="G717"/>
  <c r="G716"/>
  <c r="G715"/>
  <c r="G714"/>
  <c r="G713"/>
  <c r="G712"/>
  <c r="G711"/>
  <c r="G710"/>
  <c r="G709"/>
  <c r="G708"/>
  <c r="G707"/>
  <c r="G706"/>
  <c r="G705"/>
  <c r="G704"/>
  <c r="G703"/>
  <c r="G702"/>
  <c r="G701"/>
  <c r="G700"/>
  <c r="G699"/>
  <c r="G698"/>
  <c r="G697"/>
  <c r="G696"/>
  <c r="G695"/>
  <c r="G694"/>
  <c r="G693"/>
  <c r="G692"/>
  <c r="G691"/>
  <c r="G690"/>
  <c r="G689"/>
  <c r="G688"/>
  <c r="G687"/>
  <c r="G686"/>
  <c r="G685"/>
  <c r="G684"/>
  <c r="G683"/>
  <c r="G682"/>
  <c r="G681"/>
  <c r="G680"/>
  <c r="G679"/>
  <c r="G678"/>
  <c r="G677"/>
  <c r="G676"/>
  <c r="G675"/>
  <c r="G674"/>
  <c r="G673"/>
  <c r="G672"/>
  <c r="G671"/>
  <c r="G670"/>
  <c r="G669"/>
  <c r="G668"/>
  <c r="G667"/>
  <c r="G666"/>
  <c r="G665"/>
  <c r="G664"/>
  <c r="G663"/>
  <c r="G662"/>
  <c r="G661"/>
  <c r="G660"/>
  <c r="G659"/>
  <c r="G658"/>
  <c r="G657"/>
  <c r="G656"/>
  <c r="G655"/>
  <c r="G654"/>
  <c r="G653"/>
  <c r="G652"/>
  <c r="G651"/>
  <c r="G650"/>
  <c r="G649"/>
  <c r="G648"/>
  <c r="G647"/>
  <c r="G646"/>
  <c r="G645"/>
  <c r="G644"/>
  <c r="G643"/>
  <c r="G642"/>
  <c r="G641"/>
  <c r="G640"/>
  <c r="G639"/>
  <c r="G638"/>
  <c r="G637"/>
  <c r="G636"/>
  <c r="G635"/>
  <c r="G634"/>
  <c r="G633"/>
  <c r="G632"/>
  <c r="G631"/>
  <c r="G630"/>
  <c r="G629"/>
  <c r="G628"/>
  <c r="G627"/>
  <c r="G626"/>
  <c r="G625"/>
  <c r="G624"/>
  <c r="G623"/>
  <c r="G622"/>
  <c r="G621"/>
  <c r="G620"/>
  <c r="G619"/>
  <c r="G618"/>
  <c r="G617"/>
  <c r="G616"/>
  <c r="G615"/>
  <c r="G614"/>
  <c r="G613"/>
  <c r="G612"/>
  <c r="G611"/>
  <c r="G610"/>
  <c r="G609"/>
  <c r="G608"/>
  <c r="G607"/>
  <c r="G606"/>
  <c r="G605"/>
  <c r="G604"/>
  <c r="G603"/>
  <c r="G602"/>
  <c r="G601"/>
  <c r="G600"/>
  <c r="G599"/>
  <c r="G598"/>
  <c r="G597"/>
  <c r="G596"/>
  <c r="G595"/>
  <c r="G594"/>
  <c r="G593"/>
  <c r="G592"/>
  <c r="G591"/>
  <c r="G590"/>
  <c r="G589"/>
  <c r="G588"/>
  <c r="G587"/>
  <c r="G586"/>
  <c r="G585"/>
  <c r="G584"/>
  <c r="G583"/>
  <c r="G582"/>
  <c r="G581"/>
  <c r="G580"/>
  <c r="G579"/>
  <c r="G578"/>
  <c r="G577"/>
  <c r="G576"/>
  <c r="G575"/>
  <c r="G574"/>
  <c r="G573"/>
  <c r="G572"/>
  <c r="G571"/>
  <c r="G570"/>
  <c r="G569"/>
  <c r="G568"/>
  <c r="G567"/>
  <c r="G566"/>
  <c r="G565"/>
  <c r="G564"/>
  <c r="G563"/>
  <c r="G562"/>
  <c r="G561"/>
  <c r="G560"/>
  <c r="G559"/>
  <c r="G558"/>
  <c r="G557"/>
  <c r="G556"/>
  <c r="G555"/>
  <c r="G554"/>
  <c r="G553"/>
  <c r="G552"/>
  <c r="G551"/>
  <c r="G550"/>
  <c r="G549"/>
  <c r="G548"/>
  <c r="G547"/>
  <c r="G546"/>
  <c r="G545"/>
  <c r="G544"/>
  <c r="G543"/>
  <c r="G542"/>
  <c r="G541"/>
  <c r="G540"/>
  <c r="G539"/>
  <c r="G538"/>
  <c r="G537"/>
  <c r="G536"/>
  <c r="G535"/>
  <c r="G534"/>
  <c r="G533"/>
  <c r="G532"/>
  <c r="G531"/>
  <c r="G530"/>
  <c r="G529"/>
  <c r="G528"/>
  <c r="G527"/>
  <c r="G526"/>
  <c r="G525"/>
  <c r="G524"/>
  <c r="G523"/>
  <c r="G522"/>
  <c r="G521"/>
  <c r="G520"/>
  <c r="G519"/>
  <c r="G518"/>
  <c r="G517"/>
  <c r="G516"/>
  <c r="G515"/>
  <c r="G514"/>
  <c r="G513"/>
  <c r="G512"/>
  <c r="G511"/>
  <c r="G510"/>
  <c r="G509"/>
  <c r="G508"/>
  <c r="G507"/>
  <c r="G506"/>
  <c r="G505"/>
  <c r="G504"/>
  <c r="G503"/>
  <c r="G502"/>
  <c r="G501"/>
  <c r="G500"/>
  <c r="G499"/>
  <c r="G498"/>
  <c r="G497"/>
  <c r="G496"/>
  <c r="G495"/>
  <c r="G494"/>
  <c r="G493"/>
  <c r="G492"/>
  <c r="G491"/>
  <c r="G490"/>
  <c r="G489"/>
  <c r="G488"/>
  <c r="G487"/>
  <c r="G486"/>
  <c r="G485"/>
  <c r="G484"/>
  <c r="G483"/>
  <c r="G482"/>
  <c r="G481"/>
  <c r="G480"/>
  <c r="G479"/>
  <c r="G478"/>
  <c r="G477"/>
  <c r="G476"/>
  <c r="G475"/>
  <c r="G474"/>
  <c r="G473"/>
  <c r="G472"/>
  <c r="G471"/>
  <c r="G470"/>
  <c r="G469"/>
  <c r="G468"/>
  <c r="G467"/>
  <c r="G466"/>
  <c r="G465"/>
  <c r="G464"/>
  <c r="G463"/>
  <c r="G462"/>
  <c r="G461"/>
  <c r="G460"/>
  <c r="G459"/>
  <c r="G458"/>
  <c r="G457"/>
  <c r="G456"/>
  <c r="G455"/>
  <c r="G454"/>
  <c r="G453"/>
  <c r="G452"/>
  <c r="G451"/>
  <c r="G450"/>
  <c r="G449"/>
  <c r="G448"/>
  <c r="G447"/>
  <c r="G446"/>
  <c r="G445"/>
  <c r="G444"/>
  <c r="G443"/>
  <c r="G442"/>
  <c r="G441"/>
  <c r="G440"/>
  <c r="G439"/>
  <c r="G438"/>
  <c r="G437"/>
  <c r="G436"/>
  <c r="G435"/>
  <c r="G434"/>
  <c r="G433"/>
  <c r="G432"/>
  <c r="G431"/>
  <c r="G430"/>
  <c r="G429"/>
  <c r="G428"/>
  <c r="G427"/>
  <c r="G426"/>
  <c r="G425"/>
  <c r="G424"/>
  <c r="G423"/>
  <c r="G422"/>
  <c r="G421"/>
  <c r="G420"/>
  <c r="G419"/>
  <c r="G418"/>
  <c r="G417"/>
  <c r="G416"/>
  <c r="G415"/>
  <c r="G414"/>
  <c r="G413"/>
  <c r="G412"/>
  <c r="G411"/>
  <c r="G410"/>
  <c r="G409"/>
  <c r="G408"/>
  <c r="G407"/>
  <c r="G406"/>
  <c r="G405"/>
  <c r="G404"/>
  <c r="G403"/>
  <c r="G402"/>
  <c r="G401"/>
  <c r="G400"/>
  <c r="G399"/>
  <c r="G398"/>
  <c r="G397"/>
  <c r="G396"/>
  <c r="G395"/>
  <c r="G394"/>
  <c r="G393"/>
  <c r="G392"/>
  <c r="G391"/>
  <c r="G390"/>
  <c r="G389"/>
  <c r="G388"/>
  <c r="G387"/>
  <c r="G386"/>
  <c r="G385"/>
  <c r="G384"/>
  <c r="G383"/>
  <c r="G382"/>
  <c r="AB30" i="1"/>
  <c r="AC30" s="1"/>
  <c r="AD30" s="1"/>
  <c r="AB34"/>
  <c r="AC34" s="1"/>
  <c r="AD34" s="1"/>
  <c r="AB38"/>
  <c r="AC38" s="1"/>
  <c r="AB42"/>
  <c r="AC42" s="1"/>
  <c r="AD42" s="1"/>
  <c r="AB46"/>
  <c r="AC46" s="1"/>
  <c r="AB50"/>
  <c r="AC50" s="1"/>
  <c r="AB54"/>
  <c r="AC54" s="1"/>
  <c r="AB58"/>
  <c r="AC58" s="1"/>
  <c r="AB62"/>
  <c r="AB66"/>
  <c r="AC66" s="1"/>
  <c r="G2" i="3"/>
  <c r="G3"/>
  <c r="G4"/>
  <c r="G5"/>
  <c r="G6"/>
  <c r="G7"/>
  <c r="G8"/>
  <c r="G9"/>
  <c r="G10"/>
  <c r="G11"/>
  <c r="G12"/>
  <c r="G13"/>
  <c r="G14"/>
  <c r="G15"/>
  <c r="G16"/>
  <c r="G17"/>
  <c r="G18"/>
  <c r="G19"/>
  <c r="G20"/>
  <c r="G21"/>
  <c r="G22"/>
  <c r="G23"/>
  <c r="G24"/>
  <c r="G25"/>
  <c r="G26"/>
  <c r="G27"/>
  <c r="G28"/>
  <c r="G29"/>
  <c r="G30"/>
  <c r="G31"/>
  <c r="G32"/>
  <c r="G33"/>
  <c r="G34"/>
  <c r="G35"/>
  <c r="G36"/>
  <c r="G37"/>
  <c r="G38"/>
  <c r="G39"/>
  <c r="G40"/>
  <c r="G41"/>
  <c r="G42"/>
  <c r="G43"/>
  <c r="G44"/>
  <c r="G45"/>
  <c r="G46"/>
  <c r="G47"/>
  <c r="G48"/>
  <c r="G49"/>
  <c r="G50"/>
  <c r="G51"/>
  <c r="G52"/>
  <c r="G53"/>
  <c r="G54"/>
  <c r="G55"/>
  <c r="G56"/>
  <c r="G57"/>
  <c r="G58"/>
  <c r="G59"/>
  <c r="G60"/>
  <c r="G61"/>
  <c r="G62"/>
  <c r="G63"/>
  <c r="G64"/>
  <c r="G65"/>
  <c r="G66"/>
  <c r="G67"/>
  <c r="G68"/>
  <c r="G69"/>
  <c r="G70"/>
  <c r="G71"/>
  <c r="G72"/>
  <c r="G73"/>
  <c r="G74"/>
  <c r="G75"/>
  <c r="G76"/>
  <c r="G77"/>
  <c r="G78"/>
  <c r="G79"/>
  <c r="G80"/>
  <c r="G81"/>
  <c r="G82"/>
  <c r="G83"/>
  <c r="G84"/>
  <c r="G85"/>
  <c r="G86"/>
  <c r="G87"/>
  <c r="G88"/>
  <c r="G89"/>
  <c r="G90"/>
  <c r="G91"/>
  <c r="G92"/>
  <c r="G93"/>
  <c r="G94"/>
  <c r="G95"/>
  <c r="G96"/>
  <c r="G97"/>
  <c r="G98"/>
  <c r="G99"/>
  <c r="G100"/>
  <c r="G101"/>
  <c r="G102"/>
  <c r="G103"/>
  <c r="G104"/>
  <c r="G105"/>
  <c r="G106"/>
  <c r="G107"/>
  <c r="G108"/>
  <c r="G109"/>
  <c r="G110"/>
  <c r="G111"/>
  <c r="G112"/>
  <c r="G113"/>
  <c r="G114"/>
  <c r="G115"/>
  <c r="G116"/>
  <c r="G117"/>
  <c r="G118"/>
  <c r="G119"/>
  <c r="G120"/>
  <c r="G121"/>
  <c r="G122"/>
  <c r="G123"/>
  <c r="G124"/>
  <c r="G125"/>
  <c r="G126"/>
  <c r="G127"/>
  <c r="G128"/>
  <c r="G129"/>
  <c r="G130"/>
  <c r="G131"/>
  <c r="G132"/>
  <c r="G133"/>
  <c r="G134"/>
  <c r="G135"/>
  <c r="G136"/>
  <c r="G137"/>
  <c r="G138"/>
  <c r="G139"/>
  <c r="G140"/>
  <c r="G141"/>
  <c r="G142"/>
  <c r="G143"/>
  <c r="G144"/>
  <c r="G145"/>
  <c r="G146"/>
  <c r="G147"/>
  <c r="G148"/>
  <c r="G149"/>
  <c r="G150"/>
  <c r="G151"/>
  <c r="G152"/>
  <c r="G153"/>
  <c r="G154"/>
  <c r="G155"/>
  <c r="G156"/>
  <c r="G157"/>
  <c r="G158"/>
  <c r="G159"/>
  <c r="G160"/>
  <c r="G161"/>
  <c r="G162"/>
  <c r="G163"/>
  <c r="G164"/>
  <c r="G165"/>
  <c r="G166"/>
  <c r="G167"/>
  <c r="G168"/>
  <c r="G169"/>
  <c r="G170"/>
  <c r="G171"/>
  <c r="G172"/>
  <c r="G173"/>
  <c r="G174"/>
  <c r="G175"/>
  <c r="G176"/>
  <c r="G177"/>
  <c r="G178"/>
  <c r="G179"/>
  <c r="G180"/>
  <c r="G181"/>
  <c r="G182"/>
  <c r="G183"/>
  <c r="G184"/>
  <c r="G185"/>
  <c r="G186"/>
  <c r="G187"/>
  <c r="G188"/>
  <c r="G189"/>
  <c r="G190"/>
  <c r="G191"/>
  <c r="G192"/>
  <c r="G193"/>
  <c r="G194"/>
  <c r="G195"/>
  <c r="G196"/>
  <c r="G197"/>
  <c r="G198"/>
  <c r="G199"/>
  <c r="G200"/>
  <c r="G201"/>
  <c r="G202"/>
  <c r="G203"/>
  <c r="G204"/>
  <c r="G205"/>
  <c r="G206"/>
  <c r="G207"/>
  <c r="G208"/>
  <c r="G209"/>
  <c r="G210"/>
  <c r="G211"/>
  <c r="G212"/>
  <c r="G213"/>
  <c r="G214"/>
  <c r="G215"/>
  <c r="G216"/>
  <c r="G217"/>
  <c r="G218"/>
  <c r="G219"/>
  <c r="G220"/>
  <c r="G221"/>
  <c r="G222"/>
  <c r="G223"/>
  <c r="G224"/>
  <c r="G225"/>
  <c r="G226"/>
  <c r="G227"/>
  <c r="G228"/>
  <c r="G229"/>
  <c r="G230"/>
  <c r="G231"/>
  <c r="G232"/>
  <c r="G233"/>
  <c r="G234"/>
  <c r="G235"/>
  <c r="G236"/>
  <c r="G237"/>
  <c r="G238"/>
  <c r="G239"/>
  <c r="G240"/>
  <c r="G241"/>
  <c r="G242"/>
  <c r="G243"/>
  <c r="G244"/>
  <c r="G245"/>
  <c r="G246"/>
  <c r="G247"/>
  <c r="G248"/>
  <c r="G249"/>
  <c r="G250"/>
  <c r="G251"/>
  <c r="G252"/>
  <c r="G253"/>
  <c r="G254"/>
  <c r="G255"/>
  <c r="G256"/>
  <c r="G257"/>
  <c r="G258"/>
  <c r="G259"/>
  <c r="G260"/>
  <c r="G261"/>
  <c r="G262"/>
  <c r="G263"/>
  <c r="G264"/>
  <c r="G265"/>
  <c r="G266"/>
  <c r="G267"/>
  <c r="G268"/>
  <c r="G269"/>
  <c r="G270"/>
  <c r="G271"/>
  <c r="G272"/>
  <c r="G273"/>
  <c r="G274"/>
  <c r="G275"/>
  <c r="G276"/>
  <c r="G277"/>
  <c r="G278"/>
  <c r="G279"/>
  <c r="G280"/>
  <c r="G281"/>
  <c r="G282"/>
  <c r="G283"/>
  <c r="G284"/>
  <c r="G285"/>
  <c r="G286"/>
  <c r="G287"/>
  <c r="G288"/>
  <c r="G289"/>
  <c r="G290"/>
  <c r="G291"/>
  <c r="G292"/>
  <c r="G293"/>
  <c r="G294"/>
  <c r="G295"/>
  <c r="G296"/>
  <c r="G297"/>
  <c r="G298"/>
  <c r="G299"/>
  <c r="G300"/>
  <c r="G301"/>
  <c r="G302"/>
  <c r="G303"/>
  <c r="G304"/>
  <c r="G305"/>
  <c r="G306"/>
  <c r="G307"/>
  <c r="G308"/>
  <c r="G309"/>
  <c r="G310"/>
  <c r="G311"/>
  <c r="G312"/>
  <c r="G313"/>
  <c r="G314"/>
  <c r="G315"/>
  <c r="G316"/>
  <c r="G317"/>
  <c r="G318"/>
  <c r="G319"/>
  <c r="G320"/>
  <c r="G321"/>
  <c r="G322"/>
  <c r="G323"/>
  <c r="G324"/>
  <c r="G325"/>
  <c r="G326"/>
  <c r="G327"/>
  <c r="G328"/>
  <c r="G329"/>
  <c r="G330"/>
  <c r="G331"/>
  <c r="G332"/>
  <c r="G333"/>
  <c r="G334"/>
  <c r="G335"/>
  <c r="G336"/>
  <c r="G337"/>
  <c r="G338"/>
  <c r="G339"/>
  <c r="G340"/>
  <c r="G341"/>
  <c r="G342"/>
  <c r="G343"/>
  <c r="G344"/>
  <c r="G345"/>
  <c r="G346"/>
  <c r="G347"/>
  <c r="G348"/>
  <c r="G349"/>
  <c r="G350"/>
  <c r="G351"/>
  <c r="G352"/>
  <c r="G353"/>
  <c r="G354"/>
  <c r="G355"/>
  <c r="G356"/>
  <c r="G357"/>
  <c r="G358"/>
  <c r="G359"/>
  <c r="G360"/>
  <c r="G361"/>
  <c r="G362"/>
  <c r="G363"/>
  <c r="G364"/>
  <c r="G365"/>
  <c r="G366"/>
  <c r="G367"/>
  <c r="G368"/>
  <c r="G369"/>
  <c r="G370"/>
  <c r="G371"/>
  <c r="G372"/>
  <c r="G373"/>
  <c r="G374"/>
  <c r="G375"/>
  <c r="G376"/>
  <c r="G377"/>
  <c r="G378"/>
  <c r="G379"/>
  <c r="G380"/>
  <c r="G381"/>
  <c r="E382"/>
  <c r="E383"/>
  <c r="E384"/>
  <c r="F385"/>
  <c r="F387"/>
  <c r="F389"/>
  <c r="F391"/>
  <c r="F393"/>
  <c r="F395"/>
  <c r="F397"/>
  <c r="F399"/>
  <c r="F401"/>
  <c r="F403"/>
  <c r="F2"/>
  <c r="F3"/>
  <c r="F4"/>
  <c r="F5"/>
  <c r="F6"/>
  <c r="F7"/>
  <c r="F8"/>
  <c r="F9"/>
  <c r="F10"/>
  <c r="F11"/>
  <c r="F12"/>
  <c r="F13"/>
  <c r="F14"/>
  <c r="F15"/>
  <c r="F16"/>
  <c r="F17"/>
  <c r="F18"/>
  <c r="F19"/>
  <c r="F20"/>
  <c r="F21"/>
  <c r="F22"/>
  <c r="F23"/>
  <c r="F24"/>
  <c r="F25"/>
  <c r="F26"/>
  <c r="F27"/>
  <c r="F28"/>
  <c r="F29"/>
  <c r="F30"/>
  <c r="F31"/>
  <c r="F32"/>
  <c r="F33"/>
  <c r="F34"/>
  <c r="F35"/>
  <c r="F36"/>
  <c r="F37"/>
  <c r="F38"/>
  <c r="F39"/>
  <c r="F40"/>
  <c r="F41"/>
  <c r="F42"/>
  <c r="F43"/>
  <c r="F44"/>
  <c r="F45"/>
  <c r="F46"/>
  <c r="F47"/>
  <c r="F48"/>
  <c r="F49"/>
  <c r="F50"/>
  <c r="F51"/>
  <c r="F52"/>
  <c r="F53"/>
  <c r="F54"/>
  <c r="F55"/>
  <c r="F56"/>
  <c r="F57"/>
  <c r="F58"/>
  <c r="F59"/>
  <c r="F60"/>
  <c r="F61"/>
  <c r="F62"/>
  <c r="F63"/>
  <c r="F64"/>
  <c r="F65"/>
  <c r="F66"/>
  <c r="F67"/>
  <c r="F68"/>
  <c r="F69"/>
  <c r="F70"/>
  <c r="F71"/>
  <c r="F72"/>
  <c r="F73"/>
  <c r="F74"/>
  <c r="F75"/>
  <c r="F76"/>
  <c r="F77"/>
  <c r="F78"/>
  <c r="F79"/>
  <c r="F80"/>
  <c r="F81"/>
  <c r="F82"/>
  <c r="F83"/>
  <c r="F84"/>
  <c r="F85"/>
  <c r="F86"/>
  <c r="F87"/>
  <c r="F88"/>
  <c r="F89"/>
  <c r="F90"/>
  <c r="F91"/>
  <c r="F92"/>
  <c r="F93"/>
  <c r="F94"/>
  <c r="F95"/>
  <c r="F96"/>
  <c r="F97"/>
  <c r="F98"/>
  <c r="F99"/>
  <c r="F100"/>
  <c r="F101"/>
  <c r="F102"/>
  <c r="F103"/>
  <c r="F104"/>
  <c r="F105"/>
  <c r="F106"/>
  <c r="F107"/>
  <c r="F108"/>
  <c r="F109"/>
  <c r="F110"/>
  <c r="F111"/>
  <c r="F112"/>
  <c r="F113"/>
  <c r="F114"/>
  <c r="F115"/>
  <c r="F116"/>
  <c r="F117"/>
  <c r="F118"/>
  <c r="F119"/>
  <c r="F120"/>
  <c r="F121"/>
  <c r="F122"/>
  <c r="F123"/>
  <c r="F124"/>
  <c r="F125"/>
  <c r="F126"/>
  <c r="F127"/>
  <c r="F128"/>
  <c r="F129"/>
  <c r="F130"/>
  <c r="F131"/>
  <c r="F132"/>
  <c r="F133"/>
  <c r="F134"/>
  <c r="F135"/>
  <c r="F136"/>
  <c r="F137"/>
  <c r="F138"/>
  <c r="F139"/>
  <c r="F140"/>
  <c r="F141"/>
  <c r="F142"/>
  <c r="F143"/>
  <c r="F144"/>
  <c r="F145"/>
  <c r="F146"/>
  <c r="F147"/>
  <c r="F148"/>
  <c r="F149"/>
  <c r="F150"/>
  <c r="F151"/>
  <c r="F152"/>
  <c r="F153"/>
  <c r="F154"/>
  <c r="F155"/>
  <c r="F156"/>
  <c r="F157"/>
  <c r="F158"/>
  <c r="F159"/>
  <c r="F160"/>
  <c r="F161"/>
  <c r="F162"/>
  <c r="F163"/>
  <c r="F164"/>
  <c r="F165"/>
  <c r="F166"/>
  <c r="F167"/>
  <c r="F168"/>
  <c r="F169"/>
  <c r="F170"/>
  <c r="F171"/>
  <c r="F172"/>
  <c r="F173"/>
  <c r="F174"/>
  <c r="F175"/>
  <c r="F176"/>
  <c r="F177"/>
  <c r="F178"/>
  <c r="F179"/>
  <c r="F180"/>
  <c r="F181"/>
  <c r="F182"/>
  <c r="F183"/>
  <c r="F184"/>
  <c r="F185"/>
  <c r="F186"/>
  <c r="F187"/>
  <c r="F188"/>
  <c r="F189"/>
  <c r="F190"/>
  <c r="F191"/>
  <c r="F192"/>
  <c r="F193"/>
  <c r="F194"/>
  <c r="F195"/>
  <c r="F196"/>
  <c r="F197"/>
  <c r="F198"/>
  <c r="F199"/>
  <c r="F200"/>
  <c r="F201"/>
  <c r="F202"/>
  <c r="F203"/>
  <c r="F204"/>
  <c r="F205"/>
  <c r="F206"/>
  <c r="F207"/>
  <c r="F208"/>
  <c r="F209"/>
  <c r="F210"/>
  <c r="F211"/>
  <c r="F212"/>
  <c r="F213"/>
  <c r="F214"/>
  <c r="F215"/>
  <c r="F216"/>
  <c r="F217"/>
  <c r="F218"/>
  <c r="F219"/>
  <c r="F220"/>
  <c r="F221"/>
  <c r="F222"/>
  <c r="F223"/>
  <c r="F224"/>
  <c r="F225"/>
  <c r="F226"/>
  <c r="F227"/>
  <c r="F228"/>
  <c r="F229"/>
  <c r="F230"/>
  <c r="F231"/>
  <c r="F232"/>
  <c r="F233"/>
  <c r="F234"/>
  <c r="F235"/>
  <c r="F236"/>
  <c r="F237"/>
  <c r="F238"/>
  <c r="F239"/>
  <c r="F240"/>
  <c r="F241"/>
  <c r="F242"/>
  <c r="F243"/>
  <c r="F244"/>
  <c r="F245"/>
  <c r="F246"/>
  <c r="F247"/>
  <c r="F248"/>
  <c r="F249"/>
  <c r="F250"/>
  <c r="F251"/>
  <c r="F252"/>
  <c r="F253"/>
  <c r="F254"/>
  <c r="F255"/>
  <c r="F256"/>
  <c r="F257"/>
  <c r="F258"/>
  <c r="F259"/>
  <c r="F260"/>
  <c r="F261"/>
  <c r="F262"/>
  <c r="F263"/>
  <c r="F264"/>
  <c r="F265"/>
  <c r="F266"/>
  <c r="F267"/>
  <c r="F268"/>
  <c r="F269"/>
  <c r="F270"/>
  <c r="F271"/>
  <c r="F272"/>
  <c r="F273"/>
  <c r="F274"/>
  <c r="F275"/>
  <c r="F276"/>
  <c r="F277"/>
  <c r="F278"/>
  <c r="F279"/>
  <c r="F280"/>
  <c r="F281"/>
  <c r="F282"/>
  <c r="F283"/>
  <c r="F284"/>
  <c r="F285"/>
  <c r="F286"/>
  <c r="F287"/>
  <c r="F288"/>
  <c r="F289"/>
  <c r="F290"/>
  <c r="F291"/>
  <c r="F292"/>
  <c r="F293"/>
  <c r="F294"/>
  <c r="F295"/>
  <c r="F296"/>
  <c r="F297"/>
  <c r="F298"/>
  <c r="F299"/>
  <c r="F300"/>
  <c r="F301"/>
  <c r="F302"/>
  <c r="F303"/>
  <c r="F304"/>
  <c r="F305"/>
  <c r="F306"/>
  <c r="F307"/>
  <c r="F308"/>
  <c r="F309"/>
  <c r="F310"/>
  <c r="F311"/>
  <c r="F312"/>
  <c r="F313"/>
  <c r="F314"/>
  <c r="F315"/>
  <c r="F316"/>
  <c r="F317"/>
  <c r="F318"/>
  <c r="F319"/>
  <c r="F320"/>
  <c r="F321"/>
  <c r="F322"/>
  <c r="F323"/>
  <c r="F324"/>
  <c r="F325"/>
  <c r="F326"/>
  <c r="F327"/>
  <c r="F328"/>
  <c r="F329"/>
  <c r="F330"/>
  <c r="F331"/>
  <c r="F332"/>
  <c r="F333"/>
  <c r="F334"/>
  <c r="F335"/>
  <c r="F336"/>
  <c r="F337"/>
  <c r="F338"/>
  <c r="F339"/>
  <c r="F340"/>
  <c r="F341"/>
  <c r="F342"/>
  <c r="F343"/>
  <c r="F344"/>
  <c r="F345"/>
  <c r="F346"/>
  <c r="F347"/>
  <c r="F348"/>
  <c r="F349"/>
  <c r="F350"/>
  <c r="F351"/>
  <c r="F352"/>
  <c r="F353"/>
  <c r="F354"/>
  <c r="F355"/>
  <c r="F356"/>
  <c r="F357"/>
  <c r="F358"/>
  <c r="F359"/>
  <c r="F360"/>
  <c r="F361"/>
  <c r="F362"/>
  <c r="F363"/>
  <c r="F364"/>
  <c r="F365"/>
  <c r="F366"/>
  <c r="F367"/>
  <c r="F368"/>
  <c r="F369"/>
  <c r="F370"/>
  <c r="F371"/>
  <c r="F372"/>
  <c r="F373"/>
  <c r="F374"/>
  <c r="F375"/>
  <c r="F376"/>
  <c r="F377"/>
  <c r="F378"/>
  <c r="F379"/>
  <c r="F380"/>
  <c r="F381"/>
  <c r="I3" i="4"/>
  <c r="J5"/>
  <c r="I11"/>
  <c r="J11" s="1"/>
  <c r="J4"/>
  <c r="J29"/>
  <c r="J36"/>
  <c r="J20"/>
  <c r="J25"/>
  <c r="J33"/>
  <c r="J37"/>
  <c r="J43"/>
  <c r="J44"/>
  <c r="J12"/>
  <c r="J17"/>
  <c r="I19"/>
  <c r="J41"/>
  <c r="J45"/>
  <c r="J30"/>
  <c r="J111"/>
  <c r="I118"/>
  <c r="R27" i="1" s="1"/>
  <c r="V27" s="1"/>
  <c r="J127" i="4"/>
  <c r="I134"/>
  <c r="S30" i="1" s="1"/>
  <c r="V30" s="1"/>
  <c r="J143" i="4"/>
  <c r="I150"/>
  <c r="T33" i="1" s="1"/>
  <c r="V33" s="1"/>
  <c r="J159" i="4"/>
  <c r="I166"/>
  <c r="J175"/>
  <c r="I182"/>
  <c r="Q40" i="1" s="1"/>
  <c r="V40" s="1"/>
  <c r="J191" i="4"/>
  <c r="I198"/>
  <c r="R43" i="1" s="1"/>
  <c r="V43" s="1"/>
  <c r="J207" i="4"/>
  <c r="J215"/>
  <c r="J223"/>
  <c r="J231"/>
  <c r="J239"/>
  <c r="J247"/>
  <c r="J255"/>
  <c r="J263"/>
  <c r="J271"/>
  <c r="J279"/>
  <c r="J287"/>
  <c r="I43"/>
  <c r="R12" i="1" s="1"/>
  <c r="V12" s="1"/>
  <c r="J115" i="4"/>
  <c r="J117"/>
  <c r="J118"/>
  <c r="I122"/>
  <c r="Q28" i="1" s="1"/>
  <c r="V28" s="1"/>
  <c r="J131" i="4"/>
  <c r="J133"/>
  <c r="J134"/>
  <c r="I138"/>
  <c r="R31" i="1" s="1"/>
  <c r="V31" s="1"/>
  <c r="J147" i="4"/>
  <c r="J149"/>
  <c r="J150"/>
  <c r="I154"/>
  <c r="S34" i="1" s="1"/>
  <c r="V34" s="1"/>
  <c r="J163" i="4"/>
  <c r="J165"/>
  <c r="J166"/>
  <c r="I170"/>
  <c r="T37" i="1" s="1"/>
  <c r="V37" s="1"/>
  <c r="J179" i="4"/>
  <c r="J181"/>
  <c r="J182"/>
  <c r="I186"/>
  <c r="J195"/>
  <c r="J198"/>
  <c r="I202"/>
  <c r="Q44" i="1" s="1"/>
  <c r="V44" s="1"/>
  <c r="J2" i="4"/>
  <c r="J10"/>
  <c r="J18"/>
  <c r="J26"/>
  <c r="J34"/>
  <c r="J42"/>
  <c r="I50"/>
  <c r="T13" i="1" s="1"/>
  <c r="I54" i="4"/>
  <c r="S14" i="1" s="1"/>
  <c r="V14" s="1"/>
  <c r="I58" i="4"/>
  <c r="R15" i="1" s="1"/>
  <c r="V15" s="1"/>
  <c r="I62" i="4"/>
  <c r="Q16" i="1" s="1"/>
  <c r="V16" s="1"/>
  <c r="I66" i="4"/>
  <c r="I70"/>
  <c r="T17" i="1" s="1"/>
  <c r="V17" s="1"/>
  <c r="I74" i="4"/>
  <c r="S18" i="1" s="1"/>
  <c r="V18" s="1"/>
  <c r="I78" i="4"/>
  <c r="R19" i="1" s="1"/>
  <c r="V19" s="1"/>
  <c r="I82" i="4"/>
  <c r="Q20" i="1" s="1"/>
  <c r="V20" s="1"/>
  <c r="I86" i="4"/>
  <c r="I90"/>
  <c r="T21" i="1" s="1"/>
  <c r="V21" s="1"/>
  <c r="I94" i="4"/>
  <c r="S22" i="1" s="1"/>
  <c r="V22" s="1"/>
  <c r="I98" i="4"/>
  <c r="R23" i="1" s="1"/>
  <c r="V23" s="1"/>
  <c r="J122" i="4"/>
  <c r="J138"/>
  <c r="J154"/>
  <c r="J170"/>
  <c r="J186"/>
  <c r="J199"/>
  <c r="J211"/>
  <c r="J219"/>
  <c r="J227"/>
  <c r="J235"/>
  <c r="J243"/>
  <c r="J251"/>
  <c r="J259"/>
  <c r="J267"/>
  <c r="J275"/>
  <c r="J283"/>
  <c r="J291"/>
  <c r="J299"/>
  <c r="J307"/>
  <c r="I47"/>
  <c r="J49"/>
  <c r="J50"/>
  <c r="J53"/>
  <c r="J54"/>
  <c r="J57"/>
  <c r="J58"/>
  <c r="J61"/>
  <c r="J62"/>
  <c r="J65"/>
  <c r="J66"/>
  <c r="J69"/>
  <c r="J70"/>
  <c r="J73"/>
  <c r="J74"/>
  <c r="J77"/>
  <c r="J78"/>
  <c r="J81"/>
  <c r="J82"/>
  <c r="J85"/>
  <c r="J86"/>
  <c r="J89"/>
  <c r="J90"/>
  <c r="J93"/>
  <c r="J94"/>
  <c r="J97"/>
  <c r="J98"/>
  <c r="J101"/>
  <c r="J102"/>
  <c r="J105"/>
  <c r="J106"/>
  <c r="J109"/>
  <c r="J110"/>
  <c r="I114"/>
  <c r="S26" i="1" s="1"/>
  <c r="V26" s="1"/>
  <c r="J123" i="4"/>
  <c r="J126"/>
  <c r="I130"/>
  <c r="T29" i="1" s="1"/>
  <c r="V29" s="1"/>
  <c r="J139" i="4"/>
  <c r="J142"/>
  <c r="I146"/>
  <c r="J146" s="1"/>
  <c r="J155"/>
  <c r="J158"/>
  <c r="I162"/>
  <c r="Q36" i="1" s="1"/>
  <c r="V36" s="1"/>
  <c r="J171" i="4"/>
  <c r="J174"/>
  <c r="I178"/>
  <c r="R39" i="1" s="1"/>
  <c r="V39" s="1"/>
  <c r="J187" i="4"/>
  <c r="J190"/>
  <c r="I194"/>
  <c r="S42" i="1" s="1"/>
  <c r="V42" s="1"/>
  <c r="J203" i="4"/>
  <c r="J310"/>
  <c r="AC62" i="1" l="1"/>
  <c r="AD62" s="1"/>
  <c r="W42"/>
  <c r="AG42"/>
  <c r="AH42" s="1"/>
  <c r="W14"/>
  <c r="AG14"/>
  <c r="AH14" s="1"/>
  <c r="AG27"/>
  <c r="AH27" s="1"/>
  <c r="W27"/>
  <c r="J369" i="3"/>
  <c r="H369"/>
  <c r="I369"/>
  <c r="K369" s="1"/>
  <c r="J353"/>
  <c r="H353"/>
  <c r="I353"/>
  <c r="K353" s="1"/>
  <c r="J337"/>
  <c r="H337"/>
  <c r="I337"/>
  <c r="K337" s="1"/>
  <c r="J321"/>
  <c r="H321"/>
  <c r="I321"/>
  <c r="K321" s="1"/>
  <c r="J305"/>
  <c r="H305"/>
  <c r="I305"/>
  <c r="K305" s="1"/>
  <c r="J289"/>
  <c r="H289"/>
  <c r="I289"/>
  <c r="J273"/>
  <c r="H273"/>
  <c r="I273"/>
  <c r="K273" s="1"/>
  <c r="J257"/>
  <c r="H257"/>
  <c r="I257"/>
  <c r="K257" s="1"/>
  <c r="J241"/>
  <c r="H241"/>
  <c r="I241"/>
  <c r="K241" s="1"/>
  <c r="J225"/>
  <c r="H225"/>
  <c r="I225"/>
  <c r="J209"/>
  <c r="H209"/>
  <c r="I209"/>
  <c r="K209" s="1"/>
  <c r="J197"/>
  <c r="H197"/>
  <c r="I197"/>
  <c r="K197" s="1"/>
  <c r="J189"/>
  <c r="H189"/>
  <c r="I189"/>
  <c r="J181"/>
  <c r="H181"/>
  <c r="I181"/>
  <c r="J173"/>
  <c r="H173"/>
  <c r="I173"/>
  <c r="K173" s="1"/>
  <c r="J165"/>
  <c r="H165"/>
  <c r="I165"/>
  <c r="K165" s="1"/>
  <c r="J157"/>
  <c r="H157"/>
  <c r="I157"/>
  <c r="J149"/>
  <c r="H149"/>
  <c r="I149"/>
  <c r="J141"/>
  <c r="H141"/>
  <c r="I141"/>
  <c r="K141" s="1"/>
  <c r="J133"/>
  <c r="H133"/>
  <c r="I133"/>
  <c r="K133" s="1"/>
  <c r="J125"/>
  <c r="H125"/>
  <c r="I125"/>
  <c r="J117"/>
  <c r="H117"/>
  <c r="I117"/>
  <c r="J109"/>
  <c r="H109"/>
  <c r="I109"/>
  <c r="K109" s="1"/>
  <c r="J101"/>
  <c r="H101"/>
  <c r="I101"/>
  <c r="K101" s="1"/>
  <c r="J93"/>
  <c r="H93"/>
  <c r="I93"/>
  <c r="J85"/>
  <c r="H85"/>
  <c r="I85"/>
  <c r="J77"/>
  <c r="H77"/>
  <c r="I77"/>
  <c r="K77" s="1"/>
  <c r="J69"/>
  <c r="H69"/>
  <c r="I69"/>
  <c r="K69" s="1"/>
  <c r="J61"/>
  <c r="H61"/>
  <c r="I61"/>
  <c r="J53"/>
  <c r="H53"/>
  <c r="I53"/>
  <c r="J45"/>
  <c r="H45"/>
  <c r="I45"/>
  <c r="K45" s="1"/>
  <c r="H403"/>
  <c r="I403"/>
  <c r="J403"/>
  <c r="H387"/>
  <c r="I387"/>
  <c r="K387" s="1"/>
  <c r="J387"/>
  <c r="AG17" i="1"/>
  <c r="AH17" s="1"/>
  <c r="W17"/>
  <c r="J377" i="3"/>
  <c r="H377"/>
  <c r="I377"/>
  <c r="J361"/>
  <c r="H361"/>
  <c r="I361"/>
  <c r="J345"/>
  <c r="H345"/>
  <c r="I345"/>
  <c r="K345" s="1"/>
  <c r="J329"/>
  <c r="H329"/>
  <c r="I329"/>
  <c r="K329" s="1"/>
  <c r="J313"/>
  <c r="H313"/>
  <c r="I313"/>
  <c r="J297"/>
  <c r="H297"/>
  <c r="I297"/>
  <c r="J281"/>
  <c r="H281"/>
  <c r="I281"/>
  <c r="K281" s="1"/>
  <c r="J265"/>
  <c r="H265"/>
  <c r="I265"/>
  <c r="K265" s="1"/>
  <c r="J249"/>
  <c r="H249"/>
  <c r="I249"/>
  <c r="J233"/>
  <c r="H233"/>
  <c r="I233"/>
  <c r="J217"/>
  <c r="H217"/>
  <c r="I217"/>
  <c r="K217" s="1"/>
  <c r="J201"/>
  <c r="H201"/>
  <c r="I201"/>
  <c r="K201" s="1"/>
  <c r="J193"/>
  <c r="H193"/>
  <c r="I193"/>
  <c r="J185"/>
  <c r="H185"/>
  <c r="I185"/>
  <c r="J177"/>
  <c r="H177"/>
  <c r="I177"/>
  <c r="K177" s="1"/>
  <c r="J169"/>
  <c r="H169"/>
  <c r="I169"/>
  <c r="K169" s="1"/>
  <c r="J161"/>
  <c r="H161"/>
  <c r="I161"/>
  <c r="J153"/>
  <c r="H153"/>
  <c r="I153"/>
  <c r="J145"/>
  <c r="H145"/>
  <c r="I145"/>
  <c r="K145" s="1"/>
  <c r="J137"/>
  <c r="H137"/>
  <c r="I137"/>
  <c r="K137" s="1"/>
  <c r="J129"/>
  <c r="H129"/>
  <c r="I129"/>
  <c r="J121"/>
  <c r="H121"/>
  <c r="I121"/>
  <c r="J113"/>
  <c r="H113"/>
  <c r="I113"/>
  <c r="K113" s="1"/>
  <c r="J105"/>
  <c r="H105"/>
  <c r="I105"/>
  <c r="K105" s="1"/>
  <c r="J97"/>
  <c r="H97"/>
  <c r="I97"/>
  <c r="J89"/>
  <c r="H89"/>
  <c r="I89"/>
  <c r="J81"/>
  <c r="H81"/>
  <c r="I81"/>
  <c r="K81" s="1"/>
  <c r="J73"/>
  <c r="H73"/>
  <c r="I73"/>
  <c r="K73" s="1"/>
  <c r="J65"/>
  <c r="H65"/>
  <c r="I65"/>
  <c r="J57"/>
  <c r="H57"/>
  <c r="I57"/>
  <c r="J49"/>
  <c r="H49"/>
  <c r="I49"/>
  <c r="K49" s="1"/>
  <c r="J41"/>
  <c r="H41"/>
  <c r="I41"/>
  <c r="K41" s="1"/>
  <c r="J37"/>
  <c r="H37"/>
  <c r="I37"/>
  <c r="J33"/>
  <c r="H33"/>
  <c r="I33"/>
  <c r="J29"/>
  <c r="H29"/>
  <c r="I29"/>
  <c r="K29" s="1"/>
  <c r="J25"/>
  <c r="H25"/>
  <c r="I25"/>
  <c r="K25" s="1"/>
  <c r="J21"/>
  <c r="H21"/>
  <c r="I21"/>
  <c r="J17"/>
  <c r="H17"/>
  <c r="I17"/>
  <c r="J13"/>
  <c r="H13"/>
  <c r="I13"/>
  <c r="K13" s="1"/>
  <c r="J9"/>
  <c r="H9"/>
  <c r="I9"/>
  <c r="K9" s="1"/>
  <c r="J5"/>
  <c r="H5"/>
  <c r="I5"/>
  <c r="H395"/>
  <c r="I395"/>
  <c r="K395" s="1"/>
  <c r="J395"/>
  <c r="W33" i="1"/>
  <c r="AG33"/>
  <c r="AH33" s="1"/>
  <c r="J381" i="3"/>
  <c r="H381"/>
  <c r="I381"/>
  <c r="J365"/>
  <c r="H365"/>
  <c r="I365"/>
  <c r="J349"/>
  <c r="H349"/>
  <c r="I349"/>
  <c r="K349" s="1"/>
  <c r="J333"/>
  <c r="H333"/>
  <c r="I333"/>
  <c r="K333" s="1"/>
  <c r="J317"/>
  <c r="H317"/>
  <c r="I317"/>
  <c r="J301"/>
  <c r="H301"/>
  <c r="I301"/>
  <c r="J285"/>
  <c r="H285"/>
  <c r="I285"/>
  <c r="K285" s="1"/>
  <c r="J269"/>
  <c r="H269"/>
  <c r="I269"/>
  <c r="K269" s="1"/>
  <c r="J253"/>
  <c r="H253"/>
  <c r="I253"/>
  <c r="J237"/>
  <c r="H237"/>
  <c r="I237"/>
  <c r="J221"/>
  <c r="H221"/>
  <c r="I221"/>
  <c r="K221" s="1"/>
  <c r="J205"/>
  <c r="H205"/>
  <c r="I205"/>
  <c r="K205" s="1"/>
  <c r="W22" i="1"/>
  <c r="AG22"/>
  <c r="AH22" s="1"/>
  <c r="AG16"/>
  <c r="AH16" s="1"/>
  <c r="W16"/>
  <c r="AG40"/>
  <c r="AH40" s="1"/>
  <c r="W40"/>
  <c r="J375" i="3"/>
  <c r="H375"/>
  <c r="I375"/>
  <c r="K375" s="1"/>
  <c r="J367"/>
  <c r="H367"/>
  <c r="I367"/>
  <c r="K367" s="1"/>
  <c r="J359"/>
  <c r="H359"/>
  <c r="I359"/>
  <c r="J351"/>
  <c r="H351"/>
  <c r="I351"/>
  <c r="J343"/>
  <c r="H343"/>
  <c r="I343"/>
  <c r="K343" s="1"/>
  <c r="J335"/>
  <c r="H335"/>
  <c r="I335"/>
  <c r="K335" s="1"/>
  <c r="J327"/>
  <c r="H327"/>
  <c r="I327"/>
  <c r="J319"/>
  <c r="H319"/>
  <c r="I319"/>
  <c r="J311"/>
  <c r="H311"/>
  <c r="I311"/>
  <c r="K311" s="1"/>
  <c r="J303"/>
  <c r="H303"/>
  <c r="I303"/>
  <c r="K303" s="1"/>
  <c r="J295"/>
  <c r="H295"/>
  <c r="I295"/>
  <c r="J287"/>
  <c r="H287"/>
  <c r="I287"/>
  <c r="J279"/>
  <c r="H279"/>
  <c r="I279"/>
  <c r="K279" s="1"/>
  <c r="J271"/>
  <c r="H271"/>
  <c r="I271"/>
  <c r="K271" s="1"/>
  <c r="J130" i="4"/>
  <c r="W29" i="1"/>
  <c r="AG29"/>
  <c r="AH29" s="1"/>
  <c r="Q13"/>
  <c r="J47" i="4"/>
  <c r="AG44" i="1"/>
  <c r="AH44" s="1"/>
  <c r="W44"/>
  <c r="J373" i="3"/>
  <c r="H373"/>
  <c r="I373"/>
  <c r="J357"/>
  <c r="H357"/>
  <c r="I357"/>
  <c r="K357" s="1"/>
  <c r="J341"/>
  <c r="H341"/>
  <c r="I341"/>
  <c r="K341" s="1"/>
  <c r="J325"/>
  <c r="H325"/>
  <c r="I325"/>
  <c r="J309"/>
  <c r="H309"/>
  <c r="I309"/>
  <c r="J293"/>
  <c r="H293"/>
  <c r="I293"/>
  <c r="K293" s="1"/>
  <c r="J277"/>
  <c r="H277"/>
  <c r="I277"/>
  <c r="K277" s="1"/>
  <c r="J261"/>
  <c r="H261"/>
  <c r="I261"/>
  <c r="J245"/>
  <c r="H245"/>
  <c r="I245"/>
  <c r="J229"/>
  <c r="H229"/>
  <c r="I229"/>
  <c r="K229" s="1"/>
  <c r="J213"/>
  <c r="H213"/>
  <c r="I213"/>
  <c r="K213" s="1"/>
  <c r="AG36" i="1"/>
  <c r="AH36" s="1"/>
  <c r="W36"/>
  <c r="W19"/>
  <c r="AG19"/>
  <c r="AH19" s="1"/>
  <c r="J379" i="3"/>
  <c r="H379"/>
  <c r="I379"/>
  <c r="J371"/>
  <c r="H371"/>
  <c r="I371"/>
  <c r="J363"/>
  <c r="H363"/>
  <c r="I363"/>
  <c r="K363" s="1"/>
  <c r="J355"/>
  <c r="H355"/>
  <c r="I355"/>
  <c r="K355" s="1"/>
  <c r="J347"/>
  <c r="H347"/>
  <c r="I347"/>
  <c r="J339"/>
  <c r="H339"/>
  <c r="I339"/>
  <c r="J331"/>
  <c r="H331"/>
  <c r="I331"/>
  <c r="K331" s="1"/>
  <c r="J323"/>
  <c r="H323"/>
  <c r="I323"/>
  <c r="K323" s="1"/>
  <c r="J315"/>
  <c r="H315"/>
  <c r="I315"/>
  <c r="J307"/>
  <c r="H307"/>
  <c r="I307"/>
  <c r="J299"/>
  <c r="H299"/>
  <c r="I299"/>
  <c r="K299" s="1"/>
  <c r="J291"/>
  <c r="H291"/>
  <c r="I291"/>
  <c r="K291" s="1"/>
  <c r="J283"/>
  <c r="H283"/>
  <c r="I283"/>
  <c r="J275"/>
  <c r="H275"/>
  <c r="I275"/>
  <c r="J19" i="4"/>
  <c r="S7" i="1"/>
  <c r="J194" i="4"/>
  <c r="J202"/>
  <c r="J162"/>
  <c r="AD54" i="1"/>
  <c r="AG54"/>
  <c r="AH54" s="1"/>
  <c r="AD38"/>
  <c r="AG38"/>
  <c r="AH38" s="1"/>
  <c r="H410" i="3"/>
  <c r="I410"/>
  <c r="K410" s="1"/>
  <c r="J410"/>
  <c r="H418"/>
  <c r="I418"/>
  <c r="J418"/>
  <c r="H426"/>
  <c r="I426"/>
  <c r="J426"/>
  <c r="H434"/>
  <c r="I434"/>
  <c r="J434"/>
  <c r="H442"/>
  <c r="I442"/>
  <c r="K442" s="1"/>
  <c r="J442"/>
  <c r="H450"/>
  <c r="I450"/>
  <c r="J450"/>
  <c r="H458"/>
  <c r="I458"/>
  <c r="J458"/>
  <c r="H466"/>
  <c r="I466"/>
  <c r="J466"/>
  <c r="H474"/>
  <c r="I474"/>
  <c r="K474" s="1"/>
  <c r="J474"/>
  <c r="H482"/>
  <c r="I482"/>
  <c r="J482"/>
  <c r="H490"/>
  <c r="I490"/>
  <c r="J490"/>
  <c r="H498"/>
  <c r="I498"/>
  <c r="J498"/>
  <c r="H506"/>
  <c r="I506"/>
  <c r="K506" s="1"/>
  <c r="J506"/>
  <c r="H514"/>
  <c r="I514"/>
  <c r="J514"/>
  <c r="H522"/>
  <c r="I522"/>
  <c r="J522"/>
  <c r="H530"/>
  <c r="I530"/>
  <c r="J530"/>
  <c r="H538"/>
  <c r="I538"/>
  <c r="K538" s="1"/>
  <c r="J538"/>
  <c r="H546"/>
  <c r="I546"/>
  <c r="J546"/>
  <c r="H554"/>
  <c r="I554"/>
  <c r="J554"/>
  <c r="H562"/>
  <c r="I562"/>
  <c r="J562"/>
  <c r="H570"/>
  <c r="I570"/>
  <c r="K570" s="1"/>
  <c r="J570"/>
  <c r="H578"/>
  <c r="I578"/>
  <c r="J578"/>
  <c r="H586"/>
  <c r="I586"/>
  <c r="J586"/>
  <c r="H594"/>
  <c r="I594"/>
  <c r="J594"/>
  <c r="H598"/>
  <c r="I598"/>
  <c r="K598" s="1"/>
  <c r="J598"/>
  <c r="H602"/>
  <c r="I602"/>
  <c r="J602"/>
  <c r="H606"/>
  <c r="I606"/>
  <c r="J606"/>
  <c r="H610"/>
  <c r="I610"/>
  <c r="J610"/>
  <c r="H614"/>
  <c r="I614"/>
  <c r="K614" s="1"/>
  <c r="J614"/>
  <c r="H618"/>
  <c r="I618"/>
  <c r="J618"/>
  <c r="H622"/>
  <c r="I622"/>
  <c r="J622"/>
  <c r="H626"/>
  <c r="I626"/>
  <c r="J626"/>
  <c r="H630"/>
  <c r="I630"/>
  <c r="K630" s="1"/>
  <c r="J630"/>
  <c r="H634"/>
  <c r="I634"/>
  <c r="J634"/>
  <c r="H638"/>
  <c r="I638"/>
  <c r="J638"/>
  <c r="H642"/>
  <c r="I642"/>
  <c r="J642"/>
  <c r="H646"/>
  <c r="I646"/>
  <c r="K646" s="1"/>
  <c r="J646"/>
  <c r="H650"/>
  <c r="I650"/>
  <c r="J650"/>
  <c r="H654"/>
  <c r="I654"/>
  <c r="J654"/>
  <c r="H658"/>
  <c r="I658"/>
  <c r="J658"/>
  <c r="H662"/>
  <c r="I662"/>
  <c r="K662" s="1"/>
  <c r="J662"/>
  <c r="H666"/>
  <c r="I666"/>
  <c r="J666"/>
  <c r="H670"/>
  <c r="I670"/>
  <c r="J670"/>
  <c r="H674"/>
  <c r="I674"/>
  <c r="J674"/>
  <c r="H678"/>
  <c r="I678"/>
  <c r="K678" s="1"/>
  <c r="J678"/>
  <c r="H682"/>
  <c r="I682"/>
  <c r="J682"/>
  <c r="H686"/>
  <c r="I686"/>
  <c r="J686"/>
  <c r="H690"/>
  <c r="I690"/>
  <c r="J690"/>
  <c r="H694"/>
  <c r="I694"/>
  <c r="K694" s="1"/>
  <c r="J694"/>
  <c r="H698"/>
  <c r="I698"/>
  <c r="J698"/>
  <c r="H702"/>
  <c r="I702"/>
  <c r="J702"/>
  <c r="H706"/>
  <c r="I706"/>
  <c r="J706"/>
  <c r="H710"/>
  <c r="I710"/>
  <c r="K710" s="1"/>
  <c r="J710"/>
  <c r="H714"/>
  <c r="I714"/>
  <c r="J714"/>
  <c r="H718"/>
  <c r="I718"/>
  <c r="J718"/>
  <c r="H722"/>
  <c r="I722"/>
  <c r="J722"/>
  <c r="H726"/>
  <c r="I726"/>
  <c r="K726" s="1"/>
  <c r="J726"/>
  <c r="H730"/>
  <c r="I730"/>
  <c r="J730"/>
  <c r="H734"/>
  <c r="I734"/>
  <c r="J734"/>
  <c r="H738"/>
  <c r="I738"/>
  <c r="J738"/>
  <c r="H742"/>
  <c r="I742"/>
  <c r="K742" s="1"/>
  <c r="J742"/>
  <c r="H746"/>
  <c r="I746"/>
  <c r="J746"/>
  <c r="H750"/>
  <c r="I750"/>
  <c r="J750"/>
  <c r="H754"/>
  <c r="I754"/>
  <c r="J754"/>
  <c r="H758"/>
  <c r="I758"/>
  <c r="K758" s="1"/>
  <c r="J758"/>
  <c r="H762"/>
  <c r="I762"/>
  <c r="J762"/>
  <c r="H766"/>
  <c r="I766"/>
  <c r="J766"/>
  <c r="H770"/>
  <c r="I770"/>
  <c r="J770"/>
  <c r="H774"/>
  <c r="I774"/>
  <c r="K774" s="1"/>
  <c r="J774"/>
  <c r="H778"/>
  <c r="I778"/>
  <c r="J778"/>
  <c r="H782"/>
  <c r="I782"/>
  <c r="J782"/>
  <c r="H786"/>
  <c r="I786"/>
  <c r="J786"/>
  <c r="H790"/>
  <c r="I790"/>
  <c r="K790" s="1"/>
  <c r="J790"/>
  <c r="H794"/>
  <c r="I794"/>
  <c r="J794"/>
  <c r="H798"/>
  <c r="I798"/>
  <c r="J798"/>
  <c r="H802"/>
  <c r="I802"/>
  <c r="J802"/>
  <c r="H806"/>
  <c r="I806"/>
  <c r="K806" s="1"/>
  <c r="J806"/>
  <c r="H810"/>
  <c r="I810"/>
  <c r="J810"/>
  <c r="H814"/>
  <c r="I814"/>
  <c r="J814"/>
  <c r="H818"/>
  <c r="I818"/>
  <c r="J818"/>
  <c r="H822"/>
  <c r="I822"/>
  <c r="K822" s="1"/>
  <c r="J822"/>
  <c r="H826"/>
  <c r="I826"/>
  <c r="J826"/>
  <c r="H830"/>
  <c r="I830"/>
  <c r="J830"/>
  <c r="H834"/>
  <c r="I834"/>
  <c r="J834"/>
  <c r="H838"/>
  <c r="I838"/>
  <c r="K838" s="1"/>
  <c r="J838"/>
  <c r="H842"/>
  <c r="I842"/>
  <c r="J842"/>
  <c r="H846"/>
  <c r="I846"/>
  <c r="J846"/>
  <c r="H850"/>
  <c r="I850"/>
  <c r="J850"/>
  <c r="H854"/>
  <c r="I854"/>
  <c r="K854" s="1"/>
  <c r="J854"/>
  <c r="H858"/>
  <c r="I858"/>
  <c r="J858"/>
  <c r="H862"/>
  <c r="I862"/>
  <c r="J862"/>
  <c r="H866"/>
  <c r="I866"/>
  <c r="J866"/>
  <c r="H870"/>
  <c r="I870"/>
  <c r="K870" s="1"/>
  <c r="J870"/>
  <c r="H874"/>
  <c r="I874"/>
  <c r="J874"/>
  <c r="H878"/>
  <c r="I878"/>
  <c r="J878"/>
  <c r="H882"/>
  <c r="I882"/>
  <c r="J882"/>
  <c r="H886"/>
  <c r="I886"/>
  <c r="K886" s="1"/>
  <c r="J886"/>
  <c r="I890"/>
  <c r="H890"/>
  <c r="J890"/>
  <c r="I894"/>
  <c r="H894"/>
  <c r="J894"/>
  <c r="J898"/>
  <c r="I898"/>
  <c r="H898"/>
  <c r="AD65" i="1"/>
  <c r="AG65"/>
  <c r="AH65" s="1"/>
  <c r="AD49"/>
  <c r="AG49"/>
  <c r="AH49" s="1"/>
  <c r="AD60"/>
  <c r="AG60"/>
  <c r="AH60" s="1"/>
  <c r="AD25"/>
  <c r="AG25"/>
  <c r="AH25" s="1"/>
  <c r="H406" i="3"/>
  <c r="I406"/>
  <c r="K406" s="1"/>
  <c r="J406"/>
  <c r="H414"/>
  <c r="I414"/>
  <c r="J414"/>
  <c r="H422"/>
  <c r="I422"/>
  <c r="J422"/>
  <c r="H430"/>
  <c r="I430"/>
  <c r="J430"/>
  <c r="H438"/>
  <c r="I438"/>
  <c r="K438" s="1"/>
  <c r="J438"/>
  <c r="H446"/>
  <c r="I446"/>
  <c r="J446"/>
  <c r="H454"/>
  <c r="I454"/>
  <c r="J454"/>
  <c r="H462"/>
  <c r="I462"/>
  <c r="J462"/>
  <c r="H470"/>
  <c r="I470"/>
  <c r="K470" s="1"/>
  <c r="J470"/>
  <c r="H478"/>
  <c r="I478"/>
  <c r="J478"/>
  <c r="H486"/>
  <c r="I486"/>
  <c r="J486"/>
  <c r="H494"/>
  <c r="I494"/>
  <c r="J494"/>
  <c r="H502"/>
  <c r="I502"/>
  <c r="K502" s="1"/>
  <c r="J502"/>
  <c r="H510"/>
  <c r="I510"/>
  <c r="J510"/>
  <c r="H518"/>
  <c r="I518"/>
  <c r="J518"/>
  <c r="H526"/>
  <c r="I526"/>
  <c r="J526"/>
  <c r="H534"/>
  <c r="I534"/>
  <c r="K534" s="1"/>
  <c r="J534"/>
  <c r="H542"/>
  <c r="I542"/>
  <c r="J542"/>
  <c r="H550"/>
  <c r="I550"/>
  <c r="J550"/>
  <c r="H558"/>
  <c r="I558"/>
  <c r="J558"/>
  <c r="H566"/>
  <c r="I566"/>
  <c r="K566" s="1"/>
  <c r="J566"/>
  <c r="H574"/>
  <c r="I574"/>
  <c r="J574"/>
  <c r="H582"/>
  <c r="I582"/>
  <c r="J582"/>
  <c r="H590"/>
  <c r="I590"/>
  <c r="J590"/>
  <c r="AG39" i="1"/>
  <c r="AH39" s="1"/>
  <c r="W39"/>
  <c r="W26"/>
  <c r="AG26"/>
  <c r="AH26" s="1"/>
  <c r="AG21"/>
  <c r="AH21" s="1"/>
  <c r="W21"/>
  <c r="W18"/>
  <c r="AG18"/>
  <c r="AH18" s="1"/>
  <c r="W15"/>
  <c r="AG15"/>
  <c r="AH15" s="1"/>
  <c r="W37"/>
  <c r="AG37"/>
  <c r="AH37" s="1"/>
  <c r="W34"/>
  <c r="AG34"/>
  <c r="AH34" s="1"/>
  <c r="AG31"/>
  <c r="AH31" s="1"/>
  <c r="W31"/>
  <c r="AG28"/>
  <c r="AH28" s="1"/>
  <c r="W28"/>
  <c r="AG12"/>
  <c r="AH12" s="1"/>
  <c r="W12"/>
  <c r="AG43"/>
  <c r="AH43" s="1"/>
  <c r="W43"/>
  <c r="W30"/>
  <c r="AG30"/>
  <c r="AH30" s="1"/>
  <c r="J3" i="4"/>
  <c r="R4" i="1"/>
  <c r="J378" i="3"/>
  <c r="H378"/>
  <c r="I378"/>
  <c r="K378" s="1"/>
  <c r="J374"/>
  <c r="H374"/>
  <c r="I374"/>
  <c r="J370"/>
  <c r="H370"/>
  <c r="I370"/>
  <c r="J366"/>
  <c r="H366"/>
  <c r="I366"/>
  <c r="K366" s="1"/>
  <c r="J362"/>
  <c r="H362"/>
  <c r="I362"/>
  <c r="K362" s="1"/>
  <c r="J358"/>
  <c r="H358"/>
  <c r="I358"/>
  <c r="J354"/>
  <c r="H354"/>
  <c r="I354"/>
  <c r="J350"/>
  <c r="H350"/>
  <c r="I350"/>
  <c r="K350" s="1"/>
  <c r="J346"/>
  <c r="H346"/>
  <c r="I346"/>
  <c r="K346" s="1"/>
  <c r="J342"/>
  <c r="H342"/>
  <c r="I342"/>
  <c r="J338"/>
  <c r="H338"/>
  <c r="I338"/>
  <c r="J334"/>
  <c r="H334"/>
  <c r="I334"/>
  <c r="K334" s="1"/>
  <c r="J330"/>
  <c r="H330"/>
  <c r="I330"/>
  <c r="K330" s="1"/>
  <c r="J326"/>
  <c r="H326"/>
  <c r="I326"/>
  <c r="J322"/>
  <c r="H322"/>
  <c r="I322"/>
  <c r="J318"/>
  <c r="H318"/>
  <c r="I318"/>
  <c r="K318" s="1"/>
  <c r="J314"/>
  <c r="H314"/>
  <c r="I314"/>
  <c r="K314" s="1"/>
  <c r="J310"/>
  <c r="H310"/>
  <c r="I310"/>
  <c r="J306"/>
  <c r="H306"/>
  <c r="I306"/>
  <c r="J302"/>
  <c r="H302"/>
  <c r="I302"/>
  <c r="K302" s="1"/>
  <c r="J298"/>
  <c r="H298"/>
  <c r="I298"/>
  <c r="K298" s="1"/>
  <c r="J294"/>
  <c r="H294"/>
  <c r="I294"/>
  <c r="J290"/>
  <c r="H290"/>
  <c r="I290"/>
  <c r="J286"/>
  <c r="H286"/>
  <c r="I286"/>
  <c r="K286" s="1"/>
  <c r="J282"/>
  <c r="H282"/>
  <c r="I282"/>
  <c r="K282" s="1"/>
  <c r="J278"/>
  <c r="H278"/>
  <c r="I278"/>
  <c r="J274"/>
  <c r="H274"/>
  <c r="I274"/>
  <c r="J270"/>
  <c r="H270"/>
  <c r="I270"/>
  <c r="K270" s="1"/>
  <c r="J266"/>
  <c r="H266"/>
  <c r="I266"/>
  <c r="K266" s="1"/>
  <c r="J262"/>
  <c r="H262"/>
  <c r="I262"/>
  <c r="J258"/>
  <c r="H258"/>
  <c r="I258"/>
  <c r="J254"/>
  <c r="H254"/>
  <c r="I254"/>
  <c r="K254" s="1"/>
  <c r="J250"/>
  <c r="H250"/>
  <c r="I250"/>
  <c r="K250" s="1"/>
  <c r="J246"/>
  <c r="H246"/>
  <c r="I246"/>
  <c r="J242"/>
  <c r="H242"/>
  <c r="I242"/>
  <c r="J238"/>
  <c r="H238"/>
  <c r="I238"/>
  <c r="K238" s="1"/>
  <c r="J234"/>
  <c r="H234"/>
  <c r="I234"/>
  <c r="K234" s="1"/>
  <c r="J230"/>
  <c r="H230"/>
  <c r="I230"/>
  <c r="J226"/>
  <c r="H226"/>
  <c r="I226"/>
  <c r="J222"/>
  <c r="H222"/>
  <c r="I222"/>
  <c r="K222" s="1"/>
  <c r="J218"/>
  <c r="H218"/>
  <c r="I218"/>
  <c r="K218" s="1"/>
  <c r="J214"/>
  <c r="H214"/>
  <c r="I214"/>
  <c r="J210"/>
  <c r="H210"/>
  <c r="I210"/>
  <c r="J206"/>
  <c r="H206"/>
  <c r="I206"/>
  <c r="K206" s="1"/>
  <c r="J202"/>
  <c r="H202"/>
  <c r="I202"/>
  <c r="K202" s="1"/>
  <c r="J198"/>
  <c r="H198"/>
  <c r="I198"/>
  <c r="J194"/>
  <c r="H194"/>
  <c r="I194"/>
  <c r="J190"/>
  <c r="H190"/>
  <c r="I190"/>
  <c r="K190" s="1"/>
  <c r="J186"/>
  <c r="H186"/>
  <c r="I186"/>
  <c r="K186" s="1"/>
  <c r="J182"/>
  <c r="H182"/>
  <c r="I182"/>
  <c r="J178"/>
  <c r="H178"/>
  <c r="I178"/>
  <c r="J174"/>
  <c r="H174"/>
  <c r="I174"/>
  <c r="K174" s="1"/>
  <c r="J170"/>
  <c r="H170"/>
  <c r="I170"/>
  <c r="K170" s="1"/>
  <c r="J166"/>
  <c r="H166"/>
  <c r="I166"/>
  <c r="J162"/>
  <c r="H162"/>
  <c r="I162"/>
  <c r="J158"/>
  <c r="H158"/>
  <c r="I158"/>
  <c r="K158" s="1"/>
  <c r="J154"/>
  <c r="H154"/>
  <c r="I154"/>
  <c r="K154" s="1"/>
  <c r="J150"/>
  <c r="H150"/>
  <c r="I150"/>
  <c r="J146"/>
  <c r="H146"/>
  <c r="I146"/>
  <c r="J142"/>
  <c r="H142"/>
  <c r="I142"/>
  <c r="K142" s="1"/>
  <c r="J138"/>
  <c r="H138"/>
  <c r="I138"/>
  <c r="K138" s="1"/>
  <c r="J134"/>
  <c r="H134"/>
  <c r="I134"/>
  <c r="J130"/>
  <c r="H130"/>
  <c r="I130"/>
  <c r="J126"/>
  <c r="H126"/>
  <c r="I126"/>
  <c r="K126" s="1"/>
  <c r="J122"/>
  <c r="H122"/>
  <c r="I122"/>
  <c r="K122" s="1"/>
  <c r="J118"/>
  <c r="H118"/>
  <c r="I118"/>
  <c r="J114"/>
  <c r="H114"/>
  <c r="I114"/>
  <c r="J110"/>
  <c r="H110"/>
  <c r="I110"/>
  <c r="K110" s="1"/>
  <c r="J106"/>
  <c r="H106"/>
  <c r="I106"/>
  <c r="K106" s="1"/>
  <c r="J102"/>
  <c r="H102"/>
  <c r="I102"/>
  <c r="J98"/>
  <c r="H98"/>
  <c r="I98"/>
  <c r="J94"/>
  <c r="H94"/>
  <c r="I94"/>
  <c r="K94" s="1"/>
  <c r="J90"/>
  <c r="H90"/>
  <c r="I90"/>
  <c r="K90" s="1"/>
  <c r="J86"/>
  <c r="H86"/>
  <c r="I86"/>
  <c r="J82"/>
  <c r="H82"/>
  <c r="I82"/>
  <c r="J78"/>
  <c r="H78"/>
  <c r="I78"/>
  <c r="K78" s="1"/>
  <c r="J74"/>
  <c r="H74"/>
  <c r="I74"/>
  <c r="K74" s="1"/>
  <c r="J70"/>
  <c r="H70"/>
  <c r="I70"/>
  <c r="J66"/>
  <c r="H66"/>
  <c r="I66"/>
  <c r="J62"/>
  <c r="H62"/>
  <c r="I62"/>
  <c r="K62" s="1"/>
  <c r="J58"/>
  <c r="H58"/>
  <c r="I58"/>
  <c r="K58" s="1"/>
  <c r="J54"/>
  <c r="H54"/>
  <c r="I54"/>
  <c r="J50"/>
  <c r="H50"/>
  <c r="I50"/>
  <c r="J46"/>
  <c r="H46"/>
  <c r="I46"/>
  <c r="K46" s="1"/>
  <c r="J42"/>
  <c r="H42"/>
  <c r="I42"/>
  <c r="K42" s="1"/>
  <c r="J38"/>
  <c r="H38"/>
  <c r="I38"/>
  <c r="J34"/>
  <c r="H34"/>
  <c r="I34"/>
  <c r="J30"/>
  <c r="H30"/>
  <c r="I30"/>
  <c r="K30" s="1"/>
  <c r="J26"/>
  <c r="H26"/>
  <c r="I26"/>
  <c r="K26" s="1"/>
  <c r="J22"/>
  <c r="H22"/>
  <c r="I22"/>
  <c r="J18"/>
  <c r="H18"/>
  <c r="I18"/>
  <c r="J14"/>
  <c r="H14"/>
  <c r="I14"/>
  <c r="K14" s="1"/>
  <c r="J10"/>
  <c r="H10"/>
  <c r="I10"/>
  <c r="K10" s="1"/>
  <c r="J6"/>
  <c r="H6"/>
  <c r="I6"/>
  <c r="J2"/>
  <c r="H2"/>
  <c r="I2"/>
  <c r="H397"/>
  <c r="I397"/>
  <c r="J397"/>
  <c r="H389"/>
  <c r="I389"/>
  <c r="J389"/>
  <c r="AD58" i="1"/>
  <c r="AG58"/>
  <c r="AH58" s="1"/>
  <c r="H405" i="3"/>
  <c r="I405"/>
  <c r="J405"/>
  <c r="H409"/>
  <c r="I409"/>
  <c r="J409"/>
  <c r="H413"/>
  <c r="I413"/>
  <c r="J413"/>
  <c r="H417"/>
  <c r="I417"/>
  <c r="K417" s="1"/>
  <c r="J417"/>
  <c r="H421"/>
  <c r="I421"/>
  <c r="J421"/>
  <c r="H425"/>
  <c r="I425"/>
  <c r="J425"/>
  <c r="H429"/>
  <c r="I429"/>
  <c r="J429"/>
  <c r="H433"/>
  <c r="I433"/>
  <c r="K433" s="1"/>
  <c r="J433"/>
  <c r="H437"/>
  <c r="I437"/>
  <c r="J437"/>
  <c r="H441"/>
  <c r="I441"/>
  <c r="J441"/>
  <c r="H445"/>
  <c r="I445"/>
  <c r="J445"/>
  <c r="H449"/>
  <c r="I449"/>
  <c r="K449" s="1"/>
  <c r="J449"/>
  <c r="H453"/>
  <c r="I453"/>
  <c r="J453"/>
  <c r="H457"/>
  <c r="I457"/>
  <c r="J457"/>
  <c r="H461"/>
  <c r="I461"/>
  <c r="J461"/>
  <c r="H465"/>
  <c r="I465"/>
  <c r="K465" s="1"/>
  <c r="J465"/>
  <c r="H469"/>
  <c r="I469"/>
  <c r="J469"/>
  <c r="H473"/>
  <c r="I473"/>
  <c r="J473"/>
  <c r="H477"/>
  <c r="I477"/>
  <c r="J477"/>
  <c r="H481"/>
  <c r="I481"/>
  <c r="K481" s="1"/>
  <c r="J481"/>
  <c r="H485"/>
  <c r="I485"/>
  <c r="J485"/>
  <c r="H489"/>
  <c r="I489"/>
  <c r="J489"/>
  <c r="H493"/>
  <c r="I493"/>
  <c r="J493"/>
  <c r="H497"/>
  <c r="I497"/>
  <c r="K497" s="1"/>
  <c r="J497"/>
  <c r="H501"/>
  <c r="I501"/>
  <c r="J501"/>
  <c r="H505"/>
  <c r="I505"/>
  <c r="J505"/>
  <c r="H509"/>
  <c r="I509"/>
  <c r="J509"/>
  <c r="H513"/>
  <c r="I513"/>
  <c r="K513" s="1"/>
  <c r="J513"/>
  <c r="H517"/>
  <c r="I517"/>
  <c r="J517"/>
  <c r="H521"/>
  <c r="I521"/>
  <c r="J521"/>
  <c r="H525"/>
  <c r="I525"/>
  <c r="J525"/>
  <c r="H529"/>
  <c r="I529"/>
  <c r="K529" s="1"/>
  <c r="J529"/>
  <c r="H533"/>
  <c r="I533"/>
  <c r="J533"/>
  <c r="H537"/>
  <c r="I537"/>
  <c r="J537"/>
  <c r="H541"/>
  <c r="I541"/>
  <c r="J541"/>
  <c r="H545"/>
  <c r="I545"/>
  <c r="K545" s="1"/>
  <c r="J545"/>
  <c r="H549"/>
  <c r="I549"/>
  <c r="J549"/>
  <c r="H553"/>
  <c r="I553"/>
  <c r="J553"/>
  <c r="H557"/>
  <c r="I557"/>
  <c r="J557"/>
  <c r="H561"/>
  <c r="I561"/>
  <c r="K561" s="1"/>
  <c r="J561"/>
  <c r="H565"/>
  <c r="I565"/>
  <c r="J565"/>
  <c r="H569"/>
  <c r="I569"/>
  <c r="J569"/>
  <c r="H573"/>
  <c r="I573"/>
  <c r="J573"/>
  <c r="H577"/>
  <c r="I577"/>
  <c r="K577" s="1"/>
  <c r="J577"/>
  <c r="H581"/>
  <c r="I581"/>
  <c r="J581"/>
  <c r="H585"/>
  <c r="I585"/>
  <c r="J585"/>
  <c r="H589"/>
  <c r="I589"/>
  <c r="J589"/>
  <c r="H593"/>
  <c r="I593"/>
  <c r="K593" s="1"/>
  <c r="J593"/>
  <c r="H597"/>
  <c r="I597"/>
  <c r="J597"/>
  <c r="H601"/>
  <c r="I601"/>
  <c r="J601"/>
  <c r="H605"/>
  <c r="I605"/>
  <c r="J605"/>
  <c r="H609"/>
  <c r="I609"/>
  <c r="K609" s="1"/>
  <c r="J609"/>
  <c r="H613"/>
  <c r="I613"/>
  <c r="J613"/>
  <c r="H617"/>
  <c r="I617"/>
  <c r="J617"/>
  <c r="H621"/>
  <c r="I621"/>
  <c r="J621"/>
  <c r="H625"/>
  <c r="I625"/>
  <c r="K625" s="1"/>
  <c r="J625"/>
  <c r="H629"/>
  <c r="I629"/>
  <c r="J629"/>
  <c r="H633"/>
  <c r="I633"/>
  <c r="J633"/>
  <c r="H637"/>
  <c r="I637"/>
  <c r="J637"/>
  <c r="H641"/>
  <c r="I641"/>
  <c r="K641" s="1"/>
  <c r="J641"/>
  <c r="H645"/>
  <c r="I645"/>
  <c r="J645"/>
  <c r="H649"/>
  <c r="I649"/>
  <c r="J649"/>
  <c r="H653"/>
  <c r="I653"/>
  <c r="J653"/>
  <c r="H657"/>
  <c r="I657"/>
  <c r="K657" s="1"/>
  <c r="J657"/>
  <c r="H661"/>
  <c r="I661"/>
  <c r="J661"/>
  <c r="H665"/>
  <c r="I665"/>
  <c r="J665"/>
  <c r="H669"/>
  <c r="I669"/>
  <c r="J669"/>
  <c r="H673"/>
  <c r="I673"/>
  <c r="K673" s="1"/>
  <c r="J673"/>
  <c r="H677"/>
  <c r="I677"/>
  <c r="J677"/>
  <c r="H681"/>
  <c r="I681"/>
  <c r="J681"/>
  <c r="H685"/>
  <c r="I685"/>
  <c r="J685"/>
  <c r="H689"/>
  <c r="I689"/>
  <c r="K689" s="1"/>
  <c r="J689"/>
  <c r="H693"/>
  <c r="I693"/>
  <c r="J693"/>
  <c r="H697"/>
  <c r="I697"/>
  <c r="J697"/>
  <c r="H701"/>
  <c r="I701"/>
  <c r="J701"/>
  <c r="H705"/>
  <c r="I705"/>
  <c r="K705" s="1"/>
  <c r="J705"/>
  <c r="H709"/>
  <c r="I709"/>
  <c r="J709"/>
  <c r="H713"/>
  <c r="I713"/>
  <c r="J713"/>
  <c r="H717"/>
  <c r="I717"/>
  <c r="J717"/>
  <c r="H721"/>
  <c r="I721"/>
  <c r="K721" s="1"/>
  <c r="J721"/>
  <c r="H725"/>
  <c r="I725"/>
  <c r="J725"/>
  <c r="H729"/>
  <c r="I729"/>
  <c r="J729"/>
  <c r="H733"/>
  <c r="I733"/>
  <c r="J733"/>
  <c r="H737"/>
  <c r="I737"/>
  <c r="K737" s="1"/>
  <c r="J737"/>
  <c r="H741"/>
  <c r="I741"/>
  <c r="J741"/>
  <c r="H745"/>
  <c r="I745"/>
  <c r="J745"/>
  <c r="H749"/>
  <c r="I749"/>
  <c r="J749"/>
  <c r="H753"/>
  <c r="I753"/>
  <c r="K753" s="1"/>
  <c r="J753"/>
  <c r="H757"/>
  <c r="I757"/>
  <c r="J757"/>
  <c r="H761"/>
  <c r="I761"/>
  <c r="J761"/>
  <c r="AD53" i="1"/>
  <c r="AG53"/>
  <c r="AH53" s="1"/>
  <c r="AD64"/>
  <c r="AG64"/>
  <c r="AH64" s="1"/>
  <c r="AD48"/>
  <c r="AG48"/>
  <c r="AH48" s="1"/>
  <c r="AD32"/>
  <c r="AG32"/>
  <c r="AH32" s="1"/>
  <c r="AD6"/>
  <c r="AG6"/>
  <c r="AH6" s="1"/>
  <c r="J178" i="4"/>
  <c r="J114"/>
  <c r="J267" i="3"/>
  <c r="H267"/>
  <c r="I267"/>
  <c r="J259"/>
  <c r="H259"/>
  <c r="I259"/>
  <c r="J251"/>
  <c r="H251"/>
  <c r="I251"/>
  <c r="K251" s="1"/>
  <c r="J243"/>
  <c r="H243"/>
  <c r="I243"/>
  <c r="K243" s="1"/>
  <c r="J235"/>
  <c r="H235"/>
  <c r="I235"/>
  <c r="J227"/>
  <c r="H227"/>
  <c r="I227"/>
  <c r="J219"/>
  <c r="H219"/>
  <c r="I219"/>
  <c r="K219" s="1"/>
  <c r="J211"/>
  <c r="H211"/>
  <c r="I211"/>
  <c r="K211" s="1"/>
  <c r="J203"/>
  <c r="H203"/>
  <c r="I203"/>
  <c r="J195"/>
  <c r="H195"/>
  <c r="I195"/>
  <c r="J187"/>
  <c r="H187"/>
  <c r="I187"/>
  <c r="K187" s="1"/>
  <c r="J179"/>
  <c r="H179"/>
  <c r="I179"/>
  <c r="K179" s="1"/>
  <c r="J171"/>
  <c r="H171"/>
  <c r="I171"/>
  <c r="J163"/>
  <c r="H163"/>
  <c r="I163"/>
  <c r="J155"/>
  <c r="H155"/>
  <c r="I155"/>
  <c r="K155" s="1"/>
  <c r="J147"/>
  <c r="H147"/>
  <c r="I147"/>
  <c r="K147" s="1"/>
  <c r="J139"/>
  <c r="H139"/>
  <c r="I139"/>
  <c r="J131"/>
  <c r="H131"/>
  <c r="I131"/>
  <c r="J123"/>
  <c r="H123"/>
  <c r="I123"/>
  <c r="K123" s="1"/>
  <c r="J115"/>
  <c r="H115"/>
  <c r="I115"/>
  <c r="K115" s="1"/>
  <c r="J107"/>
  <c r="H107"/>
  <c r="I107"/>
  <c r="J99"/>
  <c r="H99"/>
  <c r="I99"/>
  <c r="J91"/>
  <c r="H91"/>
  <c r="I91"/>
  <c r="K91" s="1"/>
  <c r="J83"/>
  <c r="H83"/>
  <c r="I83"/>
  <c r="K83" s="1"/>
  <c r="J75"/>
  <c r="H75"/>
  <c r="I75"/>
  <c r="J67"/>
  <c r="H67"/>
  <c r="I67"/>
  <c r="J59"/>
  <c r="H59"/>
  <c r="I59"/>
  <c r="K59" s="1"/>
  <c r="J47"/>
  <c r="H47"/>
  <c r="I47"/>
  <c r="K47" s="1"/>
  <c r="J43"/>
  <c r="H43"/>
  <c r="I43"/>
  <c r="J39"/>
  <c r="H39"/>
  <c r="I39"/>
  <c r="J35"/>
  <c r="H35"/>
  <c r="I35"/>
  <c r="K35" s="1"/>
  <c r="J31"/>
  <c r="H31"/>
  <c r="I31"/>
  <c r="K31" s="1"/>
  <c r="J27"/>
  <c r="H27"/>
  <c r="I27"/>
  <c r="J23"/>
  <c r="H23"/>
  <c r="I23"/>
  <c r="J19"/>
  <c r="H19"/>
  <c r="I19"/>
  <c r="K19" s="1"/>
  <c r="J15"/>
  <c r="H15"/>
  <c r="I15"/>
  <c r="K15" s="1"/>
  <c r="J11"/>
  <c r="H11"/>
  <c r="I11"/>
  <c r="J7"/>
  <c r="H7"/>
  <c r="I7"/>
  <c r="J3"/>
  <c r="H3"/>
  <c r="I3"/>
  <c r="K3" s="1"/>
  <c r="H391"/>
  <c r="I391"/>
  <c r="J391"/>
  <c r="H404"/>
  <c r="I404"/>
  <c r="J404"/>
  <c r="H408"/>
  <c r="I408"/>
  <c r="K408" s="1"/>
  <c r="J408"/>
  <c r="H412"/>
  <c r="I412"/>
  <c r="J412"/>
  <c r="H416"/>
  <c r="I416"/>
  <c r="J416"/>
  <c r="H420"/>
  <c r="I420"/>
  <c r="J420"/>
  <c r="H424"/>
  <c r="I424"/>
  <c r="K424" s="1"/>
  <c r="J424"/>
  <c r="H428"/>
  <c r="I428"/>
  <c r="J428"/>
  <c r="H432"/>
  <c r="I432"/>
  <c r="J432"/>
  <c r="H436"/>
  <c r="I436"/>
  <c r="J436"/>
  <c r="H440"/>
  <c r="I440"/>
  <c r="K440" s="1"/>
  <c r="J440"/>
  <c r="H444"/>
  <c r="I444"/>
  <c r="J444"/>
  <c r="H448"/>
  <c r="I448"/>
  <c r="J448"/>
  <c r="H452"/>
  <c r="I452"/>
  <c r="J452"/>
  <c r="H456"/>
  <c r="I456"/>
  <c r="K456" s="1"/>
  <c r="J456"/>
  <c r="H460"/>
  <c r="I460"/>
  <c r="J460"/>
  <c r="H464"/>
  <c r="I464"/>
  <c r="J464"/>
  <c r="H468"/>
  <c r="I468"/>
  <c r="J468"/>
  <c r="H472"/>
  <c r="I472"/>
  <c r="K472" s="1"/>
  <c r="J472"/>
  <c r="H476"/>
  <c r="I476"/>
  <c r="J476"/>
  <c r="H480"/>
  <c r="I480"/>
  <c r="J480"/>
  <c r="H484"/>
  <c r="I484"/>
  <c r="J484"/>
  <c r="H488"/>
  <c r="I488"/>
  <c r="K488" s="1"/>
  <c r="J488"/>
  <c r="H492"/>
  <c r="I492"/>
  <c r="J492"/>
  <c r="H496"/>
  <c r="I496"/>
  <c r="J496"/>
  <c r="H500"/>
  <c r="I500"/>
  <c r="J500"/>
  <c r="H504"/>
  <c r="I504"/>
  <c r="K504" s="1"/>
  <c r="J504"/>
  <c r="H508"/>
  <c r="I508"/>
  <c r="J508"/>
  <c r="H512"/>
  <c r="I512"/>
  <c r="J512"/>
  <c r="H516"/>
  <c r="I516"/>
  <c r="J516"/>
  <c r="H520"/>
  <c r="I520"/>
  <c r="K520" s="1"/>
  <c r="J520"/>
  <c r="H524"/>
  <c r="I524"/>
  <c r="J524"/>
  <c r="H528"/>
  <c r="I528"/>
  <c r="J528"/>
  <c r="H532"/>
  <c r="I532"/>
  <c r="J532"/>
  <c r="H536"/>
  <c r="I536"/>
  <c r="K536" s="1"/>
  <c r="J536"/>
  <c r="H540"/>
  <c r="I540"/>
  <c r="J540"/>
  <c r="H544"/>
  <c r="I544"/>
  <c r="J544"/>
  <c r="H548"/>
  <c r="I548"/>
  <c r="J548"/>
  <c r="H552"/>
  <c r="I552"/>
  <c r="K552" s="1"/>
  <c r="J552"/>
  <c r="H556"/>
  <c r="I556"/>
  <c r="J556"/>
  <c r="H560"/>
  <c r="I560"/>
  <c r="J560"/>
  <c r="H564"/>
  <c r="I564"/>
  <c r="J564"/>
  <c r="H568"/>
  <c r="I568"/>
  <c r="K568" s="1"/>
  <c r="J568"/>
  <c r="H572"/>
  <c r="I572"/>
  <c r="J572"/>
  <c r="H576"/>
  <c r="I576"/>
  <c r="J576"/>
  <c r="H580"/>
  <c r="I580"/>
  <c r="J580"/>
  <c r="H584"/>
  <c r="I584"/>
  <c r="K584" s="1"/>
  <c r="J584"/>
  <c r="H588"/>
  <c r="I588"/>
  <c r="J588"/>
  <c r="H592"/>
  <c r="I592"/>
  <c r="J592"/>
  <c r="H596"/>
  <c r="I596"/>
  <c r="J596"/>
  <c r="H600"/>
  <c r="I600"/>
  <c r="K600" s="1"/>
  <c r="J600"/>
  <c r="H604"/>
  <c r="I604"/>
  <c r="J604"/>
  <c r="H608"/>
  <c r="I608"/>
  <c r="J608"/>
  <c r="H612"/>
  <c r="I612"/>
  <c r="J612"/>
  <c r="H616"/>
  <c r="I616"/>
  <c r="K616" s="1"/>
  <c r="J616"/>
  <c r="H620"/>
  <c r="I620"/>
  <c r="J620"/>
  <c r="H624"/>
  <c r="I624"/>
  <c r="J624"/>
  <c r="H628"/>
  <c r="I628"/>
  <c r="J628"/>
  <c r="H632"/>
  <c r="I632"/>
  <c r="K632" s="1"/>
  <c r="J632"/>
  <c r="H636"/>
  <c r="I636"/>
  <c r="J636"/>
  <c r="H640"/>
  <c r="I640"/>
  <c r="J640"/>
  <c r="H644"/>
  <c r="I644"/>
  <c r="J644"/>
  <c r="H648"/>
  <c r="I648"/>
  <c r="K648" s="1"/>
  <c r="J648"/>
  <c r="H652"/>
  <c r="I652"/>
  <c r="J652"/>
  <c r="H656"/>
  <c r="I656"/>
  <c r="J656"/>
  <c r="H660"/>
  <c r="I660"/>
  <c r="J660"/>
  <c r="H664"/>
  <c r="I664"/>
  <c r="K664" s="1"/>
  <c r="J664"/>
  <c r="H668"/>
  <c r="I668"/>
  <c r="J668"/>
  <c r="H672"/>
  <c r="I672"/>
  <c r="J672"/>
  <c r="H676"/>
  <c r="I676"/>
  <c r="J676"/>
  <c r="H680"/>
  <c r="I680"/>
  <c r="K680" s="1"/>
  <c r="J680"/>
  <c r="H684"/>
  <c r="I684"/>
  <c r="J684"/>
  <c r="H688"/>
  <c r="I688"/>
  <c r="J688"/>
  <c r="H692"/>
  <c r="I692"/>
  <c r="J692"/>
  <c r="H696"/>
  <c r="I696"/>
  <c r="K696" s="1"/>
  <c r="J696"/>
  <c r="H700"/>
  <c r="I700"/>
  <c r="J700"/>
  <c r="H704"/>
  <c r="I704"/>
  <c r="J704"/>
  <c r="H708"/>
  <c r="I708"/>
  <c r="J708"/>
  <c r="H712"/>
  <c r="I712"/>
  <c r="K712" s="1"/>
  <c r="J712"/>
  <c r="H716"/>
  <c r="I716"/>
  <c r="J716"/>
  <c r="H720"/>
  <c r="I720"/>
  <c r="J720"/>
  <c r="H724"/>
  <c r="I724"/>
  <c r="J724"/>
  <c r="H728"/>
  <c r="I728"/>
  <c r="K728" s="1"/>
  <c r="J728"/>
  <c r="H732"/>
  <c r="I732"/>
  <c r="J732"/>
  <c r="H736"/>
  <c r="I736"/>
  <c r="J736"/>
  <c r="H740"/>
  <c r="I740"/>
  <c r="J740"/>
  <c r="H744"/>
  <c r="I744"/>
  <c r="K744" s="1"/>
  <c r="J744"/>
  <c r="H748"/>
  <c r="I748"/>
  <c r="J748"/>
  <c r="H752"/>
  <c r="I752"/>
  <c r="J752"/>
  <c r="H756"/>
  <c r="I756"/>
  <c r="J756"/>
  <c r="H760"/>
  <c r="I760"/>
  <c r="K760" s="1"/>
  <c r="J760"/>
  <c r="H764"/>
  <c r="I764"/>
  <c r="J764"/>
  <c r="H768"/>
  <c r="I768"/>
  <c r="J768"/>
  <c r="H772"/>
  <c r="I772"/>
  <c r="J772"/>
  <c r="H776"/>
  <c r="I776"/>
  <c r="K776" s="1"/>
  <c r="J776"/>
  <c r="H780"/>
  <c r="I780"/>
  <c r="J780"/>
  <c r="H784"/>
  <c r="I784"/>
  <c r="J784"/>
  <c r="H788"/>
  <c r="I788"/>
  <c r="J788"/>
  <c r="H792"/>
  <c r="I792"/>
  <c r="K792" s="1"/>
  <c r="J792"/>
  <c r="H796"/>
  <c r="I796"/>
  <c r="J796"/>
  <c r="H800"/>
  <c r="I800"/>
  <c r="J800"/>
  <c r="H804"/>
  <c r="I804"/>
  <c r="J804"/>
  <c r="H808"/>
  <c r="I808"/>
  <c r="K808" s="1"/>
  <c r="J808"/>
  <c r="H812"/>
  <c r="I812"/>
  <c r="J812"/>
  <c r="H816"/>
  <c r="I816"/>
  <c r="J816"/>
  <c r="H820"/>
  <c r="I820"/>
  <c r="J820"/>
  <c r="H824"/>
  <c r="I824"/>
  <c r="K824" s="1"/>
  <c r="J824"/>
  <c r="H828"/>
  <c r="I828"/>
  <c r="J828"/>
  <c r="H832"/>
  <c r="I832"/>
  <c r="J832"/>
  <c r="H836"/>
  <c r="I836"/>
  <c r="J836"/>
  <c r="H840"/>
  <c r="I840"/>
  <c r="K840" s="1"/>
  <c r="J840"/>
  <c r="H844"/>
  <c r="I844"/>
  <c r="J844"/>
  <c r="H848"/>
  <c r="I848"/>
  <c r="J848"/>
  <c r="H852"/>
  <c r="I852"/>
  <c r="J852"/>
  <c r="H856"/>
  <c r="I856"/>
  <c r="K856" s="1"/>
  <c r="J856"/>
  <c r="H860"/>
  <c r="I860"/>
  <c r="J860"/>
  <c r="H864"/>
  <c r="I864"/>
  <c r="J864"/>
  <c r="H868"/>
  <c r="I868"/>
  <c r="J868"/>
  <c r="H872"/>
  <c r="I872"/>
  <c r="K872" s="1"/>
  <c r="J872"/>
  <c r="H876"/>
  <c r="I876"/>
  <c r="J876"/>
  <c r="H880"/>
  <c r="I880"/>
  <c r="J880"/>
  <c r="H884"/>
  <c r="I884"/>
  <c r="J884"/>
  <c r="H888"/>
  <c r="I888"/>
  <c r="K888" s="1"/>
  <c r="J888"/>
  <c r="I892"/>
  <c r="H892"/>
  <c r="J892"/>
  <c r="I896"/>
  <c r="H896"/>
  <c r="J896"/>
  <c r="AD57" i="1"/>
  <c r="AG57"/>
  <c r="AH57" s="1"/>
  <c r="AD41"/>
  <c r="AG41"/>
  <c r="AH41" s="1"/>
  <c r="AD52"/>
  <c r="AG52"/>
  <c r="AH52" s="1"/>
  <c r="AD10"/>
  <c r="AG10"/>
  <c r="AH10" s="1"/>
  <c r="J263" i="3"/>
  <c r="H263"/>
  <c r="I263"/>
  <c r="J255"/>
  <c r="H255"/>
  <c r="I255"/>
  <c r="J247"/>
  <c r="H247"/>
  <c r="I247"/>
  <c r="K247" s="1"/>
  <c r="J239"/>
  <c r="H239"/>
  <c r="I239"/>
  <c r="K239" s="1"/>
  <c r="J231"/>
  <c r="H231"/>
  <c r="I231"/>
  <c r="J223"/>
  <c r="H223"/>
  <c r="I223"/>
  <c r="J215"/>
  <c r="H215"/>
  <c r="I215"/>
  <c r="K215" s="1"/>
  <c r="J207"/>
  <c r="H207"/>
  <c r="I207"/>
  <c r="K207" s="1"/>
  <c r="J199"/>
  <c r="H199"/>
  <c r="I199"/>
  <c r="J191"/>
  <c r="H191"/>
  <c r="I191"/>
  <c r="J183"/>
  <c r="H183"/>
  <c r="I183"/>
  <c r="K183" s="1"/>
  <c r="J175"/>
  <c r="H175"/>
  <c r="I175"/>
  <c r="K175" s="1"/>
  <c r="J167"/>
  <c r="H167"/>
  <c r="I167"/>
  <c r="J159"/>
  <c r="H159"/>
  <c r="I159"/>
  <c r="J151"/>
  <c r="H151"/>
  <c r="I151"/>
  <c r="K151" s="1"/>
  <c r="J143"/>
  <c r="H143"/>
  <c r="I143"/>
  <c r="K143" s="1"/>
  <c r="J135"/>
  <c r="H135"/>
  <c r="I135"/>
  <c r="J127"/>
  <c r="H127"/>
  <c r="I127"/>
  <c r="J119"/>
  <c r="H119"/>
  <c r="I119"/>
  <c r="K119" s="1"/>
  <c r="J111"/>
  <c r="H111"/>
  <c r="I111"/>
  <c r="K111" s="1"/>
  <c r="J103"/>
  <c r="H103"/>
  <c r="I103"/>
  <c r="J95"/>
  <c r="H95"/>
  <c r="I95"/>
  <c r="J87"/>
  <c r="H87"/>
  <c r="I87"/>
  <c r="K87" s="1"/>
  <c r="J79"/>
  <c r="H79"/>
  <c r="I79"/>
  <c r="K79" s="1"/>
  <c r="J71"/>
  <c r="H71"/>
  <c r="I71"/>
  <c r="J63"/>
  <c r="H63"/>
  <c r="I63"/>
  <c r="J55"/>
  <c r="H55"/>
  <c r="I55"/>
  <c r="K55" s="1"/>
  <c r="J51"/>
  <c r="H51"/>
  <c r="I51"/>
  <c r="K51" s="1"/>
  <c r="H399"/>
  <c r="I399"/>
  <c r="J399"/>
  <c r="AG62" i="1"/>
  <c r="AH62" s="1"/>
  <c r="AD46"/>
  <c r="AG46"/>
  <c r="AH46" s="1"/>
  <c r="W23"/>
  <c r="AG23"/>
  <c r="AH23" s="1"/>
  <c r="AG20"/>
  <c r="AH20" s="1"/>
  <c r="W20"/>
  <c r="J380" i="3"/>
  <c r="H380"/>
  <c r="I380"/>
  <c r="J376"/>
  <c r="H376"/>
  <c r="I376"/>
  <c r="K376" s="1"/>
  <c r="J372"/>
  <c r="H372"/>
  <c r="I372"/>
  <c r="K372" s="1"/>
  <c r="J368"/>
  <c r="H368"/>
  <c r="I368"/>
  <c r="J364"/>
  <c r="H364"/>
  <c r="I364"/>
  <c r="J360"/>
  <c r="H360"/>
  <c r="I360"/>
  <c r="K360" s="1"/>
  <c r="J356"/>
  <c r="H356"/>
  <c r="I356"/>
  <c r="K356" s="1"/>
  <c r="J352"/>
  <c r="H352"/>
  <c r="I352"/>
  <c r="J348"/>
  <c r="H348"/>
  <c r="I348"/>
  <c r="J344"/>
  <c r="H344"/>
  <c r="I344"/>
  <c r="K344" s="1"/>
  <c r="J340"/>
  <c r="H340"/>
  <c r="I340"/>
  <c r="K340" s="1"/>
  <c r="J336"/>
  <c r="H336"/>
  <c r="I336"/>
  <c r="J332"/>
  <c r="H332"/>
  <c r="I332"/>
  <c r="J328"/>
  <c r="H328"/>
  <c r="I328"/>
  <c r="K328" s="1"/>
  <c r="J324"/>
  <c r="H324"/>
  <c r="I324"/>
  <c r="K324" s="1"/>
  <c r="J320"/>
  <c r="H320"/>
  <c r="I320"/>
  <c r="J316"/>
  <c r="H316"/>
  <c r="I316"/>
  <c r="J312"/>
  <c r="H312"/>
  <c r="I312"/>
  <c r="K312" s="1"/>
  <c r="J308"/>
  <c r="H308"/>
  <c r="I308"/>
  <c r="K308" s="1"/>
  <c r="J304"/>
  <c r="H304"/>
  <c r="I304"/>
  <c r="J300"/>
  <c r="H300"/>
  <c r="I300"/>
  <c r="J296"/>
  <c r="H296"/>
  <c r="I296"/>
  <c r="K296" s="1"/>
  <c r="J292"/>
  <c r="H292"/>
  <c r="I292"/>
  <c r="K292" s="1"/>
  <c r="J288"/>
  <c r="H288"/>
  <c r="I288"/>
  <c r="J284"/>
  <c r="H284"/>
  <c r="I284"/>
  <c r="J280"/>
  <c r="H280"/>
  <c r="I280"/>
  <c r="K280" s="1"/>
  <c r="J276"/>
  <c r="H276"/>
  <c r="I276"/>
  <c r="K276" s="1"/>
  <c r="J272"/>
  <c r="H272"/>
  <c r="I272"/>
  <c r="J268"/>
  <c r="H268"/>
  <c r="I268"/>
  <c r="J264"/>
  <c r="H264"/>
  <c r="I264"/>
  <c r="K264" s="1"/>
  <c r="J260"/>
  <c r="H260"/>
  <c r="I260"/>
  <c r="K260" s="1"/>
  <c r="J256"/>
  <c r="H256"/>
  <c r="I256"/>
  <c r="J252"/>
  <c r="H252"/>
  <c r="I252"/>
  <c r="J248"/>
  <c r="H248"/>
  <c r="I248"/>
  <c r="K248" s="1"/>
  <c r="J244"/>
  <c r="H244"/>
  <c r="I244"/>
  <c r="K244" s="1"/>
  <c r="J240"/>
  <c r="H240"/>
  <c r="I240"/>
  <c r="J236"/>
  <c r="H236"/>
  <c r="I236"/>
  <c r="J232"/>
  <c r="H232"/>
  <c r="I232"/>
  <c r="K232" s="1"/>
  <c r="J228"/>
  <c r="H228"/>
  <c r="I228"/>
  <c r="K228" s="1"/>
  <c r="J224"/>
  <c r="H224"/>
  <c r="I224"/>
  <c r="J220"/>
  <c r="H220"/>
  <c r="I220"/>
  <c r="J216"/>
  <c r="H216"/>
  <c r="I216"/>
  <c r="K216" s="1"/>
  <c r="J212"/>
  <c r="H212"/>
  <c r="I212"/>
  <c r="K212" s="1"/>
  <c r="J208"/>
  <c r="H208"/>
  <c r="I208"/>
  <c r="J204"/>
  <c r="H204"/>
  <c r="I204"/>
  <c r="J200"/>
  <c r="H200"/>
  <c r="I200"/>
  <c r="K200" s="1"/>
  <c r="J196"/>
  <c r="H196"/>
  <c r="I196"/>
  <c r="K196" s="1"/>
  <c r="J192"/>
  <c r="H192"/>
  <c r="I192"/>
  <c r="J188"/>
  <c r="H188"/>
  <c r="I188"/>
  <c r="J184"/>
  <c r="H184"/>
  <c r="I184"/>
  <c r="K184" s="1"/>
  <c r="J180"/>
  <c r="H180"/>
  <c r="I180"/>
  <c r="K180" s="1"/>
  <c r="J176"/>
  <c r="H176"/>
  <c r="I176"/>
  <c r="J172"/>
  <c r="H172"/>
  <c r="I172"/>
  <c r="J168"/>
  <c r="H168"/>
  <c r="I168"/>
  <c r="K168" s="1"/>
  <c r="J164"/>
  <c r="H164"/>
  <c r="I164"/>
  <c r="K164" s="1"/>
  <c r="J160"/>
  <c r="H160"/>
  <c r="I160"/>
  <c r="J156"/>
  <c r="H156"/>
  <c r="I156"/>
  <c r="J152"/>
  <c r="H152"/>
  <c r="I152"/>
  <c r="K152" s="1"/>
  <c r="J148"/>
  <c r="H148"/>
  <c r="I148"/>
  <c r="K148" s="1"/>
  <c r="J144"/>
  <c r="H144"/>
  <c r="I144"/>
  <c r="J140"/>
  <c r="H140"/>
  <c r="I140"/>
  <c r="J136"/>
  <c r="H136"/>
  <c r="I136"/>
  <c r="K136" s="1"/>
  <c r="J132"/>
  <c r="H132"/>
  <c r="I132"/>
  <c r="K132" s="1"/>
  <c r="J128"/>
  <c r="H128"/>
  <c r="I128"/>
  <c r="J124"/>
  <c r="H124"/>
  <c r="I124"/>
  <c r="J120"/>
  <c r="H120"/>
  <c r="I120"/>
  <c r="K120" s="1"/>
  <c r="J116"/>
  <c r="H116"/>
  <c r="I116"/>
  <c r="K116" s="1"/>
  <c r="J112"/>
  <c r="H112"/>
  <c r="I112"/>
  <c r="J108"/>
  <c r="H108"/>
  <c r="I108"/>
  <c r="J104"/>
  <c r="H104"/>
  <c r="I104"/>
  <c r="K104" s="1"/>
  <c r="J100"/>
  <c r="H100"/>
  <c r="I100"/>
  <c r="K100" s="1"/>
  <c r="J96"/>
  <c r="H96"/>
  <c r="I96"/>
  <c r="J92"/>
  <c r="H92"/>
  <c r="I92"/>
  <c r="J88"/>
  <c r="H88"/>
  <c r="I88"/>
  <c r="K88" s="1"/>
  <c r="J84"/>
  <c r="H84"/>
  <c r="I84"/>
  <c r="K84" s="1"/>
  <c r="J80"/>
  <c r="H80"/>
  <c r="I80"/>
  <c r="J76"/>
  <c r="H76"/>
  <c r="I76"/>
  <c r="J72"/>
  <c r="H72"/>
  <c r="I72"/>
  <c r="K72" s="1"/>
  <c r="J68"/>
  <c r="H68"/>
  <c r="I68"/>
  <c r="K68" s="1"/>
  <c r="J64"/>
  <c r="H64"/>
  <c r="I64"/>
  <c r="J60"/>
  <c r="H60"/>
  <c r="I60"/>
  <c r="J56"/>
  <c r="H56"/>
  <c r="I56"/>
  <c r="K56" s="1"/>
  <c r="J52"/>
  <c r="H52"/>
  <c r="I52"/>
  <c r="K52" s="1"/>
  <c r="J48"/>
  <c r="H48"/>
  <c r="I48"/>
  <c r="J44"/>
  <c r="H44"/>
  <c r="I44"/>
  <c r="J40"/>
  <c r="H40"/>
  <c r="I40"/>
  <c r="K40" s="1"/>
  <c r="J36"/>
  <c r="H36"/>
  <c r="I36"/>
  <c r="K36" s="1"/>
  <c r="J32"/>
  <c r="H32"/>
  <c r="I32"/>
  <c r="J28"/>
  <c r="H28"/>
  <c r="I28"/>
  <c r="J24"/>
  <c r="H24"/>
  <c r="I24"/>
  <c r="K24" s="1"/>
  <c r="J20"/>
  <c r="H20"/>
  <c r="I20"/>
  <c r="K20" s="1"/>
  <c r="J16"/>
  <c r="H16"/>
  <c r="I16"/>
  <c r="J12"/>
  <c r="H12"/>
  <c r="I12"/>
  <c r="J8"/>
  <c r="H8"/>
  <c r="I8"/>
  <c r="K8" s="1"/>
  <c r="J4"/>
  <c r="H4"/>
  <c r="I4"/>
  <c r="K4" s="1"/>
  <c r="H401"/>
  <c r="I401"/>
  <c r="J401"/>
  <c r="H393"/>
  <c r="I393"/>
  <c r="K393" s="1"/>
  <c r="J393"/>
  <c r="H385"/>
  <c r="I385"/>
  <c r="J385"/>
  <c r="AD66" i="1"/>
  <c r="AG66"/>
  <c r="AH66" s="1"/>
  <c r="AD50"/>
  <c r="AG50"/>
  <c r="AH50" s="1"/>
  <c r="J384" i="3"/>
  <c r="H384"/>
  <c r="I384"/>
  <c r="K384" s="1"/>
  <c r="H407"/>
  <c r="I407"/>
  <c r="J407"/>
  <c r="H411"/>
  <c r="I411"/>
  <c r="K411" s="1"/>
  <c r="J411"/>
  <c r="H415"/>
  <c r="I415"/>
  <c r="J415"/>
  <c r="H419"/>
  <c r="I419"/>
  <c r="J419"/>
  <c r="H423"/>
  <c r="I423"/>
  <c r="J423"/>
  <c r="H427"/>
  <c r="I427"/>
  <c r="K427" s="1"/>
  <c r="J427"/>
  <c r="H431"/>
  <c r="I431"/>
  <c r="J431"/>
  <c r="H435"/>
  <c r="I435"/>
  <c r="J435"/>
  <c r="H439"/>
  <c r="I439"/>
  <c r="J439"/>
  <c r="H443"/>
  <c r="I443"/>
  <c r="K443" s="1"/>
  <c r="J443"/>
  <c r="H447"/>
  <c r="I447"/>
  <c r="J447"/>
  <c r="H451"/>
  <c r="I451"/>
  <c r="J451"/>
  <c r="H455"/>
  <c r="I455"/>
  <c r="J455"/>
  <c r="H459"/>
  <c r="I459"/>
  <c r="K459" s="1"/>
  <c r="J459"/>
  <c r="H463"/>
  <c r="I463"/>
  <c r="J463"/>
  <c r="H467"/>
  <c r="I467"/>
  <c r="J467"/>
  <c r="H471"/>
  <c r="I471"/>
  <c r="J471"/>
  <c r="H475"/>
  <c r="I475"/>
  <c r="K475" s="1"/>
  <c r="J475"/>
  <c r="H479"/>
  <c r="I479"/>
  <c r="J479"/>
  <c r="H483"/>
  <c r="I483"/>
  <c r="J483"/>
  <c r="H487"/>
  <c r="I487"/>
  <c r="J487"/>
  <c r="H491"/>
  <c r="I491"/>
  <c r="K491" s="1"/>
  <c r="J491"/>
  <c r="H495"/>
  <c r="I495"/>
  <c r="J495"/>
  <c r="H499"/>
  <c r="I499"/>
  <c r="J499"/>
  <c r="H503"/>
  <c r="I503"/>
  <c r="J503"/>
  <c r="H507"/>
  <c r="I507"/>
  <c r="K507" s="1"/>
  <c r="J507"/>
  <c r="H511"/>
  <c r="I511"/>
  <c r="J511"/>
  <c r="H515"/>
  <c r="I515"/>
  <c r="J515"/>
  <c r="H519"/>
  <c r="I519"/>
  <c r="J519"/>
  <c r="H523"/>
  <c r="I523"/>
  <c r="K523" s="1"/>
  <c r="J523"/>
  <c r="H527"/>
  <c r="I527"/>
  <c r="J527"/>
  <c r="H531"/>
  <c r="I531"/>
  <c r="J531"/>
  <c r="H535"/>
  <c r="I535"/>
  <c r="J535"/>
  <c r="H539"/>
  <c r="I539"/>
  <c r="K539" s="1"/>
  <c r="J539"/>
  <c r="H543"/>
  <c r="I543"/>
  <c r="J543"/>
  <c r="H547"/>
  <c r="I547"/>
  <c r="J547"/>
  <c r="H551"/>
  <c r="I551"/>
  <c r="J551"/>
  <c r="H555"/>
  <c r="I555"/>
  <c r="K555" s="1"/>
  <c r="J555"/>
  <c r="H559"/>
  <c r="I559"/>
  <c r="J559"/>
  <c r="H563"/>
  <c r="I563"/>
  <c r="J563"/>
  <c r="H567"/>
  <c r="I567"/>
  <c r="J567"/>
  <c r="H571"/>
  <c r="I571"/>
  <c r="K571" s="1"/>
  <c r="J571"/>
  <c r="H575"/>
  <c r="I575"/>
  <c r="J575"/>
  <c r="H579"/>
  <c r="I579"/>
  <c r="J579"/>
  <c r="H583"/>
  <c r="I583"/>
  <c r="J583"/>
  <c r="H587"/>
  <c r="I587"/>
  <c r="K587" s="1"/>
  <c r="J587"/>
  <c r="H591"/>
  <c r="I591"/>
  <c r="J591"/>
  <c r="H595"/>
  <c r="I595"/>
  <c r="J595"/>
  <c r="H599"/>
  <c r="I599"/>
  <c r="J599"/>
  <c r="H603"/>
  <c r="I603"/>
  <c r="K603" s="1"/>
  <c r="J603"/>
  <c r="H607"/>
  <c r="I607"/>
  <c r="J607"/>
  <c r="H611"/>
  <c r="I611"/>
  <c r="J611"/>
  <c r="H615"/>
  <c r="I615"/>
  <c r="J615"/>
  <c r="H619"/>
  <c r="I619"/>
  <c r="K619" s="1"/>
  <c r="J619"/>
  <c r="H623"/>
  <c r="I623"/>
  <c r="J623"/>
  <c r="H627"/>
  <c r="I627"/>
  <c r="J627"/>
  <c r="H631"/>
  <c r="I631"/>
  <c r="J631"/>
  <c r="H635"/>
  <c r="I635"/>
  <c r="K635" s="1"/>
  <c r="J635"/>
  <c r="H639"/>
  <c r="I639"/>
  <c r="J639"/>
  <c r="H643"/>
  <c r="I643"/>
  <c r="J643"/>
  <c r="H647"/>
  <c r="I647"/>
  <c r="J647"/>
  <c r="H651"/>
  <c r="I651"/>
  <c r="K651" s="1"/>
  <c r="J651"/>
  <c r="H655"/>
  <c r="I655"/>
  <c r="J655"/>
  <c r="H659"/>
  <c r="I659"/>
  <c r="J659"/>
  <c r="H663"/>
  <c r="I663"/>
  <c r="J663"/>
  <c r="H667"/>
  <c r="I667"/>
  <c r="K667" s="1"/>
  <c r="J667"/>
  <c r="H671"/>
  <c r="I671"/>
  <c r="J671"/>
  <c r="H675"/>
  <c r="I675"/>
  <c r="J675"/>
  <c r="H679"/>
  <c r="I679"/>
  <c r="J679"/>
  <c r="H683"/>
  <c r="I683"/>
  <c r="K683" s="1"/>
  <c r="J683"/>
  <c r="H687"/>
  <c r="I687"/>
  <c r="J687"/>
  <c r="H691"/>
  <c r="I691"/>
  <c r="J691"/>
  <c r="H695"/>
  <c r="I695"/>
  <c r="J695"/>
  <c r="H699"/>
  <c r="I699"/>
  <c r="K699" s="1"/>
  <c r="J699"/>
  <c r="H703"/>
  <c r="I703"/>
  <c r="J703"/>
  <c r="H707"/>
  <c r="I707"/>
  <c r="J707"/>
  <c r="H711"/>
  <c r="I711"/>
  <c r="J711"/>
  <c r="H715"/>
  <c r="I715"/>
  <c r="K715" s="1"/>
  <c r="J715"/>
  <c r="H719"/>
  <c r="I719"/>
  <c r="J719"/>
  <c r="H723"/>
  <c r="I723"/>
  <c r="J723"/>
  <c r="H727"/>
  <c r="I727"/>
  <c r="J727"/>
  <c r="H731"/>
  <c r="I731"/>
  <c r="K731" s="1"/>
  <c r="J731"/>
  <c r="H735"/>
  <c r="I735"/>
  <c r="J735"/>
  <c r="H739"/>
  <c r="I739"/>
  <c r="J739"/>
  <c r="H743"/>
  <c r="I743"/>
  <c r="J743"/>
  <c r="H747"/>
  <c r="I747"/>
  <c r="K747" s="1"/>
  <c r="J747"/>
  <c r="H751"/>
  <c r="I751"/>
  <c r="J751"/>
  <c r="H755"/>
  <c r="I755"/>
  <c r="J755"/>
  <c r="H759"/>
  <c r="I759"/>
  <c r="J759"/>
  <c r="H763"/>
  <c r="I763"/>
  <c r="K763" s="1"/>
  <c r="J763"/>
  <c r="H767"/>
  <c r="I767"/>
  <c r="J767"/>
  <c r="H771"/>
  <c r="I771"/>
  <c r="J771"/>
  <c r="H775"/>
  <c r="I775"/>
  <c r="J775"/>
  <c r="H779"/>
  <c r="I779"/>
  <c r="K779" s="1"/>
  <c r="J779"/>
  <c r="H783"/>
  <c r="I783"/>
  <c r="J783"/>
  <c r="H787"/>
  <c r="I787"/>
  <c r="J787"/>
  <c r="H791"/>
  <c r="I791"/>
  <c r="J791"/>
  <c r="H795"/>
  <c r="I795"/>
  <c r="K795" s="1"/>
  <c r="J795"/>
  <c r="H799"/>
  <c r="I799"/>
  <c r="J799"/>
  <c r="H803"/>
  <c r="I803"/>
  <c r="J803"/>
  <c r="H807"/>
  <c r="I807"/>
  <c r="J807"/>
  <c r="H811"/>
  <c r="I811"/>
  <c r="K811" s="1"/>
  <c r="J811"/>
  <c r="H815"/>
  <c r="I815"/>
  <c r="J815"/>
  <c r="H819"/>
  <c r="I819"/>
  <c r="J819"/>
  <c r="H823"/>
  <c r="I823"/>
  <c r="J823"/>
  <c r="H827"/>
  <c r="I827"/>
  <c r="K827" s="1"/>
  <c r="J827"/>
  <c r="H831"/>
  <c r="I831"/>
  <c r="J831"/>
  <c r="H835"/>
  <c r="I835"/>
  <c r="J835"/>
  <c r="H839"/>
  <c r="I839"/>
  <c r="J839"/>
  <c r="H843"/>
  <c r="I843"/>
  <c r="K843" s="1"/>
  <c r="J843"/>
  <c r="H847"/>
  <c r="I847"/>
  <c r="J847"/>
  <c r="H851"/>
  <c r="I851"/>
  <c r="J851"/>
  <c r="H855"/>
  <c r="I855"/>
  <c r="J855"/>
  <c r="H859"/>
  <c r="I859"/>
  <c r="K859" s="1"/>
  <c r="J859"/>
  <c r="H863"/>
  <c r="I863"/>
  <c r="J863"/>
  <c r="H867"/>
  <c r="I867"/>
  <c r="J867"/>
  <c r="H871"/>
  <c r="I871"/>
  <c r="J871"/>
  <c r="H875"/>
  <c r="I875"/>
  <c r="K875" s="1"/>
  <c r="J875"/>
  <c r="H879"/>
  <c r="I879"/>
  <c r="J879"/>
  <c r="AD61" i="1"/>
  <c r="AG61"/>
  <c r="AH61" s="1"/>
  <c r="AD45"/>
  <c r="AG45"/>
  <c r="AH45" s="1"/>
  <c r="AD56"/>
  <c r="AG56"/>
  <c r="AH56" s="1"/>
  <c r="T67"/>
  <c r="H883" i="3"/>
  <c r="I883"/>
  <c r="J883"/>
  <c r="H887"/>
  <c r="I887"/>
  <c r="K887" s="1"/>
  <c r="J887"/>
  <c r="I891"/>
  <c r="H891"/>
  <c r="J891"/>
  <c r="I895"/>
  <c r="H895"/>
  <c r="J895"/>
  <c r="H1109"/>
  <c r="I1109"/>
  <c r="J1109"/>
  <c r="H1117"/>
  <c r="I1117"/>
  <c r="K1117" s="1"/>
  <c r="J1117"/>
  <c r="H1125"/>
  <c r="I1125"/>
  <c r="J1125"/>
  <c r="H1133"/>
  <c r="I1133"/>
  <c r="J1133"/>
  <c r="H1141"/>
  <c r="I1141"/>
  <c r="J1141"/>
  <c r="H1149"/>
  <c r="I1149"/>
  <c r="K1149" s="1"/>
  <c r="J1149"/>
  <c r="H1110"/>
  <c r="J1110"/>
  <c r="I1110"/>
  <c r="K1110" s="1"/>
  <c r="H1118"/>
  <c r="J1118"/>
  <c r="I1118"/>
  <c r="K1118" s="1"/>
  <c r="H1126"/>
  <c r="J1126"/>
  <c r="I1126"/>
  <c r="K1126" s="1"/>
  <c r="H1134"/>
  <c r="J1134"/>
  <c r="I1134"/>
  <c r="H1142"/>
  <c r="J1142"/>
  <c r="I1142"/>
  <c r="K1142" s="1"/>
  <c r="H1150"/>
  <c r="J1150"/>
  <c r="I1150"/>
  <c r="K1150" s="1"/>
  <c r="J899"/>
  <c r="H899"/>
  <c r="I899"/>
  <c r="J903"/>
  <c r="H903"/>
  <c r="I903"/>
  <c r="J907"/>
  <c r="H907"/>
  <c r="I907"/>
  <c r="K907" s="1"/>
  <c r="J911"/>
  <c r="H911"/>
  <c r="I911"/>
  <c r="K911" s="1"/>
  <c r="J915"/>
  <c r="H915"/>
  <c r="I915"/>
  <c r="J919"/>
  <c r="H919"/>
  <c r="I919"/>
  <c r="J923"/>
  <c r="H923"/>
  <c r="I923"/>
  <c r="K923" s="1"/>
  <c r="J927"/>
  <c r="H927"/>
  <c r="I927"/>
  <c r="K927" s="1"/>
  <c r="J931"/>
  <c r="H931"/>
  <c r="I931"/>
  <c r="J935"/>
  <c r="H935"/>
  <c r="I935"/>
  <c r="J939"/>
  <c r="H939"/>
  <c r="I939"/>
  <c r="K939" s="1"/>
  <c r="J943"/>
  <c r="H943"/>
  <c r="I943"/>
  <c r="K943" s="1"/>
  <c r="J947"/>
  <c r="H947"/>
  <c r="I947"/>
  <c r="J951"/>
  <c r="H951"/>
  <c r="I951"/>
  <c r="J955"/>
  <c r="H955"/>
  <c r="I955"/>
  <c r="K955" s="1"/>
  <c r="J959"/>
  <c r="H959"/>
  <c r="I959"/>
  <c r="K959" s="1"/>
  <c r="J963"/>
  <c r="H963"/>
  <c r="I963"/>
  <c r="J967"/>
  <c r="H967"/>
  <c r="I967"/>
  <c r="J971"/>
  <c r="H971"/>
  <c r="I971"/>
  <c r="K971" s="1"/>
  <c r="J975"/>
  <c r="H975"/>
  <c r="I975"/>
  <c r="K975" s="1"/>
  <c r="J979"/>
  <c r="H979"/>
  <c r="I979"/>
  <c r="J983"/>
  <c r="H983"/>
  <c r="I983"/>
  <c r="J987"/>
  <c r="H987"/>
  <c r="I987"/>
  <c r="K987" s="1"/>
  <c r="J991"/>
  <c r="H991"/>
  <c r="I991"/>
  <c r="K991" s="1"/>
  <c r="J995"/>
  <c r="H995"/>
  <c r="I995"/>
  <c r="J999"/>
  <c r="H999"/>
  <c r="I999"/>
  <c r="J1003"/>
  <c r="H1003"/>
  <c r="I1003"/>
  <c r="K1003" s="1"/>
  <c r="J1007"/>
  <c r="H1007"/>
  <c r="I1007"/>
  <c r="K1007" s="1"/>
  <c r="J1011"/>
  <c r="H1011"/>
  <c r="I1011"/>
  <c r="J1015"/>
  <c r="H1015"/>
  <c r="I1015"/>
  <c r="J1019"/>
  <c r="H1019"/>
  <c r="I1019"/>
  <c r="K1019" s="1"/>
  <c r="J1023"/>
  <c r="H1023"/>
  <c r="I1023"/>
  <c r="K1023" s="1"/>
  <c r="J1027"/>
  <c r="H1027"/>
  <c r="I1027"/>
  <c r="J1031"/>
  <c r="H1031"/>
  <c r="I1031"/>
  <c r="J1035"/>
  <c r="H1035"/>
  <c r="I1035"/>
  <c r="K1035" s="1"/>
  <c r="J1039"/>
  <c r="H1039"/>
  <c r="I1039"/>
  <c r="K1039" s="1"/>
  <c r="J1043"/>
  <c r="H1043"/>
  <c r="I1043"/>
  <c r="J1047"/>
  <c r="H1047"/>
  <c r="I1047"/>
  <c r="J1051"/>
  <c r="H1051"/>
  <c r="I1051"/>
  <c r="K1051" s="1"/>
  <c r="J1055"/>
  <c r="H1055"/>
  <c r="I1055"/>
  <c r="K1055" s="1"/>
  <c r="J1059"/>
  <c r="H1059"/>
  <c r="I1059"/>
  <c r="J1063"/>
  <c r="H1063"/>
  <c r="I1063"/>
  <c r="J1067"/>
  <c r="H1067"/>
  <c r="I1067"/>
  <c r="K1067" s="1"/>
  <c r="J1071"/>
  <c r="H1071"/>
  <c r="I1071"/>
  <c r="K1071" s="1"/>
  <c r="J1075"/>
  <c r="H1075"/>
  <c r="I1075"/>
  <c r="J1079"/>
  <c r="H1079"/>
  <c r="I1079"/>
  <c r="J1083"/>
  <c r="H1083"/>
  <c r="I1083"/>
  <c r="K1083" s="1"/>
  <c r="J1087"/>
  <c r="H1087"/>
  <c r="I1087"/>
  <c r="K1087" s="1"/>
  <c r="J1091"/>
  <c r="H1091"/>
  <c r="I1091"/>
  <c r="J1095"/>
  <c r="H1095"/>
  <c r="I1095"/>
  <c r="J1099"/>
  <c r="H1099"/>
  <c r="I1099"/>
  <c r="K1099" s="1"/>
  <c r="J1103"/>
  <c r="H1103"/>
  <c r="I1103"/>
  <c r="K1103" s="1"/>
  <c r="H1156"/>
  <c r="I1156"/>
  <c r="J1156"/>
  <c r="H1164"/>
  <c r="I1164"/>
  <c r="K1164" s="1"/>
  <c r="J1164"/>
  <c r="H1172"/>
  <c r="I1172"/>
  <c r="J1172"/>
  <c r="H1180"/>
  <c r="I1180"/>
  <c r="J1180"/>
  <c r="H1188"/>
  <c r="I1188"/>
  <c r="J1188"/>
  <c r="H1196"/>
  <c r="I1196"/>
  <c r="K1196" s="1"/>
  <c r="J1196"/>
  <c r="H1204"/>
  <c r="I1204"/>
  <c r="J1204"/>
  <c r="H1212"/>
  <c r="I1212"/>
  <c r="J1212"/>
  <c r="H1218"/>
  <c r="I1218"/>
  <c r="J1218"/>
  <c r="H1737"/>
  <c r="I1737"/>
  <c r="K1737" s="1"/>
  <c r="J1737"/>
  <c r="H1159"/>
  <c r="I1159"/>
  <c r="J1159"/>
  <c r="H1167"/>
  <c r="I1167"/>
  <c r="J1167"/>
  <c r="H1175"/>
  <c r="I1175"/>
  <c r="J1175"/>
  <c r="H1183"/>
  <c r="I1183"/>
  <c r="K1183" s="1"/>
  <c r="J1183"/>
  <c r="H1191"/>
  <c r="I1191"/>
  <c r="J1191"/>
  <c r="H1199"/>
  <c r="I1199"/>
  <c r="J1199"/>
  <c r="H1207"/>
  <c r="I1207"/>
  <c r="J1207"/>
  <c r="H1215"/>
  <c r="I1215"/>
  <c r="K1215" s="1"/>
  <c r="J1215"/>
  <c r="H1759"/>
  <c r="J1759"/>
  <c r="I1759"/>
  <c r="K1759" s="1"/>
  <c r="H1226"/>
  <c r="I1226"/>
  <c r="J1226"/>
  <c r="H1234"/>
  <c r="I1234"/>
  <c r="J1234"/>
  <c r="H1242"/>
  <c r="I1242"/>
  <c r="K1242" s="1"/>
  <c r="J1242"/>
  <c r="H1250"/>
  <c r="I1250"/>
  <c r="J1250"/>
  <c r="H1258"/>
  <c r="I1258"/>
  <c r="J1258"/>
  <c r="H1266"/>
  <c r="I1266"/>
  <c r="J1266"/>
  <c r="H1274"/>
  <c r="I1274"/>
  <c r="K1274" s="1"/>
  <c r="J1274"/>
  <c r="H1282"/>
  <c r="I1282"/>
  <c r="J1282"/>
  <c r="H1290"/>
  <c r="I1290"/>
  <c r="J1290"/>
  <c r="H1298"/>
  <c r="I1298"/>
  <c r="J1298"/>
  <c r="H1306"/>
  <c r="I1306"/>
  <c r="K1306" s="1"/>
  <c r="J1306"/>
  <c r="H1314"/>
  <c r="I1314"/>
  <c r="J1314"/>
  <c r="H1322"/>
  <c r="I1322"/>
  <c r="J1322"/>
  <c r="H1330"/>
  <c r="I1330"/>
  <c r="J1330"/>
  <c r="H1338"/>
  <c r="I1338"/>
  <c r="K1338" s="1"/>
  <c r="J1338"/>
  <c r="H1346"/>
  <c r="I1346"/>
  <c r="J1346"/>
  <c r="H1354"/>
  <c r="I1354"/>
  <c r="J1354"/>
  <c r="H1362"/>
  <c r="I1362"/>
  <c r="J1362"/>
  <c r="H1370"/>
  <c r="I1370"/>
  <c r="K1370" s="1"/>
  <c r="J1370"/>
  <c r="H1378"/>
  <c r="I1378"/>
  <c r="J1378"/>
  <c r="H1386"/>
  <c r="I1386"/>
  <c r="J1386"/>
  <c r="H1394"/>
  <c r="I1394"/>
  <c r="J1394"/>
  <c r="H1402"/>
  <c r="I1402"/>
  <c r="K1402" s="1"/>
  <c r="J1402"/>
  <c r="H1410"/>
  <c r="I1410"/>
  <c r="J1410"/>
  <c r="H1760"/>
  <c r="J1760"/>
  <c r="I1760"/>
  <c r="K1760" s="1"/>
  <c r="H1225"/>
  <c r="I1225"/>
  <c r="J1225"/>
  <c r="H1233"/>
  <c r="I1233"/>
  <c r="K1233" s="1"/>
  <c r="J1233"/>
  <c r="H1241"/>
  <c r="I1241"/>
  <c r="J1241"/>
  <c r="H1249"/>
  <c r="I1249"/>
  <c r="J1249"/>
  <c r="H1257"/>
  <c r="I1257"/>
  <c r="J1257"/>
  <c r="H1265"/>
  <c r="I1265"/>
  <c r="K1265" s="1"/>
  <c r="J1265"/>
  <c r="H1273"/>
  <c r="I1273"/>
  <c r="J1273"/>
  <c r="H1281"/>
  <c r="I1281"/>
  <c r="J1281"/>
  <c r="H1289"/>
  <c r="I1289"/>
  <c r="J1289"/>
  <c r="H1297"/>
  <c r="I1297"/>
  <c r="K1297" s="1"/>
  <c r="J1297"/>
  <c r="H1305"/>
  <c r="J1305"/>
  <c r="I1305"/>
  <c r="K1305" s="1"/>
  <c r="H1313"/>
  <c r="J1313"/>
  <c r="I1313"/>
  <c r="K1313" s="1"/>
  <c r="H1321"/>
  <c r="J1321"/>
  <c r="I1321"/>
  <c r="K1321" s="1"/>
  <c r="H1329"/>
  <c r="J1329"/>
  <c r="I1329"/>
  <c r="H1337"/>
  <c r="J1337"/>
  <c r="I1337"/>
  <c r="K1337" s="1"/>
  <c r="H1345"/>
  <c r="J1345"/>
  <c r="I1345"/>
  <c r="K1345" s="1"/>
  <c r="H1353"/>
  <c r="J1353"/>
  <c r="I1353"/>
  <c r="K1353" s="1"/>
  <c r="H1361"/>
  <c r="J1361"/>
  <c r="I1361"/>
  <c r="H1369"/>
  <c r="J1369"/>
  <c r="I1369"/>
  <c r="K1369" s="1"/>
  <c r="H1377"/>
  <c r="J1377"/>
  <c r="I1377"/>
  <c r="K1377" s="1"/>
  <c r="H1385"/>
  <c r="J1385"/>
  <c r="I1385"/>
  <c r="K1385" s="1"/>
  <c r="H1393"/>
  <c r="J1393"/>
  <c r="I1393"/>
  <c r="H1401"/>
  <c r="J1401"/>
  <c r="I1401"/>
  <c r="K1401" s="1"/>
  <c r="H1409"/>
  <c r="J1409"/>
  <c r="I1409"/>
  <c r="K1409" s="1"/>
  <c r="H1749"/>
  <c r="I1749"/>
  <c r="J1749"/>
  <c r="H1729"/>
  <c r="I1729"/>
  <c r="K1729" s="1"/>
  <c r="J1729"/>
  <c r="H1758"/>
  <c r="J1758"/>
  <c r="I1758"/>
  <c r="K1758" s="1"/>
  <c r="H1727"/>
  <c r="J1727"/>
  <c r="I1727"/>
  <c r="K1727" s="1"/>
  <c r="H1746"/>
  <c r="J1746"/>
  <c r="I1746"/>
  <c r="K1746" s="1"/>
  <c r="J1413"/>
  <c r="H1413"/>
  <c r="I1413"/>
  <c r="J1417"/>
  <c r="H1417"/>
  <c r="I1417"/>
  <c r="K1417" s="1"/>
  <c r="J1421"/>
  <c r="H1421"/>
  <c r="I1421"/>
  <c r="K1421" s="1"/>
  <c r="J1425"/>
  <c r="H1425"/>
  <c r="I1425"/>
  <c r="J1429"/>
  <c r="H1429"/>
  <c r="I1429"/>
  <c r="J1433"/>
  <c r="H1433"/>
  <c r="I1433"/>
  <c r="K1433" s="1"/>
  <c r="J1437"/>
  <c r="H1437"/>
  <c r="I1437"/>
  <c r="K1437" s="1"/>
  <c r="J1441"/>
  <c r="H1441"/>
  <c r="I1441"/>
  <c r="J1445"/>
  <c r="H1445"/>
  <c r="I1445"/>
  <c r="J1449"/>
  <c r="H1449"/>
  <c r="I1449"/>
  <c r="K1449" s="1"/>
  <c r="J1453"/>
  <c r="H1453"/>
  <c r="I1453"/>
  <c r="K1453" s="1"/>
  <c r="J1457"/>
  <c r="H1457"/>
  <c r="I1457"/>
  <c r="J1461"/>
  <c r="H1461"/>
  <c r="I1461"/>
  <c r="J1465"/>
  <c r="H1465"/>
  <c r="I1465"/>
  <c r="K1465" s="1"/>
  <c r="J1469"/>
  <c r="H1469"/>
  <c r="I1469"/>
  <c r="K1469" s="1"/>
  <c r="J1473"/>
  <c r="H1473"/>
  <c r="I1473"/>
  <c r="J1477"/>
  <c r="H1477"/>
  <c r="I1477"/>
  <c r="J1481"/>
  <c r="H1481"/>
  <c r="I1481"/>
  <c r="K1481" s="1"/>
  <c r="J1485"/>
  <c r="H1485"/>
  <c r="I1485"/>
  <c r="K1485" s="1"/>
  <c r="J1489"/>
  <c r="H1489"/>
  <c r="I1489"/>
  <c r="J1493"/>
  <c r="H1493"/>
  <c r="I1493"/>
  <c r="J1497"/>
  <c r="H1497"/>
  <c r="I1497"/>
  <c r="K1497" s="1"/>
  <c r="J1501"/>
  <c r="H1501"/>
  <c r="I1501"/>
  <c r="K1501" s="1"/>
  <c r="J1505"/>
  <c r="H1505"/>
  <c r="I1505"/>
  <c r="J1509"/>
  <c r="H1509"/>
  <c r="I1509"/>
  <c r="J1513"/>
  <c r="H1513"/>
  <c r="I1513"/>
  <c r="K1513" s="1"/>
  <c r="J1517"/>
  <c r="H1517"/>
  <c r="I1517"/>
  <c r="K1517" s="1"/>
  <c r="J1521"/>
  <c r="H1521"/>
  <c r="I1521"/>
  <c r="J1525"/>
  <c r="H1525"/>
  <c r="I1525"/>
  <c r="H1719"/>
  <c r="J1719"/>
  <c r="I1719"/>
  <c r="K1719" s="1"/>
  <c r="H1751"/>
  <c r="J1751"/>
  <c r="I1751"/>
  <c r="K1751" s="1"/>
  <c r="J1526"/>
  <c r="I1526"/>
  <c r="H1526"/>
  <c r="J1530"/>
  <c r="I1530"/>
  <c r="K1530" s="1"/>
  <c r="H1530"/>
  <c r="J1534"/>
  <c r="I1534"/>
  <c r="K1534" s="1"/>
  <c r="H1534"/>
  <c r="J1538"/>
  <c r="I1538"/>
  <c r="K1538" s="1"/>
  <c r="H1538"/>
  <c r="J1542"/>
  <c r="I1542"/>
  <c r="H1542"/>
  <c r="J1546"/>
  <c r="I1546"/>
  <c r="K1546" s="1"/>
  <c r="H1546"/>
  <c r="J1550"/>
  <c r="I1550"/>
  <c r="K1550" s="1"/>
  <c r="H1550"/>
  <c r="J1554"/>
  <c r="I1554"/>
  <c r="K1554" s="1"/>
  <c r="H1554"/>
  <c r="J1558"/>
  <c r="I1558"/>
  <c r="H1558"/>
  <c r="J1562"/>
  <c r="I1562"/>
  <c r="K1562" s="1"/>
  <c r="H1562"/>
  <c r="J1566"/>
  <c r="I1566"/>
  <c r="K1566" s="1"/>
  <c r="H1566"/>
  <c r="J1570"/>
  <c r="I1570"/>
  <c r="K1570" s="1"/>
  <c r="H1570"/>
  <c r="J1574"/>
  <c r="I1574"/>
  <c r="H1574"/>
  <c r="J1578"/>
  <c r="I1578"/>
  <c r="K1578" s="1"/>
  <c r="H1578"/>
  <c r="J1582"/>
  <c r="I1582"/>
  <c r="K1582" s="1"/>
  <c r="H1582"/>
  <c r="J1586"/>
  <c r="I1586"/>
  <c r="K1586" s="1"/>
  <c r="H1586"/>
  <c r="J1590"/>
  <c r="I1590"/>
  <c r="H1590"/>
  <c r="J1594"/>
  <c r="H1594"/>
  <c r="I1594"/>
  <c r="J1598"/>
  <c r="I1598"/>
  <c r="K1598" s="1"/>
  <c r="H1598"/>
  <c r="J1602"/>
  <c r="I1602"/>
  <c r="K1602" s="1"/>
  <c r="H1602"/>
  <c r="J1606"/>
  <c r="I1606"/>
  <c r="H1606"/>
  <c r="J1610"/>
  <c r="H1610"/>
  <c r="I1610"/>
  <c r="J1614"/>
  <c r="I1614"/>
  <c r="K1614" s="1"/>
  <c r="H1614"/>
  <c r="J1618"/>
  <c r="I1618"/>
  <c r="K1618" s="1"/>
  <c r="H1618"/>
  <c r="J1622"/>
  <c r="I1622"/>
  <c r="H1622"/>
  <c r="J1626"/>
  <c r="H1626"/>
  <c r="I1626"/>
  <c r="J1630"/>
  <c r="I1630"/>
  <c r="K1630" s="1"/>
  <c r="H1630"/>
  <c r="J1634"/>
  <c r="I1634"/>
  <c r="K1634" s="1"/>
  <c r="H1634"/>
  <c r="J1638"/>
  <c r="I1638"/>
  <c r="H1638"/>
  <c r="J1642"/>
  <c r="H1642"/>
  <c r="I1642"/>
  <c r="J1646"/>
  <c r="I1646"/>
  <c r="K1646" s="1"/>
  <c r="H1646"/>
  <c r="J1650"/>
  <c r="I1650"/>
  <c r="K1650" s="1"/>
  <c r="H1650"/>
  <c r="J1654"/>
  <c r="I1654"/>
  <c r="H1654"/>
  <c r="J1658"/>
  <c r="H1658"/>
  <c r="I1658"/>
  <c r="J1662"/>
  <c r="I1662"/>
  <c r="K1662" s="1"/>
  <c r="H1662"/>
  <c r="J1666"/>
  <c r="I1666"/>
  <c r="K1666" s="1"/>
  <c r="H1666"/>
  <c r="J1670"/>
  <c r="I1670"/>
  <c r="H1670"/>
  <c r="J1674"/>
  <c r="H1674"/>
  <c r="I1674"/>
  <c r="J1678"/>
  <c r="I1678"/>
  <c r="K1678" s="1"/>
  <c r="H1678"/>
  <c r="J1682"/>
  <c r="I1682"/>
  <c r="K1682" s="1"/>
  <c r="H1682"/>
  <c r="J1686"/>
  <c r="I1686"/>
  <c r="H1686"/>
  <c r="J1690"/>
  <c r="H1690"/>
  <c r="I1690"/>
  <c r="J1694"/>
  <c r="I1694"/>
  <c r="K1694" s="1"/>
  <c r="H1694"/>
  <c r="J1698"/>
  <c r="I1698"/>
  <c r="K1698" s="1"/>
  <c r="H1698"/>
  <c r="J1702"/>
  <c r="I1702"/>
  <c r="H1702"/>
  <c r="J1706"/>
  <c r="H1706"/>
  <c r="I1706"/>
  <c r="J1710"/>
  <c r="I1710"/>
  <c r="K1710" s="1"/>
  <c r="H1710"/>
  <c r="J1714"/>
  <c r="I1714"/>
  <c r="K1714" s="1"/>
  <c r="H1714"/>
  <c r="H396"/>
  <c r="I396"/>
  <c r="J396"/>
  <c r="H388"/>
  <c r="I388"/>
  <c r="K388" s="1"/>
  <c r="J388"/>
  <c r="AA67" i="1"/>
  <c r="AC4"/>
  <c r="AG24"/>
  <c r="AH24" s="1"/>
  <c r="H1107" i="3"/>
  <c r="I1107"/>
  <c r="J1107"/>
  <c r="H1115"/>
  <c r="I1115"/>
  <c r="J1115"/>
  <c r="H1123"/>
  <c r="I1123"/>
  <c r="K1123" s="1"/>
  <c r="J1123"/>
  <c r="H1131"/>
  <c r="I1131"/>
  <c r="J1131"/>
  <c r="H1139"/>
  <c r="I1139"/>
  <c r="J1139"/>
  <c r="H1147"/>
  <c r="I1147"/>
  <c r="J1147"/>
  <c r="H1108"/>
  <c r="J1108"/>
  <c r="I1108"/>
  <c r="H1116"/>
  <c r="J1116"/>
  <c r="I1116"/>
  <c r="K1116" s="1"/>
  <c r="H1124"/>
  <c r="J1124"/>
  <c r="I1124"/>
  <c r="K1124" s="1"/>
  <c r="H1132"/>
  <c r="J1132"/>
  <c r="I1132"/>
  <c r="K1132" s="1"/>
  <c r="H1140"/>
  <c r="J1140"/>
  <c r="I1140"/>
  <c r="H1148"/>
  <c r="J1148"/>
  <c r="I1148"/>
  <c r="K1148" s="1"/>
  <c r="J902"/>
  <c r="H902"/>
  <c r="I902"/>
  <c r="K902" s="1"/>
  <c r="J906"/>
  <c r="H906"/>
  <c r="I906"/>
  <c r="J910"/>
  <c r="H910"/>
  <c r="I910"/>
  <c r="J914"/>
  <c r="H914"/>
  <c r="I914"/>
  <c r="K914" s="1"/>
  <c r="J918"/>
  <c r="H918"/>
  <c r="I918"/>
  <c r="K918" s="1"/>
  <c r="J922"/>
  <c r="H922"/>
  <c r="I922"/>
  <c r="J926"/>
  <c r="H926"/>
  <c r="I926"/>
  <c r="J930"/>
  <c r="H930"/>
  <c r="I930"/>
  <c r="K930" s="1"/>
  <c r="J934"/>
  <c r="H934"/>
  <c r="I934"/>
  <c r="K934" s="1"/>
  <c r="J938"/>
  <c r="H938"/>
  <c r="I938"/>
  <c r="J942"/>
  <c r="H942"/>
  <c r="I942"/>
  <c r="J946"/>
  <c r="H946"/>
  <c r="I946"/>
  <c r="K946" s="1"/>
  <c r="J950"/>
  <c r="H950"/>
  <c r="I950"/>
  <c r="K950" s="1"/>
  <c r="J954"/>
  <c r="H954"/>
  <c r="I954"/>
  <c r="J958"/>
  <c r="H958"/>
  <c r="I958"/>
  <c r="J962"/>
  <c r="H962"/>
  <c r="I962"/>
  <c r="K962" s="1"/>
  <c r="J966"/>
  <c r="H966"/>
  <c r="I966"/>
  <c r="K966" s="1"/>
  <c r="J970"/>
  <c r="H970"/>
  <c r="I970"/>
  <c r="J974"/>
  <c r="H974"/>
  <c r="I974"/>
  <c r="J978"/>
  <c r="H978"/>
  <c r="I978"/>
  <c r="K978" s="1"/>
  <c r="J982"/>
  <c r="H982"/>
  <c r="I982"/>
  <c r="K982" s="1"/>
  <c r="J986"/>
  <c r="H986"/>
  <c r="I986"/>
  <c r="J990"/>
  <c r="H990"/>
  <c r="I990"/>
  <c r="J994"/>
  <c r="H994"/>
  <c r="I994"/>
  <c r="K994" s="1"/>
  <c r="J998"/>
  <c r="H998"/>
  <c r="I998"/>
  <c r="K998" s="1"/>
  <c r="J1002"/>
  <c r="H1002"/>
  <c r="I1002"/>
  <c r="J1006"/>
  <c r="H1006"/>
  <c r="I1006"/>
  <c r="J1010"/>
  <c r="H1010"/>
  <c r="I1010"/>
  <c r="K1010" s="1"/>
  <c r="J1014"/>
  <c r="H1014"/>
  <c r="I1014"/>
  <c r="K1014" s="1"/>
  <c r="J1018"/>
  <c r="H1018"/>
  <c r="I1018"/>
  <c r="J1022"/>
  <c r="H1022"/>
  <c r="I1022"/>
  <c r="J1026"/>
  <c r="H1026"/>
  <c r="I1026"/>
  <c r="K1026" s="1"/>
  <c r="J1030"/>
  <c r="H1030"/>
  <c r="I1030"/>
  <c r="K1030" s="1"/>
  <c r="J1034"/>
  <c r="H1034"/>
  <c r="I1034"/>
  <c r="J1038"/>
  <c r="H1038"/>
  <c r="I1038"/>
  <c r="J1042"/>
  <c r="H1042"/>
  <c r="I1042"/>
  <c r="K1042" s="1"/>
  <c r="J1046"/>
  <c r="H1046"/>
  <c r="I1046"/>
  <c r="K1046" s="1"/>
  <c r="J1050"/>
  <c r="H1050"/>
  <c r="I1050"/>
  <c r="J1054"/>
  <c r="H1054"/>
  <c r="I1054"/>
  <c r="J1058"/>
  <c r="H1058"/>
  <c r="I1058"/>
  <c r="K1058" s="1"/>
  <c r="J1062"/>
  <c r="H1062"/>
  <c r="I1062"/>
  <c r="K1062" s="1"/>
  <c r="J1066"/>
  <c r="H1066"/>
  <c r="I1066"/>
  <c r="J1070"/>
  <c r="H1070"/>
  <c r="I1070"/>
  <c r="J1074"/>
  <c r="H1074"/>
  <c r="I1074"/>
  <c r="K1074" s="1"/>
  <c r="J1078"/>
  <c r="H1078"/>
  <c r="I1078"/>
  <c r="K1078" s="1"/>
  <c r="J1082"/>
  <c r="H1082"/>
  <c r="I1082"/>
  <c r="J1086"/>
  <c r="H1086"/>
  <c r="I1086"/>
  <c r="J1090"/>
  <c r="H1090"/>
  <c r="I1090"/>
  <c r="K1090" s="1"/>
  <c r="J1094"/>
  <c r="H1094"/>
  <c r="I1094"/>
  <c r="K1094" s="1"/>
  <c r="J1098"/>
  <c r="H1098"/>
  <c r="I1098"/>
  <c r="J1102"/>
  <c r="H1102"/>
  <c r="I1102"/>
  <c r="J1106"/>
  <c r="H1106"/>
  <c r="I1106"/>
  <c r="K1106" s="1"/>
  <c r="H1154"/>
  <c r="I1154"/>
  <c r="J1154"/>
  <c r="H1162"/>
  <c r="I1162"/>
  <c r="J1162"/>
  <c r="H1170"/>
  <c r="I1170"/>
  <c r="K1170" s="1"/>
  <c r="J1170"/>
  <c r="H1178"/>
  <c r="I1178"/>
  <c r="K1178" s="1"/>
  <c r="J1178"/>
  <c r="H1186"/>
  <c r="I1186"/>
  <c r="J1186"/>
  <c r="H1194"/>
  <c r="I1194"/>
  <c r="J1194"/>
  <c r="H1202"/>
  <c r="I1202"/>
  <c r="K1202" s="1"/>
  <c r="J1202"/>
  <c r="H1210"/>
  <c r="I1210"/>
  <c r="K1210" s="1"/>
  <c r="J1210"/>
  <c r="H1157"/>
  <c r="I1157"/>
  <c r="J1157"/>
  <c r="H1165"/>
  <c r="I1165"/>
  <c r="J1165"/>
  <c r="H1173"/>
  <c r="I1173"/>
  <c r="K1173" s="1"/>
  <c r="J1173"/>
  <c r="H1181"/>
  <c r="I1181"/>
  <c r="K1181" s="1"/>
  <c r="J1181"/>
  <c r="H1189"/>
  <c r="I1189"/>
  <c r="J1189"/>
  <c r="H1197"/>
  <c r="I1197"/>
  <c r="J1197"/>
  <c r="H1205"/>
  <c r="I1205"/>
  <c r="K1205" s="1"/>
  <c r="J1205"/>
  <c r="H1213"/>
  <c r="I1213"/>
  <c r="K1213" s="1"/>
  <c r="J1213"/>
  <c r="H1734"/>
  <c r="J1734"/>
  <c r="I1734"/>
  <c r="K1734" s="1"/>
  <c r="H1224"/>
  <c r="I1224"/>
  <c r="J1224"/>
  <c r="H1232"/>
  <c r="I1232"/>
  <c r="K1232" s="1"/>
  <c r="J1232"/>
  <c r="H1240"/>
  <c r="I1240"/>
  <c r="K1240" s="1"/>
  <c r="J1240"/>
  <c r="H1248"/>
  <c r="I1248"/>
  <c r="J1248"/>
  <c r="H1256"/>
  <c r="I1256"/>
  <c r="J1256"/>
  <c r="H1264"/>
  <c r="I1264"/>
  <c r="K1264" s="1"/>
  <c r="J1264"/>
  <c r="H1272"/>
  <c r="I1272"/>
  <c r="K1272" s="1"/>
  <c r="J1272"/>
  <c r="H1280"/>
  <c r="I1280"/>
  <c r="J1280"/>
  <c r="H1288"/>
  <c r="I1288"/>
  <c r="J1288"/>
  <c r="H1296"/>
  <c r="I1296"/>
  <c r="K1296" s="1"/>
  <c r="J1296"/>
  <c r="H1304"/>
  <c r="I1304"/>
  <c r="K1304" s="1"/>
  <c r="J1304"/>
  <c r="H1312"/>
  <c r="I1312"/>
  <c r="J1312"/>
  <c r="H1320"/>
  <c r="I1320"/>
  <c r="J1320"/>
  <c r="H1328"/>
  <c r="I1328"/>
  <c r="K1328" s="1"/>
  <c r="J1328"/>
  <c r="H1336"/>
  <c r="I1336"/>
  <c r="K1336" s="1"/>
  <c r="J1336"/>
  <c r="H1344"/>
  <c r="I1344"/>
  <c r="J1344"/>
  <c r="H1352"/>
  <c r="I1352"/>
  <c r="J1352"/>
  <c r="H1360"/>
  <c r="I1360"/>
  <c r="K1360" s="1"/>
  <c r="J1360"/>
  <c r="H1368"/>
  <c r="I1368"/>
  <c r="K1368" s="1"/>
  <c r="J1368"/>
  <c r="H1376"/>
  <c r="I1376"/>
  <c r="J1376"/>
  <c r="H1384"/>
  <c r="I1384"/>
  <c r="J1384"/>
  <c r="H1392"/>
  <c r="I1392"/>
  <c r="K1392" s="1"/>
  <c r="J1392"/>
  <c r="H1400"/>
  <c r="I1400"/>
  <c r="K1400" s="1"/>
  <c r="J1400"/>
  <c r="H1408"/>
  <c r="I1408"/>
  <c r="J1408"/>
  <c r="H1722"/>
  <c r="J1722"/>
  <c r="I1722"/>
  <c r="K1722" s="1"/>
  <c r="H1223"/>
  <c r="I1223"/>
  <c r="K1223" s="1"/>
  <c r="J1223"/>
  <c r="H1231"/>
  <c r="I1231"/>
  <c r="K1231" s="1"/>
  <c r="J1231"/>
  <c r="H1239"/>
  <c r="I1239"/>
  <c r="J1239"/>
  <c r="H1247"/>
  <c r="I1247"/>
  <c r="J1247"/>
  <c r="H1255"/>
  <c r="I1255"/>
  <c r="K1255" s="1"/>
  <c r="J1255"/>
  <c r="H1263"/>
  <c r="I1263"/>
  <c r="K1263" s="1"/>
  <c r="J1263"/>
  <c r="H1271"/>
  <c r="I1271"/>
  <c r="J1271"/>
  <c r="H1279"/>
  <c r="I1279"/>
  <c r="J1279"/>
  <c r="H1287"/>
  <c r="I1287"/>
  <c r="K1287" s="1"/>
  <c r="J1287"/>
  <c r="H1295"/>
  <c r="I1295"/>
  <c r="K1295" s="1"/>
  <c r="J1295"/>
  <c r="H1303"/>
  <c r="J1303"/>
  <c r="I1303"/>
  <c r="K1303" s="1"/>
  <c r="H1311"/>
  <c r="J1311"/>
  <c r="I1311"/>
  <c r="K1311" s="1"/>
  <c r="H1319"/>
  <c r="J1319"/>
  <c r="I1319"/>
  <c r="H1327"/>
  <c r="J1327"/>
  <c r="I1327"/>
  <c r="H1335"/>
  <c r="J1335"/>
  <c r="I1335"/>
  <c r="K1335" s="1"/>
  <c r="H1343"/>
  <c r="J1343"/>
  <c r="I1343"/>
  <c r="K1343" s="1"/>
  <c r="H1351"/>
  <c r="J1351"/>
  <c r="I1351"/>
  <c r="H1359"/>
  <c r="J1359"/>
  <c r="I1359"/>
  <c r="H1367"/>
  <c r="J1367"/>
  <c r="I1367"/>
  <c r="K1367" s="1"/>
  <c r="H1375"/>
  <c r="J1375"/>
  <c r="I1375"/>
  <c r="K1375" s="1"/>
  <c r="H1383"/>
  <c r="J1383"/>
  <c r="I1383"/>
  <c r="H1391"/>
  <c r="J1391"/>
  <c r="I1391"/>
  <c r="H1399"/>
  <c r="J1399"/>
  <c r="I1399"/>
  <c r="K1399" s="1"/>
  <c r="H1407"/>
  <c r="J1407"/>
  <c r="I1407"/>
  <c r="K1407" s="1"/>
  <c r="H1726"/>
  <c r="J1726"/>
  <c r="I1726"/>
  <c r="H1728"/>
  <c r="J1728"/>
  <c r="I1728"/>
  <c r="H1743"/>
  <c r="J1743"/>
  <c r="I1743"/>
  <c r="K1743" s="1"/>
  <c r="J1412"/>
  <c r="I1412"/>
  <c r="H1412"/>
  <c r="J1416"/>
  <c r="H1416"/>
  <c r="I1416"/>
  <c r="J1420"/>
  <c r="I1420"/>
  <c r="K1420" s="1"/>
  <c r="H1420"/>
  <c r="J1424"/>
  <c r="H1424"/>
  <c r="I1424"/>
  <c r="K1424" s="1"/>
  <c r="J1428"/>
  <c r="I1428"/>
  <c r="H1428"/>
  <c r="J1432"/>
  <c r="H1432"/>
  <c r="I1432"/>
  <c r="J1436"/>
  <c r="I1436"/>
  <c r="K1436" s="1"/>
  <c r="H1436"/>
  <c r="J1440"/>
  <c r="H1440"/>
  <c r="I1440"/>
  <c r="K1440" s="1"/>
  <c r="J1444"/>
  <c r="I1444"/>
  <c r="H1444"/>
  <c r="J1448"/>
  <c r="H1448"/>
  <c r="I1448"/>
  <c r="J1452"/>
  <c r="I1452"/>
  <c r="K1452" s="1"/>
  <c r="H1452"/>
  <c r="J1456"/>
  <c r="H1456"/>
  <c r="I1456"/>
  <c r="K1456" s="1"/>
  <c r="J1460"/>
  <c r="I1460"/>
  <c r="H1460"/>
  <c r="J1464"/>
  <c r="H1464"/>
  <c r="I1464"/>
  <c r="J1468"/>
  <c r="I1468"/>
  <c r="K1468" s="1"/>
  <c r="H1468"/>
  <c r="J1472"/>
  <c r="H1472"/>
  <c r="I1472"/>
  <c r="K1472" s="1"/>
  <c r="J1476"/>
  <c r="I1476"/>
  <c r="H1476"/>
  <c r="J1480"/>
  <c r="H1480"/>
  <c r="I1480"/>
  <c r="J1484"/>
  <c r="I1484"/>
  <c r="K1484" s="1"/>
  <c r="H1484"/>
  <c r="J1488"/>
  <c r="H1488"/>
  <c r="I1488"/>
  <c r="K1488" s="1"/>
  <c r="J1492"/>
  <c r="I1492"/>
  <c r="H1492"/>
  <c r="J1496"/>
  <c r="H1496"/>
  <c r="I1496"/>
  <c r="J1500"/>
  <c r="H1500"/>
  <c r="I1500"/>
  <c r="K1500" s="1"/>
  <c r="J1504"/>
  <c r="H1504"/>
  <c r="I1504"/>
  <c r="K1504" s="1"/>
  <c r="J1508"/>
  <c r="H1508"/>
  <c r="I1508"/>
  <c r="J1512"/>
  <c r="H1512"/>
  <c r="I1512"/>
  <c r="J1516"/>
  <c r="H1516"/>
  <c r="I1516"/>
  <c r="K1516" s="1"/>
  <c r="J1520"/>
  <c r="H1520"/>
  <c r="I1520"/>
  <c r="K1520" s="1"/>
  <c r="J1524"/>
  <c r="H1524"/>
  <c r="I1524"/>
  <c r="H1718"/>
  <c r="J1718"/>
  <c r="I1718"/>
  <c r="H1738"/>
  <c r="J1738"/>
  <c r="I1738"/>
  <c r="H1750"/>
  <c r="J1750"/>
  <c r="I1750"/>
  <c r="K1750" s="1"/>
  <c r="J1529"/>
  <c r="I1529"/>
  <c r="H1529"/>
  <c r="J1533"/>
  <c r="I1533"/>
  <c r="H1533"/>
  <c r="J1537"/>
  <c r="I1537"/>
  <c r="K1537" s="1"/>
  <c r="H1537"/>
  <c r="J1541"/>
  <c r="I1541"/>
  <c r="K1541" s="1"/>
  <c r="H1541"/>
  <c r="J1545"/>
  <c r="I1545"/>
  <c r="H1545"/>
  <c r="J1549"/>
  <c r="I1549"/>
  <c r="H1549"/>
  <c r="J1553"/>
  <c r="I1553"/>
  <c r="K1553" s="1"/>
  <c r="H1553"/>
  <c r="J1557"/>
  <c r="I1557"/>
  <c r="K1557" s="1"/>
  <c r="H1557"/>
  <c r="J1561"/>
  <c r="I1561"/>
  <c r="H1561"/>
  <c r="J1565"/>
  <c r="I1565"/>
  <c r="H1565"/>
  <c r="J1569"/>
  <c r="I1569"/>
  <c r="K1569" s="1"/>
  <c r="H1569"/>
  <c r="J1573"/>
  <c r="I1573"/>
  <c r="K1573" s="1"/>
  <c r="H1573"/>
  <c r="J1577"/>
  <c r="I1577"/>
  <c r="H1577"/>
  <c r="J1581"/>
  <c r="I1581"/>
  <c r="H1581"/>
  <c r="J1585"/>
  <c r="I1585"/>
  <c r="K1585" s="1"/>
  <c r="H1585"/>
  <c r="J1589"/>
  <c r="I1589"/>
  <c r="K1589" s="1"/>
  <c r="H1589"/>
  <c r="J1593"/>
  <c r="I1593"/>
  <c r="H1593"/>
  <c r="J1597"/>
  <c r="I1597"/>
  <c r="H1597"/>
  <c r="J1601"/>
  <c r="I1601"/>
  <c r="K1601" s="1"/>
  <c r="H1601"/>
  <c r="J1605"/>
  <c r="I1605"/>
  <c r="K1605" s="1"/>
  <c r="H1605"/>
  <c r="J1609"/>
  <c r="I1609"/>
  <c r="H1609"/>
  <c r="J1613"/>
  <c r="I1613"/>
  <c r="H1613"/>
  <c r="J1617"/>
  <c r="I1617"/>
  <c r="K1617" s="1"/>
  <c r="H1617"/>
  <c r="J1621"/>
  <c r="I1621"/>
  <c r="K1621" s="1"/>
  <c r="H1621"/>
  <c r="J1625"/>
  <c r="I1625"/>
  <c r="H1625"/>
  <c r="J1629"/>
  <c r="I1629"/>
  <c r="H1629"/>
  <c r="J1633"/>
  <c r="I1633"/>
  <c r="K1633" s="1"/>
  <c r="H1633"/>
  <c r="J1637"/>
  <c r="I1637"/>
  <c r="K1637" s="1"/>
  <c r="H1637"/>
  <c r="J1641"/>
  <c r="I1641"/>
  <c r="H1641"/>
  <c r="J1645"/>
  <c r="I1645"/>
  <c r="H1645"/>
  <c r="J1649"/>
  <c r="I1649"/>
  <c r="K1649" s="1"/>
  <c r="H1649"/>
  <c r="J1653"/>
  <c r="I1653"/>
  <c r="K1653" s="1"/>
  <c r="H1653"/>
  <c r="J1657"/>
  <c r="I1657"/>
  <c r="H1657"/>
  <c r="J1661"/>
  <c r="I1661"/>
  <c r="H1661"/>
  <c r="J1665"/>
  <c r="I1665"/>
  <c r="K1665" s="1"/>
  <c r="H1665"/>
  <c r="J1669"/>
  <c r="I1669"/>
  <c r="K1669" s="1"/>
  <c r="H1669"/>
  <c r="J1673"/>
  <c r="I1673"/>
  <c r="H1673"/>
  <c r="J1677"/>
  <c r="I1677"/>
  <c r="H1677"/>
  <c r="J1681"/>
  <c r="I1681"/>
  <c r="K1681" s="1"/>
  <c r="H1681"/>
  <c r="J1685"/>
  <c r="I1685"/>
  <c r="K1685" s="1"/>
  <c r="H1685"/>
  <c r="J1689"/>
  <c r="I1689"/>
  <c r="H1689"/>
  <c r="J1693"/>
  <c r="I1693"/>
  <c r="H1693"/>
  <c r="J1697"/>
  <c r="I1697"/>
  <c r="K1697" s="1"/>
  <c r="H1697"/>
  <c r="J1701"/>
  <c r="I1701"/>
  <c r="K1701" s="1"/>
  <c r="H1701"/>
  <c r="J1705"/>
  <c r="I1705"/>
  <c r="H1705"/>
  <c r="J1709"/>
  <c r="I1709"/>
  <c r="H1709"/>
  <c r="J1713"/>
  <c r="I1713"/>
  <c r="K1713" s="1"/>
  <c r="H1713"/>
  <c r="H398"/>
  <c r="I398"/>
  <c r="J398"/>
  <c r="H390"/>
  <c r="I390"/>
  <c r="J390"/>
  <c r="E67" i="1"/>
  <c r="F4"/>
  <c r="F67" s="1"/>
  <c r="AG59"/>
  <c r="AH59" s="1"/>
  <c r="H765" i="3"/>
  <c r="I765"/>
  <c r="K765" s="1"/>
  <c r="J765"/>
  <c r="H769"/>
  <c r="I769"/>
  <c r="J769"/>
  <c r="H773"/>
  <c r="I773"/>
  <c r="J773"/>
  <c r="H777"/>
  <c r="I777"/>
  <c r="K777" s="1"/>
  <c r="J777"/>
  <c r="H781"/>
  <c r="I781"/>
  <c r="K781" s="1"/>
  <c r="J781"/>
  <c r="H785"/>
  <c r="I785"/>
  <c r="J785"/>
  <c r="H789"/>
  <c r="I789"/>
  <c r="J789"/>
  <c r="H793"/>
  <c r="I793"/>
  <c r="K793" s="1"/>
  <c r="J793"/>
  <c r="H797"/>
  <c r="I797"/>
  <c r="K797" s="1"/>
  <c r="J797"/>
  <c r="H801"/>
  <c r="I801"/>
  <c r="J801"/>
  <c r="H805"/>
  <c r="I805"/>
  <c r="J805"/>
  <c r="H809"/>
  <c r="I809"/>
  <c r="K809" s="1"/>
  <c r="J809"/>
  <c r="H813"/>
  <c r="I813"/>
  <c r="K813" s="1"/>
  <c r="J813"/>
  <c r="H817"/>
  <c r="I817"/>
  <c r="J817"/>
  <c r="H821"/>
  <c r="I821"/>
  <c r="J821"/>
  <c r="H825"/>
  <c r="I825"/>
  <c r="K825" s="1"/>
  <c r="J825"/>
  <c r="H829"/>
  <c r="I829"/>
  <c r="K829" s="1"/>
  <c r="J829"/>
  <c r="H833"/>
  <c r="I833"/>
  <c r="J833"/>
  <c r="H837"/>
  <c r="I837"/>
  <c r="J837"/>
  <c r="H841"/>
  <c r="I841"/>
  <c r="K841" s="1"/>
  <c r="J841"/>
  <c r="H845"/>
  <c r="I845"/>
  <c r="K845" s="1"/>
  <c r="J845"/>
  <c r="H849"/>
  <c r="I849"/>
  <c r="J849"/>
  <c r="H853"/>
  <c r="I853"/>
  <c r="J853"/>
  <c r="H857"/>
  <c r="I857"/>
  <c r="K857" s="1"/>
  <c r="J857"/>
  <c r="H861"/>
  <c r="I861"/>
  <c r="K861" s="1"/>
  <c r="J861"/>
  <c r="H865"/>
  <c r="I865"/>
  <c r="J865"/>
  <c r="H869"/>
  <c r="I869"/>
  <c r="J869"/>
  <c r="H873"/>
  <c r="I873"/>
  <c r="K873" s="1"/>
  <c r="J873"/>
  <c r="H877"/>
  <c r="I877"/>
  <c r="K877" s="1"/>
  <c r="J877"/>
  <c r="H881"/>
  <c r="I881"/>
  <c r="J881"/>
  <c r="H885"/>
  <c r="I885"/>
  <c r="J885"/>
  <c r="I889"/>
  <c r="K889" s="1"/>
  <c r="H889"/>
  <c r="J889"/>
  <c r="I893"/>
  <c r="H893"/>
  <c r="J893"/>
  <c r="I897"/>
  <c r="H897"/>
  <c r="J897"/>
  <c r="H1113"/>
  <c r="I1113"/>
  <c r="J1113"/>
  <c r="H1121"/>
  <c r="I1121"/>
  <c r="K1121" s="1"/>
  <c r="J1121"/>
  <c r="H1129"/>
  <c r="I1129"/>
  <c r="K1129" s="1"/>
  <c r="J1129"/>
  <c r="H1137"/>
  <c r="I1137"/>
  <c r="J1137"/>
  <c r="H1145"/>
  <c r="I1145"/>
  <c r="J1145"/>
  <c r="H1114"/>
  <c r="J1114"/>
  <c r="I1114"/>
  <c r="H1122"/>
  <c r="J1122"/>
  <c r="I1122"/>
  <c r="H1130"/>
  <c r="J1130"/>
  <c r="I1130"/>
  <c r="K1130" s="1"/>
  <c r="H1138"/>
  <c r="J1138"/>
  <c r="I1138"/>
  <c r="K1138" s="1"/>
  <c r="H1146"/>
  <c r="J1146"/>
  <c r="I1146"/>
  <c r="J901"/>
  <c r="H901"/>
  <c r="I901"/>
  <c r="K901" s="1"/>
  <c r="J905"/>
  <c r="H905"/>
  <c r="I905"/>
  <c r="K905" s="1"/>
  <c r="J909"/>
  <c r="H909"/>
  <c r="I909"/>
  <c r="J913"/>
  <c r="H913"/>
  <c r="I913"/>
  <c r="J917"/>
  <c r="H917"/>
  <c r="I917"/>
  <c r="K917" s="1"/>
  <c r="J921"/>
  <c r="H921"/>
  <c r="I921"/>
  <c r="K921" s="1"/>
  <c r="J925"/>
  <c r="H925"/>
  <c r="I925"/>
  <c r="J929"/>
  <c r="H929"/>
  <c r="I929"/>
  <c r="J933"/>
  <c r="H933"/>
  <c r="I933"/>
  <c r="K933" s="1"/>
  <c r="J937"/>
  <c r="H937"/>
  <c r="I937"/>
  <c r="K937" s="1"/>
  <c r="J941"/>
  <c r="H941"/>
  <c r="I941"/>
  <c r="J945"/>
  <c r="H945"/>
  <c r="I945"/>
  <c r="J949"/>
  <c r="H949"/>
  <c r="I949"/>
  <c r="K949" s="1"/>
  <c r="J953"/>
  <c r="H953"/>
  <c r="I953"/>
  <c r="K953" s="1"/>
  <c r="J957"/>
  <c r="H957"/>
  <c r="I957"/>
  <c r="J961"/>
  <c r="H961"/>
  <c r="I961"/>
  <c r="J965"/>
  <c r="H965"/>
  <c r="I965"/>
  <c r="K965" s="1"/>
  <c r="J969"/>
  <c r="H969"/>
  <c r="I969"/>
  <c r="K969" s="1"/>
  <c r="J973"/>
  <c r="H973"/>
  <c r="I973"/>
  <c r="J977"/>
  <c r="H977"/>
  <c r="I977"/>
  <c r="J981"/>
  <c r="H981"/>
  <c r="I981"/>
  <c r="K981" s="1"/>
  <c r="J985"/>
  <c r="H985"/>
  <c r="I985"/>
  <c r="K985" s="1"/>
  <c r="J989"/>
  <c r="H989"/>
  <c r="I989"/>
  <c r="J993"/>
  <c r="H993"/>
  <c r="I993"/>
  <c r="J997"/>
  <c r="H997"/>
  <c r="I997"/>
  <c r="K997" s="1"/>
  <c r="J1001"/>
  <c r="H1001"/>
  <c r="I1001"/>
  <c r="K1001" s="1"/>
  <c r="J1005"/>
  <c r="H1005"/>
  <c r="I1005"/>
  <c r="J1009"/>
  <c r="H1009"/>
  <c r="I1009"/>
  <c r="J1013"/>
  <c r="H1013"/>
  <c r="I1013"/>
  <c r="K1013" s="1"/>
  <c r="J1017"/>
  <c r="H1017"/>
  <c r="I1017"/>
  <c r="K1017" s="1"/>
  <c r="J1021"/>
  <c r="H1021"/>
  <c r="I1021"/>
  <c r="J1025"/>
  <c r="H1025"/>
  <c r="I1025"/>
  <c r="J1029"/>
  <c r="H1029"/>
  <c r="I1029"/>
  <c r="K1029" s="1"/>
  <c r="J1033"/>
  <c r="H1033"/>
  <c r="I1033"/>
  <c r="K1033" s="1"/>
  <c r="J1037"/>
  <c r="H1037"/>
  <c r="I1037"/>
  <c r="J1041"/>
  <c r="H1041"/>
  <c r="I1041"/>
  <c r="J1045"/>
  <c r="H1045"/>
  <c r="I1045"/>
  <c r="K1045" s="1"/>
  <c r="J1049"/>
  <c r="H1049"/>
  <c r="I1049"/>
  <c r="K1049" s="1"/>
  <c r="J1053"/>
  <c r="H1053"/>
  <c r="I1053"/>
  <c r="J1057"/>
  <c r="H1057"/>
  <c r="I1057"/>
  <c r="J1061"/>
  <c r="H1061"/>
  <c r="I1061"/>
  <c r="K1061" s="1"/>
  <c r="J1065"/>
  <c r="H1065"/>
  <c r="I1065"/>
  <c r="K1065" s="1"/>
  <c r="J1069"/>
  <c r="H1069"/>
  <c r="I1069"/>
  <c r="J1073"/>
  <c r="H1073"/>
  <c r="I1073"/>
  <c r="J1077"/>
  <c r="H1077"/>
  <c r="I1077"/>
  <c r="K1077" s="1"/>
  <c r="J1081"/>
  <c r="H1081"/>
  <c r="I1081"/>
  <c r="K1081" s="1"/>
  <c r="J1085"/>
  <c r="H1085"/>
  <c r="I1085"/>
  <c r="J1089"/>
  <c r="H1089"/>
  <c r="I1089"/>
  <c r="J1093"/>
  <c r="H1093"/>
  <c r="I1093"/>
  <c r="K1093" s="1"/>
  <c r="J1097"/>
  <c r="H1097"/>
  <c r="I1097"/>
  <c r="K1097" s="1"/>
  <c r="J1101"/>
  <c r="H1101"/>
  <c r="I1101"/>
  <c r="J1105"/>
  <c r="H1105"/>
  <c r="I1105"/>
  <c r="H1160"/>
  <c r="I1160"/>
  <c r="K1160" s="1"/>
  <c r="J1160"/>
  <c r="H1168"/>
  <c r="I1168"/>
  <c r="J1168"/>
  <c r="H1176"/>
  <c r="I1176"/>
  <c r="J1176"/>
  <c r="H1184"/>
  <c r="I1184"/>
  <c r="K1184" s="1"/>
  <c r="J1184"/>
  <c r="H1192"/>
  <c r="I1192"/>
  <c r="K1192" s="1"/>
  <c r="J1192"/>
  <c r="H1200"/>
  <c r="I1200"/>
  <c r="J1200"/>
  <c r="H1208"/>
  <c r="I1208"/>
  <c r="J1208"/>
  <c r="H1216"/>
  <c r="I1216"/>
  <c r="K1216" s="1"/>
  <c r="J1216"/>
  <c r="H1155"/>
  <c r="I1155"/>
  <c r="K1155" s="1"/>
  <c r="J1155"/>
  <c r="H1163"/>
  <c r="I1163"/>
  <c r="J1163"/>
  <c r="H1171"/>
  <c r="I1171"/>
  <c r="J1171"/>
  <c r="H1179"/>
  <c r="I1179"/>
  <c r="K1179" s="1"/>
  <c r="J1179"/>
  <c r="H1187"/>
  <c r="I1187"/>
  <c r="K1187" s="1"/>
  <c r="J1187"/>
  <c r="H1195"/>
  <c r="I1195"/>
  <c r="J1195"/>
  <c r="H1203"/>
  <c r="I1203"/>
  <c r="J1203"/>
  <c r="H1211"/>
  <c r="I1211"/>
  <c r="K1211" s="1"/>
  <c r="J1211"/>
  <c r="H1721"/>
  <c r="I1721"/>
  <c r="K1721" s="1"/>
  <c r="J1721"/>
  <c r="H1222"/>
  <c r="I1222"/>
  <c r="J1222"/>
  <c r="H1230"/>
  <c r="I1230"/>
  <c r="J1230"/>
  <c r="H1238"/>
  <c r="I1238"/>
  <c r="K1238" s="1"/>
  <c r="J1238"/>
  <c r="H1246"/>
  <c r="I1246"/>
  <c r="K1246" s="1"/>
  <c r="J1246"/>
  <c r="H1254"/>
  <c r="I1254"/>
  <c r="J1254"/>
  <c r="H1262"/>
  <c r="I1262"/>
  <c r="J1262"/>
  <c r="H1270"/>
  <c r="I1270"/>
  <c r="K1270" s="1"/>
  <c r="J1270"/>
  <c r="H1278"/>
  <c r="I1278"/>
  <c r="K1278" s="1"/>
  <c r="J1278"/>
  <c r="H1286"/>
  <c r="I1286"/>
  <c r="J1286"/>
  <c r="H1294"/>
  <c r="I1294"/>
  <c r="J1294"/>
  <c r="H1302"/>
  <c r="I1302"/>
  <c r="K1302" s="1"/>
  <c r="J1302"/>
  <c r="H1310"/>
  <c r="I1310"/>
  <c r="K1310" s="1"/>
  <c r="J1310"/>
  <c r="H1318"/>
  <c r="I1318"/>
  <c r="J1318"/>
  <c r="H1326"/>
  <c r="I1326"/>
  <c r="J1326"/>
  <c r="H1334"/>
  <c r="I1334"/>
  <c r="K1334" s="1"/>
  <c r="J51" i="1" s="1"/>
  <c r="J1334" i="3"/>
  <c r="H1342"/>
  <c r="I1342"/>
  <c r="K1342" s="1"/>
  <c r="J1342"/>
  <c r="H1350"/>
  <c r="I1350"/>
  <c r="J1350"/>
  <c r="H1358"/>
  <c r="I1358"/>
  <c r="J1358"/>
  <c r="H1366"/>
  <c r="I1366"/>
  <c r="K1366" s="1"/>
  <c r="J1366"/>
  <c r="H1374"/>
  <c r="I1374"/>
  <c r="K1374" s="1"/>
  <c r="J1374"/>
  <c r="H1382"/>
  <c r="I1382"/>
  <c r="J1382"/>
  <c r="H1390"/>
  <c r="I1390"/>
  <c r="J1390"/>
  <c r="H1398"/>
  <c r="I1398"/>
  <c r="K1398" s="1"/>
  <c r="J1398"/>
  <c r="H1406"/>
  <c r="I1406"/>
  <c r="K1406" s="1"/>
  <c r="J1406"/>
  <c r="H1741"/>
  <c r="J1741"/>
  <c r="I1741"/>
  <c r="K1741" s="1"/>
  <c r="H1221"/>
  <c r="I1221"/>
  <c r="J1221"/>
  <c r="H1229"/>
  <c r="I1229"/>
  <c r="K1229" s="1"/>
  <c r="J1229"/>
  <c r="H1237"/>
  <c r="I1237"/>
  <c r="K1237" s="1"/>
  <c r="J1237"/>
  <c r="H1245"/>
  <c r="I1245"/>
  <c r="J1245"/>
  <c r="H1253"/>
  <c r="I1253"/>
  <c r="J1253"/>
  <c r="H1261"/>
  <c r="I1261"/>
  <c r="K1261" s="1"/>
  <c r="J1261"/>
  <c r="H1269"/>
  <c r="I1269"/>
  <c r="K1269" s="1"/>
  <c r="J1269"/>
  <c r="H1277"/>
  <c r="I1277"/>
  <c r="J1277"/>
  <c r="H1285"/>
  <c r="I1285"/>
  <c r="J1285"/>
  <c r="H1293"/>
  <c r="I1293"/>
  <c r="K1293" s="1"/>
  <c r="J1293"/>
  <c r="H1301"/>
  <c r="J1301"/>
  <c r="I1301"/>
  <c r="H1309"/>
  <c r="J1309"/>
  <c r="I1309"/>
  <c r="K1309" s="1"/>
  <c r="H1317"/>
  <c r="J1317"/>
  <c r="I1317"/>
  <c r="K1317" s="1"/>
  <c r="H1325"/>
  <c r="J1325"/>
  <c r="I1325"/>
  <c r="H1333"/>
  <c r="J1333"/>
  <c r="I1333"/>
  <c r="H1341"/>
  <c r="J1341"/>
  <c r="I1341"/>
  <c r="K1341" s="1"/>
  <c r="H1349"/>
  <c r="J1349"/>
  <c r="I1349"/>
  <c r="K1349" s="1"/>
  <c r="H1357"/>
  <c r="J1357"/>
  <c r="I1357"/>
  <c r="H1365"/>
  <c r="J1365"/>
  <c r="I1365"/>
  <c r="H1373"/>
  <c r="J1373"/>
  <c r="I1373"/>
  <c r="K1373" s="1"/>
  <c r="H1381"/>
  <c r="J1381"/>
  <c r="I1381"/>
  <c r="K1381" s="1"/>
  <c r="H1389"/>
  <c r="J1389"/>
  <c r="I1389"/>
  <c r="H1397"/>
  <c r="J1397"/>
  <c r="I1397"/>
  <c r="H1405"/>
  <c r="J1405"/>
  <c r="I1405"/>
  <c r="K1405" s="1"/>
  <c r="H1733"/>
  <c r="I1733"/>
  <c r="J1733"/>
  <c r="H1720"/>
  <c r="J1720"/>
  <c r="I1720"/>
  <c r="H1753"/>
  <c r="I1753"/>
  <c r="K1753" s="1"/>
  <c r="J1753"/>
  <c r="H1735"/>
  <c r="J1735"/>
  <c r="I1735"/>
  <c r="K1735" s="1"/>
  <c r="H1754"/>
  <c r="J1754"/>
  <c r="I1754"/>
  <c r="K1754" s="1"/>
  <c r="H1765"/>
  <c r="I1765"/>
  <c r="K1765" s="1"/>
  <c r="J1765"/>
  <c r="J1415"/>
  <c r="H1415"/>
  <c r="I1415"/>
  <c r="K1415" s="1"/>
  <c r="J1419"/>
  <c r="H1419"/>
  <c r="I1419"/>
  <c r="K1419" s="1"/>
  <c r="J1423"/>
  <c r="H1423"/>
  <c r="I1423"/>
  <c r="J1427"/>
  <c r="H1427"/>
  <c r="I1427"/>
  <c r="J1431"/>
  <c r="H1431"/>
  <c r="I1431"/>
  <c r="K1431" s="1"/>
  <c r="J1435"/>
  <c r="H1435"/>
  <c r="I1435"/>
  <c r="K1435" s="1"/>
  <c r="J1439"/>
  <c r="H1439"/>
  <c r="I1439"/>
  <c r="J1443"/>
  <c r="H1443"/>
  <c r="I1443"/>
  <c r="J1447"/>
  <c r="H1447"/>
  <c r="I1447"/>
  <c r="K1447" s="1"/>
  <c r="J1451"/>
  <c r="H1451"/>
  <c r="I1451"/>
  <c r="K1451" s="1"/>
  <c r="J1455"/>
  <c r="H1455"/>
  <c r="I1455"/>
  <c r="J1459"/>
  <c r="H1459"/>
  <c r="I1459"/>
  <c r="J1463"/>
  <c r="H1463"/>
  <c r="I1463"/>
  <c r="K1463" s="1"/>
  <c r="J1467"/>
  <c r="H1467"/>
  <c r="I1467"/>
  <c r="K1467" s="1"/>
  <c r="J1471"/>
  <c r="H1471"/>
  <c r="I1471"/>
  <c r="J1475"/>
  <c r="H1475"/>
  <c r="I1475"/>
  <c r="J1479"/>
  <c r="H1479"/>
  <c r="I1479"/>
  <c r="K1479" s="1"/>
  <c r="J1483"/>
  <c r="H1483"/>
  <c r="I1483"/>
  <c r="K1483" s="1"/>
  <c r="J1487"/>
  <c r="H1487"/>
  <c r="I1487"/>
  <c r="J1491"/>
  <c r="H1491"/>
  <c r="I1491"/>
  <c r="J1495"/>
  <c r="H1495"/>
  <c r="I1495"/>
  <c r="K1495" s="1"/>
  <c r="J1499"/>
  <c r="H1499"/>
  <c r="I1499"/>
  <c r="K1499" s="1"/>
  <c r="J1503"/>
  <c r="H1503"/>
  <c r="I1503"/>
  <c r="J1507"/>
  <c r="H1507"/>
  <c r="I1507"/>
  <c r="J1511"/>
  <c r="H1511"/>
  <c r="I1511"/>
  <c r="K1511" s="1"/>
  <c r="J1515"/>
  <c r="H1515"/>
  <c r="I1515"/>
  <c r="K1515" s="1"/>
  <c r="J1519"/>
  <c r="H1519"/>
  <c r="I1519"/>
  <c r="J1523"/>
  <c r="H1523"/>
  <c r="I1523"/>
  <c r="H1725"/>
  <c r="J1725"/>
  <c r="I1725"/>
  <c r="H1745"/>
  <c r="I1745"/>
  <c r="J1745"/>
  <c r="H1757"/>
  <c r="I1757"/>
  <c r="J1757"/>
  <c r="H1724"/>
  <c r="J1724"/>
  <c r="I1724"/>
  <c r="H1732"/>
  <c r="J1732"/>
  <c r="I1732"/>
  <c r="H1740"/>
  <c r="J1740"/>
  <c r="I1740"/>
  <c r="K1740" s="1"/>
  <c r="H1748"/>
  <c r="J1748"/>
  <c r="I1748"/>
  <c r="K1748" s="1"/>
  <c r="H1756"/>
  <c r="J1756"/>
  <c r="I1756"/>
  <c r="H1764"/>
  <c r="J1764"/>
  <c r="I1764"/>
  <c r="J1528"/>
  <c r="H1528"/>
  <c r="I1528"/>
  <c r="K1528" s="1"/>
  <c r="J1532"/>
  <c r="H1532"/>
  <c r="I1532"/>
  <c r="J1536"/>
  <c r="H1536"/>
  <c r="I1536"/>
  <c r="J1540"/>
  <c r="H1540"/>
  <c r="I1540"/>
  <c r="K1540" s="1"/>
  <c r="J1544"/>
  <c r="H1544"/>
  <c r="I1544"/>
  <c r="K1544" s="1"/>
  <c r="J1548"/>
  <c r="H1548"/>
  <c r="I1548"/>
  <c r="J1552"/>
  <c r="H1552"/>
  <c r="I1552"/>
  <c r="J1556"/>
  <c r="H1556"/>
  <c r="I1556"/>
  <c r="K1556" s="1"/>
  <c r="J1560"/>
  <c r="H1560"/>
  <c r="I1560"/>
  <c r="K1560" s="1"/>
  <c r="J1564"/>
  <c r="H1564"/>
  <c r="I1564"/>
  <c r="J1568"/>
  <c r="H1568"/>
  <c r="I1568"/>
  <c r="J1572"/>
  <c r="H1572"/>
  <c r="I1572"/>
  <c r="K1572" s="1"/>
  <c r="J1576"/>
  <c r="H1576"/>
  <c r="I1576"/>
  <c r="K1576" s="1"/>
  <c r="J1580"/>
  <c r="H1580"/>
  <c r="I1580"/>
  <c r="J1584"/>
  <c r="H1584"/>
  <c r="I1584"/>
  <c r="J1588"/>
  <c r="H1588"/>
  <c r="I1588"/>
  <c r="K1588" s="1"/>
  <c r="J1592"/>
  <c r="H1592"/>
  <c r="I1592"/>
  <c r="K1592" s="1"/>
  <c r="J1596"/>
  <c r="I1596"/>
  <c r="H1596"/>
  <c r="J1600"/>
  <c r="H1600"/>
  <c r="I1600"/>
  <c r="J1604"/>
  <c r="H1604"/>
  <c r="I1604"/>
  <c r="K1604" s="1"/>
  <c r="J1608"/>
  <c r="H1608"/>
  <c r="I1608"/>
  <c r="K1608" s="1"/>
  <c r="J1612"/>
  <c r="I1612"/>
  <c r="H1612"/>
  <c r="J1616"/>
  <c r="H1616"/>
  <c r="I1616"/>
  <c r="J1620"/>
  <c r="H1620"/>
  <c r="I1620"/>
  <c r="K1620" s="1"/>
  <c r="J1624"/>
  <c r="H1624"/>
  <c r="I1624"/>
  <c r="K1624" s="1"/>
  <c r="J1628"/>
  <c r="I1628"/>
  <c r="H1628"/>
  <c r="J1632"/>
  <c r="H1632"/>
  <c r="I1632"/>
  <c r="J1636"/>
  <c r="H1636"/>
  <c r="I1636"/>
  <c r="K1636" s="1"/>
  <c r="J1640"/>
  <c r="H1640"/>
  <c r="I1640"/>
  <c r="K1640" s="1"/>
  <c r="J1644"/>
  <c r="I1644"/>
  <c r="H1644"/>
  <c r="J1648"/>
  <c r="H1648"/>
  <c r="I1648"/>
  <c r="J1652"/>
  <c r="H1652"/>
  <c r="I1652"/>
  <c r="K1652" s="1"/>
  <c r="J1656"/>
  <c r="H1656"/>
  <c r="I1656"/>
  <c r="K1656" s="1"/>
  <c r="J1660"/>
  <c r="I1660"/>
  <c r="H1660"/>
  <c r="J1664"/>
  <c r="H1664"/>
  <c r="I1664"/>
  <c r="J1668"/>
  <c r="H1668"/>
  <c r="I1668"/>
  <c r="K1668" s="1"/>
  <c r="J1672"/>
  <c r="H1672"/>
  <c r="I1672"/>
  <c r="K1672" s="1"/>
  <c r="J1676"/>
  <c r="I1676"/>
  <c r="H1676"/>
  <c r="J1680"/>
  <c r="H1680"/>
  <c r="I1680"/>
  <c r="J1684"/>
  <c r="H1684"/>
  <c r="I1684"/>
  <c r="K1684" s="1"/>
  <c r="J1688"/>
  <c r="H1688"/>
  <c r="I1688"/>
  <c r="K1688" s="1"/>
  <c r="J1692"/>
  <c r="I1692"/>
  <c r="H1692"/>
  <c r="J1696"/>
  <c r="H1696"/>
  <c r="I1696"/>
  <c r="J1700"/>
  <c r="H1700"/>
  <c r="I1700"/>
  <c r="K1700" s="1"/>
  <c r="J1704"/>
  <c r="H1704"/>
  <c r="I1704"/>
  <c r="K1704" s="1"/>
  <c r="J1708"/>
  <c r="I1708"/>
  <c r="H1708"/>
  <c r="J1712"/>
  <c r="H1712"/>
  <c r="I1712"/>
  <c r="J1716"/>
  <c r="H1716"/>
  <c r="I1716"/>
  <c r="K1716" s="1"/>
  <c r="H382"/>
  <c r="J382"/>
  <c r="I382"/>
  <c r="K382" s="1"/>
  <c r="H400"/>
  <c r="I400"/>
  <c r="J400"/>
  <c r="H392"/>
  <c r="I392"/>
  <c r="K392" s="1"/>
  <c r="J392"/>
  <c r="AG55" i="1"/>
  <c r="AH55" s="1"/>
  <c r="AB67"/>
  <c r="AG8"/>
  <c r="AH8" s="1"/>
  <c r="H1111" i="3"/>
  <c r="I1111"/>
  <c r="J1111"/>
  <c r="H1119"/>
  <c r="I1119"/>
  <c r="J1119"/>
  <c r="H1127"/>
  <c r="I1127"/>
  <c r="K1127" s="1"/>
  <c r="J1127"/>
  <c r="H1135"/>
  <c r="I1135"/>
  <c r="K1135" s="1"/>
  <c r="J1135"/>
  <c r="H1143"/>
  <c r="I1143"/>
  <c r="J1143"/>
  <c r="H1151"/>
  <c r="I1151"/>
  <c r="J1151"/>
  <c r="H1112"/>
  <c r="J1112"/>
  <c r="I1112"/>
  <c r="H1120"/>
  <c r="J1120"/>
  <c r="I1120"/>
  <c r="H1128"/>
  <c r="J1128"/>
  <c r="I1128"/>
  <c r="K1128" s="1"/>
  <c r="H1136"/>
  <c r="J1136"/>
  <c r="I1136"/>
  <c r="K1136" s="1"/>
  <c r="H1144"/>
  <c r="J1144"/>
  <c r="I1144"/>
  <c r="H1152"/>
  <c r="J1152"/>
  <c r="I1152"/>
  <c r="J900"/>
  <c r="H900"/>
  <c r="I900"/>
  <c r="K900" s="1"/>
  <c r="J904"/>
  <c r="H904"/>
  <c r="I904"/>
  <c r="J908"/>
  <c r="H908"/>
  <c r="I908"/>
  <c r="J912"/>
  <c r="H912"/>
  <c r="I912"/>
  <c r="K912" s="1"/>
  <c r="J916"/>
  <c r="H916"/>
  <c r="I916"/>
  <c r="K916" s="1"/>
  <c r="J920"/>
  <c r="H920"/>
  <c r="I920"/>
  <c r="J924"/>
  <c r="H924"/>
  <c r="I924"/>
  <c r="J928"/>
  <c r="H928"/>
  <c r="I928"/>
  <c r="K928" s="1"/>
  <c r="J932"/>
  <c r="H932"/>
  <c r="I932"/>
  <c r="K932" s="1"/>
  <c r="J936"/>
  <c r="H936"/>
  <c r="I936"/>
  <c r="J940"/>
  <c r="H940"/>
  <c r="I940"/>
  <c r="J944"/>
  <c r="H944"/>
  <c r="I944"/>
  <c r="K944" s="1"/>
  <c r="J948"/>
  <c r="H948"/>
  <c r="I948"/>
  <c r="K948" s="1"/>
  <c r="J952"/>
  <c r="H952"/>
  <c r="I952"/>
  <c r="J956"/>
  <c r="H956"/>
  <c r="I956"/>
  <c r="J960"/>
  <c r="H960"/>
  <c r="I960"/>
  <c r="K960" s="1"/>
  <c r="J964"/>
  <c r="H964"/>
  <c r="I964"/>
  <c r="K964" s="1"/>
  <c r="J968"/>
  <c r="H968"/>
  <c r="I968"/>
  <c r="J972"/>
  <c r="H972"/>
  <c r="I972"/>
  <c r="J976"/>
  <c r="H976"/>
  <c r="I976"/>
  <c r="K976" s="1"/>
  <c r="J980"/>
  <c r="H980"/>
  <c r="I980"/>
  <c r="K980" s="1"/>
  <c r="J984"/>
  <c r="H984"/>
  <c r="I984"/>
  <c r="J988"/>
  <c r="H988"/>
  <c r="I988"/>
  <c r="J992"/>
  <c r="H992"/>
  <c r="I992"/>
  <c r="K992" s="1"/>
  <c r="J996"/>
  <c r="H996"/>
  <c r="I996"/>
  <c r="K996" s="1"/>
  <c r="J1000"/>
  <c r="H1000"/>
  <c r="I1000"/>
  <c r="J1004"/>
  <c r="H1004"/>
  <c r="I1004"/>
  <c r="J1008"/>
  <c r="H1008"/>
  <c r="I1008"/>
  <c r="K1008" s="1"/>
  <c r="J1012"/>
  <c r="H1012"/>
  <c r="I1012"/>
  <c r="K1012" s="1"/>
  <c r="J1016"/>
  <c r="H1016"/>
  <c r="I1016"/>
  <c r="J1020"/>
  <c r="H1020"/>
  <c r="I1020"/>
  <c r="J1024"/>
  <c r="H1024"/>
  <c r="I1024"/>
  <c r="K1024" s="1"/>
  <c r="J1028"/>
  <c r="H1028"/>
  <c r="I1028"/>
  <c r="K1028" s="1"/>
  <c r="J1032"/>
  <c r="H1032"/>
  <c r="I1032"/>
  <c r="J1036"/>
  <c r="H1036"/>
  <c r="I1036"/>
  <c r="J1040"/>
  <c r="H1040"/>
  <c r="I1040"/>
  <c r="K1040" s="1"/>
  <c r="J1044"/>
  <c r="H1044"/>
  <c r="I1044"/>
  <c r="K1044" s="1"/>
  <c r="J1048"/>
  <c r="H1048"/>
  <c r="I1048"/>
  <c r="J1052"/>
  <c r="H1052"/>
  <c r="I1052"/>
  <c r="J1056"/>
  <c r="H1056"/>
  <c r="I1056"/>
  <c r="K1056" s="1"/>
  <c r="J1060"/>
  <c r="H1060"/>
  <c r="I1060"/>
  <c r="K1060" s="1"/>
  <c r="J1064"/>
  <c r="H1064"/>
  <c r="I1064"/>
  <c r="J1068"/>
  <c r="H1068"/>
  <c r="I1068"/>
  <c r="J1072"/>
  <c r="H1072"/>
  <c r="I1072"/>
  <c r="K1072" s="1"/>
  <c r="J1076"/>
  <c r="H1076"/>
  <c r="I1076"/>
  <c r="K1076" s="1"/>
  <c r="J1080"/>
  <c r="H1080"/>
  <c r="I1080"/>
  <c r="J1084"/>
  <c r="H1084"/>
  <c r="I1084"/>
  <c r="J1088"/>
  <c r="H1088"/>
  <c r="I1088"/>
  <c r="K1088" s="1"/>
  <c r="J1092"/>
  <c r="H1092"/>
  <c r="I1092"/>
  <c r="K1092" s="1"/>
  <c r="J1096"/>
  <c r="H1096"/>
  <c r="I1096"/>
  <c r="J1100"/>
  <c r="H1100"/>
  <c r="I1100"/>
  <c r="J1104"/>
  <c r="H1104"/>
  <c r="I1104"/>
  <c r="K1104" s="1"/>
  <c r="H1158"/>
  <c r="I1158"/>
  <c r="J1158"/>
  <c r="H1166"/>
  <c r="I1166"/>
  <c r="J1166"/>
  <c r="H1174"/>
  <c r="I1174"/>
  <c r="K1174" s="1"/>
  <c r="J1174"/>
  <c r="H1182"/>
  <c r="I1182"/>
  <c r="K1182" s="1"/>
  <c r="J1182"/>
  <c r="H1190"/>
  <c r="I1190"/>
  <c r="J1190"/>
  <c r="H1198"/>
  <c r="I1198"/>
  <c r="J1198"/>
  <c r="H1206"/>
  <c r="I1206"/>
  <c r="K1206" s="1"/>
  <c r="J1206"/>
  <c r="H1214"/>
  <c r="I1214"/>
  <c r="K1214" s="1"/>
  <c r="J1214"/>
  <c r="H1153"/>
  <c r="I1153"/>
  <c r="J1153"/>
  <c r="H1161"/>
  <c r="I1161"/>
  <c r="J1161"/>
  <c r="H1169"/>
  <c r="I1169"/>
  <c r="K1169" s="1"/>
  <c r="J1169"/>
  <c r="H1177"/>
  <c r="I1177"/>
  <c r="K1177" s="1"/>
  <c r="J1177"/>
  <c r="H1185"/>
  <c r="I1185"/>
  <c r="J1185"/>
  <c r="H1193"/>
  <c r="I1193"/>
  <c r="J1193"/>
  <c r="H1201"/>
  <c r="I1201"/>
  <c r="K1201" s="1"/>
  <c r="J1201"/>
  <c r="H1209"/>
  <c r="I1209"/>
  <c r="K1209" s="1"/>
  <c r="J1209"/>
  <c r="H1217"/>
  <c r="I1217"/>
  <c r="J1217"/>
  <c r="H1220"/>
  <c r="I1220"/>
  <c r="J1220"/>
  <c r="H1228"/>
  <c r="I1228"/>
  <c r="K1228" s="1"/>
  <c r="J1228"/>
  <c r="H1236"/>
  <c r="I1236"/>
  <c r="K1236" s="1"/>
  <c r="J1236"/>
  <c r="H1244"/>
  <c r="I1244"/>
  <c r="J1244"/>
  <c r="H1252"/>
  <c r="I1252"/>
  <c r="J1252"/>
  <c r="H1260"/>
  <c r="I1260"/>
  <c r="K1260" s="1"/>
  <c r="J1260"/>
  <c r="H1268"/>
  <c r="I1268"/>
  <c r="K1268" s="1"/>
  <c r="J1268"/>
  <c r="H1276"/>
  <c r="I1276"/>
  <c r="J1276"/>
  <c r="H1284"/>
  <c r="I1284"/>
  <c r="J1284"/>
  <c r="H1292"/>
  <c r="I1292"/>
  <c r="K1292" s="1"/>
  <c r="J1292"/>
  <c r="H1300"/>
  <c r="I1300"/>
  <c r="K1300" s="1"/>
  <c r="J1300"/>
  <c r="H1308"/>
  <c r="I1308"/>
  <c r="J1308"/>
  <c r="H1316"/>
  <c r="I1316"/>
  <c r="J1316"/>
  <c r="H1324"/>
  <c r="I1324"/>
  <c r="K1324" s="1"/>
  <c r="J1324"/>
  <c r="H1332"/>
  <c r="I1332"/>
  <c r="K1332" s="1"/>
  <c r="J1332"/>
  <c r="H1340"/>
  <c r="I1340"/>
  <c r="J1340"/>
  <c r="H1348"/>
  <c r="I1348"/>
  <c r="J1348"/>
  <c r="H1356"/>
  <c r="I1356"/>
  <c r="K1356" s="1"/>
  <c r="J1356"/>
  <c r="H1364"/>
  <c r="I1364"/>
  <c r="K1364" s="1"/>
  <c r="J1364"/>
  <c r="H1372"/>
  <c r="I1372"/>
  <c r="J1372"/>
  <c r="H1380"/>
  <c r="I1380"/>
  <c r="J1380"/>
  <c r="H1388"/>
  <c r="I1388"/>
  <c r="K1388" s="1"/>
  <c r="J1388"/>
  <c r="H1396"/>
  <c r="I1396"/>
  <c r="K1396" s="1"/>
  <c r="J1396"/>
  <c r="H1404"/>
  <c r="I1404"/>
  <c r="J1404"/>
  <c r="H1219"/>
  <c r="I1219"/>
  <c r="J1219"/>
  <c r="H1227"/>
  <c r="I1227"/>
  <c r="K1227" s="1"/>
  <c r="J1227"/>
  <c r="H1235"/>
  <c r="I1235"/>
  <c r="K1235" s="1"/>
  <c r="J1235"/>
  <c r="H1243"/>
  <c r="I1243"/>
  <c r="J1243"/>
  <c r="H1251"/>
  <c r="I1251"/>
  <c r="J1251"/>
  <c r="H1259"/>
  <c r="I1259"/>
  <c r="K1259" s="1"/>
  <c r="J1259"/>
  <c r="H1267"/>
  <c r="I1267"/>
  <c r="K1267" s="1"/>
  <c r="J1267"/>
  <c r="H1275"/>
  <c r="I1275"/>
  <c r="J1275"/>
  <c r="H1283"/>
  <c r="I1283"/>
  <c r="J1283"/>
  <c r="H1291"/>
  <c r="I1291"/>
  <c r="K1291" s="1"/>
  <c r="J1291"/>
  <c r="H1299"/>
  <c r="J1299"/>
  <c r="I1299"/>
  <c r="H1307"/>
  <c r="J1307"/>
  <c r="I1307"/>
  <c r="K1307" s="1"/>
  <c r="H1315"/>
  <c r="J1315"/>
  <c r="I1315"/>
  <c r="K1315" s="1"/>
  <c r="H1323"/>
  <c r="J1323"/>
  <c r="I1323"/>
  <c r="H1331"/>
  <c r="J1331"/>
  <c r="I1331"/>
  <c r="H1339"/>
  <c r="J1339"/>
  <c r="I1339"/>
  <c r="K1339" s="1"/>
  <c r="H1347"/>
  <c r="J1347"/>
  <c r="I1347"/>
  <c r="K1347" s="1"/>
  <c r="H1355"/>
  <c r="J1355"/>
  <c r="I1355"/>
  <c r="H1363"/>
  <c r="J1363"/>
  <c r="I1363"/>
  <c r="H1371"/>
  <c r="J1371"/>
  <c r="I1371"/>
  <c r="K1371" s="1"/>
  <c r="H1379"/>
  <c r="J1379"/>
  <c r="I1379"/>
  <c r="K1379" s="1"/>
  <c r="H1387"/>
  <c r="J1387"/>
  <c r="I1387"/>
  <c r="H1395"/>
  <c r="J1395"/>
  <c r="I1395"/>
  <c r="H1403"/>
  <c r="J1403"/>
  <c r="I1403"/>
  <c r="K1403" s="1"/>
  <c r="J1411"/>
  <c r="H1411"/>
  <c r="I1411"/>
  <c r="H1730"/>
  <c r="J1730"/>
  <c r="I1730"/>
  <c r="H1752"/>
  <c r="J1752"/>
  <c r="I1752"/>
  <c r="H1742"/>
  <c r="J1742"/>
  <c r="I1742"/>
  <c r="K1742" s="1"/>
  <c r="H1717"/>
  <c r="J1717"/>
  <c r="I1717"/>
  <c r="K1717" s="1"/>
  <c r="H1736"/>
  <c r="J1736"/>
  <c r="I1736"/>
  <c r="H1761"/>
  <c r="I1761"/>
  <c r="K1761" s="1"/>
  <c r="J1761"/>
  <c r="H1762"/>
  <c r="J1762"/>
  <c r="I1762"/>
  <c r="K1762" s="1"/>
  <c r="J1414"/>
  <c r="H1414"/>
  <c r="I1414"/>
  <c r="J1418"/>
  <c r="I1418"/>
  <c r="H1418"/>
  <c r="J1422"/>
  <c r="H1422"/>
  <c r="I1422"/>
  <c r="K1422" s="1"/>
  <c r="J1426"/>
  <c r="I1426"/>
  <c r="K1426" s="1"/>
  <c r="H1426"/>
  <c r="J1430"/>
  <c r="H1430"/>
  <c r="I1430"/>
  <c r="J1434"/>
  <c r="I1434"/>
  <c r="H1434"/>
  <c r="J1438"/>
  <c r="H1438"/>
  <c r="I1438"/>
  <c r="K1438" s="1"/>
  <c r="J1442"/>
  <c r="I1442"/>
  <c r="K1442" s="1"/>
  <c r="H1442"/>
  <c r="J1446"/>
  <c r="H1446"/>
  <c r="I1446"/>
  <c r="J1450"/>
  <c r="I1450"/>
  <c r="H1450"/>
  <c r="J1454"/>
  <c r="H1454"/>
  <c r="I1454"/>
  <c r="K1454" s="1"/>
  <c r="J1458"/>
  <c r="I1458"/>
  <c r="K1458" s="1"/>
  <c r="H1458"/>
  <c r="J1462"/>
  <c r="H1462"/>
  <c r="I1462"/>
  <c r="J1466"/>
  <c r="I1466"/>
  <c r="H1466"/>
  <c r="J1470"/>
  <c r="H1470"/>
  <c r="I1470"/>
  <c r="K1470" s="1"/>
  <c r="J1474"/>
  <c r="I1474"/>
  <c r="K1474" s="1"/>
  <c r="H1474"/>
  <c r="J1478"/>
  <c r="H1478"/>
  <c r="I1478"/>
  <c r="J1482"/>
  <c r="I1482"/>
  <c r="H1482"/>
  <c r="J1486"/>
  <c r="H1486"/>
  <c r="I1486"/>
  <c r="K1486" s="1"/>
  <c r="J1490"/>
  <c r="I1490"/>
  <c r="K1490" s="1"/>
  <c r="H1490"/>
  <c r="J1494"/>
  <c r="H1494"/>
  <c r="I1494"/>
  <c r="J1498"/>
  <c r="H1498"/>
  <c r="I1498"/>
  <c r="J1502"/>
  <c r="H1502"/>
  <c r="I1502"/>
  <c r="K1502" s="1"/>
  <c r="J1506"/>
  <c r="H1506"/>
  <c r="I1506"/>
  <c r="K1506" s="1"/>
  <c r="J1510"/>
  <c r="H1510"/>
  <c r="I1510"/>
  <c r="J1514"/>
  <c r="H1514"/>
  <c r="I1514"/>
  <c r="J1518"/>
  <c r="H1518"/>
  <c r="I1518"/>
  <c r="K1518" s="1"/>
  <c r="J1522"/>
  <c r="H1522"/>
  <c r="I1522"/>
  <c r="K1522" s="1"/>
  <c r="H1744"/>
  <c r="J1744"/>
  <c r="I1744"/>
  <c r="K1744" s="1"/>
  <c r="H1723"/>
  <c r="I1723"/>
  <c r="K1723" s="1"/>
  <c r="J1723"/>
  <c r="H1731"/>
  <c r="I1731"/>
  <c r="K1731" s="1"/>
  <c r="J1731"/>
  <c r="H1739"/>
  <c r="I1739"/>
  <c r="J1739"/>
  <c r="H1747"/>
  <c r="J1747"/>
  <c r="I1747"/>
  <c r="K1747" s="1"/>
  <c r="H1755"/>
  <c r="J1755"/>
  <c r="I1755"/>
  <c r="H1763"/>
  <c r="J1763"/>
  <c r="I1763"/>
  <c r="J1527"/>
  <c r="I1527"/>
  <c r="K1527" s="1"/>
  <c r="H1527"/>
  <c r="J1531"/>
  <c r="I1531"/>
  <c r="H1531"/>
  <c r="J1535"/>
  <c r="I1535"/>
  <c r="H1535"/>
  <c r="J1539"/>
  <c r="I1539"/>
  <c r="K1539" s="1"/>
  <c r="H1539"/>
  <c r="J1543"/>
  <c r="I1543"/>
  <c r="K1543" s="1"/>
  <c r="H1543"/>
  <c r="J1547"/>
  <c r="I1547"/>
  <c r="H1547"/>
  <c r="J1551"/>
  <c r="I1551"/>
  <c r="H1551"/>
  <c r="J1555"/>
  <c r="I1555"/>
  <c r="K1555" s="1"/>
  <c r="H1555"/>
  <c r="J1559"/>
  <c r="I1559"/>
  <c r="K1559" s="1"/>
  <c r="H1559"/>
  <c r="J1563"/>
  <c r="I1563"/>
  <c r="H1563"/>
  <c r="J1567"/>
  <c r="I1567"/>
  <c r="H1567"/>
  <c r="J1571"/>
  <c r="I1571"/>
  <c r="K1571" s="1"/>
  <c r="H1571"/>
  <c r="J1575"/>
  <c r="I1575"/>
  <c r="K1575" s="1"/>
  <c r="H1575"/>
  <c r="J1579"/>
  <c r="I1579"/>
  <c r="H1579"/>
  <c r="J1583"/>
  <c r="I1583"/>
  <c r="H1583"/>
  <c r="J1587"/>
  <c r="I1587"/>
  <c r="K1587" s="1"/>
  <c r="H1587"/>
  <c r="J1591"/>
  <c r="I1591"/>
  <c r="K1591" s="1"/>
  <c r="H1591"/>
  <c r="J1595"/>
  <c r="I1595"/>
  <c r="H1595"/>
  <c r="J1599"/>
  <c r="I1599"/>
  <c r="H1599"/>
  <c r="J1603"/>
  <c r="I1603"/>
  <c r="K1603" s="1"/>
  <c r="H1603"/>
  <c r="J1607"/>
  <c r="I1607"/>
  <c r="K1607" s="1"/>
  <c r="H1607"/>
  <c r="J1611"/>
  <c r="I1611"/>
  <c r="H1611"/>
  <c r="J1615"/>
  <c r="I1615"/>
  <c r="H1615"/>
  <c r="J1619"/>
  <c r="I1619"/>
  <c r="K1619" s="1"/>
  <c r="H1619"/>
  <c r="J1623"/>
  <c r="I1623"/>
  <c r="K1623" s="1"/>
  <c r="H1623"/>
  <c r="J1627"/>
  <c r="I1627"/>
  <c r="H1627"/>
  <c r="J1631"/>
  <c r="I1631"/>
  <c r="H1631"/>
  <c r="J1635"/>
  <c r="I1635"/>
  <c r="K1635" s="1"/>
  <c r="H1635"/>
  <c r="J1639"/>
  <c r="I1639"/>
  <c r="K1639" s="1"/>
  <c r="H1639"/>
  <c r="J1643"/>
  <c r="I1643"/>
  <c r="H1643"/>
  <c r="J1647"/>
  <c r="I1647"/>
  <c r="H1647"/>
  <c r="J1651"/>
  <c r="I1651"/>
  <c r="K1651" s="1"/>
  <c r="H1651"/>
  <c r="J1655"/>
  <c r="I1655"/>
  <c r="K1655" s="1"/>
  <c r="H1655"/>
  <c r="J1659"/>
  <c r="I1659"/>
  <c r="H1659"/>
  <c r="J1663"/>
  <c r="I1663"/>
  <c r="H1663"/>
  <c r="J1667"/>
  <c r="I1667"/>
  <c r="K1667" s="1"/>
  <c r="H1667"/>
  <c r="J1671"/>
  <c r="I1671"/>
  <c r="K1671" s="1"/>
  <c r="H1671"/>
  <c r="J1675"/>
  <c r="I1675"/>
  <c r="H1675"/>
  <c r="J1679"/>
  <c r="I1679"/>
  <c r="H1679"/>
  <c r="J1683"/>
  <c r="I1683"/>
  <c r="K1683" s="1"/>
  <c r="H1683"/>
  <c r="J1687"/>
  <c r="I1687"/>
  <c r="K1687" s="1"/>
  <c r="H1687"/>
  <c r="J1691"/>
  <c r="I1691"/>
  <c r="H1691"/>
  <c r="J1695"/>
  <c r="I1695"/>
  <c r="H1695"/>
  <c r="J1699"/>
  <c r="I1699"/>
  <c r="K1699" s="1"/>
  <c r="H1699"/>
  <c r="J1703"/>
  <c r="I1703"/>
  <c r="K1703" s="1"/>
  <c r="H1703"/>
  <c r="J1707"/>
  <c r="I1707"/>
  <c r="H1707"/>
  <c r="J1711"/>
  <c r="I1711"/>
  <c r="H1711"/>
  <c r="J1715"/>
  <c r="I1715"/>
  <c r="K1715" s="1"/>
  <c r="H1715"/>
  <c r="H383"/>
  <c r="J383"/>
  <c r="I383"/>
  <c r="K383" s="1"/>
  <c r="H402"/>
  <c r="I402"/>
  <c r="J402"/>
  <c r="H394"/>
  <c r="I394"/>
  <c r="K394" s="1"/>
  <c r="J394"/>
  <c r="H386"/>
  <c r="I386"/>
  <c r="K386" s="1"/>
  <c r="J386"/>
  <c r="K1711" l="1"/>
  <c r="K1679"/>
  <c r="K1647"/>
  <c r="K1599"/>
  <c r="K1397"/>
  <c r="K1365"/>
  <c r="K1333"/>
  <c r="K1301"/>
  <c r="I50" i="1" s="1"/>
  <c r="K402" i="3"/>
  <c r="K1707"/>
  <c r="K1691"/>
  <c r="K1675"/>
  <c r="K1659"/>
  <c r="K1643"/>
  <c r="K1627"/>
  <c r="K1611"/>
  <c r="K1595"/>
  <c r="K1579"/>
  <c r="K1563"/>
  <c r="K1547"/>
  <c r="K1531"/>
  <c r="K1755"/>
  <c r="K1514"/>
  <c r="K1498"/>
  <c r="I57" i="1" s="1"/>
  <c r="K1736" i="3"/>
  <c r="K1730"/>
  <c r="K1387"/>
  <c r="K1355"/>
  <c r="K1323"/>
  <c r="K1283"/>
  <c r="K1251"/>
  <c r="K1219"/>
  <c r="K1380"/>
  <c r="K1348"/>
  <c r="K1316"/>
  <c r="K1284"/>
  <c r="K1252"/>
  <c r="K1220"/>
  <c r="K1193"/>
  <c r="K1161"/>
  <c r="K1198"/>
  <c r="K1166"/>
  <c r="K1100"/>
  <c r="K1084"/>
  <c r="K1068"/>
  <c r="K1052"/>
  <c r="K1036"/>
  <c r="K1020"/>
  <c r="K1004"/>
  <c r="K988"/>
  <c r="K972"/>
  <c r="K956"/>
  <c r="K940"/>
  <c r="K924"/>
  <c r="K908"/>
  <c r="K1144"/>
  <c r="K1112"/>
  <c r="K1151"/>
  <c r="K1119"/>
  <c r="K400"/>
  <c r="K1712"/>
  <c r="K1708"/>
  <c r="K1696"/>
  <c r="K1692"/>
  <c r="K1680"/>
  <c r="K1676"/>
  <c r="K1664"/>
  <c r="K1660"/>
  <c r="K1648"/>
  <c r="K1644"/>
  <c r="K1632"/>
  <c r="K1628"/>
  <c r="K1616"/>
  <c r="K1612"/>
  <c r="K1600"/>
  <c r="K1596"/>
  <c r="K1584"/>
  <c r="K1568"/>
  <c r="K1552"/>
  <c r="K1536"/>
  <c r="K1756"/>
  <c r="K1724"/>
  <c r="K1757"/>
  <c r="K1523"/>
  <c r="K1507"/>
  <c r="K1491"/>
  <c r="K1475"/>
  <c r="K1459"/>
  <c r="K1443"/>
  <c r="K1427"/>
  <c r="K1720"/>
  <c r="K1733"/>
  <c r="K1389"/>
  <c r="K1357"/>
  <c r="K1325"/>
  <c r="K1285"/>
  <c r="K1253"/>
  <c r="K1221"/>
  <c r="K1390"/>
  <c r="K1358"/>
  <c r="K1326"/>
  <c r="K1294"/>
  <c r="K1262"/>
  <c r="K1230"/>
  <c r="M47" i="1" s="1"/>
  <c r="N47" s="1"/>
  <c r="K1203" i="3"/>
  <c r="K1171"/>
  <c r="K1208"/>
  <c r="K1176"/>
  <c r="K1105"/>
  <c r="K1089"/>
  <c r="K1073"/>
  <c r="K1057"/>
  <c r="K1041"/>
  <c r="K1025"/>
  <c r="K1009"/>
  <c r="K993"/>
  <c r="K977"/>
  <c r="K961"/>
  <c r="K945"/>
  <c r="K929"/>
  <c r="K913"/>
  <c r="K1146"/>
  <c r="K1114"/>
  <c r="K1145"/>
  <c r="K1113"/>
  <c r="K897"/>
  <c r="K885"/>
  <c r="K869"/>
  <c r="K853"/>
  <c r="K837"/>
  <c r="K821"/>
  <c r="K805"/>
  <c r="K789"/>
  <c r="K773"/>
  <c r="K390"/>
  <c r="K1705"/>
  <c r="K1689"/>
  <c r="K1673"/>
  <c r="K1657"/>
  <c r="K1641"/>
  <c r="K1625"/>
  <c r="K1609"/>
  <c r="K1593"/>
  <c r="K1577"/>
  <c r="K1561"/>
  <c r="K1545"/>
  <c r="K1529"/>
  <c r="K1718"/>
  <c r="K1512"/>
  <c r="K1496"/>
  <c r="K1492"/>
  <c r="K1480"/>
  <c r="M56" i="1" s="1"/>
  <c r="N56" s="1"/>
  <c r="K1476" i="3"/>
  <c r="K1464"/>
  <c r="K1460"/>
  <c r="K1448"/>
  <c r="K1444"/>
  <c r="K1432"/>
  <c r="K1428"/>
  <c r="K1416"/>
  <c r="K1412"/>
  <c r="K1726"/>
  <c r="K1383"/>
  <c r="K1351"/>
  <c r="K1319"/>
  <c r="K1279"/>
  <c r="J49" i="1" s="1"/>
  <c r="K1247" i="3"/>
  <c r="K1384"/>
  <c r="K1352"/>
  <c r="K1320"/>
  <c r="K1288"/>
  <c r="K1256"/>
  <c r="M48" i="1" s="1"/>
  <c r="N48" s="1"/>
  <c r="K1224" i="3"/>
  <c r="K1197"/>
  <c r="K1165"/>
  <c r="K1194"/>
  <c r="K1162"/>
  <c r="K1102"/>
  <c r="K1086"/>
  <c r="K1070"/>
  <c r="K1054"/>
  <c r="K1038"/>
  <c r="K1022"/>
  <c r="K1006"/>
  <c r="K990"/>
  <c r="K974"/>
  <c r="K958"/>
  <c r="K942"/>
  <c r="J37" i="1" s="1"/>
  <c r="K926" i="3"/>
  <c r="K910"/>
  <c r="K1140"/>
  <c r="K1108"/>
  <c r="K1147"/>
  <c r="K1115"/>
  <c r="K396"/>
  <c r="K1706"/>
  <c r="K1702"/>
  <c r="K1690"/>
  <c r="K1686"/>
  <c r="K1674"/>
  <c r="K1670"/>
  <c r="K1658"/>
  <c r="K1654"/>
  <c r="K1642"/>
  <c r="K1638"/>
  <c r="K1626"/>
  <c r="K1622"/>
  <c r="K1610"/>
  <c r="K1606"/>
  <c r="K1594"/>
  <c r="K1590"/>
  <c r="K1574"/>
  <c r="K1558"/>
  <c r="J59" i="1" s="1"/>
  <c r="K1542" i="3"/>
  <c r="K1526"/>
  <c r="K1525"/>
  <c r="I58" i="1" s="1"/>
  <c r="K1509" i="3"/>
  <c r="K1493"/>
  <c r="K1477"/>
  <c r="K1461"/>
  <c r="K1445"/>
  <c r="K1429"/>
  <c r="K1413"/>
  <c r="K1749"/>
  <c r="K1393"/>
  <c r="K1361"/>
  <c r="K1329"/>
  <c r="K1289"/>
  <c r="K1257"/>
  <c r="K1225"/>
  <c r="K1394"/>
  <c r="K1362"/>
  <c r="K1330"/>
  <c r="K1298"/>
  <c r="H50" i="1" s="1"/>
  <c r="K1266" i="3"/>
  <c r="K1234"/>
  <c r="K1207"/>
  <c r="K1175"/>
  <c r="K1218"/>
  <c r="K1188"/>
  <c r="K1156"/>
  <c r="K1095"/>
  <c r="K1079"/>
  <c r="I42" i="1" s="1"/>
  <c r="K1063" i="3"/>
  <c r="K1047"/>
  <c r="K1031"/>
  <c r="K1015"/>
  <c r="K999"/>
  <c r="K983"/>
  <c r="K967"/>
  <c r="I38" i="1" s="1"/>
  <c r="K951" i="3"/>
  <c r="K935"/>
  <c r="K919"/>
  <c r="K903"/>
  <c r="K1134"/>
  <c r="K1141"/>
  <c r="K1109"/>
  <c r="K895"/>
  <c r="K883"/>
  <c r="K871"/>
  <c r="K855"/>
  <c r="K839"/>
  <c r="K823"/>
  <c r="K807"/>
  <c r="K791"/>
  <c r="K775"/>
  <c r="K759"/>
  <c r="K743"/>
  <c r="K727"/>
  <c r="K711"/>
  <c r="K695"/>
  <c r="K679"/>
  <c r="K663"/>
  <c r="K647"/>
  <c r="K631"/>
  <c r="K615"/>
  <c r="K599"/>
  <c r="K583"/>
  <c r="K567"/>
  <c r="K551"/>
  <c r="K535"/>
  <c r="K519"/>
  <c r="K503"/>
  <c r="K487"/>
  <c r="K471"/>
  <c r="K455"/>
  <c r="K439"/>
  <c r="K423"/>
  <c r="K407"/>
  <c r="K401"/>
  <c r="K12"/>
  <c r="K28"/>
  <c r="K44"/>
  <c r="K60"/>
  <c r="K76"/>
  <c r="K92"/>
  <c r="K108"/>
  <c r="K124"/>
  <c r="K140"/>
  <c r="K156"/>
  <c r="K172"/>
  <c r="K188"/>
  <c r="K204"/>
  <c r="K220"/>
  <c r="K236"/>
  <c r="K252"/>
  <c r="K268"/>
  <c r="K284"/>
  <c r="K300"/>
  <c r="K316"/>
  <c r="K332"/>
  <c r="K348"/>
  <c r="K364"/>
  <c r="K380"/>
  <c r="K399"/>
  <c r="K63"/>
  <c r="K95"/>
  <c r="K127"/>
  <c r="K159"/>
  <c r="J9" i="1" s="1"/>
  <c r="K191" i="3"/>
  <c r="K223"/>
  <c r="K255"/>
  <c r="G13" i="1" s="1"/>
  <c r="K896" i="3"/>
  <c r="K884"/>
  <c r="K868"/>
  <c r="K852"/>
  <c r="K836"/>
  <c r="K820"/>
  <c r="K804"/>
  <c r="K788"/>
  <c r="K772"/>
  <c r="K756"/>
  <c r="K740"/>
  <c r="K724"/>
  <c r="K708"/>
  <c r="K692"/>
  <c r="K676"/>
  <c r="K660"/>
  <c r="K644"/>
  <c r="K628"/>
  <c r="K612"/>
  <c r="K596"/>
  <c r="K580"/>
  <c r="K564"/>
  <c r="K548"/>
  <c r="K532"/>
  <c r="K516"/>
  <c r="K500"/>
  <c r="K484"/>
  <c r="K468"/>
  <c r="K452"/>
  <c r="K436"/>
  <c r="K420"/>
  <c r="K404"/>
  <c r="K7"/>
  <c r="K23"/>
  <c r="K39"/>
  <c r="K67"/>
  <c r="K99"/>
  <c r="K131"/>
  <c r="K163"/>
  <c r="K195"/>
  <c r="K227"/>
  <c r="K259"/>
  <c r="K749"/>
  <c r="K733"/>
  <c r="K717"/>
  <c r="K701"/>
  <c r="K685"/>
  <c r="K669"/>
  <c r="K653"/>
  <c r="K637"/>
  <c r="K621"/>
  <c r="K605"/>
  <c r="K589"/>
  <c r="K573"/>
  <c r="K557"/>
  <c r="K541"/>
  <c r="K525"/>
  <c r="K509"/>
  <c r="K493"/>
  <c r="K477"/>
  <c r="K461"/>
  <c r="K445"/>
  <c r="K429"/>
  <c r="K413"/>
  <c r="K2"/>
  <c r="K18"/>
  <c r="K34"/>
  <c r="K50"/>
  <c r="K66"/>
  <c r="K82"/>
  <c r="K98"/>
  <c r="K114"/>
  <c r="K130"/>
  <c r="K146"/>
  <c r="K162"/>
  <c r="K178"/>
  <c r="K194"/>
  <c r="K210"/>
  <c r="K226"/>
  <c r="K242"/>
  <c r="K258"/>
  <c r="K274"/>
  <c r="K290"/>
  <c r="K306"/>
  <c r="K322"/>
  <c r="K338"/>
  <c r="K354"/>
  <c r="K370"/>
  <c r="K590"/>
  <c r="K558"/>
  <c r="K526"/>
  <c r="K494"/>
  <c r="K462"/>
  <c r="K430"/>
  <c r="K898"/>
  <c r="K894"/>
  <c r="K882"/>
  <c r="K866"/>
  <c r="K850"/>
  <c r="K834"/>
  <c r="K818"/>
  <c r="K802"/>
  <c r="K786"/>
  <c r="K770"/>
  <c r="K754"/>
  <c r="K738"/>
  <c r="H30" i="1" s="1"/>
  <c r="K722" i="3"/>
  <c r="K706"/>
  <c r="K690"/>
  <c r="K674"/>
  <c r="K658"/>
  <c r="K642"/>
  <c r="K626"/>
  <c r="H26" i="1" s="1"/>
  <c r="K610" i="3"/>
  <c r="K594"/>
  <c r="K562"/>
  <c r="K530"/>
  <c r="K498"/>
  <c r="K466"/>
  <c r="K434"/>
  <c r="K275"/>
  <c r="K307"/>
  <c r="K339"/>
  <c r="K371"/>
  <c r="K245"/>
  <c r="K309"/>
  <c r="K373"/>
  <c r="K287"/>
  <c r="K319"/>
  <c r="K351"/>
  <c r="K237"/>
  <c r="K301"/>
  <c r="K365"/>
  <c r="K17"/>
  <c r="K33"/>
  <c r="K57"/>
  <c r="K89"/>
  <c r="K121"/>
  <c r="H8" i="1" s="1"/>
  <c r="K153" i="3"/>
  <c r="K185"/>
  <c r="K233"/>
  <c r="K297"/>
  <c r="K361"/>
  <c r="K403"/>
  <c r="K61"/>
  <c r="K93"/>
  <c r="K125"/>
  <c r="K157"/>
  <c r="K189"/>
  <c r="K1739"/>
  <c r="K1510"/>
  <c r="K1494"/>
  <c r="K1478"/>
  <c r="J56" i="1" s="1"/>
  <c r="K1462" i="3"/>
  <c r="G56" i="1" s="1"/>
  <c r="K1446" i="3"/>
  <c r="K1430"/>
  <c r="K1414"/>
  <c r="H65" i="1"/>
  <c r="K1411" i="3"/>
  <c r="K1275"/>
  <c r="K1243"/>
  <c r="K1404"/>
  <c r="K1372"/>
  <c r="K1340"/>
  <c r="M51" i="1" s="1"/>
  <c r="N51" s="1"/>
  <c r="K1308" i="3"/>
  <c r="K1276"/>
  <c r="K1244"/>
  <c r="K1217"/>
  <c r="I47" i="1" s="1"/>
  <c r="K1185" i="3"/>
  <c r="K1153"/>
  <c r="K1190"/>
  <c r="K1158"/>
  <c r="K1096"/>
  <c r="K1080"/>
  <c r="K1064"/>
  <c r="K1048"/>
  <c r="K1032"/>
  <c r="K1016"/>
  <c r="K1000"/>
  <c r="K984"/>
  <c r="K968"/>
  <c r="K952"/>
  <c r="K936"/>
  <c r="K920"/>
  <c r="K904"/>
  <c r="K1143"/>
  <c r="M44" i="1" s="1"/>
  <c r="N44" s="1"/>
  <c r="K1111" i="3"/>
  <c r="J43" i="1" s="1"/>
  <c r="K1580" i="3"/>
  <c r="K1564"/>
  <c r="K1548"/>
  <c r="K1532"/>
  <c r="K1745"/>
  <c r="H66" i="1" s="1"/>
  <c r="K1519" i="3"/>
  <c r="K1503"/>
  <c r="J57" i="1" s="1"/>
  <c r="K1487" i="3"/>
  <c r="K1471"/>
  <c r="K1455"/>
  <c r="K1439"/>
  <c r="K1423"/>
  <c r="J66" i="1"/>
  <c r="H53"/>
  <c r="K1277" i="3"/>
  <c r="K1245"/>
  <c r="K1382"/>
  <c r="K1350"/>
  <c r="K1318"/>
  <c r="K1286"/>
  <c r="K1254"/>
  <c r="K1222"/>
  <c r="K1195"/>
  <c r="K1163"/>
  <c r="K1200"/>
  <c r="K1168"/>
  <c r="K1101"/>
  <c r="H43" i="1" s="1"/>
  <c r="K1085" i="3"/>
  <c r="K1069"/>
  <c r="K1053"/>
  <c r="K1037"/>
  <c r="K1021"/>
  <c r="I40" i="1" s="1"/>
  <c r="K1005" i="3"/>
  <c r="K989"/>
  <c r="H39" i="1" s="1"/>
  <c r="K973" i="3"/>
  <c r="K957"/>
  <c r="K941"/>
  <c r="K925"/>
  <c r="K909"/>
  <c r="I36" i="1" s="1"/>
  <c r="K1137" i="3"/>
  <c r="K893"/>
  <c r="K881"/>
  <c r="I35" i="1" s="1"/>
  <c r="K865" i="3"/>
  <c r="K849"/>
  <c r="K833"/>
  <c r="K817"/>
  <c r="K801"/>
  <c r="K785"/>
  <c r="K769"/>
  <c r="K398"/>
  <c r="I62" i="1"/>
  <c r="H61"/>
  <c r="K1524" i="3"/>
  <c r="K1508"/>
  <c r="K1271"/>
  <c r="K1239"/>
  <c r="K1408"/>
  <c r="K1376"/>
  <c r="G53" i="1" s="1"/>
  <c r="K1344" i="3"/>
  <c r="K1312"/>
  <c r="M50" i="1" s="1"/>
  <c r="N50" s="1"/>
  <c r="K1280" i="3"/>
  <c r="K1248"/>
  <c r="K1189"/>
  <c r="K1157"/>
  <c r="K1186"/>
  <c r="K1154"/>
  <c r="K1098"/>
  <c r="K1082"/>
  <c r="J42" i="1" s="1"/>
  <c r="K1066" i="3"/>
  <c r="G42" i="1" s="1"/>
  <c r="K1050" i="3"/>
  <c r="K1034"/>
  <c r="K1018"/>
  <c r="H40" i="1" s="1"/>
  <c r="K1002" i="3"/>
  <c r="K986"/>
  <c r="K970"/>
  <c r="J38" i="1" s="1"/>
  <c r="K954" i="3"/>
  <c r="G38" i="1" s="1"/>
  <c r="K938" i="3"/>
  <c r="I37" i="1" s="1"/>
  <c r="K922" i="3"/>
  <c r="K906"/>
  <c r="K1139"/>
  <c r="J44" i="1" s="1"/>
  <c r="K1107" i="3"/>
  <c r="J64" i="1"/>
  <c r="G64"/>
  <c r="J60"/>
  <c r="G60"/>
  <c r="K1521" i="3"/>
  <c r="H58" i="1" s="1"/>
  <c r="K1505" i="3"/>
  <c r="K1489"/>
  <c r="K1473"/>
  <c r="K1457"/>
  <c r="K1441"/>
  <c r="I55" i="1" s="1"/>
  <c r="K1425" i="3"/>
  <c r="K1281"/>
  <c r="K1249"/>
  <c r="K1386"/>
  <c r="I53" i="1" s="1"/>
  <c r="K1354" i="3"/>
  <c r="H52" i="1" s="1"/>
  <c r="K1322" i="3"/>
  <c r="K1290"/>
  <c r="G50" i="1" s="1"/>
  <c r="K1258" i="3"/>
  <c r="K1226"/>
  <c r="K1199"/>
  <c r="K1167"/>
  <c r="K1212"/>
  <c r="K1180"/>
  <c r="K1091"/>
  <c r="K1075"/>
  <c r="K1059"/>
  <c r="M41" i="1" s="1"/>
  <c r="N41" s="1"/>
  <c r="K1043" i="3"/>
  <c r="K1027"/>
  <c r="K1011"/>
  <c r="G40" i="1" s="1"/>
  <c r="K40" s="1"/>
  <c r="K995" i="3"/>
  <c r="K979"/>
  <c r="K963"/>
  <c r="K947"/>
  <c r="M37" i="1" s="1"/>
  <c r="N37" s="1"/>
  <c r="K931" i="3"/>
  <c r="K915"/>
  <c r="J36" i="1" s="1"/>
  <c r="K899" i="3"/>
  <c r="K1133"/>
  <c r="I44" i="1" s="1"/>
  <c r="K891" i="3"/>
  <c r="K867"/>
  <c r="K851"/>
  <c r="K835"/>
  <c r="M33" i="1" s="1"/>
  <c r="N33" s="1"/>
  <c r="K819" i="3"/>
  <c r="K803"/>
  <c r="K787"/>
  <c r="K771"/>
  <c r="K755"/>
  <c r="K739"/>
  <c r="K723"/>
  <c r="K707"/>
  <c r="K691"/>
  <c r="K675"/>
  <c r="K659"/>
  <c r="K643"/>
  <c r="K627"/>
  <c r="K611"/>
  <c r="K595"/>
  <c r="K579"/>
  <c r="K563"/>
  <c r="K547"/>
  <c r="K531"/>
  <c r="K515"/>
  <c r="K499"/>
  <c r="K483"/>
  <c r="K467"/>
  <c r="K451"/>
  <c r="K435"/>
  <c r="K419"/>
  <c r="K16"/>
  <c r="K32"/>
  <c r="K48"/>
  <c r="J5" i="1" s="1"/>
  <c r="K64" i="3"/>
  <c r="K80"/>
  <c r="K96"/>
  <c r="K112"/>
  <c r="K128"/>
  <c r="K144"/>
  <c r="K160"/>
  <c r="K176"/>
  <c r="K192"/>
  <c r="K208"/>
  <c r="K224"/>
  <c r="K240"/>
  <c r="K256"/>
  <c r="K272"/>
  <c r="K288"/>
  <c r="K304"/>
  <c r="K320"/>
  <c r="K336"/>
  <c r="K352"/>
  <c r="K368"/>
  <c r="G17" i="1" s="1"/>
  <c r="K71" i="3"/>
  <c r="K103"/>
  <c r="K135"/>
  <c r="M8" i="1" s="1"/>
  <c r="N8" s="1"/>
  <c r="K167" i="3"/>
  <c r="K199"/>
  <c r="K231"/>
  <c r="K263"/>
  <c r="K892"/>
  <c r="K880"/>
  <c r="K864"/>
  <c r="K848"/>
  <c r="K832"/>
  <c r="K816"/>
  <c r="K800"/>
  <c r="K784"/>
  <c r="K768"/>
  <c r="K752"/>
  <c r="K736"/>
  <c r="K720"/>
  <c r="K704"/>
  <c r="K688"/>
  <c r="K672"/>
  <c r="K656"/>
  <c r="K640"/>
  <c r="K624"/>
  <c r="K608"/>
  <c r="K592"/>
  <c r="K576"/>
  <c r="K560"/>
  <c r="K544"/>
  <c r="K528"/>
  <c r="K512"/>
  <c r="K496"/>
  <c r="K480"/>
  <c r="K464"/>
  <c r="K448"/>
  <c r="K432"/>
  <c r="K416"/>
  <c r="K391"/>
  <c r="K11"/>
  <c r="K27"/>
  <c r="K43"/>
  <c r="K75"/>
  <c r="K107"/>
  <c r="M7" i="1" s="1"/>
  <c r="N7" s="1"/>
  <c r="K139" i="3"/>
  <c r="K171"/>
  <c r="K203"/>
  <c r="K235"/>
  <c r="K267"/>
  <c r="K761"/>
  <c r="K745"/>
  <c r="K729"/>
  <c r="K713"/>
  <c r="K697"/>
  <c r="K681"/>
  <c r="K665"/>
  <c r="K649"/>
  <c r="K633"/>
  <c r="K617"/>
  <c r="K601"/>
  <c r="K585"/>
  <c r="K569"/>
  <c r="K553"/>
  <c r="K537"/>
  <c r="K521"/>
  <c r="K505"/>
  <c r="K489"/>
  <c r="K473"/>
  <c r="K457"/>
  <c r="K441"/>
  <c r="K425"/>
  <c r="K409"/>
  <c r="K389"/>
  <c r="K6"/>
  <c r="K22"/>
  <c r="K38"/>
  <c r="K54"/>
  <c r="K70"/>
  <c r="K86"/>
  <c r="G7" i="1" s="1"/>
  <c r="K102" i="3"/>
  <c r="J7" i="1" s="1"/>
  <c r="K118" i="3"/>
  <c r="K134"/>
  <c r="K150"/>
  <c r="K166"/>
  <c r="K182"/>
  <c r="K198"/>
  <c r="K214"/>
  <c r="J11" i="1" s="1"/>
  <c r="K230" i="3"/>
  <c r="K246"/>
  <c r="K262"/>
  <c r="K278"/>
  <c r="K294"/>
  <c r="K310"/>
  <c r="G15" i="1" s="1"/>
  <c r="K326" i="3"/>
  <c r="K342"/>
  <c r="K358"/>
  <c r="K374"/>
  <c r="K582"/>
  <c r="K550"/>
  <c r="J23" i="1" s="1"/>
  <c r="K518" i="3"/>
  <c r="K486"/>
  <c r="K454"/>
  <c r="K422"/>
  <c r="G19" i="1" s="1"/>
  <c r="K890" i="3"/>
  <c r="K878"/>
  <c r="H35" i="1" s="1"/>
  <c r="K862" i="3"/>
  <c r="K846"/>
  <c r="K830"/>
  <c r="K814"/>
  <c r="K798"/>
  <c r="I32" i="1" s="1"/>
  <c r="K782" i="3"/>
  <c r="K766"/>
  <c r="K750"/>
  <c r="K734"/>
  <c r="K718"/>
  <c r="K702"/>
  <c r="K686"/>
  <c r="K670"/>
  <c r="K654"/>
  <c r="K638"/>
  <c r="K622"/>
  <c r="K606"/>
  <c r="K586"/>
  <c r="K554"/>
  <c r="K522"/>
  <c r="K490"/>
  <c r="K458"/>
  <c r="K426"/>
  <c r="K283"/>
  <c r="K315"/>
  <c r="K347"/>
  <c r="K379"/>
  <c r="K261"/>
  <c r="K325"/>
  <c r="K295"/>
  <c r="K327"/>
  <c r="K359"/>
  <c r="M16" i="1" s="1"/>
  <c r="N16" s="1"/>
  <c r="K253" i="3"/>
  <c r="K317"/>
  <c r="H15" i="1" s="1"/>
  <c r="K381" i="3"/>
  <c r="K5"/>
  <c r="K21"/>
  <c r="K37"/>
  <c r="H5" i="1" s="1"/>
  <c r="K65" i="3"/>
  <c r="H6" i="1" s="1"/>
  <c r="K97" i="3"/>
  <c r="I7" i="1" s="1"/>
  <c r="K129" i="3"/>
  <c r="K161"/>
  <c r="K193"/>
  <c r="K249"/>
  <c r="M12" i="1" s="1"/>
  <c r="N12" s="1"/>
  <c r="K313" i="3"/>
  <c r="K377"/>
  <c r="I17" i="1" s="1"/>
  <c r="I6"/>
  <c r="I15"/>
  <c r="AC67"/>
  <c r="AD4"/>
  <c r="AD67" s="1"/>
  <c r="S67"/>
  <c r="V7"/>
  <c r="V13"/>
  <c r="Q67"/>
  <c r="M61"/>
  <c r="N61" s="1"/>
  <c r="H49"/>
  <c r="I41"/>
  <c r="H36"/>
  <c r="I63"/>
  <c r="H62"/>
  <c r="I59"/>
  <c r="M52"/>
  <c r="N52" s="1"/>
  <c r="H47"/>
  <c r="G46"/>
  <c r="G43"/>
  <c r="J39"/>
  <c r="G39"/>
  <c r="K1131" i="3"/>
  <c r="G65" i="1"/>
  <c r="G61"/>
  <c r="I56"/>
  <c r="H55"/>
  <c r="K1273" i="3"/>
  <c r="I49" i="1" s="1"/>
  <c r="K1241" i="3"/>
  <c r="H48" i="1" s="1"/>
  <c r="K1410" i="3"/>
  <c r="H54" i="1" s="1"/>
  <c r="K1378" i="3"/>
  <c r="K1346"/>
  <c r="G52" i="1" s="1"/>
  <c r="K1314" i="3"/>
  <c r="K1282"/>
  <c r="K1250"/>
  <c r="J48" i="1" s="1"/>
  <c r="K1191" i="3"/>
  <c r="K1159"/>
  <c r="K1204"/>
  <c r="K1172"/>
  <c r="M42" i="1"/>
  <c r="N42" s="1"/>
  <c r="M38"/>
  <c r="N38" s="1"/>
  <c r="K1125" i="3"/>
  <c r="K879"/>
  <c r="K863"/>
  <c r="M34" i="1" s="1"/>
  <c r="N34" s="1"/>
  <c r="K847" i="3"/>
  <c r="K831"/>
  <c r="K815"/>
  <c r="K799"/>
  <c r="K783"/>
  <c r="K767"/>
  <c r="H31" i="1" s="1"/>
  <c r="K751" i="3"/>
  <c r="M30" i="1" s="1"/>
  <c r="N30" s="1"/>
  <c r="K735" i="3"/>
  <c r="K719"/>
  <c r="K703"/>
  <c r="K687"/>
  <c r="K671"/>
  <c r="K655"/>
  <c r="K639"/>
  <c r="K623"/>
  <c r="K607"/>
  <c r="K591"/>
  <c r="K575"/>
  <c r="K559"/>
  <c r="K543"/>
  <c r="K527"/>
  <c r="M22" i="1" s="1"/>
  <c r="N22" s="1"/>
  <c r="K511" i="3"/>
  <c r="K495"/>
  <c r="K479"/>
  <c r="K463"/>
  <c r="K447"/>
  <c r="K431"/>
  <c r="K415"/>
  <c r="K385"/>
  <c r="J17" i="1" s="1"/>
  <c r="K876" i="3"/>
  <c r="K860"/>
  <c r="K844"/>
  <c r="K828"/>
  <c r="K812"/>
  <c r="K796"/>
  <c r="K780"/>
  <c r="K764"/>
  <c r="K748"/>
  <c r="K732"/>
  <c r="K716"/>
  <c r="K700"/>
  <c r="K684"/>
  <c r="K668"/>
  <c r="M27" i="1" s="1"/>
  <c r="N27" s="1"/>
  <c r="K652" i="3"/>
  <c r="K636"/>
  <c r="K620"/>
  <c r="K604"/>
  <c r="K588"/>
  <c r="K572"/>
  <c r="K556"/>
  <c r="K540"/>
  <c r="G23" i="1" s="1"/>
  <c r="K524" i="3"/>
  <c r="K508"/>
  <c r="K492"/>
  <c r="K476"/>
  <c r="K460"/>
  <c r="K444"/>
  <c r="M19" i="1" s="1"/>
  <c r="N19" s="1"/>
  <c r="K428" i="3"/>
  <c r="K412"/>
  <c r="K757"/>
  <c r="K741"/>
  <c r="I30" i="1" s="1"/>
  <c r="K725" i="3"/>
  <c r="K709"/>
  <c r="H29" i="1" s="1"/>
  <c r="K693" i="3"/>
  <c r="K677"/>
  <c r="K661"/>
  <c r="K645"/>
  <c r="K629"/>
  <c r="I26" i="1" s="1"/>
  <c r="K613" i="3"/>
  <c r="K597"/>
  <c r="H25" i="1" s="1"/>
  <c r="K581" i="3"/>
  <c r="K565"/>
  <c r="K549"/>
  <c r="K533"/>
  <c r="K517"/>
  <c r="I22" i="1" s="1"/>
  <c r="K501" i="3"/>
  <c r="K485"/>
  <c r="H21" i="1" s="1"/>
  <c r="K469" i="3"/>
  <c r="K453"/>
  <c r="K437"/>
  <c r="K421"/>
  <c r="K405"/>
  <c r="I18" i="1" s="1"/>
  <c r="K397" i="3"/>
  <c r="G6" i="1"/>
  <c r="J6"/>
  <c r="G10"/>
  <c r="J10"/>
  <c r="G14"/>
  <c r="J14"/>
  <c r="K574" i="3"/>
  <c r="K542"/>
  <c r="K510"/>
  <c r="K478"/>
  <c r="K446"/>
  <c r="K414"/>
  <c r="K874"/>
  <c r="K858"/>
  <c r="K842"/>
  <c r="K826"/>
  <c r="I33" i="1" s="1"/>
  <c r="K810" i="3"/>
  <c r="K794"/>
  <c r="K778"/>
  <c r="K762"/>
  <c r="K746"/>
  <c r="J30" i="1" s="1"/>
  <c r="K730" i="3"/>
  <c r="K714"/>
  <c r="K698"/>
  <c r="K682"/>
  <c r="K666"/>
  <c r="K650"/>
  <c r="K634"/>
  <c r="J26" i="1" s="1"/>
  <c r="K618" i="3"/>
  <c r="G26" i="1" s="1"/>
  <c r="K602" i="3"/>
  <c r="K578"/>
  <c r="K546"/>
  <c r="K514"/>
  <c r="H22" i="1" s="1"/>
  <c r="K482" i="3"/>
  <c r="K450"/>
  <c r="K418"/>
  <c r="M14" i="1"/>
  <c r="N14" s="1"/>
  <c r="H11"/>
  <c r="H4"/>
  <c r="I5"/>
  <c r="I13"/>
  <c r="I11"/>
  <c r="R67"/>
  <c r="V4"/>
  <c r="M55"/>
  <c r="N55" s="1"/>
  <c r="H44"/>
  <c r="G18"/>
  <c r="K1695" i="3"/>
  <c r="K1663"/>
  <c r="K1631"/>
  <c r="K1615"/>
  <c r="J61" i="1" s="1"/>
  <c r="K1583" i="3"/>
  <c r="K1567"/>
  <c r="K1551"/>
  <c r="K1535"/>
  <c r="M58" i="1" s="1"/>
  <c r="N58" s="1"/>
  <c r="K1763" i="3"/>
  <c r="M66" i="1" s="1"/>
  <c r="N66" s="1"/>
  <c r="G57"/>
  <c r="K1482" i="3"/>
  <c r="K1466"/>
  <c r="H56" i="1" s="1"/>
  <c r="K1450" i="3"/>
  <c r="K1434"/>
  <c r="K1418"/>
  <c r="J54" i="1" s="1"/>
  <c r="K1752" i="3"/>
  <c r="K1395"/>
  <c r="M53" i="1" s="1"/>
  <c r="N53" s="1"/>
  <c r="K1363" i="3"/>
  <c r="K1331"/>
  <c r="K1299"/>
  <c r="G47" i="1"/>
  <c r="K1152" i="3"/>
  <c r="G45" i="1" s="1"/>
  <c r="K1120" i="3"/>
  <c r="K1764"/>
  <c r="K1732"/>
  <c r="M65" i="1" s="1"/>
  <c r="N65" s="1"/>
  <c r="K1725" i="3"/>
  <c r="I65" i="1" s="1"/>
  <c r="H41"/>
  <c r="H37"/>
  <c r="K1122" i="3"/>
  <c r="G44" i="1" s="1"/>
  <c r="H32"/>
  <c r="K1709" i="3"/>
  <c r="M64" i="1" s="1"/>
  <c r="N64" s="1"/>
  <c r="K1693" i="3"/>
  <c r="I64" i="1" s="1"/>
  <c r="K1677" i="3"/>
  <c r="K1661"/>
  <c r="H63" i="1" s="1"/>
  <c r="K1645" i="3"/>
  <c r="K1629"/>
  <c r="K1613"/>
  <c r="K1597"/>
  <c r="M60" i="1" s="1"/>
  <c r="N60" s="1"/>
  <c r="K1581" i="3"/>
  <c r="K1565"/>
  <c r="K1549"/>
  <c r="H59" i="1" s="1"/>
  <c r="K1533" i="3"/>
  <c r="J58" i="1" s="1"/>
  <c r="K1738" i="3"/>
  <c r="G66" i="1" s="1"/>
  <c r="K1728" i="3"/>
  <c r="K1391"/>
  <c r="K1359"/>
  <c r="K1327"/>
  <c r="J40" i="1"/>
  <c r="G54"/>
  <c r="J50"/>
  <c r="M39"/>
  <c r="N39" s="1"/>
  <c r="M31"/>
  <c r="N31" s="1"/>
  <c r="M23"/>
  <c r="N23" s="1"/>
  <c r="M11"/>
  <c r="N11" s="1"/>
  <c r="I27"/>
  <c r="I23"/>
  <c r="I19"/>
  <c r="G5"/>
  <c r="G9"/>
  <c r="J13"/>
  <c r="J19"/>
  <c r="J35"/>
  <c r="G35"/>
  <c r="J31"/>
  <c r="G31"/>
  <c r="J27"/>
  <c r="G27"/>
  <c r="G22"/>
  <c r="J18"/>
  <c r="M15"/>
  <c r="N15" s="1"/>
  <c r="I14"/>
  <c r="I16"/>
  <c r="I4"/>
  <c r="H10"/>
  <c r="H16"/>
  <c r="M17"/>
  <c r="N17" s="1"/>
  <c r="K53" i="3"/>
  <c r="M5" i="1" s="1"/>
  <c r="N5" s="1"/>
  <c r="K85" i="3"/>
  <c r="M6" i="1" s="1"/>
  <c r="N6" s="1"/>
  <c r="K117" i="3"/>
  <c r="K149"/>
  <c r="H9" i="1" s="1"/>
  <c r="K181" i="3"/>
  <c r="I10" i="1" s="1"/>
  <c r="K225" i="3"/>
  <c r="K289"/>
  <c r="H14" i="1" s="1"/>
  <c r="AE40" l="1"/>
  <c r="L40"/>
  <c r="AI40" s="1"/>
  <c r="AJ40" s="1"/>
  <c r="K56"/>
  <c r="W7"/>
  <c r="AG7"/>
  <c r="AH7" s="1"/>
  <c r="K35"/>
  <c r="G30"/>
  <c r="K30" s="1"/>
  <c r="J34"/>
  <c r="G21"/>
  <c r="H13"/>
  <c r="K13" s="1"/>
  <c r="J22"/>
  <c r="G33"/>
  <c r="H20"/>
  <c r="I29"/>
  <c r="M25"/>
  <c r="N25" s="1"/>
  <c r="I48"/>
  <c r="M54"/>
  <c r="N54" s="1"/>
  <c r="J55"/>
  <c r="G24"/>
  <c r="J21"/>
  <c r="J12"/>
  <c r="G8"/>
  <c r="H23"/>
  <c r="K23" s="1"/>
  <c r="H18"/>
  <c r="M24"/>
  <c r="N24" s="1"/>
  <c r="M40"/>
  <c r="N40" s="1"/>
  <c r="H57"/>
  <c r="K57" s="1"/>
  <c r="G59"/>
  <c r="K59" s="1"/>
  <c r="G62"/>
  <c r="M43"/>
  <c r="N43" s="1"/>
  <c r="G41"/>
  <c r="J65"/>
  <c r="I61"/>
  <c r="K61" s="1"/>
  <c r="H38"/>
  <c r="M45"/>
  <c r="N45" s="1"/>
  <c r="I52"/>
  <c r="K52" s="1"/>
  <c r="J45"/>
  <c r="M49"/>
  <c r="N49" s="1"/>
  <c r="AG13"/>
  <c r="AH13" s="1"/>
  <c r="W13"/>
  <c r="K22"/>
  <c r="I60"/>
  <c r="G20"/>
  <c r="J24"/>
  <c r="G34"/>
  <c r="K10"/>
  <c r="M18"/>
  <c r="N18" s="1"/>
  <c r="J25"/>
  <c r="J15"/>
  <c r="K15" s="1"/>
  <c r="G11"/>
  <c r="K11" s="1"/>
  <c r="H24"/>
  <c r="M29"/>
  <c r="N29" s="1"/>
  <c r="M46"/>
  <c r="N46" s="1"/>
  <c r="I46"/>
  <c r="H34"/>
  <c r="G55"/>
  <c r="K55" s="1"/>
  <c r="H12"/>
  <c r="M13"/>
  <c r="N13" s="1"/>
  <c r="J28"/>
  <c r="G25"/>
  <c r="J8"/>
  <c r="G4"/>
  <c r="I20"/>
  <c r="H27"/>
  <c r="K27" s="1"/>
  <c r="M28"/>
  <c r="N28" s="1"/>
  <c r="I51"/>
  <c r="I54"/>
  <c r="K54" s="1"/>
  <c r="G63"/>
  <c r="H33"/>
  <c r="H42"/>
  <c r="G49"/>
  <c r="K49" s="1"/>
  <c r="J53"/>
  <c r="K53" s="1"/>
  <c r="H51"/>
  <c r="G58"/>
  <c r="K58" s="1"/>
  <c r="M59"/>
  <c r="N59" s="1"/>
  <c r="V67"/>
  <c r="AG4"/>
  <c r="W4"/>
  <c r="W67" s="1"/>
  <c r="K5"/>
  <c r="K18"/>
  <c r="K65"/>
  <c r="J29"/>
  <c r="I21"/>
  <c r="H28"/>
  <c r="K50"/>
  <c r="K38"/>
  <c r="H45"/>
  <c r="K45" s="1"/>
  <c r="I31"/>
  <c r="K31" s="1"/>
  <c r="J47"/>
  <c r="H46"/>
  <c r="K46" s="1"/>
  <c r="H7"/>
  <c r="K7" s="1"/>
  <c r="G28"/>
  <c r="J32"/>
  <c r="G16"/>
  <c r="J4"/>
  <c r="I24"/>
  <c r="M4"/>
  <c r="M10"/>
  <c r="N10" s="1"/>
  <c r="M32"/>
  <c r="N32" s="1"/>
  <c r="G48"/>
  <c r="K48" s="1"/>
  <c r="J52"/>
  <c r="I66"/>
  <c r="K66" s="1"/>
  <c r="J62"/>
  <c r="J46"/>
  <c r="H60"/>
  <c r="K60" s="1"/>
  <c r="I39"/>
  <c r="K39" s="1"/>
  <c r="I45"/>
  <c r="M63"/>
  <c r="N63" s="1"/>
  <c r="M62"/>
  <c r="N62" s="1"/>
  <c r="K44"/>
  <c r="K47"/>
  <c r="K26"/>
  <c r="K14"/>
  <c r="K6"/>
  <c r="M26"/>
  <c r="N26" s="1"/>
  <c r="G29"/>
  <c r="K29" s="1"/>
  <c r="J33"/>
  <c r="I25"/>
  <c r="M21"/>
  <c r="N21" s="1"/>
  <c r="M35"/>
  <c r="N35" s="1"/>
  <c r="K42"/>
  <c r="G51"/>
  <c r="K51" s="1"/>
  <c r="I8"/>
  <c r="I67" s="1"/>
  <c r="I9"/>
  <c r="K9" s="1"/>
  <c r="I12"/>
  <c r="H17"/>
  <c r="K17" s="1"/>
  <c r="J20"/>
  <c r="G32"/>
  <c r="K32" s="1"/>
  <c r="G36"/>
  <c r="K36" s="1"/>
  <c r="J16"/>
  <c r="G12"/>
  <c r="H19"/>
  <c r="K19" s="1"/>
  <c r="I28"/>
  <c r="M9"/>
  <c r="N9" s="1"/>
  <c r="M20"/>
  <c r="N20" s="1"/>
  <c r="M36"/>
  <c r="N36" s="1"/>
  <c r="J63"/>
  <c r="G37"/>
  <c r="K37" s="1"/>
  <c r="J41"/>
  <c r="H64"/>
  <c r="K64" s="1"/>
  <c r="I34"/>
  <c r="I43"/>
  <c r="K43" s="1"/>
  <c r="M57"/>
  <c r="N57" s="1"/>
  <c r="AE19" l="1"/>
  <c r="O19"/>
  <c r="P19" s="1"/>
  <c r="L19"/>
  <c r="AI19" s="1"/>
  <c r="AJ19" s="1"/>
  <c r="AE60"/>
  <c r="O60"/>
  <c r="P60" s="1"/>
  <c r="L60"/>
  <c r="AI60" s="1"/>
  <c r="AJ60" s="1"/>
  <c r="AE15"/>
  <c r="O15"/>
  <c r="P15" s="1"/>
  <c r="L15"/>
  <c r="AI15" s="1"/>
  <c r="AJ15" s="1"/>
  <c r="AE61"/>
  <c r="O61"/>
  <c r="P61" s="1"/>
  <c r="L61"/>
  <c r="AI61" s="1"/>
  <c r="AJ61" s="1"/>
  <c r="L43"/>
  <c r="AI43" s="1"/>
  <c r="AJ43" s="1"/>
  <c r="AE43"/>
  <c r="O43"/>
  <c r="P43" s="1"/>
  <c r="AE17"/>
  <c r="O17"/>
  <c r="P17" s="1"/>
  <c r="L17"/>
  <c r="AI17" s="1"/>
  <c r="AJ17" s="1"/>
  <c r="L39"/>
  <c r="AI39" s="1"/>
  <c r="AJ39" s="1"/>
  <c r="AE39"/>
  <c r="O39"/>
  <c r="P39" s="1"/>
  <c r="AE66"/>
  <c r="O66"/>
  <c r="P66" s="1"/>
  <c r="L66"/>
  <c r="AI66" s="1"/>
  <c r="AJ66" s="1"/>
  <c r="AE46"/>
  <c r="O46"/>
  <c r="P46" s="1"/>
  <c r="L46"/>
  <c r="AI46" s="1"/>
  <c r="AJ46" s="1"/>
  <c r="AE13"/>
  <c r="O13"/>
  <c r="P13" s="1"/>
  <c r="L13"/>
  <c r="AI13" s="1"/>
  <c r="AJ13" s="1"/>
  <c r="AE7"/>
  <c r="O7"/>
  <c r="P7" s="1"/>
  <c r="L7"/>
  <c r="AI7" s="1"/>
  <c r="AJ7" s="1"/>
  <c r="AE45"/>
  <c r="O45"/>
  <c r="P45" s="1"/>
  <c r="L45"/>
  <c r="AI45" s="1"/>
  <c r="AJ45" s="1"/>
  <c r="AE54"/>
  <c r="O54"/>
  <c r="P54" s="1"/>
  <c r="L54"/>
  <c r="AI54" s="1"/>
  <c r="AJ54" s="1"/>
  <c r="AE57"/>
  <c r="O57"/>
  <c r="P57" s="1"/>
  <c r="L57"/>
  <c r="AI57" s="1"/>
  <c r="AJ57" s="1"/>
  <c r="AE23"/>
  <c r="O23"/>
  <c r="P23" s="1"/>
  <c r="L23"/>
  <c r="AI23" s="1"/>
  <c r="AJ23" s="1"/>
  <c r="AE64"/>
  <c r="O64"/>
  <c r="P64" s="1"/>
  <c r="L64"/>
  <c r="AI64" s="1"/>
  <c r="AJ64" s="1"/>
  <c r="AE9"/>
  <c r="O9"/>
  <c r="P9" s="1"/>
  <c r="L9"/>
  <c r="AI9" s="1"/>
  <c r="AJ9" s="1"/>
  <c r="L31"/>
  <c r="AI31" s="1"/>
  <c r="AJ31" s="1"/>
  <c r="AE31"/>
  <c r="O31"/>
  <c r="P31" s="1"/>
  <c r="AE53"/>
  <c r="O53"/>
  <c r="P53" s="1"/>
  <c r="L53"/>
  <c r="AI53" s="1"/>
  <c r="AJ53" s="1"/>
  <c r="L27"/>
  <c r="AI27" s="1"/>
  <c r="AJ27" s="1"/>
  <c r="AE27"/>
  <c r="O27"/>
  <c r="P27" s="1"/>
  <c r="AE52"/>
  <c r="O52"/>
  <c r="P52" s="1"/>
  <c r="L52"/>
  <c r="AI52" s="1"/>
  <c r="AJ52" s="1"/>
  <c r="AE6"/>
  <c r="O6"/>
  <c r="P6" s="1"/>
  <c r="L6"/>
  <c r="AI6" s="1"/>
  <c r="AJ6" s="1"/>
  <c r="AE44"/>
  <c r="O44"/>
  <c r="P44" s="1"/>
  <c r="L44"/>
  <c r="AI44" s="1"/>
  <c r="AJ44" s="1"/>
  <c r="AE49"/>
  <c r="O49"/>
  <c r="P49" s="1"/>
  <c r="L49"/>
  <c r="AI49" s="1"/>
  <c r="AJ49" s="1"/>
  <c r="L35"/>
  <c r="AI35" s="1"/>
  <c r="AJ35" s="1"/>
  <c r="AE35"/>
  <c r="O35"/>
  <c r="P35" s="1"/>
  <c r="AE56"/>
  <c r="O56"/>
  <c r="P56" s="1"/>
  <c r="L56"/>
  <c r="AI56" s="1"/>
  <c r="AJ56" s="1"/>
  <c r="J67"/>
  <c r="K34"/>
  <c r="K62"/>
  <c r="K21"/>
  <c r="O40"/>
  <c r="P40" s="1"/>
  <c r="AE42"/>
  <c r="O42"/>
  <c r="P42" s="1"/>
  <c r="L42"/>
  <c r="AI42" s="1"/>
  <c r="AJ42" s="1"/>
  <c r="AE37"/>
  <c r="O37"/>
  <c r="P37" s="1"/>
  <c r="L37"/>
  <c r="AI37" s="1"/>
  <c r="AJ37" s="1"/>
  <c r="L51"/>
  <c r="AI51" s="1"/>
  <c r="AJ51" s="1"/>
  <c r="AE51"/>
  <c r="O51"/>
  <c r="P51" s="1"/>
  <c r="L47"/>
  <c r="AI47" s="1"/>
  <c r="AJ47" s="1"/>
  <c r="AE47"/>
  <c r="O47"/>
  <c r="P47" s="1"/>
  <c r="AE48"/>
  <c r="O48"/>
  <c r="P48" s="1"/>
  <c r="L48"/>
  <c r="AI48" s="1"/>
  <c r="AJ48" s="1"/>
  <c r="AE5"/>
  <c r="O5"/>
  <c r="P5" s="1"/>
  <c r="L5"/>
  <c r="AI5" s="1"/>
  <c r="AJ5" s="1"/>
  <c r="L55"/>
  <c r="AI55" s="1"/>
  <c r="AJ55" s="1"/>
  <c r="AE55"/>
  <c r="O55"/>
  <c r="P55" s="1"/>
  <c r="AE10"/>
  <c r="O10"/>
  <c r="P10" s="1"/>
  <c r="L10"/>
  <c r="AI10" s="1"/>
  <c r="AJ10" s="1"/>
  <c r="AE22"/>
  <c r="O22"/>
  <c r="P22" s="1"/>
  <c r="L22"/>
  <c r="AI22" s="1"/>
  <c r="AJ22" s="1"/>
  <c r="K28"/>
  <c r="K63"/>
  <c r="K25"/>
  <c r="H67"/>
  <c r="K8"/>
  <c r="AE29"/>
  <c r="O29"/>
  <c r="P29" s="1"/>
  <c r="L29"/>
  <c r="AI29" s="1"/>
  <c r="AJ29" s="1"/>
  <c r="AE26"/>
  <c r="O26"/>
  <c r="P26" s="1"/>
  <c r="L26"/>
  <c r="AI26" s="1"/>
  <c r="AJ26" s="1"/>
  <c r="M67"/>
  <c r="N4"/>
  <c r="N67" s="1"/>
  <c r="AE50"/>
  <c r="O50"/>
  <c r="P50" s="1"/>
  <c r="L50"/>
  <c r="AI50" s="1"/>
  <c r="AJ50" s="1"/>
  <c r="AE18"/>
  <c r="O18"/>
  <c r="P18" s="1"/>
  <c r="L18"/>
  <c r="AI18" s="1"/>
  <c r="AJ18" s="1"/>
  <c r="AG67"/>
  <c r="AH4"/>
  <c r="AH67" s="1"/>
  <c r="AE11"/>
  <c r="O11"/>
  <c r="P11" s="1"/>
  <c r="L11"/>
  <c r="AI11" s="1"/>
  <c r="AJ11" s="1"/>
  <c r="AE30"/>
  <c r="O30"/>
  <c r="P30" s="1"/>
  <c r="L30"/>
  <c r="AI30" s="1"/>
  <c r="AJ30" s="1"/>
  <c r="K20"/>
  <c r="K41"/>
  <c r="K24"/>
  <c r="K33"/>
  <c r="AE36"/>
  <c r="O36"/>
  <c r="P36" s="1"/>
  <c r="L36"/>
  <c r="AI36" s="1"/>
  <c r="AJ36" s="1"/>
  <c r="AE32"/>
  <c r="O32"/>
  <c r="P32" s="1"/>
  <c r="L32"/>
  <c r="AI32" s="1"/>
  <c r="AJ32" s="1"/>
  <c r="AE14"/>
  <c r="O14"/>
  <c r="P14" s="1"/>
  <c r="L14"/>
  <c r="AI14" s="1"/>
  <c r="AJ14" s="1"/>
  <c r="AE38"/>
  <c r="O38"/>
  <c r="P38" s="1"/>
  <c r="L38"/>
  <c r="AI38" s="1"/>
  <c r="AJ38" s="1"/>
  <c r="AE65"/>
  <c r="O65"/>
  <c r="P65" s="1"/>
  <c r="L65"/>
  <c r="AI65" s="1"/>
  <c r="AJ65" s="1"/>
  <c r="AE58"/>
  <c r="O58"/>
  <c r="P58" s="1"/>
  <c r="L58"/>
  <c r="AI58" s="1"/>
  <c r="AJ58" s="1"/>
  <c r="G67"/>
  <c r="K4"/>
  <c r="L59"/>
  <c r="AI59" s="1"/>
  <c r="AJ59" s="1"/>
  <c r="AE59"/>
  <c r="O59"/>
  <c r="P59" s="1"/>
  <c r="K12"/>
  <c r="K16"/>
  <c r="AE41" l="1"/>
  <c r="O41"/>
  <c r="P41" s="1"/>
  <c r="L41"/>
  <c r="AI41" s="1"/>
  <c r="AJ41" s="1"/>
  <c r="L12"/>
  <c r="AI12" s="1"/>
  <c r="AJ12" s="1"/>
  <c r="AE12"/>
  <c r="O12"/>
  <c r="P12" s="1"/>
  <c r="K67"/>
  <c r="L4"/>
  <c r="AE4"/>
  <c r="O4"/>
  <c r="AE33"/>
  <c r="O33"/>
  <c r="P33" s="1"/>
  <c r="L33"/>
  <c r="AI33" s="1"/>
  <c r="AJ33" s="1"/>
  <c r="AE25"/>
  <c r="O25"/>
  <c r="P25" s="1"/>
  <c r="L25"/>
  <c r="AI25" s="1"/>
  <c r="AJ25" s="1"/>
  <c r="AE62"/>
  <c r="O62"/>
  <c r="P62" s="1"/>
  <c r="L62"/>
  <c r="AI62" s="1"/>
  <c r="AJ62" s="1"/>
  <c r="L20"/>
  <c r="AI20" s="1"/>
  <c r="AJ20" s="1"/>
  <c r="AE20"/>
  <c r="O20"/>
  <c r="P20" s="1"/>
  <c r="AE21"/>
  <c r="O21"/>
  <c r="P21" s="1"/>
  <c r="L21"/>
  <c r="AI21" s="1"/>
  <c r="AJ21" s="1"/>
  <c r="L8"/>
  <c r="AI8" s="1"/>
  <c r="AJ8" s="1"/>
  <c r="AE8"/>
  <c r="O8"/>
  <c r="P8" s="1"/>
  <c r="AE28"/>
  <c r="O28"/>
  <c r="P28" s="1"/>
  <c r="L28"/>
  <c r="AI28" s="1"/>
  <c r="AJ28" s="1"/>
  <c r="L16"/>
  <c r="AI16" s="1"/>
  <c r="AJ16" s="1"/>
  <c r="AE16"/>
  <c r="O16"/>
  <c r="P16" s="1"/>
  <c r="L24"/>
  <c r="AI24" s="1"/>
  <c r="AJ24" s="1"/>
  <c r="AE24"/>
  <c r="O24"/>
  <c r="P24" s="1"/>
  <c r="L63"/>
  <c r="AI63" s="1"/>
  <c r="AJ63" s="1"/>
  <c r="AE63"/>
  <c r="O63"/>
  <c r="P63" s="1"/>
  <c r="AE34"/>
  <c r="O34"/>
  <c r="P34" s="1"/>
  <c r="L34"/>
  <c r="AI34" s="1"/>
  <c r="AJ34" s="1"/>
  <c r="O67" l="1"/>
  <c r="P4"/>
  <c r="P67" s="1"/>
  <c r="L67"/>
  <c r="AI4"/>
  <c r="AI67" l="1"/>
  <c r="AJ4"/>
  <c r="AJ67" s="1"/>
</calcChain>
</file>

<file path=xl/sharedStrings.xml><?xml version="1.0" encoding="utf-8"?>
<sst xmlns="http://schemas.openxmlformats.org/spreadsheetml/2006/main" count="25847" uniqueCount="503">
  <si>
    <t>Methanosarcina barkeri str. Wiesmoor (MBSW) genomic tRNAs - G+C content of tRNA sequence, 4 stems + 3D base pairs, and 4 loops</t>
  </si>
  <si>
    <t>tRNA</t>
  </si>
  <si>
    <t>Length (nt)</t>
  </si>
  <si>
    <t>Total G</t>
  </si>
  <si>
    <t>Total C</t>
  </si>
  <si>
    <t>Total G+C</t>
  </si>
  <si>
    <t>Overall G+C %</t>
  </si>
  <si>
    <t>Acceptor stem G+C</t>
  </si>
  <si>
    <t>D-stem G+C</t>
  </si>
  <si>
    <t>AC-stem G+C</t>
  </si>
  <si>
    <t>T-stem G+C</t>
  </si>
  <si>
    <t>4 stems G+C (of 42 nt)</t>
  </si>
  <si>
    <t>4 stems G+C %</t>
  </si>
  <si>
    <t>3D BP G+C (of 14 nt)</t>
  </si>
  <si>
    <t>3D BP G+C %</t>
  </si>
  <si>
    <t>4 stems + 3D G+C (of 56 nt)</t>
  </si>
  <si>
    <t>4 stems + 3D G+C %</t>
  </si>
  <si>
    <t>D-loop G+C</t>
  </si>
  <si>
    <t>AC-loop G+C</t>
  </si>
  <si>
    <t>Variable loop G+C</t>
  </si>
  <si>
    <t>TΨC-loop G+C</t>
  </si>
  <si>
    <t>4 loops length (nt)</t>
  </si>
  <si>
    <t>4 loops G+C</t>
  </si>
  <si>
    <t>4 loops G+C %</t>
  </si>
  <si>
    <t>Pos 8 nt</t>
  </si>
  <si>
    <t>Pos 9 nt</t>
  </si>
  <si>
    <t>Pos 26 nt</t>
  </si>
  <si>
    <t>G in 8, 9, 26</t>
  </si>
  <si>
    <t>C in 8, 9, 26</t>
  </si>
  <si>
    <t>G+C in 8, 9, 26 (of 3 nt)</t>
  </si>
  <si>
    <t>8, 9, 26 G+C %</t>
  </si>
  <si>
    <t>Check: stems + loops + 8,9,26 G+C = total G+C</t>
  </si>
  <si>
    <t>Non-stem nt (4 loops + 8, 9, 26)</t>
  </si>
  <si>
    <t>Non-stem G+C</t>
  </si>
  <si>
    <t>GC_nonstem %</t>
  </si>
  <si>
    <t>GC_stem % (4 stems, 42 nt)</t>
  </si>
  <si>
    <t>ΔGC = GC_stem − GC_nonstem</t>
  </si>
  <si>
    <t>tRNA-Ala-CGC-1-1</t>
  </si>
  <si>
    <t>tRNA-Ala-GGC-1-1</t>
  </si>
  <si>
    <t>tRNA-Ala-TGC-1-1</t>
  </si>
  <si>
    <t>tRNA-Arg-CCG-1-1</t>
  </si>
  <si>
    <t>tRNA-Arg-CCT-1-1</t>
  </si>
  <si>
    <t>tRNA-Arg-GCG-1-1</t>
  </si>
  <si>
    <t>tRNA-Arg-TCG-1-1</t>
  </si>
  <si>
    <t>tRNA-Arg-TCT-1-1</t>
  </si>
  <si>
    <t>tRNA-Asn-GTT-1-1</t>
  </si>
  <si>
    <t>tRNA-Asn-GTT-1-2</t>
  </si>
  <si>
    <t>tRNA-Asp-GTC-1-1</t>
  </si>
  <si>
    <t>tRNA-Cys-GCA-1-1</t>
  </si>
  <si>
    <t>tRNA-Cys-GCA-1-2</t>
  </si>
  <si>
    <t>tRNA-Cys-GCA-2-1</t>
  </si>
  <si>
    <t>tRNA-Cys-GCA-3-1</t>
  </si>
  <si>
    <t>tRNA-Gln-CTG-1-1</t>
  </si>
  <si>
    <t>tRNA-Gln-TTG-1-1</t>
  </si>
  <si>
    <t>tRNA-Glu-CTC-1-1</t>
  </si>
  <si>
    <t>tRNA-Glu-TTC-1-1</t>
  </si>
  <si>
    <t>tRNA-Glu-TTC-1-2</t>
  </si>
  <si>
    <t>tRNA-Gly-CCC-1-1</t>
  </si>
  <si>
    <t>tRNA-Gly-GCC-1-1</t>
  </si>
  <si>
    <t>tRNA-Gly-GCC-2-1</t>
  </si>
  <si>
    <t>tRNA-Gly-GCC-2-2</t>
  </si>
  <si>
    <t>tRNA-Gly-TCC-1-1</t>
  </si>
  <si>
    <t>tRNA-His-GTG-1-1</t>
  </si>
  <si>
    <t>tRNA-Ile-GAT-1-1</t>
  </si>
  <si>
    <t>tRNA-Ile-GAT-1-2</t>
  </si>
  <si>
    <t>tRNA-Ile2-CAT-1-1</t>
  </si>
  <si>
    <t>tRNA-iMet-CAT-1-1</t>
  </si>
  <si>
    <t>tRNA-iMet-CAT-1-2</t>
  </si>
  <si>
    <t>tRNA-iMet-CAT-1-3</t>
  </si>
  <si>
    <t>tRNA-Leu-CAA-1-1</t>
  </si>
  <si>
    <t>tRNA-Leu-CAG-1-1</t>
  </si>
  <si>
    <t>tRNA-Leu-GAG-1-1</t>
  </si>
  <si>
    <t>tRNA-Leu-GAG-1-2</t>
  </si>
  <si>
    <t>tRNA-Leu-TAA-1-1</t>
  </si>
  <si>
    <t>tRNA-Leu-TAA-2-1</t>
  </si>
  <si>
    <t>tRNA-Leu-TAA-3-1</t>
  </si>
  <si>
    <t>tRNA-Leu-TAG-1-1</t>
  </si>
  <si>
    <t>tRNA-Lys-CTT-1-1</t>
  </si>
  <si>
    <t>tRNA-Lys-TTT-1-1</t>
  </si>
  <si>
    <t>tRNA-Met-CAT-1-1</t>
  </si>
  <si>
    <t>tRNA-Phe-GAA-1-1</t>
  </si>
  <si>
    <t>tRNA-Phe-GAA-1-2</t>
  </si>
  <si>
    <t>tRNA-Pro-CGG-1-1</t>
  </si>
  <si>
    <t>tRNA-Pro-GGG-1-1</t>
  </si>
  <si>
    <t>tRNA-Pro-TGG-1-1</t>
  </si>
  <si>
    <t>tRNA-Ser-CGA-1-1</t>
  </si>
  <si>
    <t>tRNA-Ser-GCT-1-1</t>
  </si>
  <si>
    <t>tRNA-Ser-GGA-1-1</t>
  </si>
  <si>
    <t>tRNA-Ser-TGA-1-1</t>
  </si>
  <si>
    <t>tRNA-Thr-CGT-1-1</t>
  </si>
  <si>
    <t>tRNA-Thr-GGT-1-1</t>
  </si>
  <si>
    <t>tRNA-Thr-TGT-1-1</t>
  </si>
  <si>
    <t>tRNA-Thr-TGT-2-1</t>
  </si>
  <si>
    <t>tRNA-Trp-CCA-1-1</t>
  </si>
  <si>
    <t>tRNA-Tyr-GTA-1-1</t>
  </si>
  <si>
    <t>tRNA-Und-NNN-1-1</t>
  </si>
  <si>
    <t>tRNA-Val-CAC-1-1</t>
  </si>
  <si>
    <t>tRNA-Val-GAC-1-1</t>
  </si>
  <si>
    <t>tRNA-Val-GAC-1-2</t>
  </si>
  <si>
    <t>tRNA-Val-TAC-1-1</t>
  </si>
  <si>
    <t>Mean</t>
  </si>
  <si>
    <t>Percentages: overall = G+C / full length; stems = /42 nt (21 bp); 3D = /14 nt (7 tertiary pairs); stems+3D = /56 nt; positions 8, 9, 26 = /3 nt; loops = / total nt of D, AC, variable and TΨC loops.</t>
  </si>
  <si>
    <t>3D pairs 14, 15, 18, 19, 32, 38, 44, 48, 54, 55, 58 lie inside loops, so "4 stems + 3D" and "4 loops" share those nucleotides. 4 stems + 4 loops + positions 8, 9, 26 together cover every nucleotide once together cover every nucleotide once (column AE checks this).</t>
  </si>
  <si>
    <t>Key</t>
  </si>
  <si>
    <t>Canonical position</t>
  </si>
  <si>
    <t>Actual position</t>
  </si>
  <si>
    <t>Nucleotide</t>
  </si>
  <si>
    <t>Region</t>
  </si>
  <si>
    <t>1</t>
  </si>
  <si>
    <t>G</t>
  </si>
  <si>
    <t>Acceptor stem</t>
  </si>
  <si>
    <t>2</t>
  </si>
  <si>
    <t>3</t>
  </si>
  <si>
    <t>4</t>
  </si>
  <si>
    <t>C</t>
  </si>
  <si>
    <t>5</t>
  </si>
  <si>
    <t>U</t>
  </si>
  <si>
    <t>6</t>
  </si>
  <si>
    <t>7</t>
  </si>
  <si>
    <t>8</t>
  </si>
  <si>
    <t>Position 8</t>
  </si>
  <si>
    <t>9</t>
  </si>
  <si>
    <t>A</t>
  </si>
  <si>
    <t>Position 9</t>
  </si>
  <si>
    <t>10</t>
  </si>
  <si>
    <t>D-stem</t>
  </si>
  <si>
    <t>11</t>
  </si>
  <si>
    <t>12</t>
  </si>
  <si>
    <t>13</t>
  </si>
  <si>
    <t>14</t>
  </si>
  <si>
    <t>D-loop</t>
  </si>
  <si>
    <t>15</t>
  </si>
  <si>
    <t>18</t>
  </si>
  <si>
    <t>19</t>
  </si>
  <si>
    <t>20</t>
  </si>
  <si>
    <t>20a</t>
  </si>
  <si>
    <t>21</t>
  </si>
  <si>
    <t>22</t>
  </si>
  <si>
    <t>23</t>
  </si>
  <si>
    <t>24</t>
  </si>
  <si>
    <t>25</t>
  </si>
  <si>
    <t>26</t>
  </si>
  <si>
    <t>Position 26</t>
  </si>
  <si>
    <t>27</t>
  </si>
  <si>
    <t>Anticodon stem</t>
  </si>
  <si>
    <t>28</t>
  </si>
  <si>
    <t>29</t>
  </si>
  <si>
    <t>30</t>
  </si>
  <si>
    <t>31</t>
  </si>
  <si>
    <t>32</t>
  </si>
  <si>
    <t>Anticodon loop</t>
  </si>
  <si>
    <t>33</t>
  </si>
  <si>
    <t>34</t>
  </si>
  <si>
    <t>35</t>
  </si>
  <si>
    <t>36</t>
  </si>
  <si>
    <t>37</t>
  </si>
  <si>
    <t>38</t>
  </si>
  <si>
    <t>39</t>
  </si>
  <si>
    <t>40</t>
  </si>
  <si>
    <t>41</t>
  </si>
  <si>
    <t>42</t>
  </si>
  <si>
    <t>43</t>
  </si>
  <si>
    <t>44</t>
  </si>
  <si>
    <t>Variable loop</t>
  </si>
  <si>
    <t>45</t>
  </si>
  <si>
    <t>46</t>
  </si>
  <si>
    <t>47</t>
  </si>
  <si>
    <t>48</t>
  </si>
  <si>
    <t>49</t>
  </si>
  <si>
    <t>T-stem</t>
  </si>
  <si>
    <t>50</t>
  </si>
  <si>
    <t>51</t>
  </si>
  <si>
    <t>52</t>
  </si>
  <si>
    <t>53</t>
  </si>
  <si>
    <t>54</t>
  </si>
  <si>
    <t>TΨC-loop</t>
  </si>
  <si>
    <t>55</t>
  </si>
  <si>
    <t>56</t>
  </si>
  <si>
    <t>57</t>
  </si>
  <si>
    <t>58</t>
  </si>
  <si>
    <t>59</t>
  </si>
  <si>
    <t>60</t>
  </si>
  <si>
    <t>61</t>
  </si>
  <si>
    <t>62</t>
  </si>
  <si>
    <t>63</t>
  </si>
  <si>
    <t>64</t>
  </si>
  <si>
    <t>65</t>
  </si>
  <si>
    <t>66</t>
  </si>
  <si>
    <t>67</t>
  </si>
  <si>
    <t>68</t>
  </si>
  <si>
    <t>69</t>
  </si>
  <si>
    <t>70</t>
  </si>
  <si>
    <t>71</t>
  </si>
  <si>
    <t>72</t>
  </si>
  <si>
    <t>16</t>
  </si>
  <si>
    <t>17</t>
  </si>
  <si>
    <t>17a</t>
  </si>
  <si>
    <t>20b</t>
  </si>
  <si>
    <t>e1</t>
  </si>
  <si>
    <t>e2</t>
  </si>
  <si>
    <t>e3</t>
  </si>
  <si>
    <t>e4</t>
  </si>
  <si>
    <t>e5</t>
  </si>
  <si>
    <t>e6</t>
  </si>
  <si>
    <t>e7</t>
  </si>
  <si>
    <t>e8</t>
  </si>
  <si>
    <t>e9</t>
  </si>
  <si>
    <t>e10</t>
  </si>
  <si>
    <t>e11</t>
  </si>
  <si>
    <t>e12</t>
  </si>
  <si>
    <t>Element</t>
  </si>
  <si>
    <t>Canonical pair</t>
  </si>
  <si>
    <t>Actual pos (5′)</t>
  </si>
  <si>
    <t>Actual pos (3′)</t>
  </si>
  <si>
    <t>Nt (5′)</t>
  </si>
  <si>
    <t>Nt (3′)</t>
  </si>
  <si>
    <t>Pair</t>
  </si>
  <si>
    <t>G count</t>
  </si>
  <si>
    <t>C count</t>
  </si>
  <si>
    <t>G+C count</t>
  </si>
  <si>
    <t>1-72</t>
  </si>
  <si>
    <t>2-71</t>
  </si>
  <si>
    <t>3-70</t>
  </si>
  <si>
    <t>4-69</t>
  </si>
  <si>
    <t>5-68</t>
  </si>
  <si>
    <t>6-67</t>
  </si>
  <si>
    <t>7-66</t>
  </si>
  <si>
    <t>10-25</t>
  </si>
  <si>
    <t>11-24</t>
  </si>
  <si>
    <t>12-23</t>
  </si>
  <si>
    <t>13-22</t>
  </si>
  <si>
    <t>27-43</t>
  </si>
  <si>
    <t>28-42</t>
  </si>
  <si>
    <t>29-41</t>
  </si>
  <si>
    <t>30-40</t>
  </si>
  <si>
    <t>31-39</t>
  </si>
  <si>
    <t>49-65</t>
  </si>
  <si>
    <t>50-64</t>
  </si>
  <si>
    <t>51-63</t>
  </si>
  <si>
    <t>52-62</t>
  </si>
  <si>
    <t>53-61</t>
  </si>
  <si>
    <t>3D (tertiary) BP</t>
  </si>
  <si>
    <t>8-14</t>
  </si>
  <si>
    <t>15-48</t>
  </si>
  <si>
    <t>18-55</t>
  </si>
  <si>
    <t>19-56</t>
  </si>
  <si>
    <t>26-44</t>
  </si>
  <si>
    <t>32-38</t>
  </si>
  <si>
    <t>54-58</t>
  </si>
  <si>
    <t>Loop / region</t>
  </si>
  <si>
    <t>Canonical positions</t>
  </si>
  <si>
    <t>Actual positions</t>
  </si>
  <si>
    <t>Loop sequence (5′→3′)</t>
  </si>
  <si>
    <t>Length</t>
  </si>
  <si>
    <t>G+C %</t>
  </si>
  <si>
    <t>14–21</t>
  </si>
  <si>
    <t>14–20</t>
  </si>
  <si>
    <t>AGGGGAA</t>
  </si>
  <si>
    <t>32–38</t>
  </si>
  <si>
    <t>31–37</t>
  </si>
  <si>
    <t>UUCGCAA</t>
  </si>
  <si>
    <t>44–48</t>
  </si>
  <si>
    <t>43–47</t>
  </si>
  <si>
    <t>AGGCC</t>
  </si>
  <si>
    <t>54–60</t>
  </si>
  <si>
    <t>53–59</t>
  </si>
  <si>
    <t>UUCAAAU</t>
  </si>
  <si>
    <t>Positions 8, 9, 26</t>
  </si>
  <si>
    <t>8, 9, 26</t>
  </si>
  <si>
    <t>8, 9, 25</t>
  </si>
  <si>
    <t>UAG</t>
  </si>
  <si>
    <t>UUGGCAU</t>
  </si>
  <si>
    <t>UUCAAUU</t>
  </si>
  <si>
    <t>AGAUGGAA</t>
  </si>
  <si>
    <t>UUUGCAA</t>
  </si>
  <si>
    <t>UUCGAAU</t>
  </si>
  <si>
    <t>AGAGGAUA</t>
  </si>
  <si>
    <t>CUCCGGA</t>
  </si>
  <si>
    <t>44–47</t>
  </si>
  <si>
    <t>GAAC</t>
  </si>
  <si>
    <t>UUCGAUU</t>
  </si>
  <si>
    <t>UAU</t>
  </si>
  <si>
    <t>14–23</t>
  </si>
  <si>
    <t>AGCCAGGAUA</t>
  </si>
  <si>
    <t>34–40</t>
  </si>
  <si>
    <t>CUCCUAA</t>
  </si>
  <si>
    <t>46–50</t>
  </si>
  <si>
    <t>AAAUC</t>
  </si>
  <si>
    <t>56–62</t>
  </si>
  <si>
    <t>8, 9, 28</t>
  </si>
  <si>
    <t>UGG</t>
  </si>
  <si>
    <t>AGUGGAUA</t>
  </si>
  <si>
    <t>CUGCGGA</t>
  </si>
  <si>
    <t>AGAC</t>
  </si>
  <si>
    <t>UUCAAGU</t>
  </si>
  <si>
    <t>CUUCGAA</t>
  </si>
  <si>
    <t>46–49</t>
  </si>
  <si>
    <t>UGAC</t>
  </si>
  <si>
    <t>55–61</t>
  </si>
  <si>
    <t>UAA</t>
  </si>
  <si>
    <t>CUUCUAA</t>
  </si>
  <si>
    <t>ACGUC</t>
  </si>
  <si>
    <t>AGUUGGUA</t>
  </si>
  <si>
    <t>CUGUUAA</t>
  </si>
  <si>
    <t>AUGUC</t>
  </si>
  <si>
    <t>UUCGAGC</t>
  </si>
  <si>
    <t>14–22</t>
  </si>
  <si>
    <t>AGAGGCCUA</t>
  </si>
  <si>
    <t>33–39</t>
  </si>
  <si>
    <t>CUGUCGA</t>
  </si>
  <si>
    <t>45–48</t>
  </si>
  <si>
    <t>CGAC</t>
  </si>
  <si>
    <t>8, 9, 27</t>
  </si>
  <si>
    <t>AGCGGCU</t>
  </si>
  <si>
    <t>CUGCAGA</t>
  </si>
  <si>
    <t>UCCAU</t>
  </si>
  <si>
    <t>UGA</t>
  </si>
  <si>
    <t>AGCGGUU</t>
  </si>
  <si>
    <t>CAGCAGA</t>
  </si>
  <si>
    <t>UCACU</t>
  </si>
  <si>
    <t>AGUGGUG</t>
  </si>
  <si>
    <t>CUGCAAC</t>
  </si>
  <si>
    <t>AUUAU</t>
  </si>
  <si>
    <t>UGU</t>
  </si>
  <si>
    <t>AGUGGUCAA</t>
  </si>
  <si>
    <t>CUCUGGA</t>
  </si>
  <si>
    <t>CAAC</t>
  </si>
  <si>
    <t>CUUUGGA</t>
  </si>
  <si>
    <t>GGAC</t>
  </si>
  <si>
    <t>14–24</t>
  </si>
  <si>
    <t>AGCUCGGCCAA</t>
  </si>
  <si>
    <t>35–41</t>
  </si>
  <si>
    <t>CUCUCAC</t>
  </si>
  <si>
    <t>47–50</t>
  </si>
  <si>
    <t>8, 9, 29</t>
  </si>
  <si>
    <t>AGUCCGGCCAA</t>
  </si>
  <si>
    <t>CUUUCGA</t>
  </si>
  <si>
    <t>AGCGGCUA</t>
  </si>
  <si>
    <t>UUCCCAA</t>
  </si>
  <si>
    <t>UGC</t>
  </si>
  <si>
    <t>AGCGGUCA</t>
  </si>
  <si>
    <t>UUGCCAA</t>
  </si>
  <si>
    <t>UAC</t>
  </si>
  <si>
    <t>CUUCCAA</t>
  </si>
  <si>
    <t>AAAC</t>
  </si>
  <si>
    <t>AGAGGCCA</t>
  </si>
  <si>
    <t>CUGUGGA</t>
  </si>
  <si>
    <t>AGCUUGGUG</t>
  </si>
  <si>
    <t>CUGAUAA</t>
  </si>
  <si>
    <t>45–49</t>
  </si>
  <si>
    <t>AGGUC</t>
  </si>
  <si>
    <t>AGUCAGGUUA</t>
  </si>
  <si>
    <t>CUCAUAA</t>
  </si>
  <si>
    <t>CGGUC</t>
  </si>
  <si>
    <t>AGCCAGGAGA</t>
  </si>
  <si>
    <t>AGACC</t>
  </si>
  <si>
    <t>AGCGGUCAA</t>
  </si>
  <si>
    <t>CUCAAGA</t>
  </si>
  <si>
    <t>45–58</t>
  </si>
  <si>
    <t>UCGUGCAGACGUUC</t>
  </si>
  <si>
    <t>64–70</t>
  </si>
  <si>
    <t>AGCCAGGUCAA</t>
  </si>
  <si>
    <t>UUCAGAG</t>
  </si>
  <si>
    <t>47–60</t>
  </si>
  <si>
    <t>UUUCGUAGGAAUUC</t>
  </si>
  <si>
    <t>66–72</t>
  </si>
  <si>
    <t>UUG</t>
  </si>
  <si>
    <t>UUGAGGG</t>
  </si>
  <si>
    <t>AGCACGGUCAA</t>
  </si>
  <si>
    <t>CUUAAGA</t>
  </si>
  <si>
    <t>UAUCGAAGGAUUUC</t>
  </si>
  <si>
    <t>AGCCAGGCCAA</t>
  </si>
  <si>
    <t>AGCCCGGUCAA</t>
  </si>
  <si>
    <t>AGCUAGGUCAA</t>
  </si>
  <si>
    <t>CUUAGGA</t>
  </si>
  <si>
    <t>AGUCAGGCA</t>
  </si>
  <si>
    <t>CUCUUAA</t>
  </si>
  <si>
    <t>CUUUUAA</t>
  </si>
  <si>
    <t>CGGCC</t>
  </si>
  <si>
    <t>AGAUGGUUG</t>
  </si>
  <si>
    <t>UUCGAGU</t>
  </si>
  <si>
    <t>AGUGGGA</t>
  </si>
  <si>
    <t>CUGAAGA</t>
  </si>
  <si>
    <t>UUGUC</t>
  </si>
  <si>
    <t>AGCUUGGUCCA</t>
  </si>
  <si>
    <t>UUCGGGA</t>
  </si>
  <si>
    <t>AGCCUGGUCCA</t>
  </si>
  <si>
    <t>CUGGGGG</t>
  </si>
  <si>
    <t>UCCAAAU</t>
  </si>
  <si>
    <t>UUUGGGA</t>
  </si>
  <si>
    <t>AGUGGUA</t>
  </si>
  <si>
    <t>CUCGAAA</t>
  </si>
  <si>
    <t>43–59</t>
  </si>
  <si>
    <t>UUCUUCUUUGGGAGAGC</t>
  </si>
  <si>
    <t>65–71</t>
  </si>
  <si>
    <t>AGCCCGGUA</t>
  </si>
  <si>
    <t>UUGCUAA</t>
  </si>
  <si>
    <t>45–60</t>
  </si>
  <si>
    <t>UGAUGCUCUGCGUCCC</t>
  </si>
  <si>
    <t>CUGGAAA</t>
  </si>
  <si>
    <t>43–58</t>
  </si>
  <si>
    <t>UGGGGCCUAGCCCCUC</t>
  </si>
  <si>
    <t>AGCGGACUA</t>
  </si>
  <si>
    <t>CUUGAAA</t>
  </si>
  <si>
    <t>UAGCGCUUUGCGCUAC</t>
  </si>
  <si>
    <t>AGCGGUA</t>
  </si>
  <si>
    <t>UUCGUAA</t>
  </si>
  <si>
    <t>AGGGGUA</t>
  </si>
  <si>
    <t>UUGGUAA</t>
  </si>
  <si>
    <t>CUUGUAA</t>
  </si>
  <si>
    <t>AGCCCGAUA</t>
  </si>
  <si>
    <t>UUUGUAA</t>
  </si>
  <si>
    <t>AGCCCGGCA</t>
  </si>
  <si>
    <t>CUCCAGA</t>
  </si>
  <si>
    <t>CGAUC</t>
  </si>
  <si>
    <t>CUGUAGA</t>
  </si>
  <si>
    <t>33–38</t>
  </si>
  <si>
    <t>CUUGAA</t>
  </si>
  <si>
    <t>AGACGGUUA</t>
  </si>
  <si>
    <t>UUCACAC</t>
  </si>
  <si>
    <t>UUGACAU</t>
  </si>
  <si>
    <t>AGUCGGUUA</t>
  </si>
  <si>
    <t>UUUACAC</t>
  </si>
  <si>
    <t>GGAUC</t>
  </si>
  <si>
    <t>Method and assumptions</t>
  </si>
  <si>
    <t>Input: tRNA__tRNA_Scan_MBSW_1.xlsx - 63 predicted mature tRNAs of Methanosarcina barkeri str. Wiesmoor, each with its tRNAscan-SE secondary structure. Counting uses the RNA sequence as given.</t>
  </si>
  <si>
    <t>Positions use standard canonical (Sprinzl) numbering as given: acceptor 1-7/66-72, D-stem 10-13/22-25, AC-stem 27-31/39-43, T-stem 49-53/61-65, 3D pairs 8-14, 15-48, 18-55, 19-56, 26-44, 32-38, 54-58.</t>
  </si>
  <si>
    <t>Mapping: 1-13 from the 5′ end; acceptor 3′ strand = the partner of positions 1-7 in the structure, with T-stem (5 bp) and TΨC-loop (7 nt) immediately 5′ of it; anticodon loop = loop of the second hairpin in the structure, AC-stem 5 bp each side; D-stem 3′ strand = the 4 nt before position 26.</t>
  </si>
  <si>
    <t>Check against the tRNAscan structures: the canonical stems agree with the structure pairs in all 63 tRNAs, apart from (a) 13-22 left unpaired in 43 tRNAs (a 3-bp D-stem, common in archaea; still counted as D-stem as specified), (b) single mismatches in Gln-CTG-1-1, Glu-TTC-1-1/1-2, Leu-TAA-3-1 and Thr-CGT-1-1, and (c) the two special cases below.</t>
  </si>
  <si>
    <t>Extra nucleotides are absorbed in the D-loop (labelled 17a, 20a, ...) and the variable loop (labelled e1, e2, ... between 45 and 46). The long variable arms of Leu and Ser tRNAs are therefore counted in the variable loop. In the D-loop, 18-19 = the conserved GG after position 15. Variable loop: 44 = first nt after the AC-stem, 48 = last nt before the T-stem.</t>
  </si>
  <si>
    <t>Input file updated (tRNA__tRNA_Scan_MBSW_1.xlsx): the discriminator base (73) and the 8 genome-encoded CCA ends were removed, so every sequence now runs 1-72 and the 4 stems, 4 loops and positions 8, 9, 26 cover the whole sequence.</t>
  </si>
  <si>
    <t>ΔGC = GC_stem − GC_nonstem (columns AF-AJ of GC_Summary). GC_stem = G+C % of the 4 stems (42 nt: acceptor 14, D 8, AC 10, T 10). GC_nonstem = G+C % of every other nucleotide in 1-72, i.e. the 4 loops + positions 8, 9, 26 (length − 42 nt). Stems and non-stem together cover the whole sequence with no overlap. ΔGC is shown in percentage points (e.g. 30.0% = stems are 30 points richer in G+C than non-stem regions).</t>
  </si>
  <si>
    <t>Positions 8, 9 and 26 are counted as their own group: G, C and G+C in columns X-AD of GC_Summary and as a separate row in Loops. 4 stems (42 nt) + 4 loops + 8, 9, 26 (3 nt) = full length, and their G+C adds up to the overall G+C (checked in column AE).</t>
  </si>
  <si>
    <t>Special case - tRNA-Cys-GCA-2-1: its structure has a 1-nt bulge in the T-stem (5′ strand 47-49, 51-52). Canonical T-stem 49-53 was taken as 48-52; the nucleotide difference is U for U, so the G+C counts are unaffected.</t>
  </si>
  <si>
    <t>Special case - tRNA-Und-NNN-1-1 (undetermined isotype): its anticodon loop is 6 nt (no position 37 label). AC-stem was taken from its own structure (28-32/39-43). You may want to exclude it, as undetermined tRNAs are often left out of isotype analyses.</t>
  </si>
  <si>
    <t>Overlap: the 3D partners 14, 15, 18, 19, 32, 38, 44, 48, 54, 55, 58 sit in loops, so a nucleotide can count in both the "stems + 3D" total and the "4 loops" total. Positions 8 and 26 are also partners in 3D pairs 8-14 and 26-44.</t>
  </si>
  <si>
    <t>All counts are live formulas (COUNTIFS/SUMIFS/INDEX-MATCH) on the Positions sheet; editing a nucleotide there updates every table. Compatible with Excel 2007.</t>
  </si>
  <si>
    <t>tRNA name -&gt; tRNAscan ID</t>
  </si>
  <si>
    <t>tRNA-Ala-CGC-1-1   chr.trna47</t>
  </si>
  <si>
    <t>tRNA-Ala-GGC-1-1   chr.trna18</t>
  </si>
  <si>
    <t>tRNA-Ala-TGC-1-1   chr.trna13</t>
  </si>
  <si>
    <t>tRNA-Arg-CCG-1-1   chr.trna56</t>
  </si>
  <si>
    <t>tRNA-Arg-CCT-1-1   chr.trna60</t>
  </si>
  <si>
    <t>tRNA-Arg-GCG-1-1   chr.trna29</t>
  </si>
  <si>
    <t>tRNA-Arg-TCG-1-1   chr.trna15</t>
  </si>
  <si>
    <t>tRNA-Arg-TCT-1-1   chr.trna59</t>
  </si>
  <si>
    <t>tRNA-Asn-GTT-1-1   chr.trna5</t>
  </si>
  <si>
    <t>tRNA-Asn-GTT-1-2   chr.trna7</t>
  </si>
  <si>
    <t>tRNA-Asp-GTC-1-1   chr.trna33</t>
  </si>
  <si>
    <t>tRNA-Cys-GCA-1-1   chr.trna1</t>
  </si>
  <si>
    <t>tRNA-Cys-GCA-1-2   chr.trna2</t>
  </si>
  <si>
    <t>tRNA-Cys-GCA-2-1   chr.trna41</t>
  </si>
  <si>
    <t>tRNA-Cys-GCA-3-1   chr.trna40</t>
  </si>
  <si>
    <t>tRNA-Gln-CTG-1-1   chr.trna43</t>
  </si>
  <si>
    <t>tRNA-Gln-TTG-1-1   chr.trna31</t>
  </si>
  <si>
    <t>tRNA-Glu-CTC-1-1   chr.trna4</t>
  </si>
  <si>
    <t>tRNA-Glu-TTC-1-1   chr.trna55</t>
  </si>
  <si>
    <t>tRNA-Glu-TTC-1-2   chr.trna54</t>
  </si>
  <si>
    <t>tRNA-Gly-CCC-1-1   chr.trna34</t>
  </si>
  <si>
    <t>tRNA-Gly-GCC-1-1   chr.trna17</t>
  </si>
  <si>
    <t>tRNA-Gly-GCC-2-1   chr.trna53</t>
  </si>
  <si>
    <t>tRNA-Gly-GCC-2-2   chr.trna50</t>
  </si>
  <si>
    <t>tRNA-Gly-TCC-1-1   chr.trna57</t>
  </si>
  <si>
    <t>tRNA-His-GTG-1-1   chr.trna39</t>
  </si>
  <si>
    <t>tRNA-Ile-GAT-1-1   chr.trna37</t>
  </si>
  <si>
    <t>tRNA-Ile-GAT-1-2   chr.trna36</t>
  </si>
  <si>
    <t>tRNA-Ile2-CAT-1-1   chr.trna6</t>
  </si>
  <si>
    <t>tRNA-iMet-CAT-1-1   chr.trna63</t>
  </si>
  <si>
    <t>tRNA-iMet-CAT-1-2   chr.trna62</t>
  </si>
  <si>
    <t>tRNA-iMet-CAT-1-3   chr.trna61</t>
  </si>
  <si>
    <t>tRNA-Leu-CAA-1-1   chr.trna42</t>
  </si>
  <si>
    <t>tRNA-Leu-CAG-1-1   chr.trna14</t>
  </si>
  <si>
    <t>tRNA-Leu-GAG-1-1   chr.trna10</t>
  </si>
  <si>
    <t>tRNA-Leu-GAG-1-2   chr.trna11</t>
  </si>
  <si>
    <t>tRNA-Leu-TAA-1-1   chr.trna44</t>
  </si>
  <si>
    <t>tRNA-Leu-TAA-2-1   chr.trna45</t>
  </si>
  <si>
    <t>tRNA-Leu-TAA-3-1   chr.trna46</t>
  </si>
  <si>
    <t>tRNA-Leu-TAG-1-1   chr.trna58</t>
  </si>
  <si>
    <t>tRNA-Lys-CTT-1-1   chr.trna30</t>
  </si>
  <si>
    <t>tRNA-Lys-TTT-1-1   chr.trna12</t>
  </si>
  <si>
    <t>tRNA-Met-CAT-1-1   chr.trna35</t>
  </si>
  <si>
    <t>tRNA-Phe-GAA-1-1   chr.trna52</t>
  </si>
  <si>
    <t>tRNA-Phe-GAA-1-2   chr.trna49</t>
  </si>
  <si>
    <t>tRNA-Pro-CGG-1-1   chr.trna24</t>
  </si>
  <si>
    <t>tRNA-Pro-GGG-1-1   chr.trna22</t>
  </si>
  <si>
    <t>tRNA-Pro-TGG-1-1   chr.trna19</t>
  </si>
  <si>
    <t>tRNA-Ser-CGA-1-1   chr.trna20</t>
  </si>
  <si>
    <t>tRNA-Ser-GCT-1-1   chr.trna3</t>
  </si>
  <si>
    <t>tRNA-Ser-GGA-1-1   chr.trna9</t>
  </si>
  <si>
    <t>tRNA-Ser-TGA-1-1   chr.trna16</t>
  </si>
  <si>
    <t>tRNA-Thr-CGT-1-1   chr.trna25</t>
  </si>
  <si>
    <t>tRNA-Thr-GGT-1-1   chr.trna8</t>
  </si>
  <si>
    <t>tRNA-Thr-TGT-1-1   chr.trna26</t>
  </si>
  <si>
    <t>tRNA-Thr-TGT-2-1   chr.trna27</t>
  </si>
  <si>
    <t>tRNA-Trp-CCA-1-1   chr.trna21</t>
  </si>
  <si>
    <t>tRNA-Tyr-GTA-1-1   chr.trna32</t>
  </si>
  <si>
    <t>tRNA-Und-NNN-1-1   chr.trna28</t>
  </si>
  <si>
    <t>tRNA-Val-CAC-1-1   chr.trna23</t>
  </si>
  <si>
    <t>tRNA-Val-GAC-1-1   chr.trna51</t>
  </si>
  <si>
    <t>tRNA-Val-GAC-1-2   chr.trna48</t>
  </si>
  <si>
    <t>tRNA-Val-TAC-1-1   chr.trna38</t>
  </si>
  <si>
    <t>tRNA-Und-NNN-1-1*</t>
  </si>
  <si>
    <t>* one unidentified isotypes as per database</t>
  </si>
</sst>
</file>

<file path=xl/styles.xml><?xml version="1.0" encoding="utf-8"?>
<styleSheet xmlns="http://schemas.openxmlformats.org/spreadsheetml/2006/main">
  <numFmts count="2">
    <numFmt numFmtId="164" formatCode="0.0%"/>
    <numFmt numFmtId="165" formatCode="0.0"/>
  </numFmts>
  <fonts count="8">
    <font>
      <sz val="11"/>
      <color theme="1"/>
      <name val="Calibri"/>
      <family val="2"/>
      <charset val="1"/>
    </font>
    <font>
      <b/>
      <sz val="13"/>
      <name val="Arial"/>
      <charset val="1"/>
    </font>
    <font>
      <b/>
      <sz val="11"/>
      <color rgb="FFFFFFFF"/>
      <name val="Arial"/>
      <charset val="1"/>
    </font>
    <font>
      <b/>
      <sz val="11"/>
      <name val="Arial"/>
      <charset val="1"/>
    </font>
    <font>
      <sz val="11"/>
      <name val="Arial"/>
      <charset val="1"/>
    </font>
    <font>
      <i/>
      <sz val="9"/>
      <name val="Arial"/>
      <charset val="1"/>
    </font>
    <font>
      <b/>
      <sz val="12"/>
      <name val="Arial"/>
      <charset val="1"/>
    </font>
    <font>
      <sz val="10"/>
      <name val="Arial"/>
      <charset val="1"/>
    </font>
  </fonts>
  <fills count="9">
    <fill>
      <patternFill patternType="none"/>
    </fill>
    <fill>
      <patternFill patternType="gray125"/>
    </fill>
    <fill>
      <patternFill patternType="solid">
        <fgColor rgb="FF1F4E78"/>
        <bgColor rgb="FF003366"/>
      </patternFill>
    </fill>
    <fill>
      <patternFill patternType="solid">
        <fgColor rgb="FFE2EFDA"/>
        <bgColor rgb="FFEDEDED"/>
      </patternFill>
    </fill>
    <fill>
      <patternFill patternType="solid">
        <fgColor rgb="FFFFF2CC"/>
        <bgColor rgb="FFFCE4D6"/>
      </patternFill>
    </fill>
    <fill>
      <patternFill patternType="solid">
        <fgColor rgb="FFDDEBF7"/>
        <bgColor rgb="FFEDEDED"/>
      </patternFill>
    </fill>
    <fill>
      <patternFill patternType="solid">
        <fgColor rgb="FFEDEDED"/>
        <bgColor rgb="FFF2E6FA"/>
      </patternFill>
    </fill>
    <fill>
      <patternFill patternType="solid">
        <fgColor rgb="FFFCE4D6"/>
        <bgColor rgb="FFFFF2CC"/>
      </patternFill>
    </fill>
    <fill>
      <patternFill patternType="solid">
        <fgColor rgb="FFF2E6FA"/>
        <bgColor rgb="FFEDEDED"/>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28">
    <xf numFmtId="0" fontId="0" fillId="0" borderId="0" xfId="0"/>
    <xf numFmtId="0" fontId="1" fillId="0" borderId="0" xfId="0" applyFont="1"/>
    <xf numFmtId="0" fontId="2" fillId="2" borderId="1" xfId="0" applyFont="1" applyFill="1" applyBorder="1" applyAlignment="1">
      <alignment horizontal="center" vertical="center" wrapText="1"/>
    </xf>
    <xf numFmtId="0" fontId="3" fillId="0" borderId="1" xfId="0" applyFont="1" applyBorder="1" applyAlignment="1">
      <alignment horizontal="center"/>
    </xf>
    <xf numFmtId="0" fontId="4" fillId="0" borderId="1" xfId="0" applyFont="1" applyBorder="1" applyAlignment="1">
      <alignment horizontal="center"/>
    </xf>
    <xf numFmtId="164" fontId="3" fillId="0" borderId="1" xfId="0" applyNumberFormat="1" applyFont="1" applyBorder="1" applyAlignment="1">
      <alignment horizontal="center"/>
    </xf>
    <xf numFmtId="164" fontId="4" fillId="0" borderId="1" xfId="0" applyNumberFormat="1" applyFont="1" applyBorder="1" applyAlignment="1">
      <alignment horizontal="center"/>
    </xf>
    <xf numFmtId="0" fontId="4" fillId="3" borderId="1" xfId="0" applyFont="1" applyFill="1" applyBorder="1" applyAlignment="1">
      <alignment horizontal="center"/>
    </xf>
    <xf numFmtId="0" fontId="3" fillId="3" borderId="1" xfId="0" applyFont="1" applyFill="1" applyBorder="1" applyAlignment="1">
      <alignment horizontal="center"/>
    </xf>
    <xf numFmtId="164" fontId="3" fillId="3" borderId="1" xfId="0" applyNumberFormat="1" applyFont="1" applyFill="1" applyBorder="1" applyAlignment="1">
      <alignment horizontal="center"/>
    </xf>
    <xf numFmtId="0" fontId="4" fillId="4" borderId="1" xfId="0" applyFont="1" applyFill="1" applyBorder="1" applyAlignment="1">
      <alignment horizontal="center"/>
    </xf>
    <xf numFmtId="164" fontId="4" fillId="4" borderId="1" xfId="0" applyNumberFormat="1" applyFont="1" applyFill="1" applyBorder="1" applyAlignment="1">
      <alignment horizontal="center"/>
    </xf>
    <xf numFmtId="164" fontId="3" fillId="4" borderId="1" xfId="0" applyNumberFormat="1" applyFont="1" applyFill="1" applyBorder="1" applyAlignment="1">
      <alignment horizontal="center"/>
    </xf>
    <xf numFmtId="165" fontId="3" fillId="5" borderId="1" xfId="0" applyNumberFormat="1" applyFont="1" applyFill="1" applyBorder="1" applyAlignment="1">
      <alignment horizontal="center"/>
    </xf>
    <xf numFmtId="164" fontId="3" fillId="5" borderId="1" xfId="0" applyNumberFormat="1" applyFont="1" applyFill="1" applyBorder="1" applyAlignment="1">
      <alignment horizontal="center"/>
    </xf>
    <xf numFmtId="0" fontId="5" fillId="0" borderId="0" xfId="0" applyFont="1"/>
    <xf numFmtId="0" fontId="3" fillId="5" borderId="1" xfId="0" applyFont="1" applyFill="1" applyBorder="1" applyAlignment="1">
      <alignment horizontal="center"/>
    </xf>
    <xf numFmtId="0" fontId="4" fillId="5" borderId="1" xfId="0" applyFont="1" applyFill="1" applyBorder="1" applyAlignment="1">
      <alignment horizontal="center"/>
    </xf>
    <xf numFmtId="0" fontId="3" fillId="6" borderId="1" xfId="0" applyFont="1" applyFill="1" applyBorder="1" applyAlignment="1">
      <alignment horizontal="center"/>
    </xf>
    <xf numFmtId="0" fontId="4" fillId="6" borderId="1" xfId="0" applyFont="1" applyFill="1" applyBorder="1" applyAlignment="1">
      <alignment horizontal="center"/>
    </xf>
    <xf numFmtId="0" fontId="3" fillId="7" borderId="1" xfId="0" applyFont="1" applyFill="1" applyBorder="1" applyAlignment="1">
      <alignment horizontal="center"/>
    </xf>
    <xf numFmtId="0" fontId="4" fillId="7" borderId="1" xfId="0" applyFont="1" applyFill="1" applyBorder="1" applyAlignment="1">
      <alignment horizontal="center"/>
    </xf>
    <xf numFmtId="0" fontId="3" fillId="4" borderId="1" xfId="0" applyFont="1" applyFill="1" applyBorder="1" applyAlignment="1">
      <alignment horizontal="center"/>
    </xf>
    <xf numFmtId="0" fontId="4" fillId="8" borderId="1" xfId="0" applyFont="1" applyFill="1" applyBorder="1" applyAlignment="1">
      <alignment horizontal="center"/>
    </xf>
    <xf numFmtId="0" fontId="3" fillId="8" borderId="1" xfId="0" applyFont="1" applyFill="1" applyBorder="1" applyAlignment="1">
      <alignment horizontal="center"/>
    </xf>
    <xf numFmtId="164" fontId="4" fillId="3" borderId="1" xfId="0" applyNumberFormat="1" applyFont="1" applyFill="1" applyBorder="1" applyAlignment="1">
      <alignment horizontal="center"/>
    </xf>
    <xf numFmtId="0" fontId="6" fillId="0" borderId="0" xfId="0" applyFont="1" applyAlignment="1">
      <alignment vertical="top" wrapText="1"/>
    </xf>
    <xf numFmtId="0" fontId="7" fillId="0" borderId="0" xfId="0" applyFont="1" applyAlignment="1">
      <alignment vertical="top" wrapText="1"/>
    </xf>
  </cellXfs>
  <cellStyles count="1">
    <cellStyle name="Normal" xfId="0" builtinId="0"/>
  </cellStyles>
  <dxfs count="0"/>
  <tableStyles count="0" defaultTableStyle="TableStyleMedium9"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DDEBF7"/>
      <rgbColor rgb="FF660066"/>
      <rgbColor rgb="FFFF8080"/>
      <rgbColor rgb="FF0066CC"/>
      <rgbColor rgb="FFF2E6FA"/>
      <rgbColor rgb="FF000080"/>
      <rgbColor rgb="FFFF00FF"/>
      <rgbColor rgb="FFFFFF00"/>
      <rgbColor rgb="FF00FFFF"/>
      <rgbColor rgb="FF800080"/>
      <rgbColor rgb="FF800000"/>
      <rgbColor rgb="FF008080"/>
      <rgbColor rgb="FF0000FF"/>
      <rgbColor rgb="FF00CCFF"/>
      <rgbColor rgb="FFEDEDED"/>
      <rgbColor rgb="FFE2EFDA"/>
      <rgbColor rgb="FFFFFF99"/>
      <rgbColor rgb="FF99CCFF"/>
      <rgbColor rgb="FFFF99CC"/>
      <rgbColor rgb="FFCC99FF"/>
      <rgbColor rgb="FFFCE4D6"/>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J72"/>
  <sheetViews>
    <sheetView tabSelected="1" workbookViewId="0">
      <pane xSplit="1" ySplit="3" topLeftCell="B58" activePane="bottomRight" state="frozen"/>
      <selection pane="topRight" activeCell="B1" sqref="B1"/>
      <selection pane="bottomLeft" activeCell="A4" sqref="A4"/>
      <selection pane="bottomRight" activeCell="D75" sqref="D75"/>
    </sheetView>
  </sheetViews>
  <sheetFormatPr defaultColWidth="8.7109375" defaultRowHeight="15"/>
  <cols>
    <col min="1" max="1" width="19" customWidth="1"/>
    <col min="2" max="30" width="10.5703125" customWidth="1"/>
    <col min="31" max="31" width="16" customWidth="1"/>
    <col min="32" max="35" width="10.5703125" customWidth="1"/>
    <col min="36" max="36" width="14" customWidth="1"/>
  </cols>
  <sheetData>
    <row r="1" spans="1:36" ht="16.5">
      <c r="A1" s="1" t="s">
        <v>0</v>
      </c>
    </row>
    <row r="3" spans="1:36" ht="45" customHeight="1">
      <c r="A3" s="2" t="s">
        <v>1</v>
      </c>
      <c r="B3" s="2" t="s">
        <v>2</v>
      </c>
      <c r="C3" s="2" t="s">
        <v>3</v>
      </c>
      <c r="D3" s="2" t="s">
        <v>4</v>
      </c>
      <c r="E3" s="2" t="s">
        <v>5</v>
      </c>
      <c r="F3" s="2" t="s">
        <v>6</v>
      </c>
      <c r="G3" s="2" t="s">
        <v>7</v>
      </c>
      <c r="H3" s="2" t="s">
        <v>8</v>
      </c>
      <c r="I3" s="2" t="s">
        <v>9</v>
      </c>
      <c r="J3" s="2" t="s">
        <v>10</v>
      </c>
      <c r="K3" s="2" t="s">
        <v>11</v>
      </c>
      <c r="L3" s="2" t="s">
        <v>12</v>
      </c>
      <c r="M3" s="2" t="s">
        <v>13</v>
      </c>
      <c r="N3" s="2" t="s">
        <v>14</v>
      </c>
      <c r="O3" s="2" t="s">
        <v>15</v>
      </c>
      <c r="P3" s="2" t="s">
        <v>16</v>
      </c>
      <c r="Q3" s="2" t="s">
        <v>17</v>
      </c>
      <c r="R3" s="2" t="s">
        <v>18</v>
      </c>
      <c r="S3" s="2" t="s">
        <v>19</v>
      </c>
      <c r="T3" s="2" t="s">
        <v>20</v>
      </c>
      <c r="U3" s="2" t="s">
        <v>21</v>
      </c>
      <c r="V3" s="2" t="s">
        <v>22</v>
      </c>
      <c r="W3" s="2" t="s">
        <v>23</v>
      </c>
      <c r="X3" s="2" t="s">
        <v>24</v>
      </c>
      <c r="Y3" s="2" t="s">
        <v>25</v>
      </c>
      <c r="Z3" s="2" t="s">
        <v>26</v>
      </c>
      <c r="AA3" s="2" t="s">
        <v>27</v>
      </c>
      <c r="AB3" s="2" t="s">
        <v>28</v>
      </c>
      <c r="AC3" s="2" t="s">
        <v>29</v>
      </c>
      <c r="AD3" s="2" t="s">
        <v>30</v>
      </c>
      <c r="AE3" s="2" t="s">
        <v>31</v>
      </c>
      <c r="AF3" s="2" t="s">
        <v>32</v>
      </c>
      <c r="AG3" s="2" t="s">
        <v>33</v>
      </c>
      <c r="AH3" s="2" t="s">
        <v>34</v>
      </c>
      <c r="AI3" s="2" t="s">
        <v>35</v>
      </c>
      <c r="AJ3" s="2" t="s">
        <v>36</v>
      </c>
    </row>
    <row r="4" spans="1:36">
      <c r="A4" s="3" t="s">
        <v>37</v>
      </c>
      <c r="B4" s="4">
        <f>COUNTIF(Positions!$B$2:$B$4694,A4)</f>
        <v>71</v>
      </c>
      <c r="C4" s="4">
        <f>COUNTIFS(Positions!$B$2:$B$4694,A4,Positions!$E$2:$E$4694,"G")</f>
        <v>23</v>
      </c>
      <c r="D4" s="4">
        <f>COUNTIFS(Positions!$B$2:$B$4694,A4,Positions!$E$2:$E$4694,"C")</f>
        <v>19</v>
      </c>
      <c r="E4" s="3">
        <f t="shared" ref="E4:E35" si="0">C4+D4</f>
        <v>42</v>
      </c>
      <c r="F4" s="5">
        <f t="shared" ref="F4:F35" si="1">E4/B4</f>
        <v>0.59154929577464788</v>
      </c>
      <c r="G4" s="4">
        <f>SUMIFS(Stems_3D_BP!$K$2:$K$1765,Stems_3D_BP!$A$2:$A$1765,$A4,Stems_3D_BP!$B$2:$B$1765,"Acceptor stem")</f>
        <v>11</v>
      </c>
      <c r="H4" s="4">
        <f>SUMIFS(Stems_3D_BP!$K$2:$K$1765,Stems_3D_BP!$A$2:$A$1765,$A4,Stems_3D_BP!$B$2:$B$1765,"D-stem")</f>
        <v>4</v>
      </c>
      <c r="I4" s="4">
        <f>SUMIFS(Stems_3D_BP!$K$2:$K$1765,Stems_3D_BP!$A$2:$A$1765,$A4,Stems_3D_BP!$B$2:$B$1765,"Anticodon stem")</f>
        <v>4</v>
      </c>
      <c r="J4" s="4">
        <f>SUMIFS(Stems_3D_BP!$K$2:$K$1765,Stems_3D_BP!$A$2:$A$1765,$A4,Stems_3D_BP!$B$2:$B$1765,"T-stem")</f>
        <v>10</v>
      </c>
      <c r="K4" s="3">
        <f t="shared" ref="K4:K35" si="2">SUM(G4:J4)</f>
        <v>29</v>
      </c>
      <c r="L4" s="5">
        <f t="shared" ref="L4:L35" si="3">K4/42</f>
        <v>0.69047619047619047</v>
      </c>
      <c r="M4" s="4">
        <f>SUMIFS(Stems_3D_BP!$K$2:$K$1765,Stems_3D_BP!$A$2:$A$1765,$A4,Stems_3D_BP!$B$2:$B$1765,"3D (tertiary) BP")</f>
        <v>6</v>
      </c>
      <c r="N4" s="6">
        <f t="shared" ref="N4:N35" si="4">M4/14</f>
        <v>0.42857142857142855</v>
      </c>
      <c r="O4" s="3">
        <f t="shared" ref="O4:O35" si="5">K4+M4</f>
        <v>35</v>
      </c>
      <c r="P4" s="5">
        <f t="shared" ref="P4:P35" si="6">O4/56</f>
        <v>0.625</v>
      </c>
      <c r="Q4" s="4">
        <f>SUMIFS(Loops!$I$2:$I$316,Loops!$A$2:$A$316,$A4,Loops!$B$2:$B$316,"D-loop")</f>
        <v>4</v>
      </c>
      <c r="R4" s="4">
        <f>SUMIFS(Loops!$I$2:$I$316,Loops!$A$2:$A$316,$A4,Loops!$B$2:$B$316,"Anticodon loop")</f>
        <v>3</v>
      </c>
      <c r="S4" s="4">
        <f>SUMIFS(Loops!$I$2:$I$316,Loops!$A$2:$A$316,$A4,Loops!$B$2:$B$316,"Variable loop")</f>
        <v>4</v>
      </c>
      <c r="T4" s="4">
        <f>SUMIFS(Loops!$I$2:$I$316,Loops!$A$2:$A$316,$A4,Loops!$B$2:$B$316,"TΨC-loop")</f>
        <v>1</v>
      </c>
      <c r="U4" s="4">
        <f>SUMIFS(Loops!$F$2:$F$316,Loops!$A$2:$A$316,$A4)-SUMIFS(Loops!$F$2:$F$316,Loops!$A$2:$A$316,$A4,Loops!$B$2:$B$316,"Positions 8, 9, 26")</f>
        <v>26</v>
      </c>
      <c r="V4" s="3">
        <f t="shared" ref="V4:V35" si="7">SUM(Q4:T4)</f>
        <v>12</v>
      </c>
      <c r="W4" s="5">
        <f t="shared" ref="W4:W35" si="8">V4/U4</f>
        <v>0.46153846153846156</v>
      </c>
      <c r="X4" s="7" t="str">
        <f>INDEX(Positions!$E$2:$E$4694,MATCH($A4&amp;"|8",Positions!$A$2:$A$4694,0))</f>
        <v>U</v>
      </c>
      <c r="Y4" s="7" t="str">
        <f>INDEX(Positions!$E$2:$E$4694,MATCH($A4&amp;"|9",Positions!$A$2:$A$4694,0))</f>
        <v>A</v>
      </c>
      <c r="Z4" s="7" t="str">
        <f>INDEX(Positions!$E$2:$E$4694,MATCH($A4&amp;"|26",Positions!$A$2:$A$4694,0))</f>
        <v>G</v>
      </c>
      <c r="AA4" s="7">
        <f t="shared" ref="AA4:AA35" si="9">(X4="G")+(Y4="G")+(Z4="G")</f>
        <v>1</v>
      </c>
      <c r="AB4" s="7">
        <f t="shared" ref="AB4:AB35" si="10">(X4="C")+(Y4="C")+(Z4="C")</f>
        <v>0</v>
      </c>
      <c r="AC4" s="8">
        <f t="shared" ref="AC4:AC35" si="11">AA4+AB4</f>
        <v>1</v>
      </c>
      <c r="AD4" s="9">
        <f t="shared" ref="AD4:AD35" si="12">AC4/3</f>
        <v>0.33333333333333331</v>
      </c>
      <c r="AE4" s="7" t="str">
        <f t="shared" ref="AE4:AE35" si="13">IF(K4+V4+AC4=E4,"OK","MISMATCH")</f>
        <v>OK</v>
      </c>
      <c r="AF4" s="10">
        <f t="shared" ref="AF4:AF35" si="14">B4-42</f>
        <v>29</v>
      </c>
      <c r="AG4" s="10">
        <f t="shared" ref="AG4:AG35" si="15">V4+AC4</f>
        <v>13</v>
      </c>
      <c r="AH4" s="11">
        <f t="shared" ref="AH4:AH35" si="16">AG4/AF4</f>
        <v>0.44827586206896552</v>
      </c>
      <c r="AI4" s="11">
        <f t="shared" ref="AI4:AI35" si="17">L4</f>
        <v>0.69047619047619047</v>
      </c>
      <c r="AJ4" s="12">
        <f t="shared" ref="AJ4:AJ35" si="18">AI4-AH4</f>
        <v>0.24220032840722494</v>
      </c>
    </row>
    <row r="5" spans="1:36">
      <c r="A5" s="3" t="s">
        <v>38</v>
      </c>
      <c r="B5" s="4">
        <f>COUNTIF(Positions!$B$2:$B$4694,A5)</f>
        <v>71</v>
      </c>
      <c r="C5" s="4">
        <f>COUNTIFS(Positions!$B$2:$B$4694,A5,Positions!$E$2:$E$4694,"G")</f>
        <v>25</v>
      </c>
      <c r="D5" s="4">
        <f>COUNTIFS(Positions!$B$2:$B$4694,A5,Positions!$E$2:$E$4694,"C")</f>
        <v>19</v>
      </c>
      <c r="E5" s="3">
        <f t="shared" si="0"/>
        <v>44</v>
      </c>
      <c r="F5" s="5">
        <f t="shared" si="1"/>
        <v>0.61971830985915488</v>
      </c>
      <c r="G5" s="4">
        <f>SUMIFS(Stems_3D_BP!$K$2:$K$1765,Stems_3D_BP!$A$2:$A$1765,$A5,Stems_3D_BP!$B$2:$B$1765,"Acceptor stem")</f>
        <v>13</v>
      </c>
      <c r="H5" s="4">
        <f>SUMIFS(Stems_3D_BP!$K$2:$K$1765,Stems_3D_BP!$A$2:$A$1765,$A5,Stems_3D_BP!$B$2:$B$1765,"D-stem")</f>
        <v>4</v>
      </c>
      <c r="I5" s="4">
        <f>SUMIFS(Stems_3D_BP!$K$2:$K$1765,Stems_3D_BP!$A$2:$A$1765,$A5,Stems_3D_BP!$B$2:$B$1765,"Anticodon stem")</f>
        <v>6</v>
      </c>
      <c r="J5" s="4">
        <f>SUMIFS(Stems_3D_BP!$K$2:$K$1765,Stems_3D_BP!$A$2:$A$1765,$A5,Stems_3D_BP!$B$2:$B$1765,"T-stem")</f>
        <v>8</v>
      </c>
      <c r="K5" s="3">
        <f t="shared" si="2"/>
        <v>31</v>
      </c>
      <c r="L5" s="5">
        <f t="shared" si="3"/>
        <v>0.73809523809523814</v>
      </c>
      <c r="M5" s="4">
        <f>SUMIFS(Stems_3D_BP!$K$2:$K$1765,Stems_3D_BP!$A$2:$A$1765,$A5,Stems_3D_BP!$B$2:$B$1765,"3D (tertiary) BP")</f>
        <v>6</v>
      </c>
      <c r="N5" s="6">
        <f t="shared" si="4"/>
        <v>0.42857142857142855</v>
      </c>
      <c r="O5" s="3">
        <f t="shared" si="5"/>
        <v>37</v>
      </c>
      <c r="P5" s="5">
        <f t="shared" si="6"/>
        <v>0.6607142857142857</v>
      </c>
      <c r="Q5" s="4">
        <f>SUMIFS(Loops!$I$2:$I$316,Loops!$A$2:$A$316,$A5,Loops!$B$2:$B$316,"D-loop")</f>
        <v>4</v>
      </c>
      <c r="R5" s="4">
        <f>SUMIFS(Loops!$I$2:$I$316,Loops!$A$2:$A$316,$A5,Loops!$B$2:$B$316,"Anticodon loop")</f>
        <v>3</v>
      </c>
      <c r="S5" s="4">
        <f>SUMIFS(Loops!$I$2:$I$316,Loops!$A$2:$A$316,$A5,Loops!$B$2:$B$316,"Variable loop")</f>
        <v>4</v>
      </c>
      <c r="T5" s="4">
        <f>SUMIFS(Loops!$I$2:$I$316,Loops!$A$2:$A$316,$A5,Loops!$B$2:$B$316,"TΨC-loop")</f>
        <v>1</v>
      </c>
      <c r="U5" s="4">
        <f>SUMIFS(Loops!$F$2:$F$316,Loops!$A$2:$A$316,$A5)-SUMIFS(Loops!$F$2:$F$316,Loops!$A$2:$A$316,$A5,Loops!$B$2:$B$316,"Positions 8, 9, 26")</f>
        <v>26</v>
      </c>
      <c r="V5" s="3">
        <f t="shared" si="7"/>
        <v>12</v>
      </c>
      <c r="W5" s="5">
        <f t="shared" si="8"/>
        <v>0.46153846153846156</v>
      </c>
      <c r="X5" s="7" t="str">
        <f>INDEX(Positions!$E$2:$E$4694,MATCH($A5&amp;"|8",Positions!$A$2:$A$4694,0))</f>
        <v>U</v>
      </c>
      <c r="Y5" s="7" t="str">
        <f>INDEX(Positions!$E$2:$E$4694,MATCH($A5&amp;"|9",Positions!$A$2:$A$4694,0))</f>
        <v>A</v>
      </c>
      <c r="Z5" s="7" t="str">
        <f>INDEX(Positions!$E$2:$E$4694,MATCH($A5&amp;"|26",Positions!$A$2:$A$4694,0))</f>
        <v>G</v>
      </c>
      <c r="AA5" s="7">
        <f t="shared" si="9"/>
        <v>1</v>
      </c>
      <c r="AB5" s="7">
        <f t="shared" si="10"/>
        <v>0</v>
      </c>
      <c r="AC5" s="8">
        <f t="shared" si="11"/>
        <v>1</v>
      </c>
      <c r="AD5" s="9">
        <f t="shared" si="12"/>
        <v>0.33333333333333331</v>
      </c>
      <c r="AE5" s="7" t="str">
        <f t="shared" si="13"/>
        <v>OK</v>
      </c>
      <c r="AF5" s="10">
        <f t="shared" si="14"/>
        <v>29</v>
      </c>
      <c r="AG5" s="10">
        <f t="shared" si="15"/>
        <v>13</v>
      </c>
      <c r="AH5" s="11">
        <f t="shared" si="16"/>
        <v>0.44827586206896552</v>
      </c>
      <c r="AI5" s="11">
        <f t="shared" si="17"/>
        <v>0.73809523809523814</v>
      </c>
      <c r="AJ5" s="12">
        <f t="shared" si="18"/>
        <v>0.28981937602627261</v>
      </c>
    </row>
    <row r="6" spans="1:36">
      <c r="A6" s="3" t="s">
        <v>39</v>
      </c>
      <c r="B6" s="4">
        <f>COUNTIF(Positions!$B$2:$B$4694,A6)</f>
        <v>72</v>
      </c>
      <c r="C6" s="4">
        <f>COUNTIFS(Positions!$B$2:$B$4694,A6,Positions!$E$2:$E$4694,"G")</f>
        <v>23</v>
      </c>
      <c r="D6" s="4">
        <f>COUNTIFS(Positions!$B$2:$B$4694,A6,Positions!$E$2:$E$4694,"C")</f>
        <v>18</v>
      </c>
      <c r="E6" s="3">
        <f t="shared" si="0"/>
        <v>41</v>
      </c>
      <c r="F6" s="5">
        <f t="shared" si="1"/>
        <v>0.56944444444444442</v>
      </c>
      <c r="G6" s="4">
        <f>SUMIFS(Stems_3D_BP!$K$2:$K$1765,Stems_3D_BP!$A$2:$A$1765,$A6,Stems_3D_BP!$B$2:$B$1765,"Acceptor stem")</f>
        <v>9</v>
      </c>
      <c r="H6" s="4">
        <f>SUMIFS(Stems_3D_BP!$K$2:$K$1765,Stems_3D_BP!$A$2:$A$1765,$A6,Stems_3D_BP!$B$2:$B$1765,"D-stem")</f>
        <v>4</v>
      </c>
      <c r="I6" s="4">
        <f>SUMIFS(Stems_3D_BP!$K$2:$K$1765,Stems_3D_BP!$A$2:$A$1765,$A6,Stems_3D_BP!$B$2:$B$1765,"Anticodon stem")</f>
        <v>8</v>
      </c>
      <c r="J6" s="4">
        <f>SUMIFS(Stems_3D_BP!$K$2:$K$1765,Stems_3D_BP!$A$2:$A$1765,$A6,Stems_3D_BP!$B$2:$B$1765,"T-stem")</f>
        <v>8</v>
      </c>
      <c r="K6" s="3">
        <f t="shared" si="2"/>
        <v>29</v>
      </c>
      <c r="L6" s="5">
        <f t="shared" si="3"/>
        <v>0.69047619047619047</v>
      </c>
      <c r="M6" s="4">
        <f>SUMIFS(Stems_3D_BP!$K$2:$K$1765,Stems_3D_BP!$A$2:$A$1765,$A6,Stems_3D_BP!$B$2:$B$1765,"3D (tertiary) BP")</f>
        <v>6</v>
      </c>
      <c r="N6" s="6">
        <f t="shared" si="4"/>
        <v>0.42857142857142855</v>
      </c>
      <c r="O6" s="3">
        <f t="shared" si="5"/>
        <v>35</v>
      </c>
      <c r="P6" s="5">
        <f t="shared" si="6"/>
        <v>0.625</v>
      </c>
      <c r="Q6" s="4">
        <f>SUMIFS(Loops!$I$2:$I$316,Loops!$A$2:$A$316,$A6,Loops!$B$2:$B$316,"D-loop")</f>
        <v>3</v>
      </c>
      <c r="R6" s="4">
        <f>SUMIFS(Loops!$I$2:$I$316,Loops!$A$2:$A$316,$A6,Loops!$B$2:$B$316,"Anticodon loop")</f>
        <v>2</v>
      </c>
      <c r="S6" s="4">
        <f>SUMIFS(Loops!$I$2:$I$316,Loops!$A$2:$A$316,$A6,Loops!$B$2:$B$316,"Variable loop")</f>
        <v>4</v>
      </c>
      <c r="T6" s="4">
        <f>SUMIFS(Loops!$I$2:$I$316,Loops!$A$2:$A$316,$A6,Loops!$B$2:$B$316,"TΨC-loop")</f>
        <v>2</v>
      </c>
      <c r="U6" s="4">
        <f>SUMIFS(Loops!$F$2:$F$316,Loops!$A$2:$A$316,$A6)-SUMIFS(Loops!$F$2:$F$316,Loops!$A$2:$A$316,$A6,Loops!$B$2:$B$316,"Positions 8, 9, 26")</f>
        <v>27</v>
      </c>
      <c r="V6" s="3">
        <f t="shared" si="7"/>
        <v>11</v>
      </c>
      <c r="W6" s="5">
        <f t="shared" si="8"/>
        <v>0.40740740740740738</v>
      </c>
      <c r="X6" s="7" t="str">
        <f>INDEX(Positions!$E$2:$E$4694,MATCH($A6&amp;"|8",Positions!$A$2:$A$4694,0))</f>
        <v>U</v>
      </c>
      <c r="Y6" s="7" t="str">
        <f>INDEX(Positions!$E$2:$E$4694,MATCH($A6&amp;"|9",Positions!$A$2:$A$4694,0))</f>
        <v>A</v>
      </c>
      <c r="Z6" s="7" t="str">
        <f>INDEX(Positions!$E$2:$E$4694,MATCH($A6&amp;"|26",Positions!$A$2:$A$4694,0))</f>
        <v>G</v>
      </c>
      <c r="AA6" s="7">
        <f t="shared" si="9"/>
        <v>1</v>
      </c>
      <c r="AB6" s="7">
        <f t="shared" si="10"/>
        <v>0</v>
      </c>
      <c r="AC6" s="8">
        <f t="shared" si="11"/>
        <v>1</v>
      </c>
      <c r="AD6" s="9">
        <f t="shared" si="12"/>
        <v>0.33333333333333331</v>
      </c>
      <c r="AE6" s="7" t="str">
        <f t="shared" si="13"/>
        <v>OK</v>
      </c>
      <c r="AF6" s="10">
        <f t="shared" si="14"/>
        <v>30</v>
      </c>
      <c r="AG6" s="10">
        <f t="shared" si="15"/>
        <v>12</v>
      </c>
      <c r="AH6" s="11">
        <f t="shared" si="16"/>
        <v>0.4</v>
      </c>
      <c r="AI6" s="11">
        <f t="shared" si="17"/>
        <v>0.69047619047619047</v>
      </c>
      <c r="AJ6" s="12">
        <f t="shared" si="18"/>
        <v>0.29047619047619044</v>
      </c>
    </row>
    <row r="7" spans="1:36">
      <c r="A7" s="3" t="s">
        <v>40</v>
      </c>
      <c r="B7" s="4">
        <f>COUNTIF(Positions!$B$2:$B$4694,A7)</f>
        <v>71</v>
      </c>
      <c r="C7" s="4">
        <f>COUNTIFS(Positions!$B$2:$B$4694,A7,Positions!$E$2:$E$4694,"G")</f>
        <v>21</v>
      </c>
      <c r="D7" s="4">
        <f>COUNTIFS(Positions!$B$2:$B$4694,A7,Positions!$E$2:$E$4694,"C")</f>
        <v>19</v>
      </c>
      <c r="E7" s="3">
        <f t="shared" si="0"/>
        <v>40</v>
      </c>
      <c r="F7" s="5">
        <f t="shared" si="1"/>
        <v>0.56338028169014087</v>
      </c>
      <c r="G7" s="4">
        <f>SUMIFS(Stems_3D_BP!$K$2:$K$1765,Stems_3D_BP!$A$2:$A$1765,$A7,Stems_3D_BP!$B$2:$B$1765,"Acceptor stem")</f>
        <v>8</v>
      </c>
      <c r="H7" s="4">
        <f>SUMIFS(Stems_3D_BP!$K$2:$K$1765,Stems_3D_BP!$A$2:$A$1765,$A7,Stems_3D_BP!$B$2:$B$1765,"D-stem")</f>
        <v>4</v>
      </c>
      <c r="I7" s="4">
        <f>SUMIFS(Stems_3D_BP!$K$2:$K$1765,Stems_3D_BP!$A$2:$A$1765,$A7,Stems_3D_BP!$B$2:$B$1765,"Anticodon stem")</f>
        <v>8</v>
      </c>
      <c r="J7" s="4">
        <f>SUMIFS(Stems_3D_BP!$K$2:$K$1765,Stems_3D_BP!$A$2:$A$1765,$A7,Stems_3D_BP!$B$2:$B$1765,"T-stem")</f>
        <v>8</v>
      </c>
      <c r="K7" s="3">
        <f t="shared" si="2"/>
        <v>28</v>
      </c>
      <c r="L7" s="5">
        <f t="shared" si="3"/>
        <v>0.66666666666666663</v>
      </c>
      <c r="M7" s="4">
        <f>SUMIFS(Stems_3D_BP!$K$2:$K$1765,Stems_3D_BP!$A$2:$A$1765,$A7,Stems_3D_BP!$B$2:$B$1765,"3D (tertiary) BP")</f>
        <v>7</v>
      </c>
      <c r="N7" s="6">
        <f t="shared" si="4"/>
        <v>0.5</v>
      </c>
      <c r="O7" s="3">
        <f t="shared" si="5"/>
        <v>35</v>
      </c>
      <c r="P7" s="5">
        <f t="shared" si="6"/>
        <v>0.625</v>
      </c>
      <c r="Q7" s="4">
        <f>SUMIFS(Loops!$I$2:$I$316,Loops!$A$2:$A$316,$A7,Loops!$B$2:$B$316,"D-loop")</f>
        <v>3</v>
      </c>
      <c r="R7" s="4">
        <f>SUMIFS(Loops!$I$2:$I$316,Loops!$A$2:$A$316,$A7,Loops!$B$2:$B$316,"Anticodon loop")</f>
        <v>5</v>
      </c>
      <c r="S7" s="4">
        <f>SUMIFS(Loops!$I$2:$I$316,Loops!$A$2:$A$316,$A7,Loops!$B$2:$B$316,"Variable loop")</f>
        <v>2</v>
      </c>
      <c r="T7" s="4">
        <f>SUMIFS(Loops!$I$2:$I$316,Loops!$A$2:$A$316,$A7,Loops!$B$2:$B$316,"TΨC-loop")</f>
        <v>2</v>
      </c>
      <c r="U7" s="4">
        <f>SUMIFS(Loops!$F$2:$F$316,Loops!$A$2:$A$316,$A7)-SUMIFS(Loops!$F$2:$F$316,Loops!$A$2:$A$316,$A7,Loops!$B$2:$B$316,"Positions 8, 9, 26")</f>
        <v>26</v>
      </c>
      <c r="V7" s="3">
        <f t="shared" si="7"/>
        <v>12</v>
      </c>
      <c r="W7" s="5">
        <f t="shared" si="8"/>
        <v>0.46153846153846156</v>
      </c>
      <c r="X7" s="7" t="str">
        <f>INDEX(Positions!$E$2:$E$4694,MATCH($A7&amp;"|8",Positions!$A$2:$A$4694,0))</f>
        <v>U</v>
      </c>
      <c r="Y7" s="7" t="str">
        <f>INDEX(Positions!$E$2:$E$4694,MATCH($A7&amp;"|9",Positions!$A$2:$A$4694,0))</f>
        <v>A</v>
      </c>
      <c r="Z7" s="7" t="str">
        <f>INDEX(Positions!$E$2:$E$4694,MATCH($A7&amp;"|26",Positions!$A$2:$A$4694,0))</f>
        <v>U</v>
      </c>
      <c r="AA7" s="7">
        <f t="shared" si="9"/>
        <v>0</v>
      </c>
      <c r="AB7" s="7">
        <f t="shared" si="10"/>
        <v>0</v>
      </c>
      <c r="AC7" s="8">
        <f t="shared" si="11"/>
        <v>0</v>
      </c>
      <c r="AD7" s="9">
        <f t="shared" si="12"/>
        <v>0</v>
      </c>
      <c r="AE7" s="7" t="str">
        <f t="shared" si="13"/>
        <v>OK</v>
      </c>
      <c r="AF7" s="10">
        <f t="shared" si="14"/>
        <v>29</v>
      </c>
      <c r="AG7" s="10">
        <f t="shared" si="15"/>
        <v>12</v>
      </c>
      <c r="AH7" s="11">
        <f t="shared" si="16"/>
        <v>0.41379310344827586</v>
      </c>
      <c r="AI7" s="11">
        <f t="shared" si="17"/>
        <v>0.66666666666666663</v>
      </c>
      <c r="AJ7" s="12">
        <f t="shared" si="18"/>
        <v>0.25287356321839077</v>
      </c>
    </row>
    <row r="8" spans="1:36">
      <c r="A8" s="3" t="s">
        <v>41</v>
      </c>
      <c r="B8" s="4">
        <f>COUNTIF(Positions!$B$2:$B$4694,A8)</f>
        <v>74</v>
      </c>
      <c r="C8" s="4">
        <f>COUNTIFS(Positions!$B$2:$B$4694,A8,Positions!$E$2:$E$4694,"G")</f>
        <v>24</v>
      </c>
      <c r="D8" s="4">
        <f>COUNTIFS(Positions!$B$2:$B$4694,A8,Positions!$E$2:$E$4694,"C")</f>
        <v>23</v>
      </c>
      <c r="E8" s="3">
        <f t="shared" si="0"/>
        <v>47</v>
      </c>
      <c r="F8" s="5">
        <f t="shared" si="1"/>
        <v>0.63513513513513509</v>
      </c>
      <c r="G8" s="4">
        <f>SUMIFS(Stems_3D_BP!$K$2:$K$1765,Stems_3D_BP!$A$2:$A$1765,$A8,Stems_3D_BP!$B$2:$B$1765,"Acceptor stem")</f>
        <v>14</v>
      </c>
      <c r="H8" s="4">
        <f>SUMIFS(Stems_3D_BP!$K$2:$K$1765,Stems_3D_BP!$A$2:$A$1765,$A8,Stems_3D_BP!$B$2:$B$1765,"D-stem")</f>
        <v>6</v>
      </c>
      <c r="I8" s="4">
        <f>SUMIFS(Stems_3D_BP!$K$2:$K$1765,Stems_3D_BP!$A$2:$A$1765,$A8,Stems_3D_BP!$B$2:$B$1765,"Anticodon stem")</f>
        <v>7</v>
      </c>
      <c r="J8" s="4">
        <f>SUMIFS(Stems_3D_BP!$K$2:$K$1765,Stems_3D_BP!$A$2:$A$1765,$A8,Stems_3D_BP!$B$2:$B$1765,"T-stem")</f>
        <v>8</v>
      </c>
      <c r="K8" s="3">
        <f t="shared" si="2"/>
        <v>35</v>
      </c>
      <c r="L8" s="5">
        <f t="shared" si="3"/>
        <v>0.83333333333333337</v>
      </c>
      <c r="M8" s="4">
        <f>SUMIFS(Stems_3D_BP!$K$2:$K$1765,Stems_3D_BP!$A$2:$A$1765,$A8,Stems_3D_BP!$B$2:$B$1765,"3D (tertiary) BP")</f>
        <v>7</v>
      </c>
      <c r="N8" s="6">
        <f t="shared" si="4"/>
        <v>0.5</v>
      </c>
      <c r="O8" s="3">
        <f t="shared" si="5"/>
        <v>42</v>
      </c>
      <c r="P8" s="5">
        <f t="shared" si="6"/>
        <v>0.75</v>
      </c>
      <c r="Q8" s="4">
        <f>SUMIFS(Loops!$I$2:$I$316,Loops!$A$2:$A$316,$A8,Loops!$B$2:$B$316,"D-loop")</f>
        <v>5</v>
      </c>
      <c r="R8" s="4">
        <f>SUMIFS(Loops!$I$2:$I$316,Loops!$A$2:$A$316,$A8,Loops!$B$2:$B$316,"Anticodon loop")</f>
        <v>3</v>
      </c>
      <c r="S8" s="4">
        <f>SUMIFS(Loops!$I$2:$I$316,Loops!$A$2:$A$316,$A8,Loops!$B$2:$B$316,"Variable loop")</f>
        <v>1</v>
      </c>
      <c r="T8" s="4">
        <f>SUMIFS(Loops!$I$2:$I$316,Loops!$A$2:$A$316,$A8,Loops!$B$2:$B$316,"TΨC-loop")</f>
        <v>1</v>
      </c>
      <c r="U8" s="4">
        <f>SUMIFS(Loops!$F$2:$F$316,Loops!$A$2:$A$316,$A8)-SUMIFS(Loops!$F$2:$F$316,Loops!$A$2:$A$316,$A8,Loops!$B$2:$B$316,"Positions 8, 9, 26")</f>
        <v>29</v>
      </c>
      <c r="V8" s="3">
        <f t="shared" si="7"/>
        <v>10</v>
      </c>
      <c r="W8" s="5">
        <f t="shared" si="8"/>
        <v>0.34482758620689657</v>
      </c>
      <c r="X8" s="7" t="str">
        <f>INDEX(Positions!$E$2:$E$4694,MATCH($A8&amp;"|8",Positions!$A$2:$A$4694,0))</f>
        <v>U</v>
      </c>
      <c r="Y8" s="7" t="str">
        <f>INDEX(Positions!$E$2:$E$4694,MATCH($A8&amp;"|9",Positions!$A$2:$A$4694,0))</f>
        <v>G</v>
      </c>
      <c r="Z8" s="7" t="str">
        <f>INDEX(Positions!$E$2:$E$4694,MATCH($A8&amp;"|26",Positions!$A$2:$A$4694,0))</f>
        <v>G</v>
      </c>
      <c r="AA8" s="7">
        <f t="shared" si="9"/>
        <v>2</v>
      </c>
      <c r="AB8" s="7">
        <f t="shared" si="10"/>
        <v>0</v>
      </c>
      <c r="AC8" s="8">
        <f t="shared" si="11"/>
        <v>2</v>
      </c>
      <c r="AD8" s="9">
        <f t="shared" si="12"/>
        <v>0.66666666666666663</v>
      </c>
      <c r="AE8" s="7" t="str">
        <f t="shared" si="13"/>
        <v>OK</v>
      </c>
      <c r="AF8" s="10">
        <f t="shared" si="14"/>
        <v>32</v>
      </c>
      <c r="AG8" s="10">
        <f t="shared" si="15"/>
        <v>12</v>
      </c>
      <c r="AH8" s="11">
        <f t="shared" si="16"/>
        <v>0.375</v>
      </c>
      <c r="AI8" s="11">
        <f t="shared" si="17"/>
        <v>0.83333333333333337</v>
      </c>
      <c r="AJ8" s="12">
        <f t="shared" si="18"/>
        <v>0.45833333333333337</v>
      </c>
    </row>
    <row r="9" spans="1:36">
      <c r="A9" s="3" t="s">
        <v>42</v>
      </c>
      <c r="B9" s="4">
        <f>COUNTIF(Positions!$B$2:$B$4694,A9)</f>
        <v>71</v>
      </c>
      <c r="C9" s="4">
        <f>COUNTIFS(Positions!$B$2:$B$4694,A9,Positions!$E$2:$E$4694,"G")</f>
        <v>23</v>
      </c>
      <c r="D9" s="4">
        <f>COUNTIFS(Positions!$B$2:$B$4694,A9,Positions!$E$2:$E$4694,"C")</f>
        <v>17</v>
      </c>
      <c r="E9" s="3">
        <f t="shared" si="0"/>
        <v>40</v>
      </c>
      <c r="F9" s="5">
        <f t="shared" si="1"/>
        <v>0.56338028169014087</v>
      </c>
      <c r="G9" s="4">
        <f>SUMIFS(Stems_3D_BP!$K$2:$K$1765,Stems_3D_BP!$A$2:$A$1765,$A9,Stems_3D_BP!$B$2:$B$1765,"Acceptor stem")</f>
        <v>10</v>
      </c>
      <c r="H9" s="4">
        <f>SUMIFS(Stems_3D_BP!$K$2:$K$1765,Stems_3D_BP!$A$2:$A$1765,$A9,Stems_3D_BP!$B$2:$B$1765,"D-stem")</f>
        <v>5</v>
      </c>
      <c r="I9" s="4">
        <f>SUMIFS(Stems_3D_BP!$K$2:$K$1765,Stems_3D_BP!$A$2:$A$1765,$A9,Stems_3D_BP!$B$2:$B$1765,"Anticodon stem")</f>
        <v>7</v>
      </c>
      <c r="J9" s="4">
        <f>SUMIFS(Stems_3D_BP!$K$2:$K$1765,Stems_3D_BP!$A$2:$A$1765,$A9,Stems_3D_BP!$B$2:$B$1765,"T-stem")</f>
        <v>6</v>
      </c>
      <c r="K9" s="3">
        <f t="shared" si="2"/>
        <v>28</v>
      </c>
      <c r="L9" s="5">
        <f t="shared" si="3"/>
        <v>0.66666666666666663</v>
      </c>
      <c r="M9" s="4">
        <f>SUMIFS(Stems_3D_BP!$K$2:$K$1765,Stems_3D_BP!$A$2:$A$1765,$A9,Stems_3D_BP!$B$2:$B$1765,"3D (tertiary) BP")</f>
        <v>6</v>
      </c>
      <c r="N9" s="6">
        <f t="shared" si="4"/>
        <v>0.42857142857142855</v>
      </c>
      <c r="O9" s="3">
        <f t="shared" si="5"/>
        <v>34</v>
      </c>
      <c r="P9" s="5">
        <f t="shared" si="6"/>
        <v>0.6071428571428571</v>
      </c>
      <c r="Q9" s="4">
        <f>SUMIFS(Loops!$I$2:$I$316,Loops!$A$2:$A$316,$A9,Loops!$B$2:$B$316,"D-loop")</f>
        <v>3</v>
      </c>
      <c r="R9" s="4">
        <f>SUMIFS(Loops!$I$2:$I$316,Loops!$A$2:$A$316,$A9,Loops!$B$2:$B$316,"Anticodon loop")</f>
        <v>5</v>
      </c>
      <c r="S9" s="4">
        <f>SUMIFS(Loops!$I$2:$I$316,Loops!$A$2:$A$316,$A9,Loops!$B$2:$B$316,"Variable loop")</f>
        <v>2</v>
      </c>
      <c r="T9" s="4">
        <f>SUMIFS(Loops!$I$2:$I$316,Loops!$A$2:$A$316,$A9,Loops!$B$2:$B$316,"TΨC-loop")</f>
        <v>2</v>
      </c>
      <c r="U9" s="4">
        <f>SUMIFS(Loops!$F$2:$F$316,Loops!$A$2:$A$316,$A9)-SUMIFS(Loops!$F$2:$F$316,Loops!$A$2:$A$316,$A9,Loops!$B$2:$B$316,"Positions 8, 9, 26")</f>
        <v>26</v>
      </c>
      <c r="V9" s="3">
        <f t="shared" si="7"/>
        <v>12</v>
      </c>
      <c r="W9" s="5">
        <f t="shared" si="8"/>
        <v>0.46153846153846156</v>
      </c>
      <c r="X9" s="7" t="str">
        <f>INDEX(Positions!$E$2:$E$4694,MATCH($A9&amp;"|8",Positions!$A$2:$A$4694,0))</f>
        <v>U</v>
      </c>
      <c r="Y9" s="7" t="str">
        <f>INDEX(Positions!$E$2:$E$4694,MATCH($A9&amp;"|9",Positions!$A$2:$A$4694,0))</f>
        <v>A</v>
      </c>
      <c r="Z9" s="7" t="str">
        <f>INDEX(Positions!$E$2:$E$4694,MATCH($A9&amp;"|26",Positions!$A$2:$A$4694,0))</f>
        <v>U</v>
      </c>
      <c r="AA9" s="7">
        <f t="shared" si="9"/>
        <v>0</v>
      </c>
      <c r="AB9" s="7">
        <f t="shared" si="10"/>
        <v>0</v>
      </c>
      <c r="AC9" s="8">
        <f t="shared" si="11"/>
        <v>0</v>
      </c>
      <c r="AD9" s="9">
        <f t="shared" si="12"/>
        <v>0</v>
      </c>
      <c r="AE9" s="7" t="str">
        <f t="shared" si="13"/>
        <v>OK</v>
      </c>
      <c r="AF9" s="10">
        <f t="shared" si="14"/>
        <v>29</v>
      </c>
      <c r="AG9" s="10">
        <f t="shared" si="15"/>
        <v>12</v>
      </c>
      <c r="AH9" s="11">
        <f t="shared" si="16"/>
        <v>0.41379310344827586</v>
      </c>
      <c r="AI9" s="11">
        <f t="shared" si="17"/>
        <v>0.66666666666666663</v>
      </c>
      <c r="AJ9" s="12">
        <f t="shared" si="18"/>
        <v>0.25287356321839077</v>
      </c>
    </row>
    <row r="10" spans="1:36">
      <c r="A10" s="3" t="s">
        <v>43</v>
      </c>
      <c r="B10" s="4">
        <f>COUNTIF(Positions!$B$2:$B$4694,A10)</f>
        <v>73</v>
      </c>
      <c r="C10" s="4">
        <f>COUNTIFS(Positions!$B$2:$B$4694,A10,Positions!$E$2:$E$4694,"G")</f>
        <v>24</v>
      </c>
      <c r="D10" s="4">
        <f>COUNTIFS(Positions!$B$2:$B$4694,A10,Positions!$E$2:$E$4694,"C")</f>
        <v>20</v>
      </c>
      <c r="E10" s="3">
        <f t="shared" si="0"/>
        <v>44</v>
      </c>
      <c r="F10" s="5">
        <f t="shared" si="1"/>
        <v>0.60273972602739723</v>
      </c>
      <c r="G10" s="4">
        <f>SUMIFS(Stems_3D_BP!$K$2:$K$1765,Stems_3D_BP!$A$2:$A$1765,$A10,Stems_3D_BP!$B$2:$B$1765,"Acceptor stem")</f>
        <v>13</v>
      </c>
      <c r="H10" s="4">
        <f>SUMIFS(Stems_3D_BP!$K$2:$K$1765,Stems_3D_BP!$A$2:$A$1765,$A10,Stems_3D_BP!$B$2:$B$1765,"D-stem")</f>
        <v>5</v>
      </c>
      <c r="I10" s="4">
        <f>SUMIFS(Stems_3D_BP!$K$2:$K$1765,Stems_3D_BP!$A$2:$A$1765,$A10,Stems_3D_BP!$B$2:$B$1765,"Anticodon stem")</f>
        <v>6</v>
      </c>
      <c r="J10" s="4">
        <f>SUMIFS(Stems_3D_BP!$K$2:$K$1765,Stems_3D_BP!$A$2:$A$1765,$A10,Stems_3D_BP!$B$2:$B$1765,"T-stem")</f>
        <v>8</v>
      </c>
      <c r="K10" s="3">
        <f t="shared" si="2"/>
        <v>32</v>
      </c>
      <c r="L10" s="5">
        <f t="shared" si="3"/>
        <v>0.76190476190476186</v>
      </c>
      <c r="M10" s="4">
        <f>SUMIFS(Stems_3D_BP!$K$2:$K$1765,Stems_3D_BP!$A$2:$A$1765,$A10,Stems_3D_BP!$B$2:$B$1765,"3D (tertiary) BP")</f>
        <v>6</v>
      </c>
      <c r="N10" s="6">
        <f t="shared" si="4"/>
        <v>0.42857142857142855</v>
      </c>
      <c r="O10" s="3">
        <f t="shared" si="5"/>
        <v>38</v>
      </c>
      <c r="P10" s="5">
        <f t="shared" si="6"/>
        <v>0.6785714285714286</v>
      </c>
      <c r="Q10" s="4">
        <f>SUMIFS(Loops!$I$2:$I$316,Loops!$A$2:$A$316,$A10,Loops!$B$2:$B$316,"D-loop")</f>
        <v>5</v>
      </c>
      <c r="R10" s="4">
        <f>SUMIFS(Loops!$I$2:$I$316,Loops!$A$2:$A$316,$A10,Loops!$B$2:$B$316,"Anticodon loop")</f>
        <v>3</v>
      </c>
      <c r="S10" s="4">
        <f>SUMIFS(Loops!$I$2:$I$316,Loops!$A$2:$A$316,$A10,Loops!$B$2:$B$316,"Variable loop")</f>
        <v>2</v>
      </c>
      <c r="T10" s="4">
        <f>SUMIFS(Loops!$I$2:$I$316,Loops!$A$2:$A$316,$A10,Loops!$B$2:$B$316,"TΨC-loop")</f>
        <v>2</v>
      </c>
      <c r="U10" s="4">
        <f>SUMIFS(Loops!$F$2:$F$316,Loops!$A$2:$A$316,$A10)-SUMIFS(Loops!$F$2:$F$316,Loops!$A$2:$A$316,$A10,Loops!$B$2:$B$316,"Positions 8, 9, 26")</f>
        <v>28</v>
      </c>
      <c r="V10" s="3">
        <f t="shared" si="7"/>
        <v>12</v>
      </c>
      <c r="W10" s="5">
        <f t="shared" si="8"/>
        <v>0.42857142857142855</v>
      </c>
      <c r="X10" s="7" t="str">
        <f>INDEX(Positions!$E$2:$E$4694,MATCH($A10&amp;"|8",Positions!$A$2:$A$4694,0))</f>
        <v>U</v>
      </c>
      <c r="Y10" s="7" t="str">
        <f>INDEX(Positions!$E$2:$E$4694,MATCH($A10&amp;"|9",Positions!$A$2:$A$4694,0))</f>
        <v>A</v>
      </c>
      <c r="Z10" s="7" t="str">
        <f>INDEX(Positions!$E$2:$E$4694,MATCH($A10&amp;"|26",Positions!$A$2:$A$4694,0))</f>
        <v>A</v>
      </c>
      <c r="AA10" s="7">
        <f t="shared" si="9"/>
        <v>0</v>
      </c>
      <c r="AB10" s="7">
        <f t="shared" si="10"/>
        <v>0</v>
      </c>
      <c r="AC10" s="8">
        <f t="shared" si="11"/>
        <v>0</v>
      </c>
      <c r="AD10" s="9">
        <f t="shared" si="12"/>
        <v>0</v>
      </c>
      <c r="AE10" s="7" t="str">
        <f t="shared" si="13"/>
        <v>OK</v>
      </c>
      <c r="AF10" s="10">
        <f t="shared" si="14"/>
        <v>31</v>
      </c>
      <c r="AG10" s="10">
        <f t="shared" si="15"/>
        <v>12</v>
      </c>
      <c r="AH10" s="11">
        <f t="shared" si="16"/>
        <v>0.38709677419354838</v>
      </c>
      <c r="AI10" s="11">
        <f t="shared" si="17"/>
        <v>0.76190476190476186</v>
      </c>
      <c r="AJ10" s="12">
        <f t="shared" si="18"/>
        <v>0.37480798771121349</v>
      </c>
    </row>
    <row r="11" spans="1:36">
      <c r="A11" s="3" t="s">
        <v>44</v>
      </c>
      <c r="B11" s="4">
        <f>COUNTIF(Positions!$B$2:$B$4694,A11)</f>
        <v>74</v>
      </c>
      <c r="C11" s="4">
        <f>COUNTIFS(Positions!$B$2:$B$4694,A11,Positions!$E$2:$E$4694,"G")</f>
        <v>23</v>
      </c>
      <c r="D11" s="4">
        <f>COUNTIFS(Positions!$B$2:$B$4694,A11,Positions!$E$2:$E$4694,"C")</f>
        <v>22</v>
      </c>
      <c r="E11" s="3">
        <f t="shared" si="0"/>
        <v>45</v>
      </c>
      <c r="F11" s="5">
        <f t="shared" si="1"/>
        <v>0.60810810810810811</v>
      </c>
      <c r="G11" s="4">
        <f>SUMIFS(Stems_3D_BP!$K$2:$K$1765,Stems_3D_BP!$A$2:$A$1765,$A11,Stems_3D_BP!$B$2:$B$1765,"Acceptor stem")</f>
        <v>12</v>
      </c>
      <c r="H11" s="4">
        <f>SUMIFS(Stems_3D_BP!$K$2:$K$1765,Stems_3D_BP!$A$2:$A$1765,$A11,Stems_3D_BP!$B$2:$B$1765,"D-stem")</f>
        <v>4</v>
      </c>
      <c r="I11" s="4">
        <f>SUMIFS(Stems_3D_BP!$K$2:$K$1765,Stems_3D_BP!$A$2:$A$1765,$A11,Stems_3D_BP!$B$2:$B$1765,"Anticodon stem")</f>
        <v>8</v>
      </c>
      <c r="J11" s="4">
        <f>SUMIFS(Stems_3D_BP!$K$2:$K$1765,Stems_3D_BP!$A$2:$A$1765,$A11,Stems_3D_BP!$B$2:$B$1765,"T-stem")</f>
        <v>8</v>
      </c>
      <c r="K11" s="3">
        <f t="shared" si="2"/>
        <v>32</v>
      </c>
      <c r="L11" s="5">
        <f t="shared" si="3"/>
        <v>0.76190476190476186</v>
      </c>
      <c r="M11" s="4">
        <f>SUMIFS(Stems_3D_BP!$K$2:$K$1765,Stems_3D_BP!$A$2:$A$1765,$A11,Stems_3D_BP!$B$2:$B$1765,"3D (tertiary) BP")</f>
        <v>7</v>
      </c>
      <c r="N11" s="6">
        <f t="shared" si="4"/>
        <v>0.5</v>
      </c>
      <c r="O11" s="3">
        <f t="shared" si="5"/>
        <v>39</v>
      </c>
      <c r="P11" s="5">
        <f t="shared" si="6"/>
        <v>0.6964285714285714</v>
      </c>
      <c r="Q11" s="4">
        <f>SUMIFS(Loops!$I$2:$I$316,Loops!$A$2:$A$316,$A11,Loops!$B$2:$B$316,"D-loop")</f>
        <v>5</v>
      </c>
      <c r="R11" s="4">
        <f>SUMIFS(Loops!$I$2:$I$316,Loops!$A$2:$A$316,$A11,Loops!$B$2:$B$316,"Anticodon loop")</f>
        <v>2</v>
      </c>
      <c r="S11" s="4">
        <f>SUMIFS(Loops!$I$2:$I$316,Loops!$A$2:$A$316,$A11,Loops!$B$2:$B$316,"Variable loop")</f>
        <v>3</v>
      </c>
      <c r="T11" s="4">
        <f>SUMIFS(Loops!$I$2:$I$316,Loops!$A$2:$A$316,$A11,Loops!$B$2:$B$316,"TΨC-loop")</f>
        <v>1</v>
      </c>
      <c r="U11" s="4">
        <f>SUMIFS(Loops!$F$2:$F$316,Loops!$A$2:$A$316,$A11)-SUMIFS(Loops!$F$2:$F$316,Loops!$A$2:$A$316,$A11,Loops!$B$2:$B$316,"Positions 8, 9, 26")</f>
        <v>29</v>
      </c>
      <c r="V11" s="3">
        <f t="shared" si="7"/>
        <v>11</v>
      </c>
      <c r="W11" s="5">
        <f t="shared" si="8"/>
        <v>0.37931034482758619</v>
      </c>
      <c r="X11" s="7" t="str">
        <f>INDEX(Positions!$E$2:$E$4694,MATCH($A11&amp;"|8",Positions!$A$2:$A$4694,0))</f>
        <v>U</v>
      </c>
      <c r="Y11" s="7" t="str">
        <f>INDEX(Positions!$E$2:$E$4694,MATCH($A11&amp;"|9",Positions!$A$2:$A$4694,0))</f>
        <v>G</v>
      </c>
      <c r="Z11" s="7" t="str">
        <f>INDEX(Positions!$E$2:$E$4694,MATCH($A11&amp;"|26",Positions!$A$2:$A$4694,0))</f>
        <v>G</v>
      </c>
      <c r="AA11" s="7">
        <f t="shared" si="9"/>
        <v>2</v>
      </c>
      <c r="AB11" s="7">
        <f t="shared" si="10"/>
        <v>0</v>
      </c>
      <c r="AC11" s="8">
        <f t="shared" si="11"/>
        <v>2</v>
      </c>
      <c r="AD11" s="9">
        <f t="shared" si="12"/>
        <v>0.66666666666666663</v>
      </c>
      <c r="AE11" s="7" t="str">
        <f t="shared" si="13"/>
        <v>OK</v>
      </c>
      <c r="AF11" s="10">
        <f t="shared" si="14"/>
        <v>32</v>
      </c>
      <c r="AG11" s="10">
        <f t="shared" si="15"/>
        <v>13</v>
      </c>
      <c r="AH11" s="11">
        <f t="shared" si="16"/>
        <v>0.40625</v>
      </c>
      <c r="AI11" s="11">
        <f t="shared" si="17"/>
        <v>0.76190476190476186</v>
      </c>
      <c r="AJ11" s="12">
        <f t="shared" si="18"/>
        <v>0.35565476190476186</v>
      </c>
    </row>
    <row r="12" spans="1:36">
      <c r="A12" s="3" t="s">
        <v>45</v>
      </c>
      <c r="B12" s="4">
        <f>COUNTIF(Positions!$B$2:$B$4694,A12)</f>
        <v>72</v>
      </c>
      <c r="C12" s="4">
        <f>COUNTIFS(Positions!$B$2:$B$4694,A12,Positions!$E$2:$E$4694,"G")</f>
        <v>22</v>
      </c>
      <c r="D12" s="4">
        <f>COUNTIFS(Positions!$B$2:$B$4694,A12,Positions!$E$2:$E$4694,"C")</f>
        <v>17</v>
      </c>
      <c r="E12" s="3">
        <f t="shared" si="0"/>
        <v>39</v>
      </c>
      <c r="F12" s="5">
        <f t="shared" si="1"/>
        <v>0.54166666666666663</v>
      </c>
      <c r="G12" s="4">
        <f>SUMIFS(Stems_3D_BP!$K$2:$K$1765,Stems_3D_BP!$A$2:$A$1765,$A12,Stems_3D_BP!$B$2:$B$1765,"Acceptor stem")</f>
        <v>10</v>
      </c>
      <c r="H12" s="4">
        <f>SUMIFS(Stems_3D_BP!$K$2:$K$1765,Stems_3D_BP!$A$2:$A$1765,$A12,Stems_3D_BP!$B$2:$B$1765,"D-stem")</f>
        <v>4</v>
      </c>
      <c r="I12" s="4">
        <f>SUMIFS(Stems_3D_BP!$K$2:$K$1765,Stems_3D_BP!$A$2:$A$1765,$A12,Stems_3D_BP!$B$2:$B$1765,"Anticodon stem")</f>
        <v>6</v>
      </c>
      <c r="J12" s="4">
        <f>SUMIFS(Stems_3D_BP!$K$2:$K$1765,Stems_3D_BP!$A$2:$A$1765,$A12,Stems_3D_BP!$B$2:$B$1765,"T-stem")</f>
        <v>7</v>
      </c>
      <c r="K12" s="3">
        <f t="shared" si="2"/>
        <v>27</v>
      </c>
      <c r="L12" s="5">
        <f t="shared" si="3"/>
        <v>0.6428571428571429</v>
      </c>
      <c r="M12" s="4">
        <f>SUMIFS(Stems_3D_BP!$K$2:$K$1765,Stems_3D_BP!$A$2:$A$1765,$A12,Stems_3D_BP!$B$2:$B$1765,"3D (tertiary) BP")</f>
        <v>7</v>
      </c>
      <c r="N12" s="6">
        <f t="shared" si="4"/>
        <v>0.5</v>
      </c>
      <c r="O12" s="3">
        <f t="shared" si="5"/>
        <v>34</v>
      </c>
      <c r="P12" s="5">
        <f t="shared" si="6"/>
        <v>0.6071428571428571</v>
      </c>
      <c r="Q12" s="4">
        <f>SUMIFS(Loops!$I$2:$I$316,Loops!$A$2:$A$316,$A12,Loops!$B$2:$B$316,"D-loop")</f>
        <v>3</v>
      </c>
      <c r="R12" s="4">
        <f>SUMIFS(Loops!$I$2:$I$316,Loops!$A$2:$A$316,$A12,Loops!$B$2:$B$316,"Anticodon loop")</f>
        <v>2</v>
      </c>
      <c r="S12" s="4">
        <f>SUMIFS(Loops!$I$2:$I$316,Loops!$A$2:$A$316,$A12,Loops!$B$2:$B$316,"Variable loop")</f>
        <v>2</v>
      </c>
      <c r="T12" s="4">
        <f>SUMIFS(Loops!$I$2:$I$316,Loops!$A$2:$A$316,$A12,Loops!$B$2:$B$316,"TΨC-loop")</f>
        <v>4</v>
      </c>
      <c r="U12" s="4">
        <f>SUMIFS(Loops!$F$2:$F$316,Loops!$A$2:$A$316,$A12)-SUMIFS(Loops!$F$2:$F$316,Loops!$A$2:$A$316,$A12,Loops!$B$2:$B$316,"Positions 8, 9, 26")</f>
        <v>27</v>
      </c>
      <c r="V12" s="3">
        <f t="shared" si="7"/>
        <v>11</v>
      </c>
      <c r="W12" s="5">
        <f t="shared" si="8"/>
        <v>0.40740740740740738</v>
      </c>
      <c r="X12" s="7" t="str">
        <f>INDEX(Positions!$E$2:$E$4694,MATCH($A12&amp;"|8",Positions!$A$2:$A$4694,0))</f>
        <v>U</v>
      </c>
      <c r="Y12" s="7" t="str">
        <f>INDEX(Positions!$E$2:$E$4694,MATCH($A12&amp;"|9",Positions!$A$2:$A$4694,0))</f>
        <v>A</v>
      </c>
      <c r="Z12" s="7" t="str">
        <f>INDEX(Positions!$E$2:$E$4694,MATCH($A12&amp;"|26",Positions!$A$2:$A$4694,0))</f>
        <v>G</v>
      </c>
      <c r="AA12" s="7">
        <f t="shared" si="9"/>
        <v>1</v>
      </c>
      <c r="AB12" s="7">
        <f t="shared" si="10"/>
        <v>0</v>
      </c>
      <c r="AC12" s="8">
        <f t="shared" si="11"/>
        <v>1</v>
      </c>
      <c r="AD12" s="9">
        <f t="shared" si="12"/>
        <v>0.33333333333333331</v>
      </c>
      <c r="AE12" s="7" t="str">
        <f t="shared" si="13"/>
        <v>OK</v>
      </c>
      <c r="AF12" s="10">
        <f t="shared" si="14"/>
        <v>30</v>
      </c>
      <c r="AG12" s="10">
        <f t="shared" si="15"/>
        <v>12</v>
      </c>
      <c r="AH12" s="11">
        <f t="shared" si="16"/>
        <v>0.4</v>
      </c>
      <c r="AI12" s="11">
        <f t="shared" si="17"/>
        <v>0.6428571428571429</v>
      </c>
      <c r="AJ12" s="12">
        <f t="shared" si="18"/>
        <v>0.24285714285714288</v>
      </c>
    </row>
    <row r="13" spans="1:36">
      <c r="A13" s="3" t="s">
        <v>46</v>
      </c>
      <c r="B13" s="4">
        <f>COUNTIF(Positions!$B$2:$B$4694,A13)</f>
        <v>72</v>
      </c>
      <c r="C13" s="4">
        <f>COUNTIFS(Positions!$B$2:$B$4694,A13,Positions!$E$2:$E$4694,"G")</f>
        <v>22</v>
      </c>
      <c r="D13" s="4">
        <f>COUNTIFS(Positions!$B$2:$B$4694,A13,Positions!$E$2:$E$4694,"C")</f>
        <v>17</v>
      </c>
      <c r="E13" s="3">
        <f t="shared" si="0"/>
        <v>39</v>
      </c>
      <c r="F13" s="5">
        <f t="shared" si="1"/>
        <v>0.54166666666666663</v>
      </c>
      <c r="G13" s="4">
        <f>SUMIFS(Stems_3D_BP!$K$2:$K$1765,Stems_3D_BP!$A$2:$A$1765,$A13,Stems_3D_BP!$B$2:$B$1765,"Acceptor stem")</f>
        <v>10</v>
      </c>
      <c r="H13" s="4">
        <f>SUMIFS(Stems_3D_BP!$K$2:$K$1765,Stems_3D_BP!$A$2:$A$1765,$A13,Stems_3D_BP!$B$2:$B$1765,"D-stem")</f>
        <v>4</v>
      </c>
      <c r="I13" s="4">
        <f>SUMIFS(Stems_3D_BP!$K$2:$K$1765,Stems_3D_BP!$A$2:$A$1765,$A13,Stems_3D_BP!$B$2:$B$1765,"Anticodon stem")</f>
        <v>6</v>
      </c>
      <c r="J13" s="4">
        <f>SUMIFS(Stems_3D_BP!$K$2:$K$1765,Stems_3D_BP!$A$2:$A$1765,$A13,Stems_3D_BP!$B$2:$B$1765,"T-stem")</f>
        <v>7</v>
      </c>
      <c r="K13" s="3">
        <f t="shared" si="2"/>
        <v>27</v>
      </c>
      <c r="L13" s="5">
        <f t="shared" si="3"/>
        <v>0.6428571428571429</v>
      </c>
      <c r="M13" s="4">
        <f>SUMIFS(Stems_3D_BP!$K$2:$K$1765,Stems_3D_BP!$A$2:$A$1765,$A13,Stems_3D_BP!$B$2:$B$1765,"3D (tertiary) BP")</f>
        <v>7</v>
      </c>
      <c r="N13" s="6">
        <f t="shared" si="4"/>
        <v>0.5</v>
      </c>
      <c r="O13" s="3">
        <f t="shared" si="5"/>
        <v>34</v>
      </c>
      <c r="P13" s="5">
        <f t="shared" si="6"/>
        <v>0.6071428571428571</v>
      </c>
      <c r="Q13" s="4">
        <f>SUMIFS(Loops!$I$2:$I$316,Loops!$A$2:$A$316,$A13,Loops!$B$2:$B$316,"D-loop")</f>
        <v>3</v>
      </c>
      <c r="R13" s="4">
        <f>SUMIFS(Loops!$I$2:$I$316,Loops!$A$2:$A$316,$A13,Loops!$B$2:$B$316,"Anticodon loop")</f>
        <v>2</v>
      </c>
      <c r="S13" s="4">
        <f>SUMIFS(Loops!$I$2:$I$316,Loops!$A$2:$A$316,$A13,Loops!$B$2:$B$316,"Variable loop")</f>
        <v>2</v>
      </c>
      <c r="T13" s="4">
        <f>SUMIFS(Loops!$I$2:$I$316,Loops!$A$2:$A$316,$A13,Loops!$B$2:$B$316,"TΨC-loop")</f>
        <v>4</v>
      </c>
      <c r="U13" s="4">
        <f>SUMIFS(Loops!$F$2:$F$316,Loops!$A$2:$A$316,$A13)-SUMIFS(Loops!$F$2:$F$316,Loops!$A$2:$A$316,$A13,Loops!$B$2:$B$316,"Positions 8, 9, 26")</f>
        <v>27</v>
      </c>
      <c r="V13" s="3">
        <f t="shared" si="7"/>
        <v>11</v>
      </c>
      <c r="W13" s="5">
        <f t="shared" si="8"/>
        <v>0.40740740740740738</v>
      </c>
      <c r="X13" s="7" t="str">
        <f>INDEX(Positions!$E$2:$E$4694,MATCH($A13&amp;"|8",Positions!$A$2:$A$4694,0))</f>
        <v>U</v>
      </c>
      <c r="Y13" s="7" t="str">
        <f>INDEX(Positions!$E$2:$E$4694,MATCH($A13&amp;"|9",Positions!$A$2:$A$4694,0))</f>
        <v>A</v>
      </c>
      <c r="Z13" s="7" t="str">
        <f>INDEX(Positions!$E$2:$E$4694,MATCH($A13&amp;"|26",Positions!$A$2:$A$4694,0))</f>
        <v>G</v>
      </c>
      <c r="AA13" s="7">
        <f t="shared" si="9"/>
        <v>1</v>
      </c>
      <c r="AB13" s="7">
        <f t="shared" si="10"/>
        <v>0</v>
      </c>
      <c r="AC13" s="8">
        <f t="shared" si="11"/>
        <v>1</v>
      </c>
      <c r="AD13" s="9">
        <f t="shared" si="12"/>
        <v>0.33333333333333331</v>
      </c>
      <c r="AE13" s="7" t="str">
        <f t="shared" si="13"/>
        <v>OK</v>
      </c>
      <c r="AF13" s="10">
        <f t="shared" si="14"/>
        <v>30</v>
      </c>
      <c r="AG13" s="10">
        <f t="shared" si="15"/>
        <v>12</v>
      </c>
      <c r="AH13" s="11">
        <f t="shared" si="16"/>
        <v>0.4</v>
      </c>
      <c r="AI13" s="11">
        <f t="shared" si="17"/>
        <v>0.6428571428571429</v>
      </c>
      <c r="AJ13" s="12">
        <f t="shared" si="18"/>
        <v>0.24285714285714288</v>
      </c>
    </row>
    <row r="14" spans="1:36">
      <c r="A14" s="3" t="s">
        <v>47</v>
      </c>
      <c r="B14" s="4">
        <f>COUNTIF(Positions!$B$2:$B$4694,A14)</f>
        <v>72</v>
      </c>
      <c r="C14" s="4">
        <f>COUNTIFS(Positions!$B$2:$B$4694,A14,Positions!$E$2:$E$4694,"G")</f>
        <v>25</v>
      </c>
      <c r="D14" s="4">
        <f>COUNTIFS(Positions!$B$2:$B$4694,A14,Positions!$E$2:$E$4694,"C")</f>
        <v>21</v>
      </c>
      <c r="E14" s="3">
        <f t="shared" si="0"/>
        <v>46</v>
      </c>
      <c r="F14" s="5">
        <f t="shared" si="1"/>
        <v>0.63888888888888884</v>
      </c>
      <c r="G14" s="4">
        <f>SUMIFS(Stems_3D_BP!$K$2:$K$1765,Stems_3D_BP!$A$2:$A$1765,$A14,Stems_3D_BP!$B$2:$B$1765,"Acceptor stem")</f>
        <v>11</v>
      </c>
      <c r="H14" s="4">
        <f>SUMIFS(Stems_3D_BP!$K$2:$K$1765,Stems_3D_BP!$A$2:$A$1765,$A14,Stems_3D_BP!$B$2:$B$1765,"D-stem")</f>
        <v>3</v>
      </c>
      <c r="I14" s="4">
        <f>SUMIFS(Stems_3D_BP!$K$2:$K$1765,Stems_3D_BP!$A$2:$A$1765,$A14,Stems_3D_BP!$B$2:$B$1765,"Anticodon stem")</f>
        <v>8</v>
      </c>
      <c r="J14" s="4">
        <f>SUMIFS(Stems_3D_BP!$K$2:$K$1765,Stems_3D_BP!$A$2:$A$1765,$A14,Stems_3D_BP!$B$2:$B$1765,"T-stem")</f>
        <v>9</v>
      </c>
      <c r="K14" s="3">
        <f t="shared" si="2"/>
        <v>31</v>
      </c>
      <c r="L14" s="5">
        <f t="shared" si="3"/>
        <v>0.73809523809523814</v>
      </c>
      <c r="M14" s="4">
        <f>SUMIFS(Stems_3D_BP!$K$2:$K$1765,Stems_3D_BP!$A$2:$A$1765,$A14,Stems_3D_BP!$B$2:$B$1765,"3D (tertiary) BP")</f>
        <v>8</v>
      </c>
      <c r="N14" s="6">
        <f t="shared" si="4"/>
        <v>0.5714285714285714</v>
      </c>
      <c r="O14" s="3">
        <f t="shared" si="5"/>
        <v>39</v>
      </c>
      <c r="P14" s="5">
        <f t="shared" si="6"/>
        <v>0.6964285714285714</v>
      </c>
      <c r="Q14" s="4">
        <f>SUMIFS(Loops!$I$2:$I$316,Loops!$A$2:$A$316,$A14,Loops!$B$2:$B$316,"D-loop")</f>
        <v>5</v>
      </c>
      <c r="R14" s="4">
        <f>SUMIFS(Loops!$I$2:$I$316,Loops!$A$2:$A$316,$A14,Loops!$B$2:$B$316,"Anticodon loop")</f>
        <v>4</v>
      </c>
      <c r="S14" s="4">
        <f>SUMIFS(Loops!$I$2:$I$316,Loops!$A$2:$A$316,$A14,Loops!$B$2:$B$316,"Variable loop")</f>
        <v>3</v>
      </c>
      <c r="T14" s="4">
        <f>SUMIFS(Loops!$I$2:$I$316,Loops!$A$2:$A$316,$A14,Loops!$B$2:$B$316,"TΨC-loop")</f>
        <v>2</v>
      </c>
      <c r="U14" s="4">
        <f>SUMIFS(Loops!$F$2:$F$316,Loops!$A$2:$A$316,$A14)-SUMIFS(Loops!$F$2:$F$316,Loops!$A$2:$A$316,$A14,Loops!$B$2:$B$316,"Positions 8, 9, 26")</f>
        <v>27</v>
      </c>
      <c r="V14" s="3">
        <f t="shared" si="7"/>
        <v>14</v>
      </c>
      <c r="W14" s="5">
        <f t="shared" si="8"/>
        <v>0.51851851851851849</v>
      </c>
      <c r="X14" s="7" t="str">
        <f>INDEX(Positions!$E$2:$E$4694,MATCH($A14&amp;"|8",Positions!$A$2:$A$4694,0))</f>
        <v>U</v>
      </c>
      <c r="Y14" s="7" t="str">
        <f>INDEX(Positions!$E$2:$E$4694,MATCH($A14&amp;"|9",Positions!$A$2:$A$4694,0))</f>
        <v>A</v>
      </c>
      <c r="Z14" s="7" t="str">
        <f>INDEX(Positions!$E$2:$E$4694,MATCH($A14&amp;"|26",Positions!$A$2:$A$4694,0))</f>
        <v>G</v>
      </c>
      <c r="AA14" s="7">
        <f t="shared" si="9"/>
        <v>1</v>
      </c>
      <c r="AB14" s="7">
        <f t="shared" si="10"/>
        <v>0</v>
      </c>
      <c r="AC14" s="8">
        <f t="shared" si="11"/>
        <v>1</v>
      </c>
      <c r="AD14" s="9">
        <f t="shared" si="12"/>
        <v>0.33333333333333331</v>
      </c>
      <c r="AE14" s="7" t="str">
        <f t="shared" si="13"/>
        <v>OK</v>
      </c>
      <c r="AF14" s="10">
        <f t="shared" si="14"/>
        <v>30</v>
      </c>
      <c r="AG14" s="10">
        <f t="shared" si="15"/>
        <v>15</v>
      </c>
      <c r="AH14" s="11">
        <f t="shared" si="16"/>
        <v>0.5</v>
      </c>
      <c r="AI14" s="11">
        <f t="shared" si="17"/>
        <v>0.73809523809523814</v>
      </c>
      <c r="AJ14" s="12">
        <f t="shared" si="18"/>
        <v>0.23809523809523814</v>
      </c>
    </row>
    <row r="15" spans="1:36">
      <c r="A15" s="3" t="s">
        <v>48</v>
      </c>
      <c r="B15" s="4">
        <f>COUNTIF(Positions!$B$2:$B$4694,A15)</f>
        <v>71</v>
      </c>
      <c r="C15" s="4">
        <f>COUNTIFS(Positions!$B$2:$B$4694,A15,Positions!$E$2:$E$4694,"G")</f>
        <v>22</v>
      </c>
      <c r="D15" s="4">
        <f>COUNTIFS(Positions!$B$2:$B$4694,A15,Positions!$E$2:$E$4694,"C")</f>
        <v>21</v>
      </c>
      <c r="E15" s="3">
        <f t="shared" si="0"/>
        <v>43</v>
      </c>
      <c r="F15" s="5">
        <f t="shared" si="1"/>
        <v>0.60563380281690138</v>
      </c>
      <c r="G15" s="4">
        <f>SUMIFS(Stems_3D_BP!$K$2:$K$1765,Stems_3D_BP!$A$2:$A$1765,$A15,Stems_3D_BP!$B$2:$B$1765,"Acceptor stem")</f>
        <v>8</v>
      </c>
      <c r="H15" s="4">
        <f>SUMIFS(Stems_3D_BP!$K$2:$K$1765,Stems_3D_BP!$A$2:$A$1765,$A15,Stems_3D_BP!$B$2:$B$1765,"D-stem")</f>
        <v>7</v>
      </c>
      <c r="I15" s="4">
        <f>SUMIFS(Stems_3D_BP!$K$2:$K$1765,Stems_3D_BP!$A$2:$A$1765,$A15,Stems_3D_BP!$B$2:$B$1765,"Anticodon stem")</f>
        <v>6</v>
      </c>
      <c r="J15" s="4">
        <f>SUMIFS(Stems_3D_BP!$K$2:$K$1765,Stems_3D_BP!$A$2:$A$1765,$A15,Stems_3D_BP!$B$2:$B$1765,"T-stem")</f>
        <v>8</v>
      </c>
      <c r="K15" s="3">
        <f t="shared" si="2"/>
        <v>29</v>
      </c>
      <c r="L15" s="5">
        <f t="shared" si="3"/>
        <v>0.69047619047619047</v>
      </c>
      <c r="M15" s="4">
        <f>SUMIFS(Stems_3D_BP!$K$2:$K$1765,Stems_3D_BP!$A$2:$A$1765,$A15,Stems_3D_BP!$B$2:$B$1765,"3D (tertiary) BP")</f>
        <v>5</v>
      </c>
      <c r="N15" s="6">
        <f t="shared" si="4"/>
        <v>0.35714285714285715</v>
      </c>
      <c r="O15" s="3">
        <f t="shared" si="5"/>
        <v>34</v>
      </c>
      <c r="P15" s="5">
        <f t="shared" si="6"/>
        <v>0.6071428571428571</v>
      </c>
      <c r="Q15" s="4">
        <f>SUMIFS(Loops!$I$2:$I$316,Loops!$A$2:$A$316,$A15,Loops!$B$2:$B$316,"D-loop")</f>
        <v>5</v>
      </c>
      <c r="R15" s="4">
        <f>SUMIFS(Loops!$I$2:$I$316,Loops!$A$2:$A$316,$A15,Loops!$B$2:$B$316,"Anticodon loop")</f>
        <v>4</v>
      </c>
      <c r="S15" s="4">
        <f>SUMIFS(Loops!$I$2:$I$316,Loops!$A$2:$A$316,$A15,Loops!$B$2:$B$316,"Variable loop")</f>
        <v>2</v>
      </c>
      <c r="T15" s="4">
        <f>SUMIFS(Loops!$I$2:$I$316,Loops!$A$2:$A$316,$A15,Loops!$B$2:$B$316,"TΨC-loop")</f>
        <v>2</v>
      </c>
      <c r="U15" s="4">
        <f>SUMIFS(Loops!$F$2:$F$316,Loops!$A$2:$A$316,$A15)-SUMIFS(Loops!$F$2:$F$316,Loops!$A$2:$A$316,$A15,Loops!$B$2:$B$316,"Positions 8, 9, 26")</f>
        <v>26</v>
      </c>
      <c r="V15" s="3">
        <f t="shared" si="7"/>
        <v>13</v>
      </c>
      <c r="W15" s="5">
        <f t="shared" si="8"/>
        <v>0.5</v>
      </c>
      <c r="X15" s="7" t="str">
        <f>INDEX(Positions!$E$2:$E$4694,MATCH($A15&amp;"|8",Positions!$A$2:$A$4694,0))</f>
        <v>U</v>
      </c>
      <c r="Y15" s="7" t="str">
        <f>INDEX(Positions!$E$2:$E$4694,MATCH($A15&amp;"|9",Positions!$A$2:$A$4694,0))</f>
        <v>G</v>
      </c>
      <c r="Z15" s="7" t="str">
        <f>INDEX(Positions!$E$2:$E$4694,MATCH($A15&amp;"|26",Positions!$A$2:$A$4694,0))</f>
        <v>A</v>
      </c>
      <c r="AA15" s="7">
        <f t="shared" si="9"/>
        <v>1</v>
      </c>
      <c r="AB15" s="7">
        <f t="shared" si="10"/>
        <v>0</v>
      </c>
      <c r="AC15" s="8">
        <f t="shared" si="11"/>
        <v>1</v>
      </c>
      <c r="AD15" s="9">
        <f t="shared" si="12"/>
        <v>0.33333333333333331</v>
      </c>
      <c r="AE15" s="7" t="str">
        <f t="shared" si="13"/>
        <v>OK</v>
      </c>
      <c r="AF15" s="10">
        <f t="shared" si="14"/>
        <v>29</v>
      </c>
      <c r="AG15" s="10">
        <f t="shared" si="15"/>
        <v>14</v>
      </c>
      <c r="AH15" s="11">
        <f t="shared" si="16"/>
        <v>0.48275862068965519</v>
      </c>
      <c r="AI15" s="11">
        <f t="shared" si="17"/>
        <v>0.69047619047619047</v>
      </c>
      <c r="AJ15" s="12">
        <f t="shared" si="18"/>
        <v>0.20771756978653527</v>
      </c>
    </row>
    <row r="16" spans="1:36">
      <c r="A16" s="3" t="s">
        <v>49</v>
      </c>
      <c r="B16" s="4">
        <f>COUNTIF(Positions!$B$2:$B$4694,A16)</f>
        <v>71</v>
      </c>
      <c r="C16" s="4">
        <f>COUNTIFS(Positions!$B$2:$B$4694,A16,Positions!$E$2:$E$4694,"G")</f>
        <v>22</v>
      </c>
      <c r="D16" s="4">
        <f>COUNTIFS(Positions!$B$2:$B$4694,A16,Positions!$E$2:$E$4694,"C")</f>
        <v>21</v>
      </c>
      <c r="E16" s="3">
        <f t="shared" si="0"/>
        <v>43</v>
      </c>
      <c r="F16" s="5">
        <f t="shared" si="1"/>
        <v>0.60563380281690138</v>
      </c>
      <c r="G16" s="4">
        <f>SUMIFS(Stems_3D_BP!$K$2:$K$1765,Stems_3D_BP!$A$2:$A$1765,$A16,Stems_3D_BP!$B$2:$B$1765,"Acceptor stem")</f>
        <v>8</v>
      </c>
      <c r="H16" s="4">
        <f>SUMIFS(Stems_3D_BP!$K$2:$K$1765,Stems_3D_BP!$A$2:$A$1765,$A16,Stems_3D_BP!$B$2:$B$1765,"D-stem")</f>
        <v>7</v>
      </c>
      <c r="I16" s="4">
        <f>SUMIFS(Stems_3D_BP!$K$2:$K$1765,Stems_3D_BP!$A$2:$A$1765,$A16,Stems_3D_BP!$B$2:$B$1765,"Anticodon stem")</f>
        <v>6</v>
      </c>
      <c r="J16" s="4">
        <f>SUMIFS(Stems_3D_BP!$K$2:$K$1765,Stems_3D_BP!$A$2:$A$1765,$A16,Stems_3D_BP!$B$2:$B$1765,"T-stem")</f>
        <v>8</v>
      </c>
      <c r="K16" s="3">
        <f t="shared" si="2"/>
        <v>29</v>
      </c>
      <c r="L16" s="5">
        <f t="shared" si="3"/>
        <v>0.69047619047619047</v>
      </c>
      <c r="M16" s="4">
        <f>SUMIFS(Stems_3D_BP!$K$2:$K$1765,Stems_3D_BP!$A$2:$A$1765,$A16,Stems_3D_BP!$B$2:$B$1765,"3D (tertiary) BP")</f>
        <v>5</v>
      </c>
      <c r="N16" s="6">
        <f t="shared" si="4"/>
        <v>0.35714285714285715</v>
      </c>
      <c r="O16" s="3">
        <f t="shared" si="5"/>
        <v>34</v>
      </c>
      <c r="P16" s="5">
        <f t="shared" si="6"/>
        <v>0.6071428571428571</v>
      </c>
      <c r="Q16" s="4">
        <f>SUMIFS(Loops!$I$2:$I$316,Loops!$A$2:$A$316,$A16,Loops!$B$2:$B$316,"D-loop")</f>
        <v>5</v>
      </c>
      <c r="R16" s="4">
        <f>SUMIFS(Loops!$I$2:$I$316,Loops!$A$2:$A$316,$A16,Loops!$B$2:$B$316,"Anticodon loop")</f>
        <v>4</v>
      </c>
      <c r="S16" s="4">
        <f>SUMIFS(Loops!$I$2:$I$316,Loops!$A$2:$A$316,$A16,Loops!$B$2:$B$316,"Variable loop")</f>
        <v>2</v>
      </c>
      <c r="T16" s="4">
        <f>SUMIFS(Loops!$I$2:$I$316,Loops!$A$2:$A$316,$A16,Loops!$B$2:$B$316,"TΨC-loop")</f>
        <v>2</v>
      </c>
      <c r="U16" s="4">
        <f>SUMIFS(Loops!$F$2:$F$316,Loops!$A$2:$A$316,$A16)-SUMIFS(Loops!$F$2:$F$316,Loops!$A$2:$A$316,$A16,Loops!$B$2:$B$316,"Positions 8, 9, 26")</f>
        <v>26</v>
      </c>
      <c r="V16" s="3">
        <f t="shared" si="7"/>
        <v>13</v>
      </c>
      <c r="W16" s="5">
        <f t="shared" si="8"/>
        <v>0.5</v>
      </c>
      <c r="X16" s="7" t="str">
        <f>INDEX(Positions!$E$2:$E$4694,MATCH($A16&amp;"|8",Positions!$A$2:$A$4694,0))</f>
        <v>U</v>
      </c>
      <c r="Y16" s="7" t="str">
        <f>INDEX(Positions!$E$2:$E$4694,MATCH($A16&amp;"|9",Positions!$A$2:$A$4694,0))</f>
        <v>G</v>
      </c>
      <c r="Z16" s="7" t="str">
        <f>INDEX(Positions!$E$2:$E$4694,MATCH($A16&amp;"|26",Positions!$A$2:$A$4694,0))</f>
        <v>A</v>
      </c>
      <c r="AA16" s="7">
        <f t="shared" si="9"/>
        <v>1</v>
      </c>
      <c r="AB16" s="7">
        <f t="shared" si="10"/>
        <v>0</v>
      </c>
      <c r="AC16" s="8">
        <f t="shared" si="11"/>
        <v>1</v>
      </c>
      <c r="AD16" s="9">
        <f t="shared" si="12"/>
        <v>0.33333333333333331</v>
      </c>
      <c r="AE16" s="7" t="str">
        <f t="shared" si="13"/>
        <v>OK</v>
      </c>
      <c r="AF16" s="10">
        <f t="shared" si="14"/>
        <v>29</v>
      </c>
      <c r="AG16" s="10">
        <f t="shared" si="15"/>
        <v>14</v>
      </c>
      <c r="AH16" s="11">
        <f t="shared" si="16"/>
        <v>0.48275862068965519</v>
      </c>
      <c r="AI16" s="11">
        <f t="shared" si="17"/>
        <v>0.69047619047619047</v>
      </c>
      <c r="AJ16" s="12">
        <f t="shared" si="18"/>
        <v>0.20771756978653527</v>
      </c>
    </row>
    <row r="17" spans="1:36">
      <c r="A17" s="3" t="s">
        <v>50</v>
      </c>
      <c r="B17" s="4">
        <f>COUNTIF(Positions!$B$2:$B$4694,A17)</f>
        <v>71</v>
      </c>
      <c r="C17" s="4">
        <f>COUNTIFS(Positions!$B$2:$B$4694,A17,Positions!$E$2:$E$4694,"G")</f>
        <v>21</v>
      </c>
      <c r="D17" s="4">
        <f>COUNTIFS(Positions!$B$2:$B$4694,A17,Positions!$E$2:$E$4694,"C")</f>
        <v>21</v>
      </c>
      <c r="E17" s="3">
        <f t="shared" si="0"/>
        <v>42</v>
      </c>
      <c r="F17" s="5">
        <f t="shared" si="1"/>
        <v>0.59154929577464788</v>
      </c>
      <c r="G17" s="4">
        <f>SUMIFS(Stems_3D_BP!$K$2:$K$1765,Stems_3D_BP!$A$2:$A$1765,$A17,Stems_3D_BP!$B$2:$B$1765,"Acceptor stem")</f>
        <v>10</v>
      </c>
      <c r="H17" s="4">
        <f>SUMIFS(Stems_3D_BP!$K$2:$K$1765,Stems_3D_BP!$A$2:$A$1765,$A17,Stems_3D_BP!$B$2:$B$1765,"D-stem")</f>
        <v>6</v>
      </c>
      <c r="I17" s="4">
        <f>SUMIFS(Stems_3D_BP!$K$2:$K$1765,Stems_3D_BP!$A$2:$A$1765,$A17,Stems_3D_BP!$B$2:$B$1765,"Anticodon stem")</f>
        <v>6</v>
      </c>
      <c r="J17" s="4">
        <f>SUMIFS(Stems_3D_BP!$K$2:$K$1765,Stems_3D_BP!$A$2:$A$1765,$A17,Stems_3D_BP!$B$2:$B$1765,"T-stem")</f>
        <v>8</v>
      </c>
      <c r="K17" s="3">
        <f t="shared" si="2"/>
        <v>30</v>
      </c>
      <c r="L17" s="5">
        <f t="shared" si="3"/>
        <v>0.7142857142857143</v>
      </c>
      <c r="M17" s="4">
        <f>SUMIFS(Stems_3D_BP!$K$2:$K$1765,Stems_3D_BP!$A$2:$A$1765,$A17,Stems_3D_BP!$B$2:$B$1765,"3D (tertiary) BP")</f>
        <v>5</v>
      </c>
      <c r="N17" s="6">
        <f t="shared" si="4"/>
        <v>0.35714285714285715</v>
      </c>
      <c r="O17" s="3">
        <f t="shared" si="5"/>
        <v>35</v>
      </c>
      <c r="P17" s="5">
        <f t="shared" si="6"/>
        <v>0.625</v>
      </c>
      <c r="Q17" s="4">
        <f>SUMIFS(Loops!$I$2:$I$316,Loops!$A$2:$A$316,$A17,Loops!$B$2:$B$316,"D-loop")</f>
        <v>4</v>
      </c>
      <c r="R17" s="4">
        <f>SUMIFS(Loops!$I$2:$I$316,Loops!$A$2:$A$316,$A17,Loops!$B$2:$B$316,"Anticodon loop")</f>
        <v>4</v>
      </c>
      <c r="S17" s="4">
        <f>SUMIFS(Loops!$I$2:$I$316,Loops!$A$2:$A$316,$A17,Loops!$B$2:$B$316,"Variable loop")</f>
        <v>2</v>
      </c>
      <c r="T17" s="4">
        <f>SUMIFS(Loops!$I$2:$I$316,Loops!$A$2:$A$316,$A17,Loops!$B$2:$B$316,"TΨC-loop")</f>
        <v>1</v>
      </c>
      <c r="U17" s="4">
        <f>SUMIFS(Loops!$F$2:$F$316,Loops!$A$2:$A$316,$A17)-SUMIFS(Loops!$F$2:$F$316,Loops!$A$2:$A$316,$A17,Loops!$B$2:$B$316,"Positions 8, 9, 26")</f>
        <v>26</v>
      </c>
      <c r="V17" s="3">
        <f t="shared" si="7"/>
        <v>11</v>
      </c>
      <c r="W17" s="5">
        <f t="shared" si="8"/>
        <v>0.42307692307692307</v>
      </c>
      <c r="X17" s="7" t="str">
        <f>INDEX(Positions!$E$2:$E$4694,MATCH($A17&amp;"|8",Positions!$A$2:$A$4694,0))</f>
        <v>U</v>
      </c>
      <c r="Y17" s="7" t="str">
        <f>INDEX(Positions!$E$2:$E$4694,MATCH($A17&amp;"|9",Positions!$A$2:$A$4694,0))</f>
        <v>G</v>
      </c>
      <c r="Z17" s="7" t="str">
        <f>INDEX(Positions!$E$2:$E$4694,MATCH($A17&amp;"|26",Positions!$A$2:$A$4694,0))</f>
        <v>A</v>
      </c>
      <c r="AA17" s="7">
        <f t="shared" si="9"/>
        <v>1</v>
      </c>
      <c r="AB17" s="7">
        <f t="shared" si="10"/>
        <v>0</v>
      </c>
      <c r="AC17" s="8">
        <f t="shared" si="11"/>
        <v>1</v>
      </c>
      <c r="AD17" s="9">
        <f t="shared" si="12"/>
        <v>0.33333333333333331</v>
      </c>
      <c r="AE17" s="7" t="str">
        <f t="shared" si="13"/>
        <v>OK</v>
      </c>
      <c r="AF17" s="10">
        <f t="shared" si="14"/>
        <v>29</v>
      </c>
      <c r="AG17" s="10">
        <f t="shared" si="15"/>
        <v>12</v>
      </c>
      <c r="AH17" s="11">
        <f t="shared" si="16"/>
        <v>0.41379310344827586</v>
      </c>
      <c r="AI17" s="11">
        <f t="shared" si="17"/>
        <v>0.7142857142857143</v>
      </c>
      <c r="AJ17" s="12">
        <f t="shared" si="18"/>
        <v>0.30049261083743845</v>
      </c>
    </row>
    <row r="18" spans="1:36">
      <c r="A18" s="3" t="s">
        <v>51</v>
      </c>
      <c r="B18" s="4">
        <f>COUNTIF(Positions!$B$2:$B$4694,A18)</f>
        <v>71</v>
      </c>
      <c r="C18" s="4">
        <f>COUNTIFS(Positions!$B$2:$B$4694,A18,Positions!$E$2:$E$4694,"G")</f>
        <v>21</v>
      </c>
      <c r="D18" s="4">
        <f>COUNTIFS(Positions!$B$2:$B$4694,A18,Positions!$E$2:$E$4694,"C")</f>
        <v>17</v>
      </c>
      <c r="E18" s="3">
        <f t="shared" si="0"/>
        <v>38</v>
      </c>
      <c r="F18" s="5">
        <f t="shared" si="1"/>
        <v>0.53521126760563376</v>
      </c>
      <c r="G18" s="4">
        <f>SUMIFS(Stems_3D_BP!$K$2:$K$1765,Stems_3D_BP!$A$2:$A$1765,$A18,Stems_3D_BP!$B$2:$B$1765,"Acceptor stem")</f>
        <v>8</v>
      </c>
      <c r="H18" s="4">
        <f>SUMIFS(Stems_3D_BP!$K$2:$K$1765,Stems_3D_BP!$A$2:$A$1765,$A18,Stems_3D_BP!$B$2:$B$1765,"D-stem")</f>
        <v>5</v>
      </c>
      <c r="I18" s="4">
        <f>SUMIFS(Stems_3D_BP!$K$2:$K$1765,Stems_3D_BP!$A$2:$A$1765,$A18,Stems_3D_BP!$B$2:$B$1765,"Anticodon stem")</f>
        <v>8</v>
      </c>
      <c r="J18" s="4">
        <f>SUMIFS(Stems_3D_BP!$K$2:$K$1765,Stems_3D_BP!$A$2:$A$1765,$A18,Stems_3D_BP!$B$2:$B$1765,"T-stem")</f>
        <v>6</v>
      </c>
      <c r="K18" s="3">
        <f t="shared" si="2"/>
        <v>27</v>
      </c>
      <c r="L18" s="5">
        <f t="shared" si="3"/>
        <v>0.6428571428571429</v>
      </c>
      <c r="M18" s="4">
        <f>SUMIFS(Stems_3D_BP!$K$2:$K$1765,Stems_3D_BP!$A$2:$A$1765,$A18,Stems_3D_BP!$B$2:$B$1765,"3D (tertiary) BP")</f>
        <v>6</v>
      </c>
      <c r="N18" s="6">
        <f t="shared" si="4"/>
        <v>0.42857142857142855</v>
      </c>
      <c r="O18" s="3">
        <f t="shared" si="5"/>
        <v>33</v>
      </c>
      <c r="P18" s="5">
        <f t="shared" si="6"/>
        <v>0.5892857142857143</v>
      </c>
      <c r="Q18" s="4">
        <f>SUMIFS(Loops!$I$2:$I$316,Loops!$A$2:$A$316,$A18,Loops!$B$2:$B$316,"D-loop")</f>
        <v>4</v>
      </c>
      <c r="R18" s="4">
        <f>SUMIFS(Loops!$I$2:$I$316,Loops!$A$2:$A$316,$A18,Loops!$B$2:$B$316,"Anticodon loop")</f>
        <v>4</v>
      </c>
      <c r="S18" s="4">
        <f>SUMIFS(Loops!$I$2:$I$316,Loops!$A$2:$A$316,$A18,Loops!$B$2:$B$316,"Variable loop")</f>
        <v>0</v>
      </c>
      <c r="T18" s="4">
        <f>SUMIFS(Loops!$I$2:$I$316,Loops!$A$2:$A$316,$A18,Loops!$B$2:$B$316,"TΨC-loop")</f>
        <v>2</v>
      </c>
      <c r="U18" s="4">
        <f>SUMIFS(Loops!$F$2:$F$316,Loops!$A$2:$A$316,$A18)-SUMIFS(Loops!$F$2:$F$316,Loops!$A$2:$A$316,$A18,Loops!$B$2:$B$316,"Positions 8, 9, 26")</f>
        <v>26</v>
      </c>
      <c r="V18" s="3">
        <f t="shared" si="7"/>
        <v>10</v>
      </c>
      <c r="W18" s="5">
        <f t="shared" si="8"/>
        <v>0.38461538461538464</v>
      </c>
      <c r="X18" s="7" t="str">
        <f>INDEX(Positions!$E$2:$E$4694,MATCH($A18&amp;"|8",Positions!$A$2:$A$4694,0))</f>
        <v>U</v>
      </c>
      <c r="Y18" s="7" t="str">
        <f>INDEX(Positions!$E$2:$E$4694,MATCH($A18&amp;"|9",Positions!$A$2:$A$4694,0))</f>
        <v>G</v>
      </c>
      <c r="Z18" s="7" t="str">
        <f>INDEX(Positions!$E$2:$E$4694,MATCH($A18&amp;"|26",Positions!$A$2:$A$4694,0))</f>
        <v>U</v>
      </c>
      <c r="AA18" s="7">
        <f t="shared" si="9"/>
        <v>1</v>
      </c>
      <c r="AB18" s="7">
        <f t="shared" si="10"/>
        <v>0</v>
      </c>
      <c r="AC18" s="8">
        <f t="shared" si="11"/>
        <v>1</v>
      </c>
      <c r="AD18" s="9">
        <f t="shared" si="12"/>
        <v>0.33333333333333331</v>
      </c>
      <c r="AE18" s="7" t="str">
        <f t="shared" si="13"/>
        <v>OK</v>
      </c>
      <c r="AF18" s="10">
        <f t="shared" si="14"/>
        <v>29</v>
      </c>
      <c r="AG18" s="10">
        <f t="shared" si="15"/>
        <v>11</v>
      </c>
      <c r="AH18" s="11">
        <f t="shared" si="16"/>
        <v>0.37931034482758619</v>
      </c>
      <c r="AI18" s="11">
        <f t="shared" si="17"/>
        <v>0.6428571428571429</v>
      </c>
      <c r="AJ18" s="12">
        <f t="shared" si="18"/>
        <v>0.26354679802955672</v>
      </c>
    </row>
    <row r="19" spans="1:36">
      <c r="A19" s="3" t="s">
        <v>52</v>
      </c>
      <c r="B19" s="4">
        <f>COUNTIF(Positions!$B$2:$B$4694,A19)</f>
        <v>72</v>
      </c>
      <c r="C19" s="4">
        <f>COUNTIFS(Positions!$B$2:$B$4694,A19,Positions!$E$2:$E$4694,"G")</f>
        <v>23</v>
      </c>
      <c r="D19" s="4">
        <f>COUNTIFS(Positions!$B$2:$B$4694,A19,Positions!$E$2:$E$4694,"C")</f>
        <v>20</v>
      </c>
      <c r="E19" s="3">
        <f t="shared" si="0"/>
        <v>43</v>
      </c>
      <c r="F19" s="5">
        <f t="shared" si="1"/>
        <v>0.59722222222222221</v>
      </c>
      <c r="G19" s="4">
        <f>SUMIFS(Stems_3D_BP!$K$2:$K$1765,Stems_3D_BP!$A$2:$A$1765,$A19,Stems_3D_BP!$B$2:$B$1765,"Acceptor stem")</f>
        <v>12</v>
      </c>
      <c r="H19" s="4">
        <f>SUMIFS(Stems_3D_BP!$K$2:$K$1765,Stems_3D_BP!$A$2:$A$1765,$A19,Stems_3D_BP!$B$2:$B$1765,"D-stem")</f>
        <v>3</v>
      </c>
      <c r="I19" s="4">
        <f>SUMIFS(Stems_3D_BP!$K$2:$K$1765,Stems_3D_BP!$A$2:$A$1765,$A19,Stems_3D_BP!$B$2:$B$1765,"Anticodon stem")</f>
        <v>7</v>
      </c>
      <c r="J19" s="4">
        <f>SUMIFS(Stems_3D_BP!$K$2:$K$1765,Stems_3D_BP!$A$2:$A$1765,$A19,Stems_3D_BP!$B$2:$B$1765,"T-stem")</f>
        <v>8</v>
      </c>
      <c r="K19" s="3">
        <f t="shared" si="2"/>
        <v>30</v>
      </c>
      <c r="L19" s="5">
        <f t="shared" si="3"/>
        <v>0.7142857142857143</v>
      </c>
      <c r="M19" s="4">
        <f>SUMIFS(Stems_3D_BP!$K$2:$K$1765,Stems_3D_BP!$A$2:$A$1765,$A19,Stems_3D_BP!$B$2:$B$1765,"3D (tertiary) BP")</f>
        <v>8</v>
      </c>
      <c r="N19" s="6">
        <f t="shared" si="4"/>
        <v>0.5714285714285714</v>
      </c>
      <c r="O19" s="3">
        <f t="shared" si="5"/>
        <v>38</v>
      </c>
      <c r="P19" s="5">
        <f t="shared" si="6"/>
        <v>0.6785714285714286</v>
      </c>
      <c r="Q19" s="4">
        <f>SUMIFS(Loops!$I$2:$I$316,Loops!$A$2:$A$316,$A19,Loops!$B$2:$B$316,"D-loop")</f>
        <v>4</v>
      </c>
      <c r="R19" s="4">
        <f>SUMIFS(Loops!$I$2:$I$316,Loops!$A$2:$A$316,$A19,Loops!$B$2:$B$316,"Anticodon loop")</f>
        <v>4</v>
      </c>
      <c r="S19" s="4">
        <f>SUMIFS(Loops!$I$2:$I$316,Loops!$A$2:$A$316,$A19,Loops!$B$2:$B$316,"Variable loop")</f>
        <v>2</v>
      </c>
      <c r="T19" s="4">
        <f>SUMIFS(Loops!$I$2:$I$316,Loops!$A$2:$A$316,$A19,Loops!$B$2:$B$316,"TΨC-loop")</f>
        <v>2</v>
      </c>
      <c r="U19" s="4">
        <f>SUMIFS(Loops!$F$2:$F$316,Loops!$A$2:$A$316,$A19)-SUMIFS(Loops!$F$2:$F$316,Loops!$A$2:$A$316,$A19,Loops!$B$2:$B$316,"Positions 8, 9, 26")</f>
        <v>27</v>
      </c>
      <c r="V19" s="3">
        <f t="shared" si="7"/>
        <v>12</v>
      </c>
      <c r="W19" s="5">
        <f t="shared" si="8"/>
        <v>0.44444444444444442</v>
      </c>
      <c r="X19" s="7" t="str">
        <f>INDEX(Positions!$E$2:$E$4694,MATCH($A19&amp;"|8",Positions!$A$2:$A$4694,0))</f>
        <v>U</v>
      </c>
      <c r="Y19" s="7" t="str">
        <f>INDEX(Positions!$E$2:$E$4694,MATCH($A19&amp;"|9",Positions!$A$2:$A$4694,0))</f>
        <v>A</v>
      </c>
      <c r="Z19" s="7" t="str">
        <f>INDEX(Positions!$E$2:$E$4694,MATCH($A19&amp;"|26",Positions!$A$2:$A$4694,0))</f>
        <v>G</v>
      </c>
      <c r="AA19" s="7">
        <f t="shared" si="9"/>
        <v>1</v>
      </c>
      <c r="AB19" s="7">
        <f t="shared" si="10"/>
        <v>0</v>
      </c>
      <c r="AC19" s="8">
        <f t="shared" si="11"/>
        <v>1</v>
      </c>
      <c r="AD19" s="9">
        <f t="shared" si="12"/>
        <v>0.33333333333333331</v>
      </c>
      <c r="AE19" s="7" t="str">
        <f t="shared" si="13"/>
        <v>OK</v>
      </c>
      <c r="AF19" s="10">
        <f t="shared" si="14"/>
        <v>30</v>
      </c>
      <c r="AG19" s="10">
        <f t="shared" si="15"/>
        <v>13</v>
      </c>
      <c r="AH19" s="11">
        <f t="shared" si="16"/>
        <v>0.43333333333333335</v>
      </c>
      <c r="AI19" s="11">
        <f t="shared" si="17"/>
        <v>0.7142857142857143</v>
      </c>
      <c r="AJ19" s="12">
        <f t="shared" si="18"/>
        <v>0.28095238095238095</v>
      </c>
    </row>
    <row r="20" spans="1:36">
      <c r="A20" s="3" t="s">
        <v>53</v>
      </c>
      <c r="B20" s="4">
        <f>COUNTIF(Positions!$B$2:$B$4694,A20)</f>
        <v>72</v>
      </c>
      <c r="C20" s="4">
        <f>COUNTIFS(Positions!$B$2:$B$4694,A20,Positions!$E$2:$E$4694,"G")</f>
        <v>24</v>
      </c>
      <c r="D20" s="4">
        <f>COUNTIFS(Positions!$B$2:$B$4694,A20,Positions!$E$2:$E$4694,"C")</f>
        <v>19</v>
      </c>
      <c r="E20" s="3">
        <f t="shared" si="0"/>
        <v>43</v>
      </c>
      <c r="F20" s="5">
        <f t="shared" si="1"/>
        <v>0.59722222222222221</v>
      </c>
      <c r="G20" s="4">
        <f>SUMIFS(Stems_3D_BP!$K$2:$K$1765,Stems_3D_BP!$A$2:$A$1765,$A20,Stems_3D_BP!$B$2:$B$1765,"Acceptor stem")</f>
        <v>8</v>
      </c>
      <c r="H20" s="4">
        <f>SUMIFS(Stems_3D_BP!$K$2:$K$1765,Stems_3D_BP!$A$2:$A$1765,$A20,Stems_3D_BP!$B$2:$B$1765,"D-stem")</f>
        <v>5</v>
      </c>
      <c r="I20" s="4">
        <f>SUMIFS(Stems_3D_BP!$K$2:$K$1765,Stems_3D_BP!$A$2:$A$1765,$A20,Stems_3D_BP!$B$2:$B$1765,"Anticodon stem")</f>
        <v>10</v>
      </c>
      <c r="J20" s="4">
        <f>SUMIFS(Stems_3D_BP!$K$2:$K$1765,Stems_3D_BP!$A$2:$A$1765,$A20,Stems_3D_BP!$B$2:$B$1765,"T-stem")</f>
        <v>8</v>
      </c>
      <c r="K20" s="3">
        <f t="shared" si="2"/>
        <v>31</v>
      </c>
      <c r="L20" s="5">
        <f t="shared" si="3"/>
        <v>0.73809523809523814</v>
      </c>
      <c r="M20" s="4">
        <f>SUMIFS(Stems_3D_BP!$K$2:$K$1765,Stems_3D_BP!$A$2:$A$1765,$A20,Stems_3D_BP!$B$2:$B$1765,"3D (tertiary) BP")</f>
        <v>7</v>
      </c>
      <c r="N20" s="6">
        <f t="shared" si="4"/>
        <v>0.5</v>
      </c>
      <c r="O20" s="3">
        <f t="shared" si="5"/>
        <v>38</v>
      </c>
      <c r="P20" s="5">
        <f t="shared" si="6"/>
        <v>0.6785714285714286</v>
      </c>
      <c r="Q20" s="4">
        <f>SUMIFS(Loops!$I$2:$I$316,Loops!$A$2:$A$316,$A20,Loops!$B$2:$B$316,"D-loop")</f>
        <v>4</v>
      </c>
      <c r="R20" s="4">
        <f>SUMIFS(Loops!$I$2:$I$316,Loops!$A$2:$A$316,$A20,Loops!$B$2:$B$316,"Anticodon loop")</f>
        <v>3</v>
      </c>
      <c r="S20" s="4">
        <f>SUMIFS(Loops!$I$2:$I$316,Loops!$A$2:$A$316,$A20,Loops!$B$2:$B$316,"Variable loop")</f>
        <v>3</v>
      </c>
      <c r="T20" s="4">
        <f>SUMIFS(Loops!$I$2:$I$316,Loops!$A$2:$A$316,$A20,Loops!$B$2:$B$316,"TΨC-loop")</f>
        <v>2</v>
      </c>
      <c r="U20" s="4">
        <f>SUMIFS(Loops!$F$2:$F$316,Loops!$A$2:$A$316,$A20)-SUMIFS(Loops!$F$2:$F$316,Loops!$A$2:$A$316,$A20,Loops!$B$2:$B$316,"Positions 8, 9, 26")</f>
        <v>27</v>
      </c>
      <c r="V20" s="3">
        <f t="shared" si="7"/>
        <v>12</v>
      </c>
      <c r="W20" s="5">
        <f t="shared" si="8"/>
        <v>0.44444444444444442</v>
      </c>
      <c r="X20" s="7" t="str">
        <f>INDEX(Positions!$E$2:$E$4694,MATCH($A20&amp;"|8",Positions!$A$2:$A$4694,0))</f>
        <v>U</v>
      </c>
      <c r="Y20" s="7" t="str">
        <f>INDEX(Positions!$E$2:$E$4694,MATCH($A20&amp;"|9",Positions!$A$2:$A$4694,0))</f>
        <v>A</v>
      </c>
      <c r="Z20" s="7" t="str">
        <f>INDEX(Positions!$E$2:$E$4694,MATCH($A20&amp;"|26",Positions!$A$2:$A$4694,0))</f>
        <v>U</v>
      </c>
      <c r="AA20" s="7">
        <f t="shared" si="9"/>
        <v>0</v>
      </c>
      <c r="AB20" s="7">
        <f t="shared" si="10"/>
        <v>0</v>
      </c>
      <c r="AC20" s="8">
        <f t="shared" si="11"/>
        <v>0</v>
      </c>
      <c r="AD20" s="9">
        <f t="shared" si="12"/>
        <v>0</v>
      </c>
      <c r="AE20" s="7" t="str">
        <f t="shared" si="13"/>
        <v>OK</v>
      </c>
      <c r="AF20" s="10">
        <f t="shared" si="14"/>
        <v>30</v>
      </c>
      <c r="AG20" s="10">
        <f t="shared" si="15"/>
        <v>12</v>
      </c>
      <c r="AH20" s="11">
        <f t="shared" si="16"/>
        <v>0.4</v>
      </c>
      <c r="AI20" s="11">
        <f t="shared" si="17"/>
        <v>0.73809523809523814</v>
      </c>
      <c r="AJ20" s="12">
        <f t="shared" si="18"/>
        <v>0.33809523809523812</v>
      </c>
    </row>
    <row r="21" spans="1:36">
      <c r="A21" s="3" t="s">
        <v>54</v>
      </c>
      <c r="B21" s="4">
        <f>COUNTIF(Positions!$B$2:$B$4694,A21)</f>
        <v>74</v>
      </c>
      <c r="C21" s="4">
        <f>COUNTIFS(Positions!$B$2:$B$4694,A21,Positions!$E$2:$E$4694,"G")</f>
        <v>18</v>
      </c>
      <c r="D21" s="4">
        <f>COUNTIFS(Positions!$B$2:$B$4694,A21,Positions!$E$2:$E$4694,"C")</f>
        <v>24</v>
      </c>
      <c r="E21" s="3">
        <f t="shared" si="0"/>
        <v>42</v>
      </c>
      <c r="F21" s="5">
        <f t="shared" si="1"/>
        <v>0.56756756756756754</v>
      </c>
      <c r="G21" s="4">
        <f>SUMIFS(Stems_3D_BP!$K$2:$K$1765,Stems_3D_BP!$A$2:$A$1765,$A21,Stems_3D_BP!$B$2:$B$1765,"Acceptor stem")</f>
        <v>10</v>
      </c>
      <c r="H21" s="4">
        <f>SUMIFS(Stems_3D_BP!$K$2:$K$1765,Stems_3D_BP!$A$2:$A$1765,$A21,Stems_3D_BP!$B$2:$B$1765,"D-stem")</f>
        <v>3</v>
      </c>
      <c r="I21" s="4">
        <f>SUMIFS(Stems_3D_BP!$K$2:$K$1765,Stems_3D_BP!$A$2:$A$1765,$A21,Stems_3D_BP!$B$2:$B$1765,"Anticodon stem")</f>
        <v>6</v>
      </c>
      <c r="J21" s="4">
        <f>SUMIFS(Stems_3D_BP!$K$2:$K$1765,Stems_3D_BP!$A$2:$A$1765,$A21,Stems_3D_BP!$B$2:$B$1765,"T-stem")</f>
        <v>8</v>
      </c>
      <c r="K21" s="3">
        <f t="shared" si="2"/>
        <v>27</v>
      </c>
      <c r="L21" s="5">
        <f t="shared" si="3"/>
        <v>0.6428571428571429</v>
      </c>
      <c r="M21" s="4">
        <f>SUMIFS(Stems_3D_BP!$K$2:$K$1765,Stems_3D_BP!$A$2:$A$1765,$A21,Stems_3D_BP!$B$2:$B$1765,"3D (tertiary) BP")</f>
        <v>8</v>
      </c>
      <c r="N21" s="6">
        <f t="shared" si="4"/>
        <v>0.5714285714285714</v>
      </c>
      <c r="O21" s="3">
        <f t="shared" si="5"/>
        <v>35</v>
      </c>
      <c r="P21" s="5">
        <f t="shared" si="6"/>
        <v>0.625</v>
      </c>
      <c r="Q21" s="4">
        <f>SUMIFS(Loops!$I$2:$I$316,Loops!$A$2:$A$316,$A21,Loops!$B$2:$B$316,"D-loop")</f>
        <v>7</v>
      </c>
      <c r="R21" s="4">
        <f>SUMIFS(Loops!$I$2:$I$316,Loops!$A$2:$A$316,$A21,Loops!$B$2:$B$316,"Anticodon loop")</f>
        <v>4</v>
      </c>
      <c r="S21" s="4">
        <f>SUMIFS(Loops!$I$2:$I$316,Loops!$A$2:$A$316,$A21,Loops!$B$2:$B$316,"Variable loop")</f>
        <v>3</v>
      </c>
      <c r="T21" s="4">
        <f>SUMIFS(Loops!$I$2:$I$316,Loops!$A$2:$A$316,$A21,Loops!$B$2:$B$316,"TΨC-loop")</f>
        <v>1</v>
      </c>
      <c r="U21" s="4">
        <f>SUMIFS(Loops!$F$2:$F$316,Loops!$A$2:$A$316,$A21)-SUMIFS(Loops!$F$2:$F$316,Loops!$A$2:$A$316,$A21,Loops!$B$2:$B$316,"Positions 8, 9, 26")</f>
        <v>29</v>
      </c>
      <c r="V21" s="3">
        <f t="shared" si="7"/>
        <v>15</v>
      </c>
      <c r="W21" s="5">
        <f t="shared" si="8"/>
        <v>0.51724137931034486</v>
      </c>
      <c r="X21" s="7" t="str">
        <f>INDEX(Positions!$E$2:$E$4694,MATCH($A21&amp;"|8",Positions!$A$2:$A$4694,0))</f>
        <v>U</v>
      </c>
      <c r="Y21" s="7" t="str">
        <f>INDEX(Positions!$E$2:$E$4694,MATCH($A21&amp;"|9",Positions!$A$2:$A$4694,0))</f>
        <v>A</v>
      </c>
      <c r="Z21" s="7" t="str">
        <f>INDEX(Positions!$E$2:$E$4694,MATCH($A21&amp;"|26",Positions!$A$2:$A$4694,0))</f>
        <v>U</v>
      </c>
      <c r="AA21" s="7">
        <f t="shared" si="9"/>
        <v>0</v>
      </c>
      <c r="AB21" s="7">
        <f t="shared" si="10"/>
        <v>0</v>
      </c>
      <c r="AC21" s="8">
        <f t="shared" si="11"/>
        <v>0</v>
      </c>
      <c r="AD21" s="9">
        <f t="shared" si="12"/>
        <v>0</v>
      </c>
      <c r="AE21" s="7" t="str">
        <f t="shared" si="13"/>
        <v>OK</v>
      </c>
      <c r="AF21" s="10">
        <f t="shared" si="14"/>
        <v>32</v>
      </c>
      <c r="AG21" s="10">
        <f t="shared" si="15"/>
        <v>15</v>
      </c>
      <c r="AH21" s="11">
        <f t="shared" si="16"/>
        <v>0.46875</v>
      </c>
      <c r="AI21" s="11">
        <f t="shared" si="17"/>
        <v>0.6428571428571429</v>
      </c>
      <c r="AJ21" s="12">
        <f t="shared" si="18"/>
        <v>0.1741071428571429</v>
      </c>
    </row>
    <row r="22" spans="1:36">
      <c r="A22" s="3" t="s">
        <v>55</v>
      </c>
      <c r="B22" s="4">
        <f>COUNTIF(Positions!$B$2:$B$4694,A22)</f>
        <v>74</v>
      </c>
      <c r="C22" s="4">
        <f>COUNTIFS(Positions!$B$2:$B$4694,A22,Positions!$E$2:$E$4694,"G")</f>
        <v>23</v>
      </c>
      <c r="D22" s="4">
        <f>COUNTIFS(Positions!$B$2:$B$4694,A22,Positions!$E$2:$E$4694,"C")</f>
        <v>24</v>
      </c>
      <c r="E22" s="3">
        <f t="shared" si="0"/>
        <v>47</v>
      </c>
      <c r="F22" s="5">
        <f t="shared" si="1"/>
        <v>0.63513513513513509</v>
      </c>
      <c r="G22" s="4">
        <f>SUMIFS(Stems_3D_BP!$K$2:$K$1765,Stems_3D_BP!$A$2:$A$1765,$A22,Stems_3D_BP!$B$2:$B$1765,"Acceptor stem")</f>
        <v>12</v>
      </c>
      <c r="H22" s="4">
        <f>SUMIFS(Stems_3D_BP!$K$2:$K$1765,Stems_3D_BP!$A$2:$A$1765,$A22,Stems_3D_BP!$B$2:$B$1765,"D-stem")</f>
        <v>3</v>
      </c>
      <c r="I22" s="4">
        <f>SUMIFS(Stems_3D_BP!$K$2:$K$1765,Stems_3D_BP!$A$2:$A$1765,$A22,Stems_3D_BP!$B$2:$B$1765,"Anticodon stem")</f>
        <v>9</v>
      </c>
      <c r="J22" s="4">
        <f>SUMIFS(Stems_3D_BP!$K$2:$K$1765,Stems_3D_BP!$A$2:$A$1765,$A22,Stems_3D_BP!$B$2:$B$1765,"T-stem")</f>
        <v>9</v>
      </c>
      <c r="K22" s="3">
        <f t="shared" si="2"/>
        <v>33</v>
      </c>
      <c r="L22" s="5">
        <f t="shared" si="3"/>
        <v>0.7857142857142857</v>
      </c>
      <c r="M22" s="4">
        <f>SUMIFS(Stems_3D_BP!$K$2:$K$1765,Stems_3D_BP!$A$2:$A$1765,$A22,Stems_3D_BP!$B$2:$B$1765,"3D (tertiary) BP")</f>
        <v>6</v>
      </c>
      <c r="N22" s="6">
        <f t="shared" si="4"/>
        <v>0.42857142857142855</v>
      </c>
      <c r="O22" s="3">
        <f t="shared" si="5"/>
        <v>39</v>
      </c>
      <c r="P22" s="5">
        <f t="shared" si="6"/>
        <v>0.6964285714285714</v>
      </c>
      <c r="Q22" s="4">
        <f>SUMIFS(Loops!$I$2:$I$316,Loops!$A$2:$A$316,$A22,Loops!$B$2:$B$316,"D-loop")</f>
        <v>7</v>
      </c>
      <c r="R22" s="4">
        <f>SUMIFS(Loops!$I$2:$I$316,Loops!$A$2:$A$316,$A22,Loops!$B$2:$B$316,"Anticodon loop")</f>
        <v>3</v>
      </c>
      <c r="S22" s="4">
        <f>SUMIFS(Loops!$I$2:$I$316,Loops!$A$2:$A$316,$A22,Loops!$B$2:$B$316,"Variable loop")</f>
        <v>2</v>
      </c>
      <c r="T22" s="4">
        <f>SUMIFS(Loops!$I$2:$I$316,Loops!$A$2:$A$316,$A22,Loops!$B$2:$B$316,"TΨC-loop")</f>
        <v>2</v>
      </c>
      <c r="U22" s="4">
        <f>SUMIFS(Loops!$F$2:$F$316,Loops!$A$2:$A$316,$A22)-SUMIFS(Loops!$F$2:$F$316,Loops!$A$2:$A$316,$A22,Loops!$B$2:$B$316,"Positions 8, 9, 26")</f>
        <v>29</v>
      </c>
      <c r="V22" s="3">
        <f t="shared" si="7"/>
        <v>14</v>
      </c>
      <c r="W22" s="5">
        <f t="shared" si="8"/>
        <v>0.48275862068965519</v>
      </c>
      <c r="X22" s="7" t="str">
        <f>INDEX(Positions!$E$2:$E$4694,MATCH($A22&amp;"|8",Positions!$A$2:$A$4694,0))</f>
        <v>U</v>
      </c>
      <c r="Y22" s="7" t="str">
        <f>INDEX(Positions!$E$2:$E$4694,MATCH($A22&amp;"|9",Positions!$A$2:$A$4694,0))</f>
        <v>A</v>
      </c>
      <c r="Z22" s="7" t="str">
        <f>INDEX(Positions!$E$2:$E$4694,MATCH($A22&amp;"|26",Positions!$A$2:$A$4694,0))</f>
        <v>U</v>
      </c>
      <c r="AA22" s="7">
        <f t="shared" si="9"/>
        <v>0</v>
      </c>
      <c r="AB22" s="7">
        <f t="shared" si="10"/>
        <v>0</v>
      </c>
      <c r="AC22" s="8">
        <f t="shared" si="11"/>
        <v>0</v>
      </c>
      <c r="AD22" s="9">
        <f t="shared" si="12"/>
        <v>0</v>
      </c>
      <c r="AE22" s="7" t="str">
        <f t="shared" si="13"/>
        <v>OK</v>
      </c>
      <c r="AF22" s="10">
        <f t="shared" si="14"/>
        <v>32</v>
      </c>
      <c r="AG22" s="10">
        <f t="shared" si="15"/>
        <v>14</v>
      </c>
      <c r="AH22" s="11">
        <f t="shared" si="16"/>
        <v>0.4375</v>
      </c>
      <c r="AI22" s="11">
        <f t="shared" si="17"/>
        <v>0.7857142857142857</v>
      </c>
      <c r="AJ22" s="12">
        <f t="shared" si="18"/>
        <v>0.3482142857142857</v>
      </c>
    </row>
    <row r="23" spans="1:36">
      <c r="A23" s="3" t="s">
        <v>56</v>
      </c>
      <c r="B23" s="4">
        <f>COUNTIF(Positions!$B$2:$B$4694,A23)</f>
        <v>74</v>
      </c>
      <c r="C23" s="4">
        <f>COUNTIFS(Positions!$B$2:$B$4694,A23,Positions!$E$2:$E$4694,"G")</f>
        <v>23</v>
      </c>
      <c r="D23" s="4">
        <f>COUNTIFS(Positions!$B$2:$B$4694,A23,Positions!$E$2:$E$4694,"C")</f>
        <v>24</v>
      </c>
      <c r="E23" s="3">
        <f t="shared" si="0"/>
        <v>47</v>
      </c>
      <c r="F23" s="5">
        <f t="shared" si="1"/>
        <v>0.63513513513513509</v>
      </c>
      <c r="G23" s="4">
        <f>SUMIFS(Stems_3D_BP!$K$2:$K$1765,Stems_3D_BP!$A$2:$A$1765,$A23,Stems_3D_BP!$B$2:$B$1765,"Acceptor stem")</f>
        <v>12</v>
      </c>
      <c r="H23" s="4">
        <f>SUMIFS(Stems_3D_BP!$K$2:$K$1765,Stems_3D_BP!$A$2:$A$1765,$A23,Stems_3D_BP!$B$2:$B$1765,"D-stem")</f>
        <v>3</v>
      </c>
      <c r="I23" s="4">
        <f>SUMIFS(Stems_3D_BP!$K$2:$K$1765,Stems_3D_BP!$A$2:$A$1765,$A23,Stems_3D_BP!$B$2:$B$1765,"Anticodon stem")</f>
        <v>9</v>
      </c>
      <c r="J23" s="4">
        <f>SUMIFS(Stems_3D_BP!$K$2:$K$1765,Stems_3D_BP!$A$2:$A$1765,$A23,Stems_3D_BP!$B$2:$B$1765,"T-stem")</f>
        <v>9</v>
      </c>
      <c r="K23" s="3">
        <f t="shared" si="2"/>
        <v>33</v>
      </c>
      <c r="L23" s="5">
        <f t="shared" si="3"/>
        <v>0.7857142857142857</v>
      </c>
      <c r="M23" s="4">
        <f>SUMIFS(Stems_3D_BP!$K$2:$K$1765,Stems_3D_BP!$A$2:$A$1765,$A23,Stems_3D_BP!$B$2:$B$1765,"3D (tertiary) BP")</f>
        <v>6</v>
      </c>
      <c r="N23" s="6">
        <f t="shared" si="4"/>
        <v>0.42857142857142855</v>
      </c>
      <c r="O23" s="3">
        <f t="shared" si="5"/>
        <v>39</v>
      </c>
      <c r="P23" s="5">
        <f t="shared" si="6"/>
        <v>0.6964285714285714</v>
      </c>
      <c r="Q23" s="4">
        <f>SUMIFS(Loops!$I$2:$I$316,Loops!$A$2:$A$316,$A23,Loops!$B$2:$B$316,"D-loop")</f>
        <v>7</v>
      </c>
      <c r="R23" s="4">
        <f>SUMIFS(Loops!$I$2:$I$316,Loops!$A$2:$A$316,$A23,Loops!$B$2:$B$316,"Anticodon loop")</f>
        <v>3</v>
      </c>
      <c r="S23" s="4">
        <f>SUMIFS(Loops!$I$2:$I$316,Loops!$A$2:$A$316,$A23,Loops!$B$2:$B$316,"Variable loop")</f>
        <v>2</v>
      </c>
      <c r="T23" s="4">
        <f>SUMIFS(Loops!$I$2:$I$316,Loops!$A$2:$A$316,$A23,Loops!$B$2:$B$316,"TΨC-loop")</f>
        <v>2</v>
      </c>
      <c r="U23" s="4">
        <f>SUMIFS(Loops!$F$2:$F$316,Loops!$A$2:$A$316,$A23)-SUMIFS(Loops!$F$2:$F$316,Loops!$A$2:$A$316,$A23,Loops!$B$2:$B$316,"Positions 8, 9, 26")</f>
        <v>29</v>
      </c>
      <c r="V23" s="3">
        <f t="shared" si="7"/>
        <v>14</v>
      </c>
      <c r="W23" s="5">
        <f t="shared" si="8"/>
        <v>0.48275862068965519</v>
      </c>
      <c r="X23" s="7" t="str">
        <f>INDEX(Positions!$E$2:$E$4694,MATCH($A23&amp;"|8",Positions!$A$2:$A$4694,0))</f>
        <v>U</v>
      </c>
      <c r="Y23" s="7" t="str">
        <f>INDEX(Positions!$E$2:$E$4694,MATCH($A23&amp;"|9",Positions!$A$2:$A$4694,0))</f>
        <v>A</v>
      </c>
      <c r="Z23" s="7" t="str">
        <f>INDEX(Positions!$E$2:$E$4694,MATCH($A23&amp;"|26",Positions!$A$2:$A$4694,0))</f>
        <v>U</v>
      </c>
      <c r="AA23" s="7">
        <f t="shared" si="9"/>
        <v>0</v>
      </c>
      <c r="AB23" s="7">
        <f t="shared" si="10"/>
        <v>0</v>
      </c>
      <c r="AC23" s="8">
        <f t="shared" si="11"/>
        <v>0</v>
      </c>
      <c r="AD23" s="9">
        <f t="shared" si="12"/>
        <v>0</v>
      </c>
      <c r="AE23" s="7" t="str">
        <f t="shared" si="13"/>
        <v>OK</v>
      </c>
      <c r="AF23" s="10">
        <f t="shared" si="14"/>
        <v>32</v>
      </c>
      <c r="AG23" s="10">
        <f t="shared" si="15"/>
        <v>14</v>
      </c>
      <c r="AH23" s="11">
        <f t="shared" si="16"/>
        <v>0.4375</v>
      </c>
      <c r="AI23" s="11">
        <f t="shared" si="17"/>
        <v>0.7857142857142857</v>
      </c>
      <c r="AJ23" s="12">
        <f t="shared" si="18"/>
        <v>0.3482142857142857</v>
      </c>
    </row>
    <row r="24" spans="1:36">
      <c r="A24" s="3" t="s">
        <v>57</v>
      </c>
      <c r="B24" s="4">
        <f>COUNTIF(Positions!$B$2:$B$4694,A24)</f>
        <v>71</v>
      </c>
      <c r="C24" s="4">
        <f>COUNTIFS(Positions!$B$2:$B$4694,A24,Positions!$E$2:$E$4694,"G")</f>
        <v>22</v>
      </c>
      <c r="D24" s="4">
        <f>COUNTIFS(Positions!$B$2:$B$4694,A24,Positions!$E$2:$E$4694,"C")</f>
        <v>21</v>
      </c>
      <c r="E24" s="3">
        <f t="shared" si="0"/>
        <v>43</v>
      </c>
      <c r="F24" s="5">
        <f t="shared" si="1"/>
        <v>0.60563380281690138</v>
      </c>
      <c r="G24" s="4">
        <f>SUMIFS(Stems_3D_BP!$K$2:$K$1765,Stems_3D_BP!$A$2:$A$1765,$A24,Stems_3D_BP!$B$2:$B$1765,"Acceptor stem")</f>
        <v>11</v>
      </c>
      <c r="H24" s="4">
        <f>SUMIFS(Stems_3D_BP!$K$2:$K$1765,Stems_3D_BP!$A$2:$A$1765,$A24,Stems_3D_BP!$B$2:$B$1765,"D-stem")</f>
        <v>3</v>
      </c>
      <c r="I24" s="4">
        <f>SUMIFS(Stems_3D_BP!$K$2:$K$1765,Stems_3D_BP!$A$2:$A$1765,$A24,Stems_3D_BP!$B$2:$B$1765,"Anticodon stem")</f>
        <v>5</v>
      </c>
      <c r="J24" s="4">
        <f>SUMIFS(Stems_3D_BP!$K$2:$K$1765,Stems_3D_BP!$A$2:$A$1765,$A24,Stems_3D_BP!$B$2:$B$1765,"T-stem")</f>
        <v>10</v>
      </c>
      <c r="K24" s="3">
        <f t="shared" si="2"/>
        <v>29</v>
      </c>
      <c r="L24" s="5">
        <f t="shared" si="3"/>
        <v>0.69047619047619047</v>
      </c>
      <c r="M24" s="4">
        <f>SUMIFS(Stems_3D_BP!$K$2:$K$1765,Stems_3D_BP!$A$2:$A$1765,$A24,Stems_3D_BP!$B$2:$B$1765,"3D (tertiary) BP")</f>
        <v>7</v>
      </c>
      <c r="N24" s="6">
        <f t="shared" si="4"/>
        <v>0.5</v>
      </c>
      <c r="O24" s="3">
        <f t="shared" si="5"/>
        <v>36</v>
      </c>
      <c r="P24" s="5">
        <f t="shared" si="6"/>
        <v>0.6428571428571429</v>
      </c>
      <c r="Q24" s="4">
        <f>SUMIFS(Loops!$I$2:$I$316,Loops!$A$2:$A$316,$A24,Loops!$B$2:$B$316,"D-loop")</f>
        <v>5</v>
      </c>
      <c r="R24" s="4">
        <f>SUMIFS(Loops!$I$2:$I$316,Loops!$A$2:$A$316,$A24,Loops!$B$2:$B$316,"Anticodon loop")</f>
        <v>3</v>
      </c>
      <c r="S24" s="4">
        <f>SUMIFS(Loops!$I$2:$I$316,Loops!$A$2:$A$316,$A24,Loops!$B$2:$B$316,"Variable loop")</f>
        <v>2</v>
      </c>
      <c r="T24" s="4">
        <f>SUMIFS(Loops!$I$2:$I$316,Loops!$A$2:$A$316,$A24,Loops!$B$2:$B$316,"TΨC-loop")</f>
        <v>2</v>
      </c>
      <c r="U24" s="4">
        <f>SUMIFS(Loops!$F$2:$F$316,Loops!$A$2:$A$316,$A24)-SUMIFS(Loops!$F$2:$F$316,Loops!$A$2:$A$316,$A24,Loops!$B$2:$B$316,"Positions 8, 9, 26")</f>
        <v>26</v>
      </c>
      <c r="V24" s="3">
        <f t="shared" si="7"/>
        <v>12</v>
      </c>
      <c r="W24" s="5">
        <f t="shared" si="8"/>
        <v>0.46153846153846156</v>
      </c>
      <c r="X24" s="7" t="str">
        <f>INDEX(Positions!$E$2:$E$4694,MATCH($A24&amp;"|8",Positions!$A$2:$A$4694,0))</f>
        <v>U</v>
      </c>
      <c r="Y24" s="7" t="str">
        <f>INDEX(Positions!$E$2:$E$4694,MATCH($A24&amp;"|9",Positions!$A$2:$A$4694,0))</f>
        <v>G</v>
      </c>
      <c r="Z24" s="7" t="str">
        <f>INDEX(Positions!$E$2:$E$4694,MATCH($A24&amp;"|26",Positions!$A$2:$A$4694,0))</f>
        <v>C</v>
      </c>
      <c r="AA24" s="7">
        <f t="shared" si="9"/>
        <v>1</v>
      </c>
      <c r="AB24" s="7">
        <f t="shared" si="10"/>
        <v>1</v>
      </c>
      <c r="AC24" s="8">
        <f t="shared" si="11"/>
        <v>2</v>
      </c>
      <c r="AD24" s="9">
        <f t="shared" si="12"/>
        <v>0.66666666666666663</v>
      </c>
      <c r="AE24" s="7" t="str">
        <f t="shared" si="13"/>
        <v>OK</v>
      </c>
      <c r="AF24" s="10">
        <f t="shared" si="14"/>
        <v>29</v>
      </c>
      <c r="AG24" s="10">
        <f t="shared" si="15"/>
        <v>14</v>
      </c>
      <c r="AH24" s="11">
        <f t="shared" si="16"/>
        <v>0.48275862068965519</v>
      </c>
      <c r="AI24" s="11">
        <f t="shared" si="17"/>
        <v>0.69047619047619047</v>
      </c>
      <c r="AJ24" s="12">
        <f t="shared" si="18"/>
        <v>0.20771756978653527</v>
      </c>
    </row>
    <row r="25" spans="1:36">
      <c r="A25" s="3" t="s">
        <v>58</v>
      </c>
      <c r="B25" s="4">
        <f>COUNTIF(Positions!$B$2:$B$4694,A25)</f>
        <v>71</v>
      </c>
      <c r="C25" s="4">
        <f>COUNTIFS(Positions!$B$2:$B$4694,A25,Positions!$E$2:$E$4694,"G")</f>
        <v>21</v>
      </c>
      <c r="D25" s="4">
        <f>COUNTIFS(Positions!$B$2:$B$4694,A25,Positions!$E$2:$E$4694,"C")</f>
        <v>21</v>
      </c>
      <c r="E25" s="3">
        <f t="shared" si="0"/>
        <v>42</v>
      </c>
      <c r="F25" s="5">
        <f t="shared" si="1"/>
        <v>0.59154929577464788</v>
      </c>
      <c r="G25" s="4">
        <f>SUMIFS(Stems_3D_BP!$K$2:$K$1765,Stems_3D_BP!$A$2:$A$1765,$A25,Stems_3D_BP!$B$2:$B$1765,"Acceptor stem")</f>
        <v>6</v>
      </c>
      <c r="H25" s="4">
        <f>SUMIFS(Stems_3D_BP!$K$2:$K$1765,Stems_3D_BP!$A$2:$A$1765,$A25,Stems_3D_BP!$B$2:$B$1765,"D-stem")</f>
        <v>4</v>
      </c>
      <c r="I25" s="4">
        <f>SUMIFS(Stems_3D_BP!$K$2:$K$1765,Stems_3D_BP!$A$2:$A$1765,$A25,Stems_3D_BP!$B$2:$B$1765,"Anticodon stem")</f>
        <v>9</v>
      </c>
      <c r="J25" s="4">
        <f>SUMIFS(Stems_3D_BP!$K$2:$K$1765,Stems_3D_BP!$A$2:$A$1765,$A25,Stems_3D_BP!$B$2:$B$1765,"T-stem")</f>
        <v>10</v>
      </c>
      <c r="K25" s="3">
        <f t="shared" si="2"/>
        <v>29</v>
      </c>
      <c r="L25" s="5">
        <f t="shared" si="3"/>
        <v>0.69047619047619047</v>
      </c>
      <c r="M25" s="4">
        <f>SUMIFS(Stems_3D_BP!$K$2:$K$1765,Stems_3D_BP!$A$2:$A$1765,$A25,Stems_3D_BP!$B$2:$B$1765,"3D (tertiary) BP")</f>
        <v>7</v>
      </c>
      <c r="N25" s="6">
        <f t="shared" si="4"/>
        <v>0.5</v>
      </c>
      <c r="O25" s="3">
        <f t="shared" si="5"/>
        <v>36</v>
      </c>
      <c r="P25" s="5">
        <f t="shared" si="6"/>
        <v>0.6428571428571429</v>
      </c>
      <c r="Q25" s="4">
        <f>SUMIFS(Loops!$I$2:$I$316,Loops!$A$2:$A$316,$A25,Loops!$B$2:$B$316,"D-loop")</f>
        <v>5</v>
      </c>
      <c r="R25" s="4">
        <f>SUMIFS(Loops!$I$2:$I$316,Loops!$A$2:$A$316,$A25,Loops!$B$2:$B$316,"Anticodon loop")</f>
        <v>3</v>
      </c>
      <c r="S25" s="4">
        <f>SUMIFS(Loops!$I$2:$I$316,Loops!$A$2:$A$316,$A25,Loops!$B$2:$B$316,"Variable loop")</f>
        <v>2</v>
      </c>
      <c r="T25" s="4">
        <f>SUMIFS(Loops!$I$2:$I$316,Loops!$A$2:$A$316,$A25,Loops!$B$2:$B$316,"TΨC-loop")</f>
        <v>2</v>
      </c>
      <c r="U25" s="4">
        <f>SUMIFS(Loops!$F$2:$F$316,Loops!$A$2:$A$316,$A25)-SUMIFS(Loops!$F$2:$F$316,Loops!$A$2:$A$316,$A25,Loops!$B$2:$B$316,"Positions 8, 9, 26")</f>
        <v>26</v>
      </c>
      <c r="V25" s="3">
        <f t="shared" si="7"/>
        <v>12</v>
      </c>
      <c r="W25" s="5">
        <f t="shared" si="8"/>
        <v>0.46153846153846156</v>
      </c>
      <c r="X25" s="7" t="str">
        <f>INDEX(Positions!$E$2:$E$4694,MATCH($A25&amp;"|8",Positions!$A$2:$A$4694,0))</f>
        <v>U</v>
      </c>
      <c r="Y25" s="7" t="str">
        <f>INDEX(Positions!$E$2:$E$4694,MATCH($A25&amp;"|9",Positions!$A$2:$A$4694,0))</f>
        <v>A</v>
      </c>
      <c r="Z25" s="7" t="str">
        <f>INDEX(Positions!$E$2:$E$4694,MATCH($A25&amp;"|26",Positions!$A$2:$A$4694,0))</f>
        <v>C</v>
      </c>
      <c r="AA25" s="7">
        <f t="shared" si="9"/>
        <v>0</v>
      </c>
      <c r="AB25" s="7">
        <f t="shared" si="10"/>
        <v>1</v>
      </c>
      <c r="AC25" s="8">
        <f t="shared" si="11"/>
        <v>1</v>
      </c>
      <c r="AD25" s="9">
        <f t="shared" si="12"/>
        <v>0.33333333333333331</v>
      </c>
      <c r="AE25" s="7" t="str">
        <f t="shared" si="13"/>
        <v>OK</v>
      </c>
      <c r="AF25" s="10">
        <f t="shared" si="14"/>
        <v>29</v>
      </c>
      <c r="AG25" s="10">
        <f t="shared" si="15"/>
        <v>13</v>
      </c>
      <c r="AH25" s="11">
        <f t="shared" si="16"/>
        <v>0.44827586206896552</v>
      </c>
      <c r="AI25" s="11">
        <f t="shared" si="17"/>
        <v>0.69047619047619047</v>
      </c>
      <c r="AJ25" s="12">
        <f t="shared" si="18"/>
        <v>0.24220032840722494</v>
      </c>
    </row>
    <row r="26" spans="1:36">
      <c r="A26" s="3" t="s">
        <v>59</v>
      </c>
      <c r="B26" s="4">
        <f>COUNTIF(Positions!$B$2:$B$4694,A26)</f>
        <v>71</v>
      </c>
      <c r="C26" s="4">
        <f>COUNTIFS(Positions!$B$2:$B$4694,A26,Positions!$E$2:$E$4694,"G")</f>
        <v>22</v>
      </c>
      <c r="D26" s="4">
        <f>COUNTIFS(Positions!$B$2:$B$4694,A26,Positions!$E$2:$E$4694,"C")</f>
        <v>21</v>
      </c>
      <c r="E26" s="3">
        <f t="shared" si="0"/>
        <v>43</v>
      </c>
      <c r="F26" s="5">
        <f t="shared" si="1"/>
        <v>0.60563380281690138</v>
      </c>
      <c r="G26" s="4">
        <f>SUMIFS(Stems_3D_BP!$K$2:$K$1765,Stems_3D_BP!$A$2:$A$1765,$A26,Stems_3D_BP!$B$2:$B$1765,"Acceptor stem")</f>
        <v>7</v>
      </c>
      <c r="H26" s="4">
        <f>SUMIFS(Stems_3D_BP!$K$2:$K$1765,Stems_3D_BP!$A$2:$A$1765,$A26,Stems_3D_BP!$B$2:$B$1765,"D-stem")</f>
        <v>4</v>
      </c>
      <c r="I26" s="4">
        <f>SUMIFS(Stems_3D_BP!$K$2:$K$1765,Stems_3D_BP!$A$2:$A$1765,$A26,Stems_3D_BP!$B$2:$B$1765,"Anticodon stem")</f>
        <v>9</v>
      </c>
      <c r="J26" s="4">
        <f>SUMIFS(Stems_3D_BP!$K$2:$K$1765,Stems_3D_BP!$A$2:$A$1765,$A26,Stems_3D_BP!$B$2:$B$1765,"T-stem")</f>
        <v>10</v>
      </c>
      <c r="K26" s="3">
        <f t="shared" si="2"/>
        <v>30</v>
      </c>
      <c r="L26" s="5">
        <f t="shared" si="3"/>
        <v>0.7142857142857143</v>
      </c>
      <c r="M26" s="4">
        <f>SUMIFS(Stems_3D_BP!$K$2:$K$1765,Stems_3D_BP!$A$2:$A$1765,$A26,Stems_3D_BP!$B$2:$B$1765,"3D (tertiary) BP")</f>
        <v>7</v>
      </c>
      <c r="N26" s="6">
        <f t="shared" si="4"/>
        <v>0.5</v>
      </c>
      <c r="O26" s="3">
        <f t="shared" si="5"/>
        <v>37</v>
      </c>
      <c r="P26" s="5">
        <f t="shared" si="6"/>
        <v>0.6607142857142857</v>
      </c>
      <c r="Q26" s="4">
        <f>SUMIFS(Loops!$I$2:$I$316,Loops!$A$2:$A$316,$A26,Loops!$B$2:$B$316,"D-loop")</f>
        <v>5</v>
      </c>
      <c r="R26" s="4">
        <f>SUMIFS(Loops!$I$2:$I$316,Loops!$A$2:$A$316,$A26,Loops!$B$2:$B$316,"Anticodon loop")</f>
        <v>3</v>
      </c>
      <c r="S26" s="4">
        <f>SUMIFS(Loops!$I$2:$I$316,Loops!$A$2:$A$316,$A26,Loops!$B$2:$B$316,"Variable loop")</f>
        <v>2</v>
      </c>
      <c r="T26" s="4">
        <f>SUMIFS(Loops!$I$2:$I$316,Loops!$A$2:$A$316,$A26,Loops!$B$2:$B$316,"TΨC-loop")</f>
        <v>2</v>
      </c>
      <c r="U26" s="4">
        <f>SUMIFS(Loops!$F$2:$F$316,Loops!$A$2:$A$316,$A26)-SUMIFS(Loops!$F$2:$F$316,Loops!$A$2:$A$316,$A26,Loops!$B$2:$B$316,"Positions 8, 9, 26")</f>
        <v>26</v>
      </c>
      <c r="V26" s="3">
        <f t="shared" si="7"/>
        <v>12</v>
      </c>
      <c r="W26" s="5">
        <f t="shared" si="8"/>
        <v>0.46153846153846156</v>
      </c>
      <c r="X26" s="7" t="str">
        <f>INDEX(Positions!$E$2:$E$4694,MATCH($A26&amp;"|8",Positions!$A$2:$A$4694,0))</f>
        <v>U</v>
      </c>
      <c r="Y26" s="7" t="str">
        <f>INDEX(Positions!$E$2:$E$4694,MATCH($A26&amp;"|9",Positions!$A$2:$A$4694,0))</f>
        <v>A</v>
      </c>
      <c r="Z26" s="7" t="str">
        <f>INDEX(Positions!$E$2:$E$4694,MATCH($A26&amp;"|26",Positions!$A$2:$A$4694,0))</f>
        <v>C</v>
      </c>
      <c r="AA26" s="7">
        <f t="shared" si="9"/>
        <v>0</v>
      </c>
      <c r="AB26" s="7">
        <f t="shared" si="10"/>
        <v>1</v>
      </c>
      <c r="AC26" s="8">
        <f t="shared" si="11"/>
        <v>1</v>
      </c>
      <c r="AD26" s="9">
        <f t="shared" si="12"/>
        <v>0.33333333333333331</v>
      </c>
      <c r="AE26" s="7" t="str">
        <f t="shared" si="13"/>
        <v>OK</v>
      </c>
      <c r="AF26" s="10">
        <f t="shared" si="14"/>
        <v>29</v>
      </c>
      <c r="AG26" s="10">
        <f t="shared" si="15"/>
        <v>13</v>
      </c>
      <c r="AH26" s="11">
        <f t="shared" si="16"/>
        <v>0.44827586206896552</v>
      </c>
      <c r="AI26" s="11">
        <f t="shared" si="17"/>
        <v>0.7142857142857143</v>
      </c>
      <c r="AJ26" s="12">
        <f t="shared" si="18"/>
        <v>0.26600985221674878</v>
      </c>
    </row>
    <row r="27" spans="1:36">
      <c r="A27" s="3" t="s">
        <v>60</v>
      </c>
      <c r="B27" s="4">
        <f>COUNTIF(Positions!$B$2:$B$4694,A27)</f>
        <v>71</v>
      </c>
      <c r="C27" s="4">
        <f>COUNTIFS(Positions!$B$2:$B$4694,A27,Positions!$E$2:$E$4694,"G")</f>
        <v>22</v>
      </c>
      <c r="D27" s="4">
        <f>COUNTIFS(Positions!$B$2:$B$4694,A27,Positions!$E$2:$E$4694,"C")</f>
        <v>21</v>
      </c>
      <c r="E27" s="3">
        <f t="shared" si="0"/>
        <v>43</v>
      </c>
      <c r="F27" s="5">
        <f t="shared" si="1"/>
        <v>0.60563380281690138</v>
      </c>
      <c r="G27" s="4">
        <f>SUMIFS(Stems_3D_BP!$K$2:$K$1765,Stems_3D_BP!$A$2:$A$1765,$A27,Stems_3D_BP!$B$2:$B$1765,"Acceptor stem")</f>
        <v>7</v>
      </c>
      <c r="H27" s="4">
        <f>SUMIFS(Stems_3D_BP!$K$2:$K$1765,Stems_3D_BP!$A$2:$A$1765,$A27,Stems_3D_BP!$B$2:$B$1765,"D-stem")</f>
        <v>4</v>
      </c>
      <c r="I27" s="4">
        <f>SUMIFS(Stems_3D_BP!$K$2:$K$1765,Stems_3D_BP!$A$2:$A$1765,$A27,Stems_3D_BP!$B$2:$B$1765,"Anticodon stem")</f>
        <v>9</v>
      </c>
      <c r="J27" s="4">
        <f>SUMIFS(Stems_3D_BP!$K$2:$K$1765,Stems_3D_BP!$A$2:$A$1765,$A27,Stems_3D_BP!$B$2:$B$1765,"T-stem")</f>
        <v>10</v>
      </c>
      <c r="K27" s="3">
        <f t="shared" si="2"/>
        <v>30</v>
      </c>
      <c r="L27" s="5">
        <f t="shared" si="3"/>
        <v>0.7142857142857143</v>
      </c>
      <c r="M27" s="4">
        <f>SUMIFS(Stems_3D_BP!$K$2:$K$1765,Stems_3D_BP!$A$2:$A$1765,$A27,Stems_3D_BP!$B$2:$B$1765,"3D (tertiary) BP")</f>
        <v>7</v>
      </c>
      <c r="N27" s="6">
        <f t="shared" si="4"/>
        <v>0.5</v>
      </c>
      <c r="O27" s="3">
        <f t="shared" si="5"/>
        <v>37</v>
      </c>
      <c r="P27" s="5">
        <f t="shared" si="6"/>
        <v>0.6607142857142857</v>
      </c>
      <c r="Q27" s="4">
        <f>SUMIFS(Loops!$I$2:$I$316,Loops!$A$2:$A$316,$A27,Loops!$B$2:$B$316,"D-loop")</f>
        <v>5</v>
      </c>
      <c r="R27" s="4">
        <f>SUMIFS(Loops!$I$2:$I$316,Loops!$A$2:$A$316,$A27,Loops!$B$2:$B$316,"Anticodon loop")</f>
        <v>3</v>
      </c>
      <c r="S27" s="4">
        <f>SUMIFS(Loops!$I$2:$I$316,Loops!$A$2:$A$316,$A27,Loops!$B$2:$B$316,"Variable loop")</f>
        <v>2</v>
      </c>
      <c r="T27" s="4">
        <f>SUMIFS(Loops!$I$2:$I$316,Loops!$A$2:$A$316,$A27,Loops!$B$2:$B$316,"TΨC-loop")</f>
        <v>2</v>
      </c>
      <c r="U27" s="4">
        <f>SUMIFS(Loops!$F$2:$F$316,Loops!$A$2:$A$316,$A27)-SUMIFS(Loops!$F$2:$F$316,Loops!$A$2:$A$316,$A27,Loops!$B$2:$B$316,"Positions 8, 9, 26")</f>
        <v>26</v>
      </c>
      <c r="V27" s="3">
        <f t="shared" si="7"/>
        <v>12</v>
      </c>
      <c r="W27" s="5">
        <f t="shared" si="8"/>
        <v>0.46153846153846156</v>
      </c>
      <c r="X27" s="7" t="str">
        <f>INDEX(Positions!$E$2:$E$4694,MATCH($A27&amp;"|8",Positions!$A$2:$A$4694,0))</f>
        <v>U</v>
      </c>
      <c r="Y27" s="7" t="str">
        <f>INDEX(Positions!$E$2:$E$4694,MATCH($A27&amp;"|9",Positions!$A$2:$A$4694,0))</f>
        <v>A</v>
      </c>
      <c r="Z27" s="7" t="str">
        <f>INDEX(Positions!$E$2:$E$4694,MATCH($A27&amp;"|26",Positions!$A$2:$A$4694,0))</f>
        <v>C</v>
      </c>
      <c r="AA27" s="7">
        <f t="shared" si="9"/>
        <v>0</v>
      </c>
      <c r="AB27" s="7">
        <f t="shared" si="10"/>
        <v>1</v>
      </c>
      <c r="AC27" s="8">
        <f t="shared" si="11"/>
        <v>1</v>
      </c>
      <c r="AD27" s="9">
        <f t="shared" si="12"/>
        <v>0.33333333333333331</v>
      </c>
      <c r="AE27" s="7" t="str">
        <f t="shared" si="13"/>
        <v>OK</v>
      </c>
      <c r="AF27" s="10">
        <f t="shared" si="14"/>
        <v>29</v>
      </c>
      <c r="AG27" s="10">
        <f t="shared" si="15"/>
        <v>13</v>
      </c>
      <c r="AH27" s="11">
        <f t="shared" si="16"/>
        <v>0.44827586206896552</v>
      </c>
      <c r="AI27" s="11">
        <f t="shared" si="17"/>
        <v>0.7142857142857143</v>
      </c>
      <c r="AJ27" s="12">
        <f t="shared" si="18"/>
        <v>0.26600985221674878</v>
      </c>
    </row>
    <row r="28" spans="1:36">
      <c r="A28" s="3" t="s">
        <v>61</v>
      </c>
      <c r="B28" s="4">
        <f>COUNTIF(Positions!$B$2:$B$4694,A28)</f>
        <v>71</v>
      </c>
      <c r="C28" s="4">
        <f>COUNTIFS(Positions!$B$2:$B$4694,A28,Positions!$E$2:$E$4694,"G")</f>
        <v>21</v>
      </c>
      <c r="D28" s="4">
        <f>COUNTIFS(Positions!$B$2:$B$4694,A28,Positions!$E$2:$E$4694,"C")</f>
        <v>22</v>
      </c>
      <c r="E28" s="3">
        <f t="shared" si="0"/>
        <v>43</v>
      </c>
      <c r="F28" s="5">
        <f t="shared" si="1"/>
        <v>0.60563380281690138</v>
      </c>
      <c r="G28" s="4">
        <f>SUMIFS(Stems_3D_BP!$K$2:$K$1765,Stems_3D_BP!$A$2:$A$1765,$A28,Stems_3D_BP!$B$2:$B$1765,"Acceptor stem")</f>
        <v>10</v>
      </c>
      <c r="H28" s="4">
        <f>SUMIFS(Stems_3D_BP!$K$2:$K$1765,Stems_3D_BP!$A$2:$A$1765,$A28,Stems_3D_BP!$B$2:$B$1765,"D-stem")</f>
        <v>4</v>
      </c>
      <c r="I28" s="4">
        <f>SUMIFS(Stems_3D_BP!$K$2:$K$1765,Stems_3D_BP!$A$2:$A$1765,$A28,Stems_3D_BP!$B$2:$B$1765,"Anticodon stem")</f>
        <v>8</v>
      </c>
      <c r="J28" s="4">
        <f>SUMIFS(Stems_3D_BP!$K$2:$K$1765,Stems_3D_BP!$A$2:$A$1765,$A28,Stems_3D_BP!$B$2:$B$1765,"T-stem")</f>
        <v>10</v>
      </c>
      <c r="K28" s="3">
        <f t="shared" si="2"/>
        <v>32</v>
      </c>
      <c r="L28" s="5">
        <f t="shared" si="3"/>
        <v>0.76190476190476186</v>
      </c>
      <c r="M28" s="4">
        <f>SUMIFS(Stems_3D_BP!$K$2:$K$1765,Stems_3D_BP!$A$2:$A$1765,$A28,Stems_3D_BP!$B$2:$B$1765,"3D (tertiary) BP")</f>
        <v>6</v>
      </c>
      <c r="N28" s="6">
        <f t="shared" si="4"/>
        <v>0.42857142857142855</v>
      </c>
      <c r="O28" s="3">
        <f t="shared" si="5"/>
        <v>38</v>
      </c>
      <c r="P28" s="5">
        <f t="shared" si="6"/>
        <v>0.6785714285714286</v>
      </c>
      <c r="Q28" s="4">
        <f>SUMIFS(Loops!$I$2:$I$316,Loops!$A$2:$A$316,$A28,Loops!$B$2:$B$316,"D-loop")</f>
        <v>5</v>
      </c>
      <c r="R28" s="4">
        <f>SUMIFS(Loops!$I$2:$I$316,Loops!$A$2:$A$316,$A28,Loops!$B$2:$B$316,"Anticodon loop")</f>
        <v>3</v>
      </c>
      <c r="S28" s="4">
        <f>SUMIFS(Loops!$I$2:$I$316,Loops!$A$2:$A$316,$A28,Loops!$B$2:$B$316,"Variable loop")</f>
        <v>1</v>
      </c>
      <c r="T28" s="4">
        <f>SUMIFS(Loops!$I$2:$I$316,Loops!$A$2:$A$316,$A28,Loops!$B$2:$B$316,"TΨC-loop")</f>
        <v>1</v>
      </c>
      <c r="U28" s="4">
        <f>SUMIFS(Loops!$F$2:$F$316,Loops!$A$2:$A$316,$A28)-SUMIFS(Loops!$F$2:$F$316,Loops!$A$2:$A$316,$A28,Loops!$B$2:$B$316,"Positions 8, 9, 26")</f>
        <v>26</v>
      </c>
      <c r="V28" s="3">
        <f t="shared" si="7"/>
        <v>10</v>
      </c>
      <c r="W28" s="5">
        <f t="shared" si="8"/>
        <v>0.38461538461538464</v>
      </c>
      <c r="X28" s="7" t="str">
        <f>INDEX(Positions!$E$2:$E$4694,MATCH($A28&amp;"|8",Positions!$A$2:$A$4694,0))</f>
        <v>U</v>
      </c>
      <c r="Y28" s="7" t="str">
        <f>INDEX(Positions!$E$2:$E$4694,MATCH($A28&amp;"|9",Positions!$A$2:$A$4694,0))</f>
        <v>G</v>
      </c>
      <c r="Z28" s="7" t="str">
        <f>INDEX(Positions!$E$2:$E$4694,MATCH($A28&amp;"|26",Positions!$A$2:$A$4694,0))</f>
        <v>U</v>
      </c>
      <c r="AA28" s="7">
        <f t="shared" si="9"/>
        <v>1</v>
      </c>
      <c r="AB28" s="7">
        <f t="shared" si="10"/>
        <v>0</v>
      </c>
      <c r="AC28" s="8">
        <f t="shared" si="11"/>
        <v>1</v>
      </c>
      <c r="AD28" s="9">
        <f t="shared" si="12"/>
        <v>0.33333333333333331</v>
      </c>
      <c r="AE28" s="7" t="str">
        <f t="shared" si="13"/>
        <v>OK</v>
      </c>
      <c r="AF28" s="10">
        <f t="shared" si="14"/>
        <v>29</v>
      </c>
      <c r="AG28" s="10">
        <f t="shared" si="15"/>
        <v>11</v>
      </c>
      <c r="AH28" s="11">
        <f t="shared" si="16"/>
        <v>0.37931034482758619</v>
      </c>
      <c r="AI28" s="11">
        <f t="shared" si="17"/>
        <v>0.76190476190476186</v>
      </c>
      <c r="AJ28" s="12">
        <f t="shared" si="18"/>
        <v>0.38259441707717567</v>
      </c>
    </row>
    <row r="29" spans="1:36">
      <c r="A29" s="3" t="s">
        <v>62</v>
      </c>
      <c r="B29" s="4">
        <f>COUNTIF(Positions!$B$2:$B$4694,A29)</f>
        <v>71</v>
      </c>
      <c r="C29" s="4">
        <f>COUNTIFS(Positions!$B$2:$B$4694,A29,Positions!$E$2:$E$4694,"G")</f>
        <v>27</v>
      </c>
      <c r="D29" s="4">
        <f>COUNTIFS(Positions!$B$2:$B$4694,A29,Positions!$E$2:$E$4694,"C")</f>
        <v>21</v>
      </c>
      <c r="E29" s="3">
        <f t="shared" si="0"/>
        <v>48</v>
      </c>
      <c r="F29" s="5">
        <f t="shared" si="1"/>
        <v>0.676056338028169</v>
      </c>
      <c r="G29" s="4">
        <f>SUMIFS(Stems_3D_BP!$K$2:$K$1765,Stems_3D_BP!$A$2:$A$1765,$A29,Stems_3D_BP!$B$2:$B$1765,"Acceptor stem")</f>
        <v>13</v>
      </c>
      <c r="H29" s="4">
        <f>SUMIFS(Stems_3D_BP!$K$2:$K$1765,Stems_3D_BP!$A$2:$A$1765,$A29,Stems_3D_BP!$B$2:$B$1765,"D-stem")</f>
        <v>5</v>
      </c>
      <c r="I29" s="4">
        <f>SUMIFS(Stems_3D_BP!$K$2:$K$1765,Stems_3D_BP!$A$2:$A$1765,$A29,Stems_3D_BP!$B$2:$B$1765,"Anticodon stem")</f>
        <v>7</v>
      </c>
      <c r="J29" s="4">
        <f>SUMIFS(Stems_3D_BP!$K$2:$K$1765,Stems_3D_BP!$A$2:$A$1765,$A29,Stems_3D_BP!$B$2:$B$1765,"T-stem")</f>
        <v>8</v>
      </c>
      <c r="K29" s="3">
        <f t="shared" si="2"/>
        <v>33</v>
      </c>
      <c r="L29" s="5">
        <f t="shared" si="3"/>
        <v>0.7857142857142857</v>
      </c>
      <c r="M29" s="4">
        <f>SUMIFS(Stems_3D_BP!$K$2:$K$1765,Stems_3D_BP!$A$2:$A$1765,$A29,Stems_3D_BP!$B$2:$B$1765,"3D (tertiary) BP")</f>
        <v>8</v>
      </c>
      <c r="N29" s="6">
        <f t="shared" si="4"/>
        <v>0.5714285714285714</v>
      </c>
      <c r="O29" s="3">
        <f t="shared" si="5"/>
        <v>41</v>
      </c>
      <c r="P29" s="5">
        <f t="shared" si="6"/>
        <v>0.7321428571428571</v>
      </c>
      <c r="Q29" s="4">
        <f>SUMIFS(Loops!$I$2:$I$316,Loops!$A$2:$A$316,$A29,Loops!$B$2:$B$316,"D-loop")</f>
        <v>5</v>
      </c>
      <c r="R29" s="4">
        <f>SUMIFS(Loops!$I$2:$I$316,Loops!$A$2:$A$316,$A29,Loops!$B$2:$B$316,"Anticodon loop")</f>
        <v>4</v>
      </c>
      <c r="S29" s="4">
        <f>SUMIFS(Loops!$I$2:$I$316,Loops!$A$2:$A$316,$A29,Loops!$B$2:$B$316,"Variable loop")</f>
        <v>3</v>
      </c>
      <c r="T29" s="4">
        <f>SUMIFS(Loops!$I$2:$I$316,Loops!$A$2:$A$316,$A29,Loops!$B$2:$B$316,"TΨC-loop")</f>
        <v>2</v>
      </c>
      <c r="U29" s="4">
        <f>SUMIFS(Loops!$F$2:$F$316,Loops!$A$2:$A$316,$A29)-SUMIFS(Loops!$F$2:$F$316,Loops!$A$2:$A$316,$A29,Loops!$B$2:$B$316,"Positions 8, 9, 26")</f>
        <v>26</v>
      </c>
      <c r="V29" s="3">
        <f t="shared" si="7"/>
        <v>14</v>
      </c>
      <c r="W29" s="5">
        <f t="shared" si="8"/>
        <v>0.53846153846153844</v>
      </c>
      <c r="X29" s="7" t="str">
        <f>INDEX(Positions!$E$2:$E$4694,MATCH($A29&amp;"|8",Positions!$A$2:$A$4694,0))</f>
        <v>U</v>
      </c>
      <c r="Y29" s="7" t="str">
        <f>INDEX(Positions!$E$2:$E$4694,MATCH($A29&amp;"|9",Positions!$A$2:$A$4694,0))</f>
        <v>A</v>
      </c>
      <c r="Z29" s="7" t="str">
        <f>INDEX(Positions!$E$2:$E$4694,MATCH($A29&amp;"|26",Positions!$A$2:$A$4694,0))</f>
        <v>G</v>
      </c>
      <c r="AA29" s="7">
        <f t="shared" si="9"/>
        <v>1</v>
      </c>
      <c r="AB29" s="7">
        <f t="shared" si="10"/>
        <v>0</v>
      </c>
      <c r="AC29" s="8">
        <f t="shared" si="11"/>
        <v>1</v>
      </c>
      <c r="AD29" s="9">
        <f t="shared" si="12"/>
        <v>0.33333333333333331</v>
      </c>
      <c r="AE29" s="7" t="str">
        <f t="shared" si="13"/>
        <v>OK</v>
      </c>
      <c r="AF29" s="10">
        <f t="shared" si="14"/>
        <v>29</v>
      </c>
      <c r="AG29" s="10">
        <f t="shared" si="15"/>
        <v>15</v>
      </c>
      <c r="AH29" s="11">
        <f t="shared" si="16"/>
        <v>0.51724137931034486</v>
      </c>
      <c r="AI29" s="11">
        <f t="shared" si="17"/>
        <v>0.7857142857142857</v>
      </c>
      <c r="AJ29" s="12">
        <f t="shared" si="18"/>
        <v>0.26847290640394084</v>
      </c>
    </row>
    <row r="30" spans="1:36">
      <c r="A30" s="3" t="s">
        <v>63</v>
      </c>
      <c r="B30" s="4">
        <f>COUNTIF(Positions!$B$2:$B$4694,A30)</f>
        <v>73</v>
      </c>
      <c r="C30" s="4">
        <f>COUNTIFS(Positions!$B$2:$B$4694,A30,Positions!$E$2:$E$4694,"G")</f>
        <v>27</v>
      </c>
      <c r="D30" s="4">
        <f>COUNTIFS(Positions!$B$2:$B$4694,A30,Positions!$E$2:$E$4694,"C")</f>
        <v>21</v>
      </c>
      <c r="E30" s="3">
        <f t="shared" si="0"/>
        <v>48</v>
      </c>
      <c r="F30" s="5">
        <f t="shared" si="1"/>
        <v>0.65753424657534243</v>
      </c>
      <c r="G30" s="4">
        <f>SUMIFS(Stems_3D_BP!$K$2:$K$1765,Stems_3D_BP!$A$2:$A$1765,$A30,Stems_3D_BP!$B$2:$B$1765,"Acceptor stem")</f>
        <v>14</v>
      </c>
      <c r="H30" s="4">
        <f>SUMIFS(Stems_3D_BP!$K$2:$K$1765,Stems_3D_BP!$A$2:$A$1765,$A30,Stems_3D_BP!$B$2:$B$1765,"D-stem")</f>
        <v>5</v>
      </c>
      <c r="I30" s="4">
        <f>SUMIFS(Stems_3D_BP!$K$2:$K$1765,Stems_3D_BP!$A$2:$A$1765,$A30,Stems_3D_BP!$B$2:$B$1765,"Anticodon stem")</f>
        <v>8</v>
      </c>
      <c r="J30" s="4">
        <f>SUMIFS(Stems_3D_BP!$K$2:$K$1765,Stems_3D_BP!$A$2:$A$1765,$A30,Stems_3D_BP!$B$2:$B$1765,"T-stem")</f>
        <v>8</v>
      </c>
      <c r="K30" s="3">
        <f t="shared" si="2"/>
        <v>35</v>
      </c>
      <c r="L30" s="5">
        <f t="shared" si="3"/>
        <v>0.83333333333333337</v>
      </c>
      <c r="M30" s="4">
        <f>SUMIFS(Stems_3D_BP!$K$2:$K$1765,Stems_3D_BP!$A$2:$A$1765,$A30,Stems_3D_BP!$B$2:$B$1765,"3D (tertiary) BP")</f>
        <v>7</v>
      </c>
      <c r="N30" s="6">
        <f t="shared" si="4"/>
        <v>0.5</v>
      </c>
      <c r="O30" s="3">
        <f t="shared" si="5"/>
        <v>42</v>
      </c>
      <c r="P30" s="5">
        <f t="shared" si="6"/>
        <v>0.75</v>
      </c>
      <c r="Q30" s="4">
        <f>SUMIFS(Loops!$I$2:$I$316,Loops!$A$2:$A$316,$A30,Loops!$B$2:$B$316,"D-loop")</f>
        <v>5</v>
      </c>
      <c r="R30" s="4">
        <f>SUMIFS(Loops!$I$2:$I$316,Loops!$A$2:$A$316,$A30,Loops!$B$2:$B$316,"Anticodon loop")</f>
        <v>2</v>
      </c>
      <c r="S30" s="4">
        <f>SUMIFS(Loops!$I$2:$I$316,Loops!$A$2:$A$316,$A30,Loops!$B$2:$B$316,"Variable loop")</f>
        <v>3</v>
      </c>
      <c r="T30" s="4">
        <f>SUMIFS(Loops!$I$2:$I$316,Loops!$A$2:$A$316,$A30,Loops!$B$2:$B$316,"TΨC-loop")</f>
        <v>2</v>
      </c>
      <c r="U30" s="4">
        <f>SUMIFS(Loops!$F$2:$F$316,Loops!$A$2:$A$316,$A30)-SUMIFS(Loops!$F$2:$F$316,Loops!$A$2:$A$316,$A30,Loops!$B$2:$B$316,"Positions 8, 9, 26")</f>
        <v>28</v>
      </c>
      <c r="V30" s="3">
        <f t="shared" si="7"/>
        <v>12</v>
      </c>
      <c r="W30" s="5">
        <f t="shared" si="8"/>
        <v>0.42857142857142855</v>
      </c>
      <c r="X30" s="7" t="str">
        <f>INDEX(Positions!$E$2:$E$4694,MATCH($A30&amp;"|8",Positions!$A$2:$A$4694,0))</f>
        <v>U</v>
      </c>
      <c r="Y30" s="7" t="str">
        <f>INDEX(Positions!$E$2:$E$4694,MATCH($A30&amp;"|9",Positions!$A$2:$A$4694,0))</f>
        <v>A</v>
      </c>
      <c r="Z30" s="7" t="str">
        <f>INDEX(Positions!$E$2:$E$4694,MATCH($A30&amp;"|26",Positions!$A$2:$A$4694,0))</f>
        <v>G</v>
      </c>
      <c r="AA30" s="7">
        <f t="shared" si="9"/>
        <v>1</v>
      </c>
      <c r="AB30" s="7">
        <f t="shared" si="10"/>
        <v>0</v>
      </c>
      <c r="AC30" s="8">
        <f t="shared" si="11"/>
        <v>1</v>
      </c>
      <c r="AD30" s="9">
        <f t="shared" si="12"/>
        <v>0.33333333333333331</v>
      </c>
      <c r="AE30" s="7" t="str">
        <f t="shared" si="13"/>
        <v>OK</v>
      </c>
      <c r="AF30" s="10">
        <f t="shared" si="14"/>
        <v>31</v>
      </c>
      <c r="AG30" s="10">
        <f t="shared" si="15"/>
        <v>13</v>
      </c>
      <c r="AH30" s="11">
        <f t="shared" si="16"/>
        <v>0.41935483870967744</v>
      </c>
      <c r="AI30" s="11">
        <f t="shared" si="17"/>
        <v>0.83333333333333337</v>
      </c>
      <c r="AJ30" s="12">
        <f t="shared" si="18"/>
        <v>0.41397849462365593</v>
      </c>
    </row>
    <row r="31" spans="1:36">
      <c r="A31" s="3" t="s">
        <v>64</v>
      </c>
      <c r="B31" s="4">
        <f>COUNTIF(Positions!$B$2:$B$4694,A31)</f>
        <v>73</v>
      </c>
      <c r="C31" s="4">
        <f>COUNTIFS(Positions!$B$2:$B$4694,A31,Positions!$E$2:$E$4694,"G")</f>
        <v>27</v>
      </c>
      <c r="D31" s="4">
        <f>COUNTIFS(Positions!$B$2:$B$4694,A31,Positions!$E$2:$E$4694,"C")</f>
        <v>21</v>
      </c>
      <c r="E31" s="3">
        <f t="shared" si="0"/>
        <v>48</v>
      </c>
      <c r="F31" s="5">
        <f t="shared" si="1"/>
        <v>0.65753424657534243</v>
      </c>
      <c r="G31" s="4">
        <f>SUMIFS(Stems_3D_BP!$K$2:$K$1765,Stems_3D_BP!$A$2:$A$1765,$A31,Stems_3D_BP!$B$2:$B$1765,"Acceptor stem")</f>
        <v>14</v>
      </c>
      <c r="H31" s="4">
        <f>SUMIFS(Stems_3D_BP!$K$2:$K$1765,Stems_3D_BP!$A$2:$A$1765,$A31,Stems_3D_BP!$B$2:$B$1765,"D-stem")</f>
        <v>5</v>
      </c>
      <c r="I31" s="4">
        <f>SUMIFS(Stems_3D_BP!$K$2:$K$1765,Stems_3D_BP!$A$2:$A$1765,$A31,Stems_3D_BP!$B$2:$B$1765,"Anticodon stem")</f>
        <v>8</v>
      </c>
      <c r="J31" s="4">
        <f>SUMIFS(Stems_3D_BP!$K$2:$K$1765,Stems_3D_BP!$A$2:$A$1765,$A31,Stems_3D_BP!$B$2:$B$1765,"T-stem")</f>
        <v>8</v>
      </c>
      <c r="K31" s="3">
        <f t="shared" si="2"/>
        <v>35</v>
      </c>
      <c r="L31" s="5">
        <f t="shared" si="3"/>
        <v>0.83333333333333337</v>
      </c>
      <c r="M31" s="4">
        <f>SUMIFS(Stems_3D_BP!$K$2:$K$1765,Stems_3D_BP!$A$2:$A$1765,$A31,Stems_3D_BP!$B$2:$B$1765,"3D (tertiary) BP")</f>
        <v>7</v>
      </c>
      <c r="N31" s="6">
        <f t="shared" si="4"/>
        <v>0.5</v>
      </c>
      <c r="O31" s="3">
        <f t="shared" si="5"/>
        <v>42</v>
      </c>
      <c r="P31" s="5">
        <f t="shared" si="6"/>
        <v>0.75</v>
      </c>
      <c r="Q31" s="4">
        <f>SUMIFS(Loops!$I$2:$I$316,Loops!$A$2:$A$316,$A31,Loops!$B$2:$B$316,"D-loop")</f>
        <v>5</v>
      </c>
      <c r="R31" s="4">
        <f>SUMIFS(Loops!$I$2:$I$316,Loops!$A$2:$A$316,$A31,Loops!$B$2:$B$316,"Anticodon loop")</f>
        <v>2</v>
      </c>
      <c r="S31" s="4">
        <f>SUMIFS(Loops!$I$2:$I$316,Loops!$A$2:$A$316,$A31,Loops!$B$2:$B$316,"Variable loop")</f>
        <v>3</v>
      </c>
      <c r="T31" s="4">
        <f>SUMIFS(Loops!$I$2:$I$316,Loops!$A$2:$A$316,$A31,Loops!$B$2:$B$316,"TΨC-loop")</f>
        <v>2</v>
      </c>
      <c r="U31" s="4">
        <f>SUMIFS(Loops!$F$2:$F$316,Loops!$A$2:$A$316,$A31)-SUMIFS(Loops!$F$2:$F$316,Loops!$A$2:$A$316,$A31,Loops!$B$2:$B$316,"Positions 8, 9, 26")</f>
        <v>28</v>
      </c>
      <c r="V31" s="3">
        <f t="shared" si="7"/>
        <v>12</v>
      </c>
      <c r="W31" s="5">
        <f t="shared" si="8"/>
        <v>0.42857142857142855</v>
      </c>
      <c r="X31" s="7" t="str">
        <f>INDEX(Positions!$E$2:$E$4694,MATCH($A31&amp;"|8",Positions!$A$2:$A$4694,0))</f>
        <v>U</v>
      </c>
      <c r="Y31" s="7" t="str">
        <f>INDEX(Positions!$E$2:$E$4694,MATCH($A31&amp;"|9",Positions!$A$2:$A$4694,0))</f>
        <v>A</v>
      </c>
      <c r="Z31" s="7" t="str">
        <f>INDEX(Positions!$E$2:$E$4694,MATCH($A31&amp;"|26",Positions!$A$2:$A$4694,0))</f>
        <v>G</v>
      </c>
      <c r="AA31" s="7">
        <f t="shared" si="9"/>
        <v>1</v>
      </c>
      <c r="AB31" s="7">
        <f t="shared" si="10"/>
        <v>0</v>
      </c>
      <c r="AC31" s="8">
        <f t="shared" si="11"/>
        <v>1</v>
      </c>
      <c r="AD31" s="9">
        <f t="shared" si="12"/>
        <v>0.33333333333333331</v>
      </c>
      <c r="AE31" s="7" t="str">
        <f t="shared" si="13"/>
        <v>OK</v>
      </c>
      <c r="AF31" s="10">
        <f t="shared" si="14"/>
        <v>31</v>
      </c>
      <c r="AG31" s="10">
        <f t="shared" si="15"/>
        <v>13</v>
      </c>
      <c r="AH31" s="11">
        <f t="shared" si="16"/>
        <v>0.41935483870967744</v>
      </c>
      <c r="AI31" s="11">
        <f t="shared" si="17"/>
        <v>0.83333333333333337</v>
      </c>
      <c r="AJ31" s="12">
        <f t="shared" si="18"/>
        <v>0.41397849462365593</v>
      </c>
    </row>
    <row r="32" spans="1:36">
      <c r="A32" s="3" t="s">
        <v>65</v>
      </c>
      <c r="B32" s="4">
        <f>COUNTIF(Positions!$B$2:$B$4694,A32)</f>
        <v>74</v>
      </c>
      <c r="C32" s="4">
        <f>COUNTIFS(Positions!$B$2:$B$4694,A32,Positions!$E$2:$E$4694,"G")</f>
        <v>23</v>
      </c>
      <c r="D32" s="4">
        <f>COUNTIFS(Positions!$B$2:$B$4694,A32,Positions!$E$2:$E$4694,"C")</f>
        <v>23</v>
      </c>
      <c r="E32" s="3">
        <f t="shared" si="0"/>
        <v>46</v>
      </c>
      <c r="F32" s="5">
        <f t="shared" si="1"/>
        <v>0.6216216216216216</v>
      </c>
      <c r="G32" s="4">
        <f>SUMIFS(Stems_3D_BP!$K$2:$K$1765,Stems_3D_BP!$A$2:$A$1765,$A32,Stems_3D_BP!$B$2:$B$1765,"Acceptor stem")</f>
        <v>12</v>
      </c>
      <c r="H32" s="4">
        <f>SUMIFS(Stems_3D_BP!$K$2:$K$1765,Stems_3D_BP!$A$2:$A$1765,$A32,Stems_3D_BP!$B$2:$B$1765,"D-stem")</f>
        <v>6</v>
      </c>
      <c r="I32" s="4">
        <f>SUMIFS(Stems_3D_BP!$K$2:$K$1765,Stems_3D_BP!$A$2:$A$1765,$A32,Stems_3D_BP!$B$2:$B$1765,"Anticodon stem")</f>
        <v>8</v>
      </c>
      <c r="J32" s="4">
        <f>SUMIFS(Stems_3D_BP!$K$2:$K$1765,Stems_3D_BP!$A$2:$A$1765,$A32,Stems_3D_BP!$B$2:$B$1765,"T-stem")</f>
        <v>8</v>
      </c>
      <c r="K32" s="3">
        <f t="shared" si="2"/>
        <v>34</v>
      </c>
      <c r="L32" s="5">
        <f t="shared" si="3"/>
        <v>0.80952380952380953</v>
      </c>
      <c r="M32" s="4">
        <f>SUMIFS(Stems_3D_BP!$K$2:$K$1765,Stems_3D_BP!$A$2:$A$1765,$A32,Stems_3D_BP!$B$2:$B$1765,"3D (tertiary) BP")</f>
        <v>8</v>
      </c>
      <c r="N32" s="6">
        <f t="shared" si="4"/>
        <v>0.5714285714285714</v>
      </c>
      <c r="O32" s="3">
        <f t="shared" si="5"/>
        <v>42</v>
      </c>
      <c r="P32" s="5">
        <f t="shared" si="6"/>
        <v>0.75</v>
      </c>
      <c r="Q32" s="4">
        <f>SUMIFS(Loops!$I$2:$I$316,Loops!$A$2:$A$316,$A32,Loops!$B$2:$B$316,"D-loop")</f>
        <v>4</v>
      </c>
      <c r="R32" s="4">
        <f>SUMIFS(Loops!$I$2:$I$316,Loops!$A$2:$A$316,$A32,Loops!$B$2:$B$316,"Anticodon loop")</f>
        <v>2</v>
      </c>
      <c r="S32" s="4">
        <f>SUMIFS(Loops!$I$2:$I$316,Loops!$A$2:$A$316,$A32,Loops!$B$2:$B$316,"Variable loop")</f>
        <v>4</v>
      </c>
      <c r="T32" s="4">
        <f>SUMIFS(Loops!$I$2:$I$316,Loops!$A$2:$A$316,$A32,Loops!$B$2:$B$316,"TΨC-loop")</f>
        <v>1</v>
      </c>
      <c r="U32" s="4">
        <f>SUMIFS(Loops!$F$2:$F$316,Loops!$A$2:$A$316,$A32)-SUMIFS(Loops!$F$2:$F$316,Loops!$A$2:$A$316,$A32,Loops!$B$2:$B$316,"Positions 8, 9, 26")</f>
        <v>29</v>
      </c>
      <c r="V32" s="3">
        <f t="shared" si="7"/>
        <v>11</v>
      </c>
      <c r="W32" s="5">
        <f t="shared" si="8"/>
        <v>0.37931034482758619</v>
      </c>
      <c r="X32" s="7" t="str">
        <f>INDEX(Positions!$E$2:$E$4694,MATCH($A32&amp;"|8",Positions!$A$2:$A$4694,0))</f>
        <v>U</v>
      </c>
      <c r="Y32" s="7" t="str">
        <f>INDEX(Positions!$E$2:$E$4694,MATCH($A32&amp;"|9",Positions!$A$2:$A$4694,0))</f>
        <v>A</v>
      </c>
      <c r="Z32" s="7" t="str">
        <f>INDEX(Positions!$E$2:$E$4694,MATCH($A32&amp;"|26",Positions!$A$2:$A$4694,0))</f>
        <v>G</v>
      </c>
      <c r="AA32" s="7">
        <f t="shared" si="9"/>
        <v>1</v>
      </c>
      <c r="AB32" s="7">
        <f t="shared" si="10"/>
        <v>0</v>
      </c>
      <c r="AC32" s="8">
        <f t="shared" si="11"/>
        <v>1</v>
      </c>
      <c r="AD32" s="9">
        <f t="shared" si="12"/>
        <v>0.33333333333333331</v>
      </c>
      <c r="AE32" s="7" t="str">
        <f t="shared" si="13"/>
        <v>OK</v>
      </c>
      <c r="AF32" s="10">
        <f t="shared" si="14"/>
        <v>32</v>
      </c>
      <c r="AG32" s="10">
        <f t="shared" si="15"/>
        <v>12</v>
      </c>
      <c r="AH32" s="11">
        <f t="shared" si="16"/>
        <v>0.375</v>
      </c>
      <c r="AI32" s="11">
        <f t="shared" si="17"/>
        <v>0.80952380952380953</v>
      </c>
      <c r="AJ32" s="12">
        <f t="shared" si="18"/>
        <v>0.43452380952380953</v>
      </c>
    </row>
    <row r="33" spans="1:36">
      <c r="A33" s="3" t="s">
        <v>66</v>
      </c>
      <c r="B33" s="4">
        <f>COUNTIF(Positions!$B$2:$B$4694,A33)</f>
        <v>74</v>
      </c>
      <c r="C33" s="4">
        <f>COUNTIFS(Positions!$B$2:$B$4694,A33,Positions!$E$2:$E$4694,"G")</f>
        <v>24</v>
      </c>
      <c r="D33" s="4">
        <f>COUNTIFS(Positions!$B$2:$B$4694,A33,Positions!$E$2:$E$4694,"C")</f>
        <v>23</v>
      </c>
      <c r="E33" s="3">
        <f t="shared" si="0"/>
        <v>47</v>
      </c>
      <c r="F33" s="5">
        <f t="shared" si="1"/>
        <v>0.63513513513513509</v>
      </c>
      <c r="G33" s="4">
        <f>SUMIFS(Stems_3D_BP!$K$2:$K$1765,Stems_3D_BP!$A$2:$A$1765,$A33,Stems_3D_BP!$B$2:$B$1765,"Acceptor stem")</f>
        <v>12</v>
      </c>
      <c r="H33" s="4">
        <f>SUMIFS(Stems_3D_BP!$K$2:$K$1765,Stems_3D_BP!$A$2:$A$1765,$A33,Stems_3D_BP!$B$2:$B$1765,"D-stem")</f>
        <v>6</v>
      </c>
      <c r="I33" s="4">
        <f>SUMIFS(Stems_3D_BP!$K$2:$K$1765,Stems_3D_BP!$A$2:$A$1765,$A33,Stems_3D_BP!$B$2:$B$1765,"Anticodon stem")</f>
        <v>8</v>
      </c>
      <c r="J33" s="4">
        <f>SUMIFS(Stems_3D_BP!$K$2:$K$1765,Stems_3D_BP!$A$2:$A$1765,$A33,Stems_3D_BP!$B$2:$B$1765,"T-stem")</f>
        <v>6</v>
      </c>
      <c r="K33" s="3">
        <f t="shared" si="2"/>
        <v>32</v>
      </c>
      <c r="L33" s="5">
        <f t="shared" si="3"/>
        <v>0.76190476190476186</v>
      </c>
      <c r="M33" s="4">
        <f>SUMIFS(Stems_3D_BP!$K$2:$K$1765,Stems_3D_BP!$A$2:$A$1765,$A33,Stems_3D_BP!$B$2:$B$1765,"3D (tertiary) BP")</f>
        <v>7</v>
      </c>
      <c r="N33" s="6">
        <f t="shared" si="4"/>
        <v>0.5</v>
      </c>
      <c r="O33" s="3">
        <f t="shared" si="5"/>
        <v>39</v>
      </c>
      <c r="P33" s="5">
        <f t="shared" si="6"/>
        <v>0.6964285714285714</v>
      </c>
      <c r="Q33" s="4">
        <f>SUMIFS(Loops!$I$2:$I$316,Loops!$A$2:$A$316,$A33,Loops!$B$2:$B$316,"D-loop")</f>
        <v>6</v>
      </c>
      <c r="R33" s="4">
        <f>SUMIFS(Loops!$I$2:$I$316,Loops!$A$2:$A$316,$A33,Loops!$B$2:$B$316,"Anticodon loop")</f>
        <v>2</v>
      </c>
      <c r="S33" s="4">
        <f>SUMIFS(Loops!$I$2:$I$316,Loops!$A$2:$A$316,$A33,Loops!$B$2:$B$316,"Variable loop")</f>
        <v>3</v>
      </c>
      <c r="T33" s="4">
        <f>SUMIFS(Loops!$I$2:$I$316,Loops!$A$2:$A$316,$A33,Loops!$B$2:$B$316,"TΨC-loop")</f>
        <v>2</v>
      </c>
      <c r="U33" s="4">
        <f>SUMIFS(Loops!$F$2:$F$316,Loops!$A$2:$A$316,$A33)-SUMIFS(Loops!$F$2:$F$316,Loops!$A$2:$A$316,$A33,Loops!$B$2:$B$316,"Positions 8, 9, 26")</f>
        <v>29</v>
      </c>
      <c r="V33" s="3">
        <f t="shared" si="7"/>
        <v>13</v>
      </c>
      <c r="W33" s="5">
        <f t="shared" si="8"/>
        <v>0.44827586206896552</v>
      </c>
      <c r="X33" s="7" t="str">
        <f>INDEX(Positions!$E$2:$E$4694,MATCH($A33&amp;"|8",Positions!$A$2:$A$4694,0))</f>
        <v>U</v>
      </c>
      <c r="Y33" s="7" t="str">
        <f>INDEX(Positions!$E$2:$E$4694,MATCH($A33&amp;"|9",Positions!$A$2:$A$4694,0))</f>
        <v>G</v>
      </c>
      <c r="Z33" s="7" t="str">
        <f>INDEX(Positions!$E$2:$E$4694,MATCH($A33&amp;"|26",Positions!$A$2:$A$4694,0))</f>
        <v>G</v>
      </c>
      <c r="AA33" s="7">
        <f t="shared" si="9"/>
        <v>2</v>
      </c>
      <c r="AB33" s="7">
        <f t="shared" si="10"/>
        <v>0</v>
      </c>
      <c r="AC33" s="8">
        <f t="shared" si="11"/>
        <v>2</v>
      </c>
      <c r="AD33" s="9">
        <f t="shared" si="12"/>
        <v>0.66666666666666663</v>
      </c>
      <c r="AE33" s="7" t="str">
        <f t="shared" si="13"/>
        <v>OK</v>
      </c>
      <c r="AF33" s="10">
        <f t="shared" si="14"/>
        <v>32</v>
      </c>
      <c r="AG33" s="10">
        <f t="shared" si="15"/>
        <v>15</v>
      </c>
      <c r="AH33" s="11">
        <f t="shared" si="16"/>
        <v>0.46875</v>
      </c>
      <c r="AI33" s="11">
        <f t="shared" si="17"/>
        <v>0.76190476190476186</v>
      </c>
      <c r="AJ33" s="12">
        <f t="shared" si="18"/>
        <v>0.29315476190476186</v>
      </c>
    </row>
    <row r="34" spans="1:36">
      <c r="A34" s="3" t="s">
        <v>67</v>
      </c>
      <c r="B34" s="4">
        <f>COUNTIF(Positions!$B$2:$B$4694,A34)</f>
        <v>74</v>
      </c>
      <c r="C34" s="4">
        <f>COUNTIFS(Positions!$B$2:$B$4694,A34,Positions!$E$2:$E$4694,"G")</f>
        <v>24</v>
      </c>
      <c r="D34" s="4">
        <f>COUNTIFS(Positions!$B$2:$B$4694,A34,Positions!$E$2:$E$4694,"C")</f>
        <v>23</v>
      </c>
      <c r="E34" s="3">
        <f t="shared" si="0"/>
        <v>47</v>
      </c>
      <c r="F34" s="5">
        <f t="shared" si="1"/>
        <v>0.63513513513513509</v>
      </c>
      <c r="G34" s="4">
        <f>SUMIFS(Stems_3D_BP!$K$2:$K$1765,Stems_3D_BP!$A$2:$A$1765,$A34,Stems_3D_BP!$B$2:$B$1765,"Acceptor stem")</f>
        <v>12</v>
      </c>
      <c r="H34" s="4">
        <f>SUMIFS(Stems_3D_BP!$K$2:$K$1765,Stems_3D_BP!$A$2:$A$1765,$A34,Stems_3D_BP!$B$2:$B$1765,"D-stem")</f>
        <v>6</v>
      </c>
      <c r="I34" s="4">
        <f>SUMIFS(Stems_3D_BP!$K$2:$K$1765,Stems_3D_BP!$A$2:$A$1765,$A34,Stems_3D_BP!$B$2:$B$1765,"Anticodon stem")</f>
        <v>8</v>
      </c>
      <c r="J34" s="4">
        <f>SUMIFS(Stems_3D_BP!$K$2:$K$1765,Stems_3D_BP!$A$2:$A$1765,$A34,Stems_3D_BP!$B$2:$B$1765,"T-stem")</f>
        <v>6</v>
      </c>
      <c r="K34" s="3">
        <f t="shared" si="2"/>
        <v>32</v>
      </c>
      <c r="L34" s="5">
        <f t="shared" si="3"/>
        <v>0.76190476190476186</v>
      </c>
      <c r="M34" s="4">
        <f>SUMIFS(Stems_3D_BP!$K$2:$K$1765,Stems_3D_BP!$A$2:$A$1765,$A34,Stems_3D_BP!$B$2:$B$1765,"3D (tertiary) BP")</f>
        <v>7</v>
      </c>
      <c r="N34" s="6">
        <f t="shared" si="4"/>
        <v>0.5</v>
      </c>
      <c r="O34" s="3">
        <f t="shared" si="5"/>
        <v>39</v>
      </c>
      <c r="P34" s="5">
        <f t="shared" si="6"/>
        <v>0.6964285714285714</v>
      </c>
      <c r="Q34" s="4">
        <f>SUMIFS(Loops!$I$2:$I$316,Loops!$A$2:$A$316,$A34,Loops!$B$2:$B$316,"D-loop")</f>
        <v>6</v>
      </c>
      <c r="R34" s="4">
        <f>SUMIFS(Loops!$I$2:$I$316,Loops!$A$2:$A$316,$A34,Loops!$B$2:$B$316,"Anticodon loop")</f>
        <v>2</v>
      </c>
      <c r="S34" s="4">
        <f>SUMIFS(Loops!$I$2:$I$316,Loops!$A$2:$A$316,$A34,Loops!$B$2:$B$316,"Variable loop")</f>
        <v>3</v>
      </c>
      <c r="T34" s="4">
        <f>SUMIFS(Loops!$I$2:$I$316,Loops!$A$2:$A$316,$A34,Loops!$B$2:$B$316,"TΨC-loop")</f>
        <v>2</v>
      </c>
      <c r="U34" s="4">
        <f>SUMIFS(Loops!$F$2:$F$316,Loops!$A$2:$A$316,$A34)-SUMIFS(Loops!$F$2:$F$316,Loops!$A$2:$A$316,$A34,Loops!$B$2:$B$316,"Positions 8, 9, 26")</f>
        <v>29</v>
      </c>
      <c r="V34" s="3">
        <f t="shared" si="7"/>
        <v>13</v>
      </c>
      <c r="W34" s="5">
        <f t="shared" si="8"/>
        <v>0.44827586206896552</v>
      </c>
      <c r="X34" s="7" t="str">
        <f>INDEX(Positions!$E$2:$E$4694,MATCH($A34&amp;"|8",Positions!$A$2:$A$4694,0))</f>
        <v>U</v>
      </c>
      <c r="Y34" s="7" t="str">
        <f>INDEX(Positions!$E$2:$E$4694,MATCH($A34&amp;"|9",Positions!$A$2:$A$4694,0))</f>
        <v>G</v>
      </c>
      <c r="Z34" s="7" t="str">
        <f>INDEX(Positions!$E$2:$E$4694,MATCH($A34&amp;"|26",Positions!$A$2:$A$4694,0))</f>
        <v>G</v>
      </c>
      <c r="AA34" s="7">
        <f t="shared" si="9"/>
        <v>2</v>
      </c>
      <c r="AB34" s="7">
        <f t="shared" si="10"/>
        <v>0</v>
      </c>
      <c r="AC34" s="8">
        <f t="shared" si="11"/>
        <v>2</v>
      </c>
      <c r="AD34" s="9">
        <f t="shared" si="12"/>
        <v>0.66666666666666663</v>
      </c>
      <c r="AE34" s="7" t="str">
        <f t="shared" si="13"/>
        <v>OK</v>
      </c>
      <c r="AF34" s="10">
        <f t="shared" si="14"/>
        <v>32</v>
      </c>
      <c r="AG34" s="10">
        <f t="shared" si="15"/>
        <v>15</v>
      </c>
      <c r="AH34" s="11">
        <f t="shared" si="16"/>
        <v>0.46875</v>
      </c>
      <c r="AI34" s="11">
        <f t="shared" si="17"/>
        <v>0.76190476190476186</v>
      </c>
      <c r="AJ34" s="12">
        <f t="shared" si="18"/>
        <v>0.29315476190476186</v>
      </c>
    </row>
    <row r="35" spans="1:36">
      <c r="A35" s="3" t="s">
        <v>68</v>
      </c>
      <c r="B35" s="4">
        <f>COUNTIF(Positions!$B$2:$B$4694,A35)</f>
        <v>74</v>
      </c>
      <c r="C35" s="4">
        <f>COUNTIFS(Positions!$B$2:$B$4694,A35,Positions!$E$2:$E$4694,"G")</f>
        <v>24</v>
      </c>
      <c r="D35" s="4">
        <f>COUNTIFS(Positions!$B$2:$B$4694,A35,Positions!$E$2:$E$4694,"C")</f>
        <v>23</v>
      </c>
      <c r="E35" s="3">
        <f t="shared" si="0"/>
        <v>47</v>
      </c>
      <c r="F35" s="5">
        <f t="shared" si="1"/>
        <v>0.63513513513513509</v>
      </c>
      <c r="G35" s="4">
        <f>SUMIFS(Stems_3D_BP!$K$2:$K$1765,Stems_3D_BP!$A$2:$A$1765,$A35,Stems_3D_BP!$B$2:$B$1765,"Acceptor stem")</f>
        <v>12</v>
      </c>
      <c r="H35" s="4">
        <f>SUMIFS(Stems_3D_BP!$K$2:$K$1765,Stems_3D_BP!$A$2:$A$1765,$A35,Stems_3D_BP!$B$2:$B$1765,"D-stem")</f>
        <v>6</v>
      </c>
      <c r="I35" s="4">
        <f>SUMIFS(Stems_3D_BP!$K$2:$K$1765,Stems_3D_BP!$A$2:$A$1765,$A35,Stems_3D_BP!$B$2:$B$1765,"Anticodon stem")</f>
        <v>8</v>
      </c>
      <c r="J35" s="4">
        <f>SUMIFS(Stems_3D_BP!$K$2:$K$1765,Stems_3D_BP!$A$2:$A$1765,$A35,Stems_3D_BP!$B$2:$B$1765,"T-stem")</f>
        <v>6</v>
      </c>
      <c r="K35" s="3">
        <f t="shared" si="2"/>
        <v>32</v>
      </c>
      <c r="L35" s="5">
        <f t="shared" si="3"/>
        <v>0.76190476190476186</v>
      </c>
      <c r="M35" s="4">
        <f>SUMIFS(Stems_3D_BP!$K$2:$K$1765,Stems_3D_BP!$A$2:$A$1765,$A35,Stems_3D_BP!$B$2:$B$1765,"3D (tertiary) BP")</f>
        <v>7</v>
      </c>
      <c r="N35" s="6">
        <f t="shared" si="4"/>
        <v>0.5</v>
      </c>
      <c r="O35" s="3">
        <f t="shared" si="5"/>
        <v>39</v>
      </c>
      <c r="P35" s="5">
        <f t="shared" si="6"/>
        <v>0.6964285714285714</v>
      </c>
      <c r="Q35" s="4">
        <f>SUMIFS(Loops!$I$2:$I$316,Loops!$A$2:$A$316,$A35,Loops!$B$2:$B$316,"D-loop")</f>
        <v>6</v>
      </c>
      <c r="R35" s="4">
        <f>SUMIFS(Loops!$I$2:$I$316,Loops!$A$2:$A$316,$A35,Loops!$B$2:$B$316,"Anticodon loop")</f>
        <v>2</v>
      </c>
      <c r="S35" s="4">
        <f>SUMIFS(Loops!$I$2:$I$316,Loops!$A$2:$A$316,$A35,Loops!$B$2:$B$316,"Variable loop")</f>
        <v>3</v>
      </c>
      <c r="T35" s="4">
        <f>SUMIFS(Loops!$I$2:$I$316,Loops!$A$2:$A$316,$A35,Loops!$B$2:$B$316,"TΨC-loop")</f>
        <v>2</v>
      </c>
      <c r="U35" s="4">
        <f>SUMIFS(Loops!$F$2:$F$316,Loops!$A$2:$A$316,$A35)-SUMIFS(Loops!$F$2:$F$316,Loops!$A$2:$A$316,$A35,Loops!$B$2:$B$316,"Positions 8, 9, 26")</f>
        <v>29</v>
      </c>
      <c r="V35" s="3">
        <f t="shared" si="7"/>
        <v>13</v>
      </c>
      <c r="W35" s="5">
        <f t="shared" si="8"/>
        <v>0.44827586206896552</v>
      </c>
      <c r="X35" s="7" t="str">
        <f>INDEX(Positions!$E$2:$E$4694,MATCH($A35&amp;"|8",Positions!$A$2:$A$4694,0))</f>
        <v>U</v>
      </c>
      <c r="Y35" s="7" t="str">
        <f>INDEX(Positions!$E$2:$E$4694,MATCH($A35&amp;"|9",Positions!$A$2:$A$4694,0))</f>
        <v>G</v>
      </c>
      <c r="Z35" s="7" t="str">
        <f>INDEX(Positions!$E$2:$E$4694,MATCH($A35&amp;"|26",Positions!$A$2:$A$4694,0))</f>
        <v>G</v>
      </c>
      <c r="AA35" s="7">
        <f t="shared" si="9"/>
        <v>2</v>
      </c>
      <c r="AB35" s="7">
        <f t="shared" si="10"/>
        <v>0</v>
      </c>
      <c r="AC35" s="8">
        <f t="shared" si="11"/>
        <v>2</v>
      </c>
      <c r="AD35" s="9">
        <f t="shared" si="12"/>
        <v>0.66666666666666663</v>
      </c>
      <c r="AE35" s="7" t="str">
        <f t="shared" si="13"/>
        <v>OK</v>
      </c>
      <c r="AF35" s="10">
        <f t="shared" si="14"/>
        <v>32</v>
      </c>
      <c r="AG35" s="10">
        <f t="shared" si="15"/>
        <v>15</v>
      </c>
      <c r="AH35" s="11">
        <f t="shared" si="16"/>
        <v>0.46875</v>
      </c>
      <c r="AI35" s="11">
        <f t="shared" si="17"/>
        <v>0.76190476190476186</v>
      </c>
      <c r="AJ35" s="12">
        <f t="shared" si="18"/>
        <v>0.29315476190476186</v>
      </c>
    </row>
    <row r="36" spans="1:36">
      <c r="A36" s="3" t="s">
        <v>69</v>
      </c>
      <c r="B36" s="4">
        <f>COUNTIF(Positions!$B$2:$B$4694,A36)</f>
        <v>82</v>
      </c>
      <c r="C36" s="4">
        <f>COUNTIFS(Positions!$B$2:$B$4694,A36,Positions!$E$2:$E$4694,"G")</f>
        <v>25</v>
      </c>
      <c r="D36" s="4">
        <f>COUNTIFS(Positions!$B$2:$B$4694,A36,Positions!$E$2:$E$4694,"C")</f>
        <v>23</v>
      </c>
      <c r="E36" s="3">
        <f t="shared" ref="E36:E67" si="19">C36+D36</f>
        <v>48</v>
      </c>
      <c r="F36" s="5">
        <f t="shared" ref="F36:F67" si="20">E36/B36</f>
        <v>0.58536585365853655</v>
      </c>
      <c r="G36" s="4">
        <f>SUMIFS(Stems_3D_BP!$K$2:$K$1765,Stems_3D_BP!$A$2:$A$1765,$A36,Stems_3D_BP!$B$2:$B$1765,"Acceptor stem")</f>
        <v>12</v>
      </c>
      <c r="H36" s="4">
        <f>SUMIFS(Stems_3D_BP!$K$2:$K$1765,Stems_3D_BP!$A$2:$A$1765,$A36,Stems_3D_BP!$B$2:$B$1765,"D-stem")</f>
        <v>5</v>
      </c>
      <c r="I36" s="4">
        <f>SUMIFS(Stems_3D_BP!$K$2:$K$1765,Stems_3D_BP!$A$2:$A$1765,$A36,Stems_3D_BP!$B$2:$B$1765,"Anticodon stem")</f>
        <v>5</v>
      </c>
      <c r="J36" s="4">
        <f>SUMIFS(Stems_3D_BP!$K$2:$K$1765,Stems_3D_BP!$A$2:$A$1765,$A36,Stems_3D_BP!$B$2:$B$1765,"T-stem")</f>
        <v>7</v>
      </c>
      <c r="K36" s="3">
        <f t="shared" ref="K36:K67" si="21">SUM(G36:J36)</f>
        <v>29</v>
      </c>
      <c r="L36" s="5">
        <f t="shared" ref="L36:L67" si="22">K36/42</f>
        <v>0.69047619047619047</v>
      </c>
      <c r="M36" s="4">
        <f>SUMIFS(Stems_3D_BP!$K$2:$K$1765,Stems_3D_BP!$A$2:$A$1765,$A36,Stems_3D_BP!$B$2:$B$1765,"3D (tertiary) BP")</f>
        <v>7</v>
      </c>
      <c r="N36" s="6">
        <f t="shared" ref="N36:N67" si="23">M36/14</f>
        <v>0.5</v>
      </c>
      <c r="O36" s="3">
        <f t="shared" ref="O36:O66" si="24">K36+M36</f>
        <v>36</v>
      </c>
      <c r="P36" s="5">
        <f t="shared" ref="P36:P67" si="25">O36/56</f>
        <v>0.6428571428571429</v>
      </c>
      <c r="Q36" s="4">
        <f>SUMIFS(Loops!$I$2:$I$316,Loops!$A$2:$A$316,$A36,Loops!$B$2:$B$316,"D-loop")</f>
        <v>5</v>
      </c>
      <c r="R36" s="4">
        <f>SUMIFS(Loops!$I$2:$I$316,Loops!$A$2:$A$316,$A36,Loops!$B$2:$B$316,"Anticodon loop")</f>
        <v>3</v>
      </c>
      <c r="S36" s="4">
        <f>SUMIFS(Loops!$I$2:$I$316,Loops!$A$2:$A$316,$A36,Loops!$B$2:$B$316,"Variable loop")</f>
        <v>8</v>
      </c>
      <c r="T36" s="4">
        <f>SUMIFS(Loops!$I$2:$I$316,Loops!$A$2:$A$316,$A36,Loops!$B$2:$B$316,"TΨC-loop")</f>
        <v>2</v>
      </c>
      <c r="U36" s="4">
        <f>SUMIFS(Loops!$F$2:$F$316,Loops!$A$2:$A$316,$A36)-SUMIFS(Loops!$F$2:$F$316,Loops!$A$2:$A$316,$A36,Loops!$B$2:$B$316,"Positions 8, 9, 26")</f>
        <v>37</v>
      </c>
      <c r="V36" s="3">
        <f t="shared" ref="V36:V66" si="26">SUM(Q36:T36)</f>
        <v>18</v>
      </c>
      <c r="W36" s="5">
        <f t="shared" ref="W36:W67" si="27">V36/U36</f>
        <v>0.48648648648648651</v>
      </c>
      <c r="X36" s="7" t="str">
        <f>INDEX(Positions!$E$2:$E$4694,MATCH($A36&amp;"|8",Positions!$A$2:$A$4694,0))</f>
        <v>U</v>
      </c>
      <c r="Y36" s="7" t="str">
        <f>INDEX(Positions!$E$2:$E$4694,MATCH($A36&amp;"|9",Positions!$A$2:$A$4694,0))</f>
        <v>A</v>
      </c>
      <c r="Z36" s="7" t="str">
        <f>INDEX(Positions!$E$2:$E$4694,MATCH($A36&amp;"|26",Positions!$A$2:$A$4694,0))</f>
        <v>G</v>
      </c>
      <c r="AA36" s="7">
        <f t="shared" ref="AA36:AA67" si="28">(X36="G")+(Y36="G")+(Z36="G")</f>
        <v>1</v>
      </c>
      <c r="AB36" s="7">
        <f t="shared" ref="AB36:AB66" si="29">(X36="C")+(Y36="C")+(Z36="C")</f>
        <v>0</v>
      </c>
      <c r="AC36" s="8">
        <f t="shared" ref="AC36:AC67" si="30">AA36+AB36</f>
        <v>1</v>
      </c>
      <c r="AD36" s="9">
        <f t="shared" ref="AD36:AD67" si="31">AC36/3</f>
        <v>0.33333333333333331</v>
      </c>
      <c r="AE36" s="7" t="str">
        <f t="shared" ref="AE36:AE66" si="32">IF(K36+V36+AC36=E36,"OK","MISMATCH")</f>
        <v>OK</v>
      </c>
      <c r="AF36" s="10">
        <f t="shared" ref="AF36:AF66" si="33">B36-42</f>
        <v>40</v>
      </c>
      <c r="AG36" s="10">
        <f t="shared" ref="AG36:AG66" si="34">V36+AC36</f>
        <v>19</v>
      </c>
      <c r="AH36" s="11">
        <f t="shared" ref="AH36:AH67" si="35">AG36/AF36</f>
        <v>0.47499999999999998</v>
      </c>
      <c r="AI36" s="11">
        <f t="shared" ref="AI36:AI66" si="36">L36</f>
        <v>0.69047619047619047</v>
      </c>
      <c r="AJ36" s="12">
        <f t="shared" ref="AJ36:AJ67" si="37">AI36-AH36</f>
        <v>0.21547619047619049</v>
      </c>
    </row>
    <row r="37" spans="1:36">
      <c r="A37" s="3" t="s">
        <v>70</v>
      </c>
      <c r="B37" s="4">
        <f>COUNTIF(Positions!$B$2:$B$4694,A37)</f>
        <v>84</v>
      </c>
      <c r="C37" s="4">
        <f>COUNTIFS(Positions!$B$2:$B$4694,A37,Positions!$E$2:$E$4694,"G")</f>
        <v>26</v>
      </c>
      <c r="D37" s="4">
        <f>COUNTIFS(Positions!$B$2:$B$4694,A37,Positions!$E$2:$E$4694,"C")</f>
        <v>24</v>
      </c>
      <c r="E37" s="3">
        <f t="shared" si="19"/>
        <v>50</v>
      </c>
      <c r="F37" s="5">
        <f t="shared" si="20"/>
        <v>0.59523809523809523</v>
      </c>
      <c r="G37" s="4">
        <f>SUMIFS(Stems_3D_BP!$K$2:$K$1765,Stems_3D_BP!$A$2:$A$1765,$A37,Stems_3D_BP!$B$2:$B$1765,"Acceptor stem")</f>
        <v>10</v>
      </c>
      <c r="H37" s="4">
        <f>SUMIFS(Stems_3D_BP!$K$2:$K$1765,Stems_3D_BP!$A$2:$A$1765,$A37,Stems_3D_BP!$B$2:$B$1765,"D-stem")</f>
        <v>7</v>
      </c>
      <c r="I37" s="4">
        <f>SUMIFS(Stems_3D_BP!$K$2:$K$1765,Stems_3D_BP!$A$2:$A$1765,$A37,Stems_3D_BP!$B$2:$B$1765,"Anticodon stem")</f>
        <v>8</v>
      </c>
      <c r="J37" s="4">
        <f>SUMIFS(Stems_3D_BP!$K$2:$K$1765,Stems_3D_BP!$A$2:$A$1765,$A37,Stems_3D_BP!$B$2:$B$1765,"T-stem")</f>
        <v>8</v>
      </c>
      <c r="K37" s="3">
        <f t="shared" si="21"/>
        <v>33</v>
      </c>
      <c r="L37" s="5">
        <f t="shared" si="22"/>
        <v>0.7857142857142857</v>
      </c>
      <c r="M37" s="4">
        <f>SUMIFS(Stems_3D_BP!$K$2:$K$1765,Stems_3D_BP!$A$2:$A$1765,$A37,Stems_3D_BP!$B$2:$B$1765,"3D (tertiary) BP")</f>
        <v>7</v>
      </c>
      <c r="N37" s="6">
        <f t="shared" si="23"/>
        <v>0.5</v>
      </c>
      <c r="O37" s="3">
        <f t="shared" si="24"/>
        <v>40</v>
      </c>
      <c r="P37" s="5">
        <f t="shared" si="25"/>
        <v>0.7142857142857143</v>
      </c>
      <c r="Q37" s="4">
        <f>SUMIFS(Loops!$I$2:$I$316,Loops!$A$2:$A$316,$A37,Loops!$B$2:$B$316,"D-loop")</f>
        <v>6</v>
      </c>
      <c r="R37" s="4">
        <f>SUMIFS(Loops!$I$2:$I$316,Loops!$A$2:$A$316,$A37,Loops!$B$2:$B$316,"Anticodon loop")</f>
        <v>3</v>
      </c>
      <c r="S37" s="4">
        <f>SUMIFS(Loops!$I$2:$I$316,Loops!$A$2:$A$316,$A37,Loops!$B$2:$B$316,"Variable loop")</f>
        <v>5</v>
      </c>
      <c r="T37" s="4">
        <f>SUMIFS(Loops!$I$2:$I$316,Loops!$A$2:$A$316,$A37,Loops!$B$2:$B$316,"TΨC-loop")</f>
        <v>2</v>
      </c>
      <c r="U37" s="4">
        <f>SUMIFS(Loops!$F$2:$F$316,Loops!$A$2:$A$316,$A37)-SUMIFS(Loops!$F$2:$F$316,Loops!$A$2:$A$316,$A37,Loops!$B$2:$B$316,"Positions 8, 9, 26")</f>
        <v>39</v>
      </c>
      <c r="V37" s="3">
        <f t="shared" si="26"/>
        <v>16</v>
      </c>
      <c r="W37" s="5">
        <f t="shared" si="27"/>
        <v>0.41025641025641024</v>
      </c>
      <c r="X37" s="7" t="str">
        <f>INDEX(Positions!$E$2:$E$4694,MATCH($A37&amp;"|8",Positions!$A$2:$A$4694,0))</f>
        <v>U</v>
      </c>
      <c r="Y37" s="7" t="str">
        <f>INDEX(Positions!$E$2:$E$4694,MATCH($A37&amp;"|9",Positions!$A$2:$A$4694,0))</f>
        <v>U</v>
      </c>
      <c r="Z37" s="7" t="str">
        <f>INDEX(Positions!$E$2:$E$4694,MATCH($A37&amp;"|26",Positions!$A$2:$A$4694,0))</f>
        <v>G</v>
      </c>
      <c r="AA37" s="7">
        <f t="shared" si="28"/>
        <v>1</v>
      </c>
      <c r="AB37" s="7">
        <f t="shared" si="29"/>
        <v>0</v>
      </c>
      <c r="AC37" s="8">
        <f t="shared" si="30"/>
        <v>1</v>
      </c>
      <c r="AD37" s="9">
        <f t="shared" si="31"/>
        <v>0.33333333333333331</v>
      </c>
      <c r="AE37" s="7" t="str">
        <f t="shared" si="32"/>
        <v>OK</v>
      </c>
      <c r="AF37" s="10">
        <f t="shared" si="33"/>
        <v>42</v>
      </c>
      <c r="AG37" s="10">
        <f t="shared" si="34"/>
        <v>17</v>
      </c>
      <c r="AH37" s="11">
        <f t="shared" si="35"/>
        <v>0.40476190476190477</v>
      </c>
      <c r="AI37" s="11">
        <f t="shared" si="36"/>
        <v>0.7857142857142857</v>
      </c>
      <c r="AJ37" s="12">
        <f t="shared" si="37"/>
        <v>0.38095238095238093</v>
      </c>
    </row>
    <row r="38" spans="1:36">
      <c r="A38" s="3" t="s">
        <v>71</v>
      </c>
      <c r="B38" s="4">
        <f>COUNTIF(Positions!$B$2:$B$4694,A38)</f>
        <v>84</v>
      </c>
      <c r="C38" s="4">
        <f>COUNTIFS(Positions!$B$2:$B$4694,A38,Positions!$E$2:$E$4694,"G")</f>
        <v>28</v>
      </c>
      <c r="D38" s="4">
        <f>COUNTIFS(Positions!$B$2:$B$4694,A38,Positions!$E$2:$E$4694,"C")</f>
        <v>22</v>
      </c>
      <c r="E38" s="3">
        <f t="shared" si="19"/>
        <v>50</v>
      </c>
      <c r="F38" s="5">
        <f t="shared" si="20"/>
        <v>0.59523809523809523</v>
      </c>
      <c r="G38" s="4">
        <f>SUMIFS(Stems_3D_BP!$K$2:$K$1765,Stems_3D_BP!$A$2:$A$1765,$A38,Stems_3D_BP!$B$2:$B$1765,"Acceptor stem")</f>
        <v>12</v>
      </c>
      <c r="H38" s="4">
        <f>SUMIFS(Stems_3D_BP!$K$2:$K$1765,Stems_3D_BP!$A$2:$A$1765,$A38,Stems_3D_BP!$B$2:$B$1765,"D-stem")</f>
        <v>7</v>
      </c>
      <c r="I38" s="4">
        <f>SUMIFS(Stems_3D_BP!$K$2:$K$1765,Stems_3D_BP!$A$2:$A$1765,$A38,Stems_3D_BP!$B$2:$B$1765,"Anticodon stem")</f>
        <v>6</v>
      </c>
      <c r="J38" s="4">
        <f>SUMIFS(Stems_3D_BP!$K$2:$K$1765,Stems_3D_BP!$A$2:$A$1765,$A38,Stems_3D_BP!$B$2:$B$1765,"T-stem")</f>
        <v>7</v>
      </c>
      <c r="K38" s="3">
        <f t="shared" si="21"/>
        <v>32</v>
      </c>
      <c r="L38" s="5">
        <f t="shared" si="22"/>
        <v>0.76190476190476186</v>
      </c>
      <c r="M38" s="4">
        <f>SUMIFS(Stems_3D_BP!$K$2:$K$1765,Stems_3D_BP!$A$2:$A$1765,$A38,Stems_3D_BP!$B$2:$B$1765,"3D (tertiary) BP")</f>
        <v>7</v>
      </c>
      <c r="N38" s="6">
        <f t="shared" si="23"/>
        <v>0.5</v>
      </c>
      <c r="O38" s="3">
        <f t="shared" si="24"/>
        <v>39</v>
      </c>
      <c r="P38" s="5">
        <f t="shared" si="25"/>
        <v>0.6964285714285714</v>
      </c>
      <c r="Q38" s="4">
        <f>SUMIFS(Loops!$I$2:$I$316,Loops!$A$2:$A$316,$A38,Loops!$B$2:$B$316,"D-loop")</f>
        <v>6</v>
      </c>
      <c r="R38" s="4">
        <f>SUMIFS(Loops!$I$2:$I$316,Loops!$A$2:$A$316,$A38,Loops!$B$2:$B$316,"Anticodon loop")</f>
        <v>4</v>
      </c>
      <c r="S38" s="4">
        <f>SUMIFS(Loops!$I$2:$I$316,Loops!$A$2:$A$316,$A38,Loops!$B$2:$B$316,"Variable loop")</f>
        <v>5</v>
      </c>
      <c r="T38" s="4">
        <f>SUMIFS(Loops!$I$2:$I$316,Loops!$A$2:$A$316,$A38,Loops!$B$2:$B$316,"TΨC-loop")</f>
        <v>2</v>
      </c>
      <c r="U38" s="4">
        <f>SUMIFS(Loops!$F$2:$F$316,Loops!$A$2:$A$316,$A38)-SUMIFS(Loops!$F$2:$F$316,Loops!$A$2:$A$316,$A38,Loops!$B$2:$B$316,"Positions 8, 9, 26")</f>
        <v>39</v>
      </c>
      <c r="V38" s="3">
        <f t="shared" si="26"/>
        <v>17</v>
      </c>
      <c r="W38" s="5">
        <f t="shared" si="27"/>
        <v>0.4358974358974359</v>
      </c>
      <c r="X38" s="7" t="str">
        <f>INDEX(Positions!$E$2:$E$4694,MATCH($A38&amp;"|8",Positions!$A$2:$A$4694,0))</f>
        <v>U</v>
      </c>
      <c r="Y38" s="7" t="str">
        <f>INDEX(Positions!$E$2:$E$4694,MATCH($A38&amp;"|9",Positions!$A$2:$A$4694,0))</f>
        <v>U</v>
      </c>
      <c r="Z38" s="7" t="str">
        <f>INDEX(Positions!$E$2:$E$4694,MATCH($A38&amp;"|26",Positions!$A$2:$A$4694,0))</f>
        <v>G</v>
      </c>
      <c r="AA38" s="7">
        <f t="shared" si="28"/>
        <v>1</v>
      </c>
      <c r="AB38" s="7">
        <f t="shared" si="29"/>
        <v>0</v>
      </c>
      <c r="AC38" s="8">
        <f t="shared" si="30"/>
        <v>1</v>
      </c>
      <c r="AD38" s="9">
        <f t="shared" si="31"/>
        <v>0.33333333333333331</v>
      </c>
      <c r="AE38" s="7" t="str">
        <f t="shared" si="32"/>
        <v>OK</v>
      </c>
      <c r="AF38" s="10">
        <f t="shared" si="33"/>
        <v>42</v>
      </c>
      <c r="AG38" s="10">
        <f t="shared" si="34"/>
        <v>18</v>
      </c>
      <c r="AH38" s="11">
        <f t="shared" si="35"/>
        <v>0.42857142857142855</v>
      </c>
      <c r="AI38" s="11">
        <f t="shared" si="36"/>
        <v>0.76190476190476186</v>
      </c>
      <c r="AJ38" s="12">
        <f t="shared" si="37"/>
        <v>0.33333333333333331</v>
      </c>
    </row>
    <row r="39" spans="1:36">
      <c r="A39" s="3" t="s">
        <v>72</v>
      </c>
      <c r="B39" s="4">
        <f>COUNTIF(Positions!$B$2:$B$4694,A39)</f>
        <v>84</v>
      </c>
      <c r="C39" s="4">
        <f>COUNTIFS(Positions!$B$2:$B$4694,A39,Positions!$E$2:$E$4694,"G")</f>
        <v>28</v>
      </c>
      <c r="D39" s="4">
        <f>COUNTIFS(Positions!$B$2:$B$4694,A39,Positions!$E$2:$E$4694,"C")</f>
        <v>22</v>
      </c>
      <c r="E39" s="3">
        <f t="shared" si="19"/>
        <v>50</v>
      </c>
      <c r="F39" s="5">
        <f t="shared" si="20"/>
        <v>0.59523809523809523</v>
      </c>
      <c r="G39" s="4">
        <f>SUMIFS(Stems_3D_BP!$K$2:$K$1765,Stems_3D_BP!$A$2:$A$1765,$A39,Stems_3D_BP!$B$2:$B$1765,"Acceptor stem")</f>
        <v>12</v>
      </c>
      <c r="H39" s="4">
        <f>SUMIFS(Stems_3D_BP!$K$2:$K$1765,Stems_3D_BP!$A$2:$A$1765,$A39,Stems_3D_BP!$B$2:$B$1765,"D-stem")</f>
        <v>7</v>
      </c>
      <c r="I39" s="4">
        <f>SUMIFS(Stems_3D_BP!$K$2:$K$1765,Stems_3D_BP!$A$2:$A$1765,$A39,Stems_3D_BP!$B$2:$B$1765,"Anticodon stem")</f>
        <v>6</v>
      </c>
      <c r="J39" s="4">
        <f>SUMIFS(Stems_3D_BP!$K$2:$K$1765,Stems_3D_BP!$A$2:$A$1765,$A39,Stems_3D_BP!$B$2:$B$1765,"T-stem")</f>
        <v>7</v>
      </c>
      <c r="K39" s="3">
        <f t="shared" si="21"/>
        <v>32</v>
      </c>
      <c r="L39" s="5">
        <f t="shared" si="22"/>
        <v>0.76190476190476186</v>
      </c>
      <c r="M39" s="4">
        <f>SUMIFS(Stems_3D_BP!$K$2:$K$1765,Stems_3D_BP!$A$2:$A$1765,$A39,Stems_3D_BP!$B$2:$B$1765,"3D (tertiary) BP")</f>
        <v>7</v>
      </c>
      <c r="N39" s="6">
        <f t="shared" si="23"/>
        <v>0.5</v>
      </c>
      <c r="O39" s="3">
        <f t="shared" si="24"/>
        <v>39</v>
      </c>
      <c r="P39" s="5">
        <f t="shared" si="25"/>
        <v>0.6964285714285714</v>
      </c>
      <c r="Q39" s="4">
        <f>SUMIFS(Loops!$I$2:$I$316,Loops!$A$2:$A$316,$A39,Loops!$B$2:$B$316,"D-loop")</f>
        <v>6</v>
      </c>
      <c r="R39" s="4">
        <f>SUMIFS(Loops!$I$2:$I$316,Loops!$A$2:$A$316,$A39,Loops!$B$2:$B$316,"Anticodon loop")</f>
        <v>4</v>
      </c>
      <c r="S39" s="4">
        <f>SUMIFS(Loops!$I$2:$I$316,Loops!$A$2:$A$316,$A39,Loops!$B$2:$B$316,"Variable loop")</f>
        <v>5</v>
      </c>
      <c r="T39" s="4">
        <f>SUMIFS(Loops!$I$2:$I$316,Loops!$A$2:$A$316,$A39,Loops!$B$2:$B$316,"TΨC-loop")</f>
        <v>2</v>
      </c>
      <c r="U39" s="4">
        <f>SUMIFS(Loops!$F$2:$F$316,Loops!$A$2:$A$316,$A39)-SUMIFS(Loops!$F$2:$F$316,Loops!$A$2:$A$316,$A39,Loops!$B$2:$B$316,"Positions 8, 9, 26")</f>
        <v>39</v>
      </c>
      <c r="V39" s="3">
        <f t="shared" si="26"/>
        <v>17</v>
      </c>
      <c r="W39" s="5">
        <f t="shared" si="27"/>
        <v>0.4358974358974359</v>
      </c>
      <c r="X39" s="7" t="str">
        <f>INDEX(Positions!$E$2:$E$4694,MATCH($A39&amp;"|8",Positions!$A$2:$A$4694,0))</f>
        <v>U</v>
      </c>
      <c r="Y39" s="7" t="str">
        <f>INDEX(Positions!$E$2:$E$4694,MATCH($A39&amp;"|9",Positions!$A$2:$A$4694,0))</f>
        <v>U</v>
      </c>
      <c r="Z39" s="7" t="str">
        <f>INDEX(Positions!$E$2:$E$4694,MATCH($A39&amp;"|26",Positions!$A$2:$A$4694,0))</f>
        <v>G</v>
      </c>
      <c r="AA39" s="7">
        <f t="shared" si="28"/>
        <v>1</v>
      </c>
      <c r="AB39" s="7">
        <f t="shared" si="29"/>
        <v>0</v>
      </c>
      <c r="AC39" s="8">
        <f t="shared" si="30"/>
        <v>1</v>
      </c>
      <c r="AD39" s="9">
        <f t="shared" si="31"/>
        <v>0.33333333333333331</v>
      </c>
      <c r="AE39" s="7" t="str">
        <f t="shared" si="32"/>
        <v>OK</v>
      </c>
      <c r="AF39" s="10">
        <f t="shared" si="33"/>
        <v>42</v>
      </c>
      <c r="AG39" s="10">
        <f t="shared" si="34"/>
        <v>18</v>
      </c>
      <c r="AH39" s="11">
        <f t="shared" si="35"/>
        <v>0.42857142857142855</v>
      </c>
      <c r="AI39" s="11">
        <f t="shared" si="36"/>
        <v>0.76190476190476186</v>
      </c>
      <c r="AJ39" s="12">
        <f t="shared" si="37"/>
        <v>0.33333333333333331</v>
      </c>
    </row>
    <row r="40" spans="1:36">
      <c r="A40" s="3" t="s">
        <v>73</v>
      </c>
      <c r="B40" s="4">
        <f>COUNTIF(Positions!$B$2:$B$4694,A40)</f>
        <v>84</v>
      </c>
      <c r="C40" s="4">
        <f>COUNTIFS(Positions!$B$2:$B$4694,A40,Positions!$E$2:$E$4694,"G")</f>
        <v>26</v>
      </c>
      <c r="D40" s="4">
        <f>COUNTIFS(Positions!$B$2:$B$4694,A40,Positions!$E$2:$E$4694,"C")</f>
        <v>25</v>
      </c>
      <c r="E40" s="3">
        <f t="shared" si="19"/>
        <v>51</v>
      </c>
      <c r="F40" s="5">
        <f t="shared" si="20"/>
        <v>0.6071428571428571</v>
      </c>
      <c r="G40" s="4">
        <f>SUMIFS(Stems_3D_BP!$K$2:$K$1765,Stems_3D_BP!$A$2:$A$1765,$A40,Stems_3D_BP!$B$2:$B$1765,"Acceptor stem")</f>
        <v>12</v>
      </c>
      <c r="H40" s="4">
        <f>SUMIFS(Stems_3D_BP!$K$2:$K$1765,Stems_3D_BP!$A$2:$A$1765,$A40,Stems_3D_BP!$B$2:$B$1765,"D-stem")</f>
        <v>7</v>
      </c>
      <c r="I40" s="4">
        <f>SUMIFS(Stems_3D_BP!$K$2:$K$1765,Stems_3D_BP!$A$2:$A$1765,$A40,Stems_3D_BP!$B$2:$B$1765,"Anticodon stem")</f>
        <v>8</v>
      </c>
      <c r="J40" s="4">
        <f>SUMIFS(Stems_3D_BP!$K$2:$K$1765,Stems_3D_BP!$A$2:$A$1765,$A40,Stems_3D_BP!$B$2:$B$1765,"T-stem")</f>
        <v>8</v>
      </c>
      <c r="K40" s="3">
        <f t="shared" si="21"/>
        <v>35</v>
      </c>
      <c r="L40" s="5">
        <f t="shared" si="22"/>
        <v>0.83333333333333337</v>
      </c>
      <c r="M40" s="4">
        <f>SUMIFS(Stems_3D_BP!$K$2:$K$1765,Stems_3D_BP!$A$2:$A$1765,$A40,Stems_3D_BP!$B$2:$B$1765,"3D (tertiary) BP")</f>
        <v>7</v>
      </c>
      <c r="N40" s="6">
        <f t="shared" si="23"/>
        <v>0.5</v>
      </c>
      <c r="O40" s="3">
        <f t="shared" si="24"/>
        <v>42</v>
      </c>
      <c r="P40" s="5">
        <f t="shared" si="25"/>
        <v>0.75</v>
      </c>
      <c r="Q40" s="4">
        <f>SUMIFS(Loops!$I$2:$I$316,Loops!$A$2:$A$316,$A40,Loops!$B$2:$B$316,"D-loop")</f>
        <v>6</v>
      </c>
      <c r="R40" s="4">
        <f>SUMIFS(Loops!$I$2:$I$316,Loops!$A$2:$A$316,$A40,Loops!$B$2:$B$316,"Anticodon loop")</f>
        <v>2</v>
      </c>
      <c r="S40" s="4">
        <f>SUMIFS(Loops!$I$2:$I$316,Loops!$A$2:$A$316,$A40,Loops!$B$2:$B$316,"Variable loop")</f>
        <v>5</v>
      </c>
      <c r="T40" s="4">
        <f>SUMIFS(Loops!$I$2:$I$316,Loops!$A$2:$A$316,$A40,Loops!$B$2:$B$316,"TΨC-loop")</f>
        <v>2</v>
      </c>
      <c r="U40" s="4">
        <f>SUMIFS(Loops!$F$2:$F$316,Loops!$A$2:$A$316,$A40)-SUMIFS(Loops!$F$2:$F$316,Loops!$A$2:$A$316,$A40,Loops!$B$2:$B$316,"Positions 8, 9, 26")</f>
        <v>39</v>
      </c>
      <c r="V40" s="3">
        <f t="shared" si="26"/>
        <v>15</v>
      </c>
      <c r="W40" s="5">
        <f t="shared" si="27"/>
        <v>0.38461538461538464</v>
      </c>
      <c r="X40" s="7" t="str">
        <f>INDEX(Positions!$E$2:$E$4694,MATCH($A40&amp;"|8",Positions!$A$2:$A$4694,0))</f>
        <v>U</v>
      </c>
      <c r="Y40" s="7" t="str">
        <f>INDEX(Positions!$E$2:$E$4694,MATCH($A40&amp;"|9",Positions!$A$2:$A$4694,0))</f>
        <v>U</v>
      </c>
      <c r="Z40" s="7" t="str">
        <f>INDEX(Positions!$E$2:$E$4694,MATCH($A40&amp;"|26",Positions!$A$2:$A$4694,0))</f>
        <v>G</v>
      </c>
      <c r="AA40" s="7">
        <f t="shared" si="28"/>
        <v>1</v>
      </c>
      <c r="AB40" s="7">
        <f t="shared" si="29"/>
        <v>0</v>
      </c>
      <c r="AC40" s="8">
        <f t="shared" si="30"/>
        <v>1</v>
      </c>
      <c r="AD40" s="9">
        <f t="shared" si="31"/>
        <v>0.33333333333333331</v>
      </c>
      <c r="AE40" s="7" t="str">
        <f t="shared" si="32"/>
        <v>OK</v>
      </c>
      <c r="AF40" s="10">
        <f t="shared" si="33"/>
        <v>42</v>
      </c>
      <c r="AG40" s="10">
        <f t="shared" si="34"/>
        <v>16</v>
      </c>
      <c r="AH40" s="11">
        <f t="shared" si="35"/>
        <v>0.38095238095238093</v>
      </c>
      <c r="AI40" s="11">
        <f t="shared" si="36"/>
        <v>0.83333333333333337</v>
      </c>
      <c r="AJ40" s="12">
        <f t="shared" si="37"/>
        <v>0.45238095238095244</v>
      </c>
    </row>
    <row r="41" spans="1:36">
      <c r="A41" s="3" t="s">
        <v>74</v>
      </c>
      <c r="B41" s="4">
        <f>COUNTIF(Positions!$B$2:$B$4694,A41)</f>
        <v>84</v>
      </c>
      <c r="C41" s="4">
        <f>COUNTIFS(Positions!$B$2:$B$4694,A41,Positions!$E$2:$E$4694,"G")</f>
        <v>25</v>
      </c>
      <c r="D41" s="4">
        <f>COUNTIFS(Positions!$B$2:$B$4694,A41,Positions!$E$2:$E$4694,"C")</f>
        <v>24</v>
      </c>
      <c r="E41" s="3">
        <f t="shared" si="19"/>
        <v>49</v>
      </c>
      <c r="F41" s="5">
        <f t="shared" si="20"/>
        <v>0.58333333333333337</v>
      </c>
      <c r="G41" s="4">
        <f>SUMIFS(Stems_3D_BP!$K$2:$K$1765,Stems_3D_BP!$A$2:$A$1765,$A41,Stems_3D_BP!$B$2:$B$1765,"Acceptor stem")</f>
        <v>11</v>
      </c>
      <c r="H41" s="4">
        <f>SUMIFS(Stems_3D_BP!$K$2:$K$1765,Stems_3D_BP!$A$2:$A$1765,$A41,Stems_3D_BP!$B$2:$B$1765,"D-stem")</f>
        <v>7</v>
      </c>
      <c r="I41" s="4">
        <f>SUMIFS(Stems_3D_BP!$K$2:$K$1765,Stems_3D_BP!$A$2:$A$1765,$A41,Stems_3D_BP!$B$2:$B$1765,"Anticodon stem")</f>
        <v>6</v>
      </c>
      <c r="J41" s="4">
        <f>SUMIFS(Stems_3D_BP!$K$2:$K$1765,Stems_3D_BP!$A$2:$A$1765,$A41,Stems_3D_BP!$B$2:$B$1765,"T-stem")</f>
        <v>8</v>
      </c>
      <c r="K41" s="3">
        <f t="shared" si="21"/>
        <v>32</v>
      </c>
      <c r="L41" s="5">
        <f t="shared" si="22"/>
        <v>0.76190476190476186</v>
      </c>
      <c r="M41" s="4">
        <f>SUMIFS(Stems_3D_BP!$K$2:$K$1765,Stems_3D_BP!$A$2:$A$1765,$A41,Stems_3D_BP!$B$2:$B$1765,"3D (tertiary) BP")</f>
        <v>7</v>
      </c>
      <c r="N41" s="6">
        <f t="shared" si="23"/>
        <v>0.5</v>
      </c>
      <c r="O41" s="3">
        <f t="shared" si="24"/>
        <v>39</v>
      </c>
      <c r="P41" s="5">
        <f t="shared" si="25"/>
        <v>0.6964285714285714</v>
      </c>
      <c r="Q41" s="4">
        <f>SUMIFS(Loops!$I$2:$I$316,Loops!$A$2:$A$316,$A41,Loops!$B$2:$B$316,"D-loop")</f>
        <v>7</v>
      </c>
      <c r="R41" s="4">
        <f>SUMIFS(Loops!$I$2:$I$316,Loops!$A$2:$A$316,$A41,Loops!$B$2:$B$316,"Anticodon loop")</f>
        <v>2</v>
      </c>
      <c r="S41" s="4">
        <f>SUMIFS(Loops!$I$2:$I$316,Loops!$A$2:$A$316,$A41,Loops!$B$2:$B$316,"Variable loop")</f>
        <v>5</v>
      </c>
      <c r="T41" s="4">
        <f>SUMIFS(Loops!$I$2:$I$316,Loops!$A$2:$A$316,$A41,Loops!$B$2:$B$316,"TΨC-loop")</f>
        <v>2</v>
      </c>
      <c r="U41" s="4">
        <f>SUMIFS(Loops!$F$2:$F$316,Loops!$A$2:$A$316,$A41)-SUMIFS(Loops!$F$2:$F$316,Loops!$A$2:$A$316,$A41,Loops!$B$2:$B$316,"Positions 8, 9, 26")</f>
        <v>39</v>
      </c>
      <c r="V41" s="3">
        <f t="shared" si="26"/>
        <v>16</v>
      </c>
      <c r="W41" s="5">
        <f t="shared" si="27"/>
        <v>0.41025641025641024</v>
      </c>
      <c r="X41" s="7" t="str">
        <f>INDEX(Positions!$E$2:$E$4694,MATCH($A41&amp;"|8",Positions!$A$2:$A$4694,0))</f>
        <v>U</v>
      </c>
      <c r="Y41" s="7" t="str">
        <f>INDEX(Positions!$E$2:$E$4694,MATCH($A41&amp;"|9",Positions!$A$2:$A$4694,0))</f>
        <v>U</v>
      </c>
      <c r="Z41" s="7" t="str">
        <f>INDEX(Positions!$E$2:$E$4694,MATCH($A41&amp;"|26",Positions!$A$2:$A$4694,0))</f>
        <v>G</v>
      </c>
      <c r="AA41" s="7">
        <f t="shared" si="28"/>
        <v>1</v>
      </c>
      <c r="AB41" s="7">
        <f t="shared" si="29"/>
        <v>0</v>
      </c>
      <c r="AC41" s="8">
        <f t="shared" si="30"/>
        <v>1</v>
      </c>
      <c r="AD41" s="9">
        <f t="shared" si="31"/>
        <v>0.33333333333333331</v>
      </c>
      <c r="AE41" s="7" t="str">
        <f t="shared" si="32"/>
        <v>OK</v>
      </c>
      <c r="AF41" s="10">
        <f t="shared" si="33"/>
        <v>42</v>
      </c>
      <c r="AG41" s="10">
        <f t="shared" si="34"/>
        <v>17</v>
      </c>
      <c r="AH41" s="11">
        <f t="shared" si="35"/>
        <v>0.40476190476190477</v>
      </c>
      <c r="AI41" s="11">
        <f t="shared" si="36"/>
        <v>0.76190476190476186</v>
      </c>
      <c r="AJ41" s="12">
        <f t="shared" si="37"/>
        <v>0.3571428571428571</v>
      </c>
    </row>
    <row r="42" spans="1:36">
      <c r="A42" s="3" t="s">
        <v>75</v>
      </c>
      <c r="B42" s="4">
        <f>COUNTIF(Positions!$B$2:$B$4694,A42)</f>
        <v>84</v>
      </c>
      <c r="C42" s="4">
        <f>COUNTIFS(Positions!$B$2:$B$4694,A42,Positions!$E$2:$E$4694,"G")</f>
        <v>24</v>
      </c>
      <c r="D42" s="4">
        <f>COUNTIFS(Positions!$B$2:$B$4694,A42,Positions!$E$2:$E$4694,"C")</f>
        <v>23</v>
      </c>
      <c r="E42" s="3">
        <f t="shared" si="19"/>
        <v>47</v>
      </c>
      <c r="F42" s="5">
        <f t="shared" si="20"/>
        <v>0.55952380952380953</v>
      </c>
      <c r="G42" s="4">
        <f>SUMIFS(Stems_3D_BP!$K$2:$K$1765,Stems_3D_BP!$A$2:$A$1765,$A42,Stems_3D_BP!$B$2:$B$1765,"Acceptor stem")</f>
        <v>11</v>
      </c>
      <c r="H42" s="4">
        <f>SUMIFS(Stems_3D_BP!$K$2:$K$1765,Stems_3D_BP!$A$2:$A$1765,$A42,Stems_3D_BP!$B$2:$B$1765,"D-stem")</f>
        <v>7</v>
      </c>
      <c r="I42" s="4">
        <f>SUMIFS(Stems_3D_BP!$K$2:$K$1765,Stems_3D_BP!$A$2:$A$1765,$A42,Stems_3D_BP!$B$2:$B$1765,"Anticodon stem")</f>
        <v>8</v>
      </c>
      <c r="J42" s="4">
        <f>SUMIFS(Stems_3D_BP!$K$2:$K$1765,Stems_3D_BP!$A$2:$A$1765,$A42,Stems_3D_BP!$B$2:$B$1765,"T-stem")</f>
        <v>4</v>
      </c>
      <c r="K42" s="3">
        <f t="shared" si="21"/>
        <v>30</v>
      </c>
      <c r="L42" s="5">
        <f t="shared" si="22"/>
        <v>0.7142857142857143</v>
      </c>
      <c r="M42" s="4">
        <f>SUMIFS(Stems_3D_BP!$K$2:$K$1765,Stems_3D_BP!$A$2:$A$1765,$A42,Stems_3D_BP!$B$2:$B$1765,"3D (tertiary) BP")</f>
        <v>7</v>
      </c>
      <c r="N42" s="6">
        <f t="shared" si="23"/>
        <v>0.5</v>
      </c>
      <c r="O42" s="3">
        <f t="shared" si="24"/>
        <v>37</v>
      </c>
      <c r="P42" s="5">
        <f t="shared" si="25"/>
        <v>0.6607142857142857</v>
      </c>
      <c r="Q42" s="4">
        <f>SUMIFS(Loops!$I$2:$I$316,Loops!$A$2:$A$316,$A42,Loops!$B$2:$B$316,"D-loop")</f>
        <v>7</v>
      </c>
      <c r="R42" s="4">
        <f>SUMIFS(Loops!$I$2:$I$316,Loops!$A$2:$A$316,$A42,Loops!$B$2:$B$316,"Anticodon loop")</f>
        <v>2</v>
      </c>
      <c r="S42" s="4">
        <f>SUMIFS(Loops!$I$2:$I$316,Loops!$A$2:$A$316,$A42,Loops!$B$2:$B$316,"Variable loop")</f>
        <v>5</v>
      </c>
      <c r="T42" s="4">
        <f>SUMIFS(Loops!$I$2:$I$316,Loops!$A$2:$A$316,$A42,Loops!$B$2:$B$316,"TΨC-loop")</f>
        <v>2</v>
      </c>
      <c r="U42" s="4">
        <f>SUMIFS(Loops!$F$2:$F$316,Loops!$A$2:$A$316,$A42)-SUMIFS(Loops!$F$2:$F$316,Loops!$A$2:$A$316,$A42,Loops!$B$2:$B$316,"Positions 8, 9, 26")</f>
        <v>39</v>
      </c>
      <c r="V42" s="3">
        <f t="shared" si="26"/>
        <v>16</v>
      </c>
      <c r="W42" s="5">
        <f t="shared" si="27"/>
        <v>0.41025641025641024</v>
      </c>
      <c r="X42" s="7" t="str">
        <f>INDEX(Positions!$E$2:$E$4694,MATCH($A42&amp;"|8",Positions!$A$2:$A$4694,0))</f>
        <v>U</v>
      </c>
      <c r="Y42" s="7" t="str">
        <f>INDEX(Positions!$E$2:$E$4694,MATCH($A42&amp;"|9",Positions!$A$2:$A$4694,0))</f>
        <v>U</v>
      </c>
      <c r="Z42" s="7" t="str">
        <f>INDEX(Positions!$E$2:$E$4694,MATCH($A42&amp;"|26",Positions!$A$2:$A$4694,0))</f>
        <v>G</v>
      </c>
      <c r="AA42" s="7">
        <f t="shared" si="28"/>
        <v>1</v>
      </c>
      <c r="AB42" s="7">
        <f t="shared" si="29"/>
        <v>0</v>
      </c>
      <c r="AC42" s="8">
        <f t="shared" si="30"/>
        <v>1</v>
      </c>
      <c r="AD42" s="9">
        <f t="shared" si="31"/>
        <v>0.33333333333333331</v>
      </c>
      <c r="AE42" s="7" t="str">
        <f t="shared" si="32"/>
        <v>OK</v>
      </c>
      <c r="AF42" s="10">
        <f t="shared" si="33"/>
        <v>42</v>
      </c>
      <c r="AG42" s="10">
        <f t="shared" si="34"/>
        <v>17</v>
      </c>
      <c r="AH42" s="11">
        <f t="shared" si="35"/>
        <v>0.40476190476190477</v>
      </c>
      <c r="AI42" s="11">
        <f t="shared" si="36"/>
        <v>0.7142857142857143</v>
      </c>
      <c r="AJ42" s="12">
        <f t="shared" si="37"/>
        <v>0.30952380952380953</v>
      </c>
    </row>
    <row r="43" spans="1:36">
      <c r="A43" s="3" t="s">
        <v>76</v>
      </c>
      <c r="B43" s="4">
        <f>COUNTIF(Positions!$B$2:$B$4694,A43)</f>
        <v>84</v>
      </c>
      <c r="C43" s="4">
        <f>COUNTIFS(Positions!$B$2:$B$4694,A43,Positions!$E$2:$E$4694,"G")</f>
        <v>26</v>
      </c>
      <c r="D43" s="4">
        <f>COUNTIFS(Positions!$B$2:$B$4694,A43,Positions!$E$2:$E$4694,"C")</f>
        <v>23</v>
      </c>
      <c r="E43" s="3">
        <f t="shared" si="19"/>
        <v>49</v>
      </c>
      <c r="F43" s="5">
        <f t="shared" si="20"/>
        <v>0.58333333333333337</v>
      </c>
      <c r="G43" s="4">
        <f>SUMIFS(Stems_3D_BP!$K$2:$K$1765,Stems_3D_BP!$A$2:$A$1765,$A43,Stems_3D_BP!$B$2:$B$1765,"Acceptor stem")</f>
        <v>12</v>
      </c>
      <c r="H43" s="4">
        <f>SUMIFS(Stems_3D_BP!$K$2:$K$1765,Stems_3D_BP!$A$2:$A$1765,$A43,Stems_3D_BP!$B$2:$B$1765,"D-stem")</f>
        <v>7</v>
      </c>
      <c r="I43" s="4">
        <f>SUMIFS(Stems_3D_BP!$K$2:$K$1765,Stems_3D_BP!$A$2:$A$1765,$A43,Stems_3D_BP!$B$2:$B$1765,"Anticodon stem")</f>
        <v>6</v>
      </c>
      <c r="J43" s="4">
        <f>SUMIFS(Stems_3D_BP!$K$2:$K$1765,Stems_3D_BP!$A$2:$A$1765,$A43,Stems_3D_BP!$B$2:$B$1765,"T-stem")</f>
        <v>8</v>
      </c>
      <c r="K43" s="3">
        <f t="shared" si="21"/>
        <v>33</v>
      </c>
      <c r="L43" s="5">
        <f t="shared" si="22"/>
        <v>0.7857142857142857</v>
      </c>
      <c r="M43" s="4">
        <f>SUMIFS(Stems_3D_BP!$K$2:$K$1765,Stems_3D_BP!$A$2:$A$1765,$A43,Stems_3D_BP!$B$2:$B$1765,"3D (tertiary) BP")</f>
        <v>7</v>
      </c>
      <c r="N43" s="6">
        <f t="shared" si="23"/>
        <v>0.5</v>
      </c>
      <c r="O43" s="3">
        <f t="shared" si="24"/>
        <v>40</v>
      </c>
      <c r="P43" s="5">
        <f t="shared" si="25"/>
        <v>0.7142857142857143</v>
      </c>
      <c r="Q43" s="4">
        <f>SUMIFS(Loops!$I$2:$I$316,Loops!$A$2:$A$316,$A43,Loops!$B$2:$B$316,"D-loop")</f>
        <v>5</v>
      </c>
      <c r="R43" s="4">
        <f>SUMIFS(Loops!$I$2:$I$316,Loops!$A$2:$A$316,$A43,Loops!$B$2:$B$316,"Anticodon loop")</f>
        <v>3</v>
      </c>
      <c r="S43" s="4">
        <f>SUMIFS(Loops!$I$2:$I$316,Loops!$A$2:$A$316,$A43,Loops!$B$2:$B$316,"Variable loop")</f>
        <v>5</v>
      </c>
      <c r="T43" s="4">
        <f>SUMIFS(Loops!$I$2:$I$316,Loops!$A$2:$A$316,$A43,Loops!$B$2:$B$316,"TΨC-loop")</f>
        <v>2</v>
      </c>
      <c r="U43" s="4">
        <f>SUMIFS(Loops!$F$2:$F$316,Loops!$A$2:$A$316,$A43)-SUMIFS(Loops!$F$2:$F$316,Loops!$A$2:$A$316,$A43,Loops!$B$2:$B$316,"Positions 8, 9, 26")</f>
        <v>39</v>
      </c>
      <c r="V43" s="3">
        <f t="shared" si="26"/>
        <v>15</v>
      </c>
      <c r="W43" s="5">
        <f t="shared" si="27"/>
        <v>0.38461538461538464</v>
      </c>
      <c r="X43" s="7" t="str">
        <f>INDEX(Positions!$E$2:$E$4694,MATCH($A43&amp;"|8",Positions!$A$2:$A$4694,0))</f>
        <v>U</v>
      </c>
      <c r="Y43" s="7" t="str">
        <f>INDEX(Positions!$E$2:$E$4694,MATCH($A43&amp;"|9",Positions!$A$2:$A$4694,0))</f>
        <v>U</v>
      </c>
      <c r="Z43" s="7" t="str">
        <f>INDEX(Positions!$E$2:$E$4694,MATCH($A43&amp;"|26",Positions!$A$2:$A$4694,0))</f>
        <v>G</v>
      </c>
      <c r="AA43" s="7">
        <f t="shared" si="28"/>
        <v>1</v>
      </c>
      <c r="AB43" s="7">
        <f t="shared" si="29"/>
        <v>0</v>
      </c>
      <c r="AC43" s="8">
        <f t="shared" si="30"/>
        <v>1</v>
      </c>
      <c r="AD43" s="9">
        <f t="shared" si="31"/>
        <v>0.33333333333333331</v>
      </c>
      <c r="AE43" s="7" t="str">
        <f t="shared" si="32"/>
        <v>OK</v>
      </c>
      <c r="AF43" s="10">
        <f t="shared" si="33"/>
        <v>42</v>
      </c>
      <c r="AG43" s="10">
        <f t="shared" si="34"/>
        <v>16</v>
      </c>
      <c r="AH43" s="11">
        <f t="shared" si="35"/>
        <v>0.38095238095238093</v>
      </c>
      <c r="AI43" s="11">
        <f t="shared" si="36"/>
        <v>0.7857142857142857</v>
      </c>
      <c r="AJ43" s="12">
        <f t="shared" si="37"/>
        <v>0.40476190476190477</v>
      </c>
    </row>
    <row r="44" spans="1:36">
      <c r="A44" s="3" t="s">
        <v>77</v>
      </c>
      <c r="B44" s="4">
        <f>COUNTIF(Positions!$B$2:$B$4694,A44)</f>
        <v>73</v>
      </c>
      <c r="C44" s="4">
        <f>COUNTIFS(Positions!$B$2:$B$4694,A44,Positions!$E$2:$E$4694,"G")</f>
        <v>23</v>
      </c>
      <c r="D44" s="4">
        <f>COUNTIFS(Positions!$B$2:$B$4694,A44,Positions!$E$2:$E$4694,"C")</f>
        <v>21</v>
      </c>
      <c r="E44" s="3">
        <f t="shared" si="19"/>
        <v>44</v>
      </c>
      <c r="F44" s="5">
        <f t="shared" si="20"/>
        <v>0.60273972602739723</v>
      </c>
      <c r="G44" s="4">
        <f>SUMIFS(Stems_3D_BP!$K$2:$K$1765,Stems_3D_BP!$A$2:$A$1765,$A44,Stems_3D_BP!$B$2:$B$1765,"Acceptor stem")</f>
        <v>14</v>
      </c>
      <c r="H44" s="4">
        <f>SUMIFS(Stems_3D_BP!$K$2:$K$1765,Stems_3D_BP!$A$2:$A$1765,$A44,Stems_3D_BP!$B$2:$B$1765,"D-stem")</f>
        <v>5</v>
      </c>
      <c r="I44" s="4">
        <f>SUMIFS(Stems_3D_BP!$K$2:$K$1765,Stems_3D_BP!$A$2:$A$1765,$A44,Stems_3D_BP!$B$2:$B$1765,"Anticodon stem")</f>
        <v>4</v>
      </c>
      <c r="J44" s="4">
        <f>SUMIFS(Stems_3D_BP!$K$2:$K$1765,Stems_3D_BP!$A$2:$A$1765,$A44,Stems_3D_BP!$B$2:$B$1765,"T-stem")</f>
        <v>8</v>
      </c>
      <c r="K44" s="3">
        <f t="shared" si="21"/>
        <v>31</v>
      </c>
      <c r="L44" s="5">
        <f t="shared" si="22"/>
        <v>0.73809523809523814</v>
      </c>
      <c r="M44" s="4">
        <f>SUMIFS(Stems_3D_BP!$K$2:$K$1765,Stems_3D_BP!$A$2:$A$1765,$A44,Stems_3D_BP!$B$2:$B$1765,"3D (tertiary) BP")</f>
        <v>7</v>
      </c>
      <c r="N44" s="6">
        <f t="shared" si="23"/>
        <v>0.5</v>
      </c>
      <c r="O44" s="3">
        <f t="shared" si="24"/>
        <v>38</v>
      </c>
      <c r="P44" s="5">
        <f t="shared" si="25"/>
        <v>0.6785714285714286</v>
      </c>
      <c r="Q44" s="4">
        <f>SUMIFS(Loops!$I$2:$I$316,Loops!$A$2:$A$316,$A44,Loops!$B$2:$B$316,"D-loop")</f>
        <v>5</v>
      </c>
      <c r="R44" s="4">
        <f>SUMIFS(Loops!$I$2:$I$316,Loops!$A$2:$A$316,$A44,Loops!$B$2:$B$316,"Anticodon loop")</f>
        <v>2</v>
      </c>
      <c r="S44" s="4">
        <f>SUMIFS(Loops!$I$2:$I$316,Loops!$A$2:$A$316,$A44,Loops!$B$2:$B$316,"Variable loop")</f>
        <v>4</v>
      </c>
      <c r="T44" s="4">
        <f>SUMIFS(Loops!$I$2:$I$316,Loops!$A$2:$A$316,$A44,Loops!$B$2:$B$316,"TΨC-loop")</f>
        <v>1</v>
      </c>
      <c r="U44" s="4">
        <f>SUMIFS(Loops!$F$2:$F$316,Loops!$A$2:$A$316,$A44)-SUMIFS(Loops!$F$2:$F$316,Loops!$A$2:$A$316,$A44,Loops!$B$2:$B$316,"Positions 8, 9, 26")</f>
        <v>28</v>
      </c>
      <c r="V44" s="3">
        <f t="shared" si="26"/>
        <v>12</v>
      </c>
      <c r="W44" s="5">
        <f t="shared" si="27"/>
        <v>0.42857142857142855</v>
      </c>
      <c r="X44" s="7" t="str">
        <f>INDEX(Positions!$E$2:$E$4694,MATCH($A44&amp;"|8",Positions!$A$2:$A$4694,0))</f>
        <v>U</v>
      </c>
      <c r="Y44" s="7" t="str">
        <f>INDEX(Positions!$E$2:$E$4694,MATCH($A44&amp;"|9",Positions!$A$2:$A$4694,0))</f>
        <v>A</v>
      </c>
      <c r="Z44" s="7" t="str">
        <f>INDEX(Positions!$E$2:$E$4694,MATCH($A44&amp;"|26",Positions!$A$2:$A$4694,0))</f>
        <v>G</v>
      </c>
      <c r="AA44" s="7">
        <f t="shared" si="28"/>
        <v>1</v>
      </c>
      <c r="AB44" s="7">
        <f t="shared" si="29"/>
        <v>0</v>
      </c>
      <c r="AC44" s="8">
        <f t="shared" si="30"/>
        <v>1</v>
      </c>
      <c r="AD44" s="9">
        <f t="shared" si="31"/>
        <v>0.33333333333333331</v>
      </c>
      <c r="AE44" s="7" t="str">
        <f t="shared" si="32"/>
        <v>OK</v>
      </c>
      <c r="AF44" s="10">
        <f t="shared" si="33"/>
        <v>31</v>
      </c>
      <c r="AG44" s="10">
        <f t="shared" si="34"/>
        <v>13</v>
      </c>
      <c r="AH44" s="11">
        <f t="shared" si="35"/>
        <v>0.41935483870967744</v>
      </c>
      <c r="AI44" s="11">
        <f t="shared" si="36"/>
        <v>0.73809523809523814</v>
      </c>
      <c r="AJ44" s="12">
        <f t="shared" si="37"/>
        <v>0.3187403993855607</v>
      </c>
    </row>
    <row r="45" spans="1:36">
      <c r="A45" s="3" t="s">
        <v>78</v>
      </c>
      <c r="B45" s="4">
        <f>COUNTIF(Positions!$B$2:$B$4694,A45)</f>
        <v>73</v>
      </c>
      <c r="C45" s="4">
        <f>COUNTIFS(Positions!$B$2:$B$4694,A45,Positions!$E$2:$E$4694,"G")</f>
        <v>22</v>
      </c>
      <c r="D45" s="4">
        <f>COUNTIFS(Positions!$B$2:$B$4694,A45,Positions!$E$2:$E$4694,"C")</f>
        <v>23</v>
      </c>
      <c r="E45" s="3">
        <f t="shared" si="19"/>
        <v>45</v>
      </c>
      <c r="F45" s="5">
        <f t="shared" si="20"/>
        <v>0.61643835616438358</v>
      </c>
      <c r="G45" s="4">
        <f>SUMIFS(Stems_3D_BP!$K$2:$K$1765,Stems_3D_BP!$A$2:$A$1765,$A45,Stems_3D_BP!$B$2:$B$1765,"Acceptor stem")</f>
        <v>14</v>
      </c>
      <c r="H45" s="4">
        <f>SUMIFS(Stems_3D_BP!$K$2:$K$1765,Stems_3D_BP!$A$2:$A$1765,$A45,Stems_3D_BP!$B$2:$B$1765,"D-stem")</f>
        <v>6</v>
      </c>
      <c r="I45" s="4">
        <f>SUMIFS(Stems_3D_BP!$K$2:$K$1765,Stems_3D_BP!$A$2:$A$1765,$A45,Stems_3D_BP!$B$2:$B$1765,"Anticodon stem")</f>
        <v>6</v>
      </c>
      <c r="J45" s="4">
        <f>SUMIFS(Stems_3D_BP!$K$2:$K$1765,Stems_3D_BP!$A$2:$A$1765,$A45,Stems_3D_BP!$B$2:$B$1765,"T-stem")</f>
        <v>6</v>
      </c>
      <c r="K45" s="3">
        <f t="shared" si="21"/>
        <v>32</v>
      </c>
      <c r="L45" s="5">
        <f t="shared" si="22"/>
        <v>0.76190476190476186</v>
      </c>
      <c r="M45" s="4">
        <f>SUMIFS(Stems_3D_BP!$K$2:$K$1765,Stems_3D_BP!$A$2:$A$1765,$A45,Stems_3D_BP!$B$2:$B$1765,"3D (tertiary) BP")</f>
        <v>8</v>
      </c>
      <c r="N45" s="6">
        <f t="shared" si="23"/>
        <v>0.5714285714285714</v>
      </c>
      <c r="O45" s="3">
        <f t="shared" si="24"/>
        <v>40</v>
      </c>
      <c r="P45" s="5">
        <f t="shared" si="25"/>
        <v>0.7142857142857143</v>
      </c>
      <c r="Q45" s="4">
        <f>SUMIFS(Loops!$I$2:$I$316,Loops!$A$2:$A$316,$A45,Loops!$B$2:$B$316,"D-loop")</f>
        <v>5</v>
      </c>
      <c r="R45" s="4">
        <f>SUMIFS(Loops!$I$2:$I$316,Loops!$A$2:$A$316,$A45,Loops!$B$2:$B$316,"Anticodon loop")</f>
        <v>1</v>
      </c>
      <c r="S45" s="4">
        <f>SUMIFS(Loops!$I$2:$I$316,Loops!$A$2:$A$316,$A45,Loops!$B$2:$B$316,"Variable loop")</f>
        <v>5</v>
      </c>
      <c r="T45" s="4">
        <f>SUMIFS(Loops!$I$2:$I$316,Loops!$A$2:$A$316,$A45,Loops!$B$2:$B$316,"TΨC-loop")</f>
        <v>1</v>
      </c>
      <c r="U45" s="4">
        <f>SUMIFS(Loops!$F$2:$F$316,Loops!$A$2:$A$316,$A45)-SUMIFS(Loops!$F$2:$F$316,Loops!$A$2:$A$316,$A45,Loops!$B$2:$B$316,"Positions 8, 9, 26")</f>
        <v>28</v>
      </c>
      <c r="V45" s="3">
        <f t="shared" si="26"/>
        <v>12</v>
      </c>
      <c r="W45" s="5">
        <f t="shared" si="27"/>
        <v>0.42857142857142855</v>
      </c>
      <c r="X45" s="7" t="str">
        <f>INDEX(Positions!$E$2:$E$4694,MATCH($A45&amp;"|8",Positions!$A$2:$A$4694,0))</f>
        <v>U</v>
      </c>
      <c r="Y45" s="7" t="str">
        <f>INDEX(Positions!$E$2:$E$4694,MATCH($A45&amp;"|9",Positions!$A$2:$A$4694,0))</f>
        <v>A</v>
      </c>
      <c r="Z45" s="7" t="str">
        <f>INDEX(Positions!$E$2:$E$4694,MATCH($A45&amp;"|26",Positions!$A$2:$A$4694,0))</f>
        <v>G</v>
      </c>
      <c r="AA45" s="7">
        <f t="shared" si="28"/>
        <v>1</v>
      </c>
      <c r="AB45" s="7">
        <f t="shared" si="29"/>
        <v>0</v>
      </c>
      <c r="AC45" s="8">
        <f t="shared" si="30"/>
        <v>1</v>
      </c>
      <c r="AD45" s="9">
        <f t="shared" si="31"/>
        <v>0.33333333333333331</v>
      </c>
      <c r="AE45" s="7" t="str">
        <f t="shared" si="32"/>
        <v>OK</v>
      </c>
      <c r="AF45" s="10">
        <f t="shared" si="33"/>
        <v>31</v>
      </c>
      <c r="AG45" s="10">
        <f t="shared" si="34"/>
        <v>13</v>
      </c>
      <c r="AH45" s="11">
        <f t="shared" si="35"/>
        <v>0.41935483870967744</v>
      </c>
      <c r="AI45" s="11">
        <f t="shared" si="36"/>
        <v>0.76190476190476186</v>
      </c>
      <c r="AJ45" s="12">
        <f t="shared" si="37"/>
        <v>0.34254992319508443</v>
      </c>
    </row>
    <row r="46" spans="1:36">
      <c r="A46" s="3" t="s">
        <v>79</v>
      </c>
      <c r="B46" s="4">
        <f>COUNTIF(Positions!$B$2:$B$4694,A46)</f>
        <v>73</v>
      </c>
      <c r="C46" s="4">
        <f>COUNTIFS(Positions!$B$2:$B$4694,A46,Positions!$E$2:$E$4694,"G")</f>
        <v>26</v>
      </c>
      <c r="D46" s="4">
        <f>COUNTIFS(Positions!$B$2:$B$4694,A46,Positions!$E$2:$E$4694,"C")</f>
        <v>20</v>
      </c>
      <c r="E46" s="3">
        <f t="shared" si="19"/>
        <v>46</v>
      </c>
      <c r="F46" s="5">
        <f t="shared" si="20"/>
        <v>0.63013698630136983</v>
      </c>
      <c r="G46" s="4">
        <f>SUMIFS(Stems_3D_BP!$K$2:$K$1765,Stems_3D_BP!$A$2:$A$1765,$A46,Stems_3D_BP!$B$2:$B$1765,"Acceptor stem")</f>
        <v>12</v>
      </c>
      <c r="H46" s="4">
        <f>SUMIFS(Stems_3D_BP!$K$2:$K$1765,Stems_3D_BP!$A$2:$A$1765,$A46,Stems_3D_BP!$B$2:$B$1765,"D-stem")</f>
        <v>7</v>
      </c>
      <c r="I46" s="4">
        <f>SUMIFS(Stems_3D_BP!$K$2:$K$1765,Stems_3D_BP!$A$2:$A$1765,$A46,Stems_3D_BP!$B$2:$B$1765,"Anticodon stem")</f>
        <v>6</v>
      </c>
      <c r="J46" s="4">
        <f>SUMIFS(Stems_3D_BP!$K$2:$K$1765,Stems_3D_BP!$A$2:$A$1765,$A46,Stems_3D_BP!$B$2:$B$1765,"T-stem")</f>
        <v>8</v>
      </c>
      <c r="K46" s="3">
        <f t="shared" si="21"/>
        <v>33</v>
      </c>
      <c r="L46" s="5">
        <f t="shared" si="22"/>
        <v>0.7857142857142857</v>
      </c>
      <c r="M46" s="4">
        <f>SUMIFS(Stems_3D_BP!$K$2:$K$1765,Stems_3D_BP!$A$2:$A$1765,$A46,Stems_3D_BP!$B$2:$B$1765,"3D (tertiary) BP")</f>
        <v>7</v>
      </c>
      <c r="N46" s="6">
        <f t="shared" si="23"/>
        <v>0.5</v>
      </c>
      <c r="O46" s="3">
        <f t="shared" si="24"/>
        <v>40</v>
      </c>
      <c r="P46" s="5">
        <f t="shared" si="25"/>
        <v>0.7142857142857143</v>
      </c>
      <c r="Q46" s="4">
        <f>SUMIFS(Loops!$I$2:$I$316,Loops!$A$2:$A$316,$A46,Loops!$B$2:$B$316,"D-loop")</f>
        <v>4</v>
      </c>
      <c r="R46" s="4">
        <f>SUMIFS(Loops!$I$2:$I$316,Loops!$A$2:$A$316,$A46,Loops!$B$2:$B$316,"Anticodon loop")</f>
        <v>2</v>
      </c>
      <c r="S46" s="4">
        <f>SUMIFS(Loops!$I$2:$I$316,Loops!$A$2:$A$316,$A46,Loops!$B$2:$B$316,"Variable loop")</f>
        <v>3</v>
      </c>
      <c r="T46" s="4">
        <f>SUMIFS(Loops!$I$2:$I$316,Loops!$A$2:$A$316,$A46,Loops!$B$2:$B$316,"TΨC-loop")</f>
        <v>3</v>
      </c>
      <c r="U46" s="4">
        <f>SUMIFS(Loops!$F$2:$F$316,Loops!$A$2:$A$316,$A46)-SUMIFS(Loops!$F$2:$F$316,Loops!$A$2:$A$316,$A46,Loops!$B$2:$B$316,"Positions 8, 9, 26")</f>
        <v>28</v>
      </c>
      <c r="V46" s="3">
        <f t="shared" si="26"/>
        <v>12</v>
      </c>
      <c r="W46" s="5">
        <f t="shared" si="27"/>
        <v>0.42857142857142855</v>
      </c>
      <c r="X46" s="7" t="str">
        <f>INDEX(Positions!$E$2:$E$4694,MATCH($A46&amp;"|8",Positions!$A$2:$A$4694,0))</f>
        <v>U</v>
      </c>
      <c r="Y46" s="7" t="str">
        <f>INDEX(Positions!$E$2:$E$4694,MATCH($A46&amp;"|9",Positions!$A$2:$A$4694,0))</f>
        <v>A</v>
      </c>
      <c r="Z46" s="7" t="str">
        <f>INDEX(Positions!$E$2:$E$4694,MATCH($A46&amp;"|26",Positions!$A$2:$A$4694,0))</f>
        <v>G</v>
      </c>
      <c r="AA46" s="7">
        <f t="shared" si="28"/>
        <v>1</v>
      </c>
      <c r="AB46" s="7">
        <f t="shared" si="29"/>
        <v>0</v>
      </c>
      <c r="AC46" s="8">
        <f t="shared" si="30"/>
        <v>1</v>
      </c>
      <c r="AD46" s="9">
        <f t="shared" si="31"/>
        <v>0.33333333333333331</v>
      </c>
      <c r="AE46" s="7" t="str">
        <f t="shared" si="32"/>
        <v>OK</v>
      </c>
      <c r="AF46" s="10">
        <f t="shared" si="33"/>
        <v>31</v>
      </c>
      <c r="AG46" s="10">
        <f t="shared" si="34"/>
        <v>13</v>
      </c>
      <c r="AH46" s="11">
        <f t="shared" si="35"/>
        <v>0.41935483870967744</v>
      </c>
      <c r="AI46" s="11">
        <f t="shared" si="36"/>
        <v>0.7857142857142857</v>
      </c>
      <c r="AJ46" s="12">
        <f t="shared" si="37"/>
        <v>0.36635944700460826</v>
      </c>
    </row>
    <row r="47" spans="1:36">
      <c r="A47" s="3" t="s">
        <v>80</v>
      </c>
      <c r="B47" s="4">
        <f>COUNTIF(Positions!$B$2:$B$4694,A47)</f>
        <v>71</v>
      </c>
      <c r="C47" s="4">
        <f>COUNTIFS(Positions!$B$2:$B$4694,A47,Positions!$E$2:$E$4694,"G")</f>
        <v>27</v>
      </c>
      <c r="D47" s="4">
        <f>COUNTIFS(Positions!$B$2:$B$4694,A47,Positions!$E$2:$E$4694,"C")</f>
        <v>20</v>
      </c>
      <c r="E47" s="3">
        <f t="shared" si="19"/>
        <v>47</v>
      </c>
      <c r="F47" s="5">
        <f t="shared" si="20"/>
        <v>0.6619718309859155</v>
      </c>
      <c r="G47" s="4">
        <f>SUMIFS(Stems_3D_BP!$K$2:$K$1765,Stems_3D_BP!$A$2:$A$1765,$A47,Stems_3D_BP!$B$2:$B$1765,"Acceptor stem")</f>
        <v>11</v>
      </c>
      <c r="H47" s="4">
        <f>SUMIFS(Stems_3D_BP!$K$2:$K$1765,Stems_3D_BP!$A$2:$A$1765,$A47,Stems_3D_BP!$B$2:$B$1765,"D-stem")</f>
        <v>6</v>
      </c>
      <c r="I47" s="4">
        <f>SUMIFS(Stems_3D_BP!$K$2:$K$1765,Stems_3D_BP!$A$2:$A$1765,$A47,Stems_3D_BP!$B$2:$B$1765,"Anticodon stem")</f>
        <v>8</v>
      </c>
      <c r="J47" s="4">
        <f>SUMIFS(Stems_3D_BP!$K$2:$K$1765,Stems_3D_BP!$A$2:$A$1765,$A47,Stems_3D_BP!$B$2:$B$1765,"T-stem")</f>
        <v>10</v>
      </c>
      <c r="K47" s="3">
        <f t="shared" si="21"/>
        <v>35</v>
      </c>
      <c r="L47" s="5">
        <f t="shared" si="22"/>
        <v>0.83333333333333337</v>
      </c>
      <c r="M47" s="4">
        <f>SUMIFS(Stems_3D_BP!$K$2:$K$1765,Stems_3D_BP!$A$2:$A$1765,$A47,Stems_3D_BP!$B$2:$B$1765,"3D (tertiary) BP")</f>
        <v>7</v>
      </c>
      <c r="N47" s="6">
        <f t="shared" si="23"/>
        <v>0.5</v>
      </c>
      <c r="O47" s="3">
        <f t="shared" si="24"/>
        <v>42</v>
      </c>
      <c r="P47" s="5">
        <f t="shared" si="25"/>
        <v>0.75</v>
      </c>
      <c r="Q47" s="4">
        <f>SUMIFS(Loops!$I$2:$I$316,Loops!$A$2:$A$316,$A47,Loops!$B$2:$B$316,"D-loop")</f>
        <v>4</v>
      </c>
      <c r="R47" s="4">
        <f>SUMIFS(Loops!$I$2:$I$316,Loops!$A$2:$A$316,$A47,Loops!$B$2:$B$316,"Anticodon loop")</f>
        <v>3</v>
      </c>
      <c r="S47" s="4">
        <f>SUMIFS(Loops!$I$2:$I$316,Loops!$A$2:$A$316,$A47,Loops!$B$2:$B$316,"Variable loop")</f>
        <v>2</v>
      </c>
      <c r="T47" s="4">
        <f>SUMIFS(Loops!$I$2:$I$316,Loops!$A$2:$A$316,$A47,Loops!$B$2:$B$316,"TΨC-loop")</f>
        <v>2</v>
      </c>
      <c r="U47" s="4">
        <f>SUMIFS(Loops!$F$2:$F$316,Loops!$A$2:$A$316,$A47)-SUMIFS(Loops!$F$2:$F$316,Loops!$A$2:$A$316,$A47,Loops!$B$2:$B$316,"Positions 8, 9, 26")</f>
        <v>26</v>
      </c>
      <c r="V47" s="3">
        <f t="shared" si="26"/>
        <v>11</v>
      </c>
      <c r="W47" s="5">
        <f t="shared" si="27"/>
        <v>0.42307692307692307</v>
      </c>
      <c r="X47" s="7" t="str">
        <f>INDEX(Positions!$E$2:$E$4694,MATCH($A47&amp;"|8",Positions!$A$2:$A$4694,0))</f>
        <v>U</v>
      </c>
      <c r="Y47" s="7" t="str">
        <f>INDEX(Positions!$E$2:$E$4694,MATCH($A47&amp;"|9",Positions!$A$2:$A$4694,0))</f>
        <v>A</v>
      </c>
      <c r="Z47" s="7" t="str">
        <f>INDEX(Positions!$E$2:$E$4694,MATCH($A47&amp;"|26",Positions!$A$2:$A$4694,0))</f>
        <v>G</v>
      </c>
      <c r="AA47" s="7">
        <f t="shared" si="28"/>
        <v>1</v>
      </c>
      <c r="AB47" s="7">
        <f t="shared" si="29"/>
        <v>0</v>
      </c>
      <c r="AC47" s="8">
        <f t="shared" si="30"/>
        <v>1</v>
      </c>
      <c r="AD47" s="9">
        <f t="shared" si="31"/>
        <v>0.33333333333333331</v>
      </c>
      <c r="AE47" s="7" t="str">
        <f t="shared" si="32"/>
        <v>OK</v>
      </c>
      <c r="AF47" s="10">
        <f t="shared" si="33"/>
        <v>29</v>
      </c>
      <c r="AG47" s="10">
        <f t="shared" si="34"/>
        <v>12</v>
      </c>
      <c r="AH47" s="11">
        <f t="shared" si="35"/>
        <v>0.41379310344827586</v>
      </c>
      <c r="AI47" s="11">
        <f t="shared" si="36"/>
        <v>0.83333333333333337</v>
      </c>
      <c r="AJ47" s="12">
        <f t="shared" si="37"/>
        <v>0.41954022988505751</v>
      </c>
    </row>
    <row r="48" spans="1:36">
      <c r="A48" s="3" t="s">
        <v>81</v>
      </c>
      <c r="B48" s="4">
        <f>COUNTIF(Positions!$B$2:$B$4694,A48)</f>
        <v>71</v>
      </c>
      <c r="C48" s="4">
        <f>COUNTIFS(Positions!$B$2:$B$4694,A48,Positions!$E$2:$E$4694,"G")</f>
        <v>27</v>
      </c>
      <c r="D48" s="4">
        <f>COUNTIFS(Positions!$B$2:$B$4694,A48,Positions!$E$2:$E$4694,"C")</f>
        <v>20</v>
      </c>
      <c r="E48" s="3">
        <f t="shared" si="19"/>
        <v>47</v>
      </c>
      <c r="F48" s="5">
        <f t="shared" si="20"/>
        <v>0.6619718309859155</v>
      </c>
      <c r="G48" s="4">
        <f>SUMIFS(Stems_3D_BP!$K$2:$K$1765,Stems_3D_BP!$A$2:$A$1765,$A48,Stems_3D_BP!$B$2:$B$1765,"Acceptor stem")</f>
        <v>11</v>
      </c>
      <c r="H48" s="4">
        <f>SUMIFS(Stems_3D_BP!$K$2:$K$1765,Stems_3D_BP!$A$2:$A$1765,$A48,Stems_3D_BP!$B$2:$B$1765,"D-stem")</f>
        <v>6</v>
      </c>
      <c r="I48" s="4">
        <f>SUMIFS(Stems_3D_BP!$K$2:$K$1765,Stems_3D_BP!$A$2:$A$1765,$A48,Stems_3D_BP!$B$2:$B$1765,"Anticodon stem")</f>
        <v>8</v>
      </c>
      <c r="J48" s="4">
        <f>SUMIFS(Stems_3D_BP!$K$2:$K$1765,Stems_3D_BP!$A$2:$A$1765,$A48,Stems_3D_BP!$B$2:$B$1765,"T-stem")</f>
        <v>10</v>
      </c>
      <c r="K48" s="3">
        <f t="shared" si="21"/>
        <v>35</v>
      </c>
      <c r="L48" s="5">
        <f t="shared" si="22"/>
        <v>0.83333333333333337</v>
      </c>
      <c r="M48" s="4">
        <f>SUMIFS(Stems_3D_BP!$K$2:$K$1765,Stems_3D_BP!$A$2:$A$1765,$A48,Stems_3D_BP!$B$2:$B$1765,"3D (tertiary) BP")</f>
        <v>7</v>
      </c>
      <c r="N48" s="6">
        <f t="shared" si="23"/>
        <v>0.5</v>
      </c>
      <c r="O48" s="3">
        <f t="shared" si="24"/>
        <v>42</v>
      </c>
      <c r="P48" s="5">
        <f t="shared" si="25"/>
        <v>0.75</v>
      </c>
      <c r="Q48" s="4">
        <f>SUMIFS(Loops!$I$2:$I$316,Loops!$A$2:$A$316,$A48,Loops!$B$2:$B$316,"D-loop")</f>
        <v>4</v>
      </c>
      <c r="R48" s="4">
        <f>SUMIFS(Loops!$I$2:$I$316,Loops!$A$2:$A$316,$A48,Loops!$B$2:$B$316,"Anticodon loop")</f>
        <v>3</v>
      </c>
      <c r="S48" s="4">
        <f>SUMIFS(Loops!$I$2:$I$316,Loops!$A$2:$A$316,$A48,Loops!$B$2:$B$316,"Variable loop")</f>
        <v>2</v>
      </c>
      <c r="T48" s="4">
        <f>SUMIFS(Loops!$I$2:$I$316,Loops!$A$2:$A$316,$A48,Loops!$B$2:$B$316,"TΨC-loop")</f>
        <v>2</v>
      </c>
      <c r="U48" s="4">
        <f>SUMIFS(Loops!$F$2:$F$316,Loops!$A$2:$A$316,$A48)-SUMIFS(Loops!$F$2:$F$316,Loops!$A$2:$A$316,$A48,Loops!$B$2:$B$316,"Positions 8, 9, 26")</f>
        <v>26</v>
      </c>
      <c r="V48" s="3">
        <f t="shared" si="26"/>
        <v>11</v>
      </c>
      <c r="W48" s="5">
        <f t="shared" si="27"/>
        <v>0.42307692307692307</v>
      </c>
      <c r="X48" s="7" t="str">
        <f>INDEX(Positions!$E$2:$E$4694,MATCH($A48&amp;"|8",Positions!$A$2:$A$4694,0))</f>
        <v>U</v>
      </c>
      <c r="Y48" s="7" t="str">
        <f>INDEX(Positions!$E$2:$E$4694,MATCH($A48&amp;"|9",Positions!$A$2:$A$4694,0))</f>
        <v>A</v>
      </c>
      <c r="Z48" s="7" t="str">
        <f>INDEX(Positions!$E$2:$E$4694,MATCH($A48&amp;"|26",Positions!$A$2:$A$4694,0))</f>
        <v>G</v>
      </c>
      <c r="AA48" s="7">
        <f t="shared" si="28"/>
        <v>1</v>
      </c>
      <c r="AB48" s="7">
        <f t="shared" si="29"/>
        <v>0</v>
      </c>
      <c r="AC48" s="8">
        <f t="shared" si="30"/>
        <v>1</v>
      </c>
      <c r="AD48" s="9">
        <f t="shared" si="31"/>
        <v>0.33333333333333331</v>
      </c>
      <c r="AE48" s="7" t="str">
        <f t="shared" si="32"/>
        <v>OK</v>
      </c>
      <c r="AF48" s="10">
        <f t="shared" si="33"/>
        <v>29</v>
      </c>
      <c r="AG48" s="10">
        <f t="shared" si="34"/>
        <v>12</v>
      </c>
      <c r="AH48" s="11">
        <f t="shared" si="35"/>
        <v>0.41379310344827586</v>
      </c>
      <c r="AI48" s="11">
        <f t="shared" si="36"/>
        <v>0.83333333333333337</v>
      </c>
      <c r="AJ48" s="12">
        <f t="shared" si="37"/>
        <v>0.41954022988505751</v>
      </c>
    </row>
    <row r="49" spans="1:36">
      <c r="A49" s="3" t="s">
        <v>82</v>
      </c>
      <c r="B49" s="4">
        <f>COUNTIF(Positions!$B$2:$B$4694,A49)</f>
        <v>74</v>
      </c>
      <c r="C49" s="4">
        <f>COUNTIFS(Positions!$B$2:$B$4694,A49,Positions!$E$2:$E$4694,"G")</f>
        <v>25</v>
      </c>
      <c r="D49" s="4">
        <f>COUNTIFS(Positions!$B$2:$B$4694,A49,Positions!$E$2:$E$4694,"C")</f>
        <v>22</v>
      </c>
      <c r="E49" s="3">
        <f t="shared" si="19"/>
        <v>47</v>
      </c>
      <c r="F49" s="5">
        <f t="shared" si="20"/>
        <v>0.63513513513513509</v>
      </c>
      <c r="G49" s="4">
        <f>SUMIFS(Stems_3D_BP!$K$2:$K$1765,Stems_3D_BP!$A$2:$A$1765,$A49,Stems_3D_BP!$B$2:$B$1765,"Acceptor stem")</f>
        <v>12</v>
      </c>
      <c r="H49" s="4">
        <f>SUMIFS(Stems_3D_BP!$K$2:$K$1765,Stems_3D_BP!$A$2:$A$1765,$A49,Stems_3D_BP!$B$2:$B$1765,"D-stem")</f>
        <v>5</v>
      </c>
      <c r="I49" s="4">
        <f>SUMIFS(Stems_3D_BP!$K$2:$K$1765,Stems_3D_BP!$A$2:$A$1765,$A49,Stems_3D_BP!$B$2:$B$1765,"Anticodon stem")</f>
        <v>10</v>
      </c>
      <c r="J49" s="4">
        <f>SUMIFS(Stems_3D_BP!$K$2:$K$1765,Stems_3D_BP!$A$2:$A$1765,$A49,Stems_3D_BP!$B$2:$B$1765,"T-stem")</f>
        <v>6</v>
      </c>
      <c r="K49" s="3">
        <f t="shared" si="21"/>
        <v>33</v>
      </c>
      <c r="L49" s="5">
        <f t="shared" si="22"/>
        <v>0.7857142857142857</v>
      </c>
      <c r="M49" s="4">
        <f>SUMIFS(Stems_3D_BP!$K$2:$K$1765,Stems_3D_BP!$A$2:$A$1765,$A49,Stems_3D_BP!$B$2:$B$1765,"3D (tertiary) BP")</f>
        <v>6</v>
      </c>
      <c r="N49" s="6">
        <f t="shared" si="23"/>
        <v>0.42857142857142855</v>
      </c>
      <c r="O49" s="3">
        <f t="shared" si="24"/>
        <v>39</v>
      </c>
      <c r="P49" s="5">
        <f t="shared" si="25"/>
        <v>0.6964285714285714</v>
      </c>
      <c r="Q49" s="4">
        <f>SUMIFS(Loops!$I$2:$I$316,Loops!$A$2:$A$316,$A49,Loops!$B$2:$B$316,"D-loop")</f>
        <v>6</v>
      </c>
      <c r="R49" s="4">
        <f>SUMIFS(Loops!$I$2:$I$316,Loops!$A$2:$A$316,$A49,Loops!$B$2:$B$316,"Anticodon loop")</f>
        <v>4</v>
      </c>
      <c r="S49" s="4">
        <f>SUMIFS(Loops!$I$2:$I$316,Loops!$A$2:$A$316,$A49,Loops!$B$2:$B$316,"Variable loop")</f>
        <v>2</v>
      </c>
      <c r="T49" s="4">
        <f>SUMIFS(Loops!$I$2:$I$316,Loops!$A$2:$A$316,$A49,Loops!$B$2:$B$316,"TΨC-loop")</f>
        <v>2</v>
      </c>
      <c r="U49" s="4">
        <f>SUMIFS(Loops!$F$2:$F$316,Loops!$A$2:$A$316,$A49)-SUMIFS(Loops!$F$2:$F$316,Loops!$A$2:$A$316,$A49,Loops!$B$2:$B$316,"Positions 8, 9, 26")</f>
        <v>29</v>
      </c>
      <c r="V49" s="3">
        <f t="shared" si="26"/>
        <v>14</v>
      </c>
      <c r="W49" s="5">
        <f t="shared" si="27"/>
        <v>0.48275862068965519</v>
      </c>
      <c r="X49" s="7" t="str">
        <f>INDEX(Positions!$E$2:$E$4694,MATCH($A49&amp;"|8",Positions!$A$2:$A$4694,0))</f>
        <v>U</v>
      </c>
      <c r="Y49" s="7" t="str">
        <f>INDEX(Positions!$E$2:$E$4694,MATCH($A49&amp;"|9",Positions!$A$2:$A$4694,0))</f>
        <v>A</v>
      </c>
      <c r="Z49" s="7" t="str">
        <f>INDEX(Positions!$E$2:$E$4694,MATCH($A49&amp;"|26",Positions!$A$2:$A$4694,0))</f>
        <v>U</v>
      </c>
      <c r="AA49" s="7">
        <f t="shared" si="28"/>
        <v>0</v>
      </c>
      <c r="AB49" s="7">
        <f t="shared" si="29"/>
        <v>0</v>
      </c>
      <c r="AC49" s="8">
        <f t="shared" si="30"/>
        <v>0</v>
      </c>
      <c r="AD49" s="9">
        <f t="shared" si="31"/>
        <v>0</v>
      </c>
      <c r="AE49" s="7" t="str">
        <f t="shared" si="32"/>
        <v>OK</v>
      </c>
      <c r="AF49" s="10">
        <f t="shared" si="33"/>
        <v>32</v>
      </c>
      <c r="AG49" s="10">
        <f t="shared" si="34"/>
        <v>14</v>
      </c>
      <c r="AH49" s="11">
        <f t="shared" si="35"/>
        <v>0.4375</v>
      </c>
      <c r="AI49" s="11">
        <f t="shared" si="36"/>
        <v>0.7857142857142857</v>
      </c>
      <c r="AJ49" s="12">
        <f t="shared" si="37"/>
        <v>0.3482142857142857</v>
      </c>
    </row>
    <row r="50" spans="1:36">
      <c r="A50" s="3" t="s">
        <v>83</v>
      </c>
      <c r="B50" s="4">
        <f>COUNTIF(Positions!$B$2:$B$4694,A50)</f>
        <v>74</v>
      </c>
      <c r="C50" s="4">
        <f>COUNTIFS(Positions!$B$2:$B$4694,A50,Positions!$E$2:$E$4694,"G")</f>
        <v>26</v>
      </c>
      <c r="D50" s="4">
        <f>COUNTIFS(Positions!$B$2:$B$4694,A50,Positions!$E$2:$E$4694,"C")</f>
        <v>23</v>
      </c>
      <c r="E50" s="3">
        <f t="shared" si="19"/>
        <v>49</v>
      </c>
      <c r="F50" s="5">
        <f t="shared" si="20"/>
        <v>0.66216216216216217</v>
      </c>
      <c r="G50" s="4">
        <f>SUMIFS(Stems_3D_BP!$K$2:$K$1765,Stems_3D_BP!$A$2:$A$1765,$A50,Stems_3D_BP!$B$2:$B$1765,"Acceptor stem")</f>
        <v>14</v>
      </c>
      <c r="H50" s="4">
        <f>SUMIFS(Stems_3D_BP!$K$2:$K$1765,Stems_3D_BP!$A$2:$A$1765,$A50,Stems_3D_BP!$B$2:$B$1765,"D-stem")</f>
        <v>5</v>
      </c>
      <c r="I50" s="4">
        <f>SUMIFS(Stems_3D_BP!$K$2:$K$1765,Stems_3D_BP!$A$2:$A$1765,$A50,Stems_3D_BP!$B$2:$B$1765,"Anticodon stem")</f>
        <v>5</v>
      </c>
      <c r="J50" s="4">
        <f>SUMIFS(Stems_3D_BP!$K$2:$K$1765,Stems_3D_BP!$A$2:$A$1765,$A50,Stems_3D_BP!$B$2:$B$1765,"T-stem")</f>
        <v>6</v>
      </c>
      <c r="K50" s="3">
        <f t="shared" si="21"/>
        <v>30</v>
      </c>
      <c r="L50" s="5">
        <f t="shared" si="22"/>
        <v>0.7142857142857143</v>
      </c>
      <c r="M50" s="4">
        <f>SUMIFS(Stems_3D_BP!$K$2:$K$1765,Stems_3D_BP!$A$2:$A$1765,$A50,Stems_3D_BP!$B$2:$B$1765,"3D (tertiary) BP")</f>
        <v>10</v>
      </c>
      <c r="N50" s="6">
        <f t="shared" si="23"/>
        <v>0.7142857142857143</v>
      </c>
      <c r="O50" s="3">
        <f t="shared" si="24"/>
        <v>40</v>
      </c>
      <c r="P50" s="5">
        <f t="shared" si="25"/>
        <v>0.7142857142857143</v>
      </c>
      <c r="Q50" s="4">
        <f>SUMIFS(Loops!$I$2:$I$316,Loops!$A$2:$A$316,$A50,Loops!$B$2:$B$316,"D-loop")</f>
        <v>7</v>
      </c>
      <c r="R50" s="4">
        <f>SUMIFS(Loops!$I$2:$I$316,Loops!$A$2:$A$316,$A50,Loops!$B$2:$B$316,"Anticodon loop")</f>
        <v>6</v>
      </c>
      <c r="S50" s="4">
        <f>SUMIFS(Loops!$I$2:$I$316,Loops!$A$2:$A$316,$A50,Loops!$B$2:$B$316,"Variable loop")</f>
        <v>3</v>
      </c>
      <c r="T50" s="4">
        <f>SUMIFS(Loops!$I$2:$I$316,Loops!$A$2:$A$316,$A50,Loops!$B$2:$B$316,"TΨC-loop")</f>
        <v>2</v>
      </c>
      <c r="U50" s="4">
        <f>SUMIFS(Loops!$F$2:$F$316,Loops!$A$2:$A$316,$A50)-SUMIFS(Loops!$F$2:$F$316,Loops!$A$2:$A$316,$A50,Loops!$B$2:$B$316,"Positions 8, 9, 26")</f>
        <v>29</v>
      </c>
      <c r="V50" s="3">
        <f t="shared" si="26"/>
        <v>18</v>
      </c>
      <c r="W50" s="5">
        <f t="shared" si="27"/>
        <v>0.62068965517241381</v>
      </c>
      <c r="X50" s="7" t="str">
        <f>INDEX(Positions!$E$2:$E$4694,MATCH($A50&amp;"|8",Positions!$A$2:$A$4694,0))</f>
        <v>U</v>
      </c>
      <c r="Y50" s="7" t="str">
        <f>INDEX(Positions!$E$2:$E$4694,MATCH($A50&amp;"|9",Positions!$A$2:$A$4694,0))</f>
        <v>A</v>
      </c>
      <c r="Z50" s="7" t="str">
        <f>INDEX(Positions!$E$2:$E$4694,MATCH($A50&amp;"|26",Positions!$A$2:$A$4694,0))</f>
        <v>G</v>
      </c>
      <c r="AA50" s="7">
        <f t="shared" si="28"/>
        <v>1</v>
      </c>
      <c r="AB50" s="7">
        <f t="shared" si="29"/>
        <v>0</v>
      </c>
      <c r="AC50" s="8">
        <f t="shared" si="30"/>
        <v>1</v>
      </c>
      <c r="AD50" s="9">
        <f t="shared" si="31"/>
        <v>0.33333333333333331</v>
      </c>
      <c r="AE50" s="7" t="str">
        <f t="shared" si="32"/>
        <v>OK</v>
      </c>
      <c r="AF50" s="10">
        <f t="shared" si="33"/>
        <v>32</v>
      </c>
      <c r="AG50" s="10">
        <f t="shared" si="34"/>
        <v>19</v>
      </c>
      <c r="AH50" s="11">
        <f t="shared" si="35"/>
        <v>0.59375</v>
      </c>
      <c r="AI50" s="11">
        <f t="shared" si="36"/>
        <v>0.7142857142857143</v>
      </c>
      <c r="AJ50" s="12">
        <f t="shared" si="37"/>
        <v>0.1205357142857143</v>
      </c>
    </row>
    <row r="51" spans="1:36">
      <c r="A51" s="3" t="s">
        <v>84</v>
      </c>
      <c r="B51" s="4">
        <f>COUNTIF(Positions!$B$2:$B$4694,A51)</f>
        <v>74</v>
      </c>
      <c r="C51" s="4">
        <f>COUNTIFS(Positions!$B$2:$B$4694,A51,Positions!$E$2:$E$4694,"G")</f>
        <v>24</v>
      </c>
      <c r="D51" s="4">
        <f>COUNTIFS(Positions!$B$2:$B$4694,A51,Positions!$E$2:$E$4694,"C")</f>
        <v>20</v>
      </c>
      <c r="E51" s="3">
        <f t="shared" si="19"/>
        <v>44</v>
      </c>
      <c r="F51" s="5">
        <f t="shared" si="20"/>
        <v>0.59459459459459463</v>
      </c>
      <c r="G51" s="4">
        <f>SUMIFS(Stems_3D_BP!$K$2:$K$1765,Stems_3D_BP!$A$2:$A$1765,$A51,Stems_3D_BP!$B$2:$B$1765,"Acceptor stem")</f>
        <v>8</v>
      </c>
      <c r="H51" s="4">
        <f>SUMIFS(Stems_3D_BP!$K$2:$K$1765,Stems_3D_BP!$A$2:$A$1765,$A51,Stems_3D_BP!$B$2:$B$1765,"D-stem")</f>
        <v>5</v>
      </c>
      <c r="I51" s="4">
        <f>SUMIFS(Stems_3D_BP!$K$2:$K$1765,Stems_3D_BP!$A$2:$A$1765,$A51,Stems_3D_BP!$B$2:$B$1765,"Anticodon stem")</f>
        <v>7</v>
      </c>
      <c r="J51" s="4">
        <f>SUMIFS(Stems_3D_BP!$K$2:$K$1765,Stems_3D_BP!$A$2:$A$1765,$A51,Stems_3D_BP!$B$2:$B$1765,"T-stem")</f>
        <v>10</v>
      </c>
      <c r="K51" s="3">
        <f t="shared" si="21"/>
        <v>30</v>
      </c>
      <c r="L51" s="5">
        <f t="shared" si="22"/>
        <v>0.7142857142857143</v>
      </c>
      <c r="M51" s="4">
        <f>SUMIFS(Stems_3D_BP!$K$2:$K$1765,Stems_3D_BP!$A$2:$A$1765,$A51,Stems_3D_BP!$B$2:$B$1765,"3D (tertiary) BP")</f>
        <v>7</v>
      </c>
      <c r="N51" s="6">
        <f t="shared" si="23"/>
        <v>0.5</v>
      </c>
      <c r="O51" s="3">
        <f t="shared" si="24"/>
        <v>37</v>
      </c>
      <c r="P51" s="5">
        <f t="shared" si="25"/>
        <v>0.6607142857142857</v>
      </c>
      <c r="Q51" s="4">
        <f>SUMIFS(Loops!$I$2:$I$316,Loops!$A$2:$A$316,$A51,Loops!$B$2:$B$316,"D-loop")</f>
        <v>6</v>
      </c>
      <c r="R51" s="4">
        <f>SUMIFS(Loops!$I$2:$I$316,Loops!$A$2:$A$316,$A51,Loops!$B$2:$B$316,"Anticodon loop")</f>
        <v>3</v>
      </c>
      <c r="S51" s="4">
        <f>SUMIFS(Loops!$I$2:$I$316,Loops!$A$2:$A$316,$A51,Loops!$B$2:$B$316,"Variable loop")</f>
        <v>3</v>
      </c>
      <c r="T51" s="4">
        <f>SUMIFS(Loops!$I$2:$I$316,Loops!$A$2:$A$316,$A51,Loops!$B$2:$B$316,"TΨC-loop")</f>
        <v>1</v>
      </c>
      <c r="U51" s="4">
        <f>SUMIFS(Loops!$F$2:$F$316,Loops!$A$2:$A$316,$A51)-SUMIFS(Loops!$F$2:$F$316,Loops!$A$2:$A$316,$A51,Loops!$B$2:$B$316,"Positions 8, 9, 26")</f>
        <v>29</v>
      </c>
      <c r="V51" s="3">
        <f t="shared" si="26"/>
        <v>13</v>
      </c>
      <c r="W51" s="5">
        <f t="shared" si="27"/>
        <v>0.44827586206896552</v>
      </c>
      <c r="X51" s="7" t="str">
        <f>INDEX(Positions!$E$2:$E$4694,MATCH($A51&amp;"|8",Positions!$A$2:$A$4694,0))</f>
        <v>U</v>
      </c>
      <c r="Y51" s="7" t="str">
        <f>INDEX(Positions!$E$2:$E$4694,MATCH($A51&amp;"|9",Positions!$A$2:$A$4694,0))</f>
        <v>A</v>
      </c>
      <c r="Z51" s="7" t="str">
        <f>INDEX(Positions!$E$2:$E$4694,MATCH($A51&amp;"|26",Positions!$A$2:$A$4694,0))</f>
        <v>C</v>
      </c>
      <c r="AA51" s="7">
        <f t="shared" si="28"/>
        <v>0</v>
      </c>
      <c r="AB51" s="7">
        <f t="shared" si="29"/>
        <v>1</v>
      </c>
      <c r="AC51" s="8">
        <f t="shared" si="30"/>
        <v>1</v>
      </c>
      <c r="AD51" s="9">
        <f t="shared" si="31"/>
        <v>0.33333333333333331</v>
      </c>
      <c r="AE51" s="7" t="str">
        <f t="shared" si="32"/>
        <v>OK</v>
      </c>
      <c r="AF51" s="10">
        <f t="shared" si="33"/>
        <v>32</v>
      </c>
      <c r="AG51" s="10">
        <f t="shared" si="34"/>
        <v>14</v>
      </c>
      <c r="AH51" s="11">
        <f t="shared" si="35"/>
        <v>0.4375</v>
      </c>
      <c r="AI51" s="11">
        <f t="shared" si="36"/>
        <v>0.7142857142857143</v>
      </c>
      <c r="AJ51" s="12">
        <f t="shared" si="37"/>
        <v>0.2767857142857143</v>
      </c>
    </row>
    <row r="52" spans="1:36">
      <c r="A52" s="3" t="s">
        <v>85</v>
      </c>
      <c r="B52" s="4">
        <f>COUNTIF(Positions!$B$2:$B$4694,A52)</f>
        <v>83</v>
      </c>
      <c r="C52" s="4">
        <f>COUNTIFS(Positions!$B$2:$B$4694,A52,Positions!$E$2:$E$4694,"G")</f>
        <v>26</v>
      </c>
      <c r="D52" s="4">
        <f>COUNTIFS(Positions!$B$2:$B$4694,A52,Positions!$E$2:$E$4694,"C")</f>
        <v>21</v>
      </c>
      <c r="E52" s="3">
        <f t="shared" si="19"/>
        <v>47</v>
      </c>
      <c r="F52" s="5">
        <f t="shared" si="20"/>
        <v>0.5662650602409639</v>
      </c>
      <c r="G52" s="4">
        <f>SUMIFS(Stems_3D_BP!$K$2:$K$1765,Stems_3D_BP!$A$2:$A$1765,$A52,Stems_3D_BP!$B$2:$B$1765,"Acceptor stem")</f>
        <v>12</v>
      </c>
      <c r="H52" s="4">
        <f>SUMIFS(Stems_3D_BP!$K$2:$K$1765,Stems_3D_BP!$A$2:$A$1765,$A52,Stems_3D_BP!$B$2:$B$1765,"D-stem")</f>
        <v>5</v>
      </c>
      <c r="I52" s="4">
        <f>SUMIFS(Stems_3D_BP!$K$2:$K$1765,Stems_3D_BP!$A$2:$A$1765,$A52,Stems_3D_BP!$B$2:$B$1765,"Anticodon stem")</f>
        <v>6</v>
      </c>
      <c r="J52" s="4">
        <f>SUMIFS(Stems_3D_BP!$K$2:$K$1765,Stems_3D_BP!$A$2:$A$1765,$A52,Stems_3D_BP!$B$2:$B$1765,"T-stem")</f>
        <v>8</v>
      </c>
      <c r="K52" s="3">
        <f t="shared" si="21"/>
        <v>31</v>
      </c>
      <c r="L52" s="5">
        <f t="shared" si="22"/>
        <v>0.73809523809523814</v>
      </c>
      <c r="M52" s="4">
        <f>SUMIFS(Stems_3D_BP!$K$2:$K$1765,Stems_3D_BP!$A$2:$A$1765,$A52,Stems_3D_BP!$B$2:$B$1765,"3D (tertiary) BP")</f>
        <v>7</v>
      </c>
      <c r="N52" s="6">
        <f t="shared" si="23"/>
        <v>0.5</v>
      </c>
      <c r="O52" s="3">
        <f t="shared" si="24"/>
        <v>38</v>
      </c>
      <c r="P52" s="5">
        <f t="shared" si="25"/>
        <v>0.6785714285714286</v>
      </c>
      <c r="Q52" s="4">
        <f>SUMIFS(Loops!$I$2:$I$316,Loops!$A$2:$A$316,$A52,Loops!$B$2:$B$316,"D-loop")</f>
        <v>3</v>
      </c>
      <c r="R52" s="4">
        <f>SUMIFS(Loops!$I$2:$I$316,Loops!$A$2:$A$316,$A52,Loops!$B$2:$B$316,"Anticodon loop")</f>
        <v>3</v>
      </c>
      <c r="S52" s="4">
        <f>SUMIFS(Loops!$I$2:$I$316,Loops!$A$2:$A$316,$A52,Loops!$B$2:$B$316,"Variable loop")</f>
        <v>8</v>
      </c>
      <c r="T52" s="4">
        <f>SUMIFS(Loops!$I$2:$I$316,Loops!$A$2:$A$316,$A52,Loops!$B$2:$B$316,"TΨC-loop")</f>
        <v>1</v>
      </c>
      <c r="U52" s="4">
        <f>SUMIFS(Loops!$F$2:$F$316,Loops!$A$2:$A$316,$A52)-SUMIFS(Loops!$F$2:$F$316,Loops!$A$2:$A$316,$A52,Loops!$B$2:$B$316,"Positions 8, 9, 26")</f>
        <v>38</v>
      </c>
      <c r="V52" s="3">
        <f t="shared" si="26"/>
        <v>15</v>
      </c>
      <c r="W52" s="5">
        <f t="shared" si="27"/>
        <v>0.39473684210526316</v>
      </c>
      <c r="X52" s="7" t="str">
        <f>INDEX(Positions!$E$2:$E$4694,MATCH($A52&amp;"|8",Positions!$A$2:$A$4694,0))</f>
        <v>U</v>
      </c>
      <c r="Y52" s="7" t="str">
        <f>INDEX(Positions!$E$2:$E$4694,MATCH($A52&amp;"|9",Positions!$A$2:$A$4694,0))</f>
        <v>A</v>
      </c>
      <c r="Z52" s="7" t="str">
        <f>INDEX(Positions!$E$2:$E$4694,MATCH($A52&amp;"|26",Positions!$A$2:$A$4694,0))</f>
        <v>G</v>
      </c>
      <c r="AA52" s="7">
        <f t="shared" si="28"/>
        <v>1</v>
      </c>
      <c r="AB52" s="7">
        <f t="shared" si="29"/>
        <v>0</v>
      </c>
      <c r="AC52" s="8">
        <f t="shared" si="30"/>
        <v>1</v>
      </c>
      <c r="AD52" s="9">
        <f t="shared" si="31"/>
        <v>0.33333333333333331</v>
      </c>
      <c r="AE52" s="7" t="str">
        <f t="shared" si="32"/>
        <v>OK</v>
      </c>
      <c r="AF52" s="10">
        <f t="shared" si="33"/>
        <v>41</v>
      </c>
      <c r="AG52" s="10">
        <f t="shared" si="34"/>
        <v>16</v>
      </c>
      <c r="AH52" s="11">
        <f t="shared" si="35"/>
        <v>0.3902439024390244</v>
      </c>
      <c r="AI52" s="11">
        <f t="shared" si="36"/>
        <v>0.73809523809523814</v>
      </c>
      <c r="AJ52" s="12">
        <f t="shared" si="37"/>
        <v>0.34785133565621373</v>
      </c>
    </row>
    <row r="53" spans="1:36">
      <c r="A53" s="3" t="s">
        <v>86</v>
      </c>
      <c r="B53" s="4">
        <f>COUNTIF(Positions!$B$2:$B$4694,A53)</f>
        <v>84</v>
      </c>
      <c r="C53" s="4">
        <f>COUNTIFS(Positions!$B$2:$B$4694,A53,Positions!$E$2:$E$4694,"G")</f>
        <v>27</v>
      </c>
      <c r="D53" s="4">
        <f>COUNTIFS(Positions!$B$2:$B$4694,A53,Positions!$E$2:$E$4694,"C")</f>
        <v>27</v>
      </c>
      <c r="E53" s="3">
        <f t="shared" si="19"/>
        <v>54</v>
      </c>
      <c r="F53" s="5">
        <f t="shared" si="20"/>
        <v>0.6428571428571429</v>
      </c>
      <c r="G53" s="4">
        <f>SUMIFS(Stems_3D_BP!$K$2:$K$1765,Stems_3D_BP!$A$2:$A$1765,$A53,Stems_3D_BP!$B$2:$B$1765,"Acceptor stem")</f>
        <v>8</v>
      </c>
      <c r="H53" s="4">
        <f>SUMIFS(Stems_3D_BP!$K$2:$K$1765,Stems_3D_BP!$A$2:$A$1765,$A53,Stems_3D_BP!$B$2:$B$1765,"D-stem")</f>
        <v>6</v>
      </c>
      <c r="I53" s="4">
        <f>SUMIFS(Stems_3D_BP!$K$2:$K$1765,Stems_3D_BP!$A$2:$A$1765,$A53,Stems_3D_BP!$B$2:$B$1765,"Anticodon stem")</f>
        <v>8</v>
      </c>
      <c r="J53" s="4">
        <f>SUMIFS(Stems_3D_BP!$K$2:$K$1765,Stems_3D_BP!$A$2:$A$1765,$A53,Stems_3D_BP!$B$2:$B$1765,"T-stem")</f>
        <v>10</v>
      </c>
      <c r="K53" s="3">
        <f t="shared" si="21"/>
        <v>32</v>
      </c>
      <c r="L53" s="5">
        <f t="shared" si="22"/>
        <v>0.76190476190476186</v>
      </c>
      <c r="M53" s="4">
        <f>SUMIFS(Stems_3D_BP!$K$2:$K$1765,Stems_3D_BP!$A$2:$A$1765,$A53,Stems_3D_BP!$B$2:$B$1765,"3D (tertiary) BP")</f>
        <v>6</v>
      </c>
      <c r="N53" s="6">
        <f t="shared" si="23"/>
        <v>0.42857142857142855</v>
      </c>
      <c r="O53" s="3">
        <f t="shared" si="24"/>
        <v>38</v>
      </c>
      <c r="P53" s="5">
        <f t="shared" si="25"/>
        <v>0.6785714285714286</v>
      </c>
      <c r="Q53" s="4">
        <f>SUMIFS(Loops!$I$2:$I$316,Loops!$A$2:$A$316,$A53,Loops!$B$2:$B$316,"D-loop")</f>
        <v>6</v>
      </c>
      <c r="R53" s="4">
        <f>SUMIFS(Loops!$I$2:$I$316,Loops!$A$2:$A$316,$A53,Loops!$B$2:$B$316,"Anticodon loop")</f>
        <v>2</v>
      </c>
      <c r="S53" s="4">
        <f>SUMIFS(Loops!$I$2:$I$316,Loops!$A$2:$A$316,$A53,Loops!$B$2:$B$316,"Variable loop")</f>
        <v>10</v>
      </c>
      <c r="T53" s="4">
        <f>SUMIFS(Loops!$I$2:$I$316,Loops!$A$2:$A$316,$A53,Loops!$B$2:$B$316,"TΨC-loop")</f>
        <v>3</v>
      </c>
      <c r="U53" s="4">
        <f>SUMIFS(Loops!$F$2:$F$316,Loops!$A$2:$A$316,$A53)-SUMIFS(Loops!$F$2:$F$316,Loops!$A$2:$A$316,$A53,Loops!$B$2:$B$316,"Positions 8, 9, 26")</f>
        <v>39</v>
      </c>
      <c r="V53" s="3">
        <f t="shared" si="26"/>
        <v>21</v>
      </c>
      <c r="W53" s="5">
        <f t="shared" si="27"/>
        <v>0.53846153846153844</v>
      </c>
      <c r="X53" s="7" t="str">
        <f>INDEX(Positions!$E$2:$E$4694,MATCH($A53&amp;"|8",Positions!$A$2:$A$4694,0))</f>
        <v>U</v>
      </c>
      <c r="Y53" s="7" t="str">
        <f>INDEX(Positions!$E$2:$E$4694,MATCH($A53&amp;"|9",Positions!$A$2:$A$4694,0))</f>
        <v>A</v>
      </c>
      <c r="Z53" s="7" t="str">
        <f>INDEX(Positions!$E$2:$E$4694,MATCH($A53&amp;"|26",Positions!$A$2:$A$4694,0))</f>
        <v>G</v>
      </c>
      <c r="AA53" s="7">
        <f t="shared" si="28"/>
        <v>1</v>
      </c>
      <c r="AB53" s="7">
        <f t="shared" si="29"/>
        <v>0</v>
      </c>
      <c r="AC53" s="8">
        <f t="shared" si="30"/>
        <v>1</v>
      </c>
      <c r="AD53" s="9">
        <f t="shared" si="31"/>
        <v>0.33333333333333331</v>
      </c>
      <c r="AE53" s="7" t="str">
        <f t="shared" si="32"/>
        <v>OK</v>
      </c>
      <c r="AF53" s="10">
        <f t="shared" si="33"/>
        <v>42</v>
      </c>
      <c r="AG53" s="10">
        <f t="shared" si="34"/>
        <v>22</v>
      </c>
      <c r="AH53" s="11">
        <f t="shared" si="35"/>
        <v>0.52380952380952384</v>
      </c>
      <c r="AI53" s="11">
        <f t="shared" si="36"/>
        <v>0.76190476190476186</v>
      </c>
      <c r="AJ53" s="12">
        <f t="shared" si="37"/>
        <v>0.23809523809523803</v>
      </c>
    </row>
    <row r="54" spans="1:36">
      <c r="A54" s="3" t="s">
        <v>87</v>
      </c>
      <c r="B54" s="4">
        <f>COUNTIF(Positions!$B$2:$B$4694,A54)</f>
        <v>82</v>
      </c>
      <c r="C54" s="4">
        <f>COUNTIFS(Positions!$B$2:$B$4694,A54,Positions!$E$2:$E$4694,"G")</f>
        <v>29</v>
      </c>
      <c r="D54" s="4">
        <f>COUNTIFS(Positions!$B$2:$B$4694,A54,Positions!$E$2:$E$4694,"C")</f>
        <v>24</v>
      </c>
      <c r="E54" s="3">
        <f t="shared" si="19"/>
        <v>53</v>
      </c>
      <c r="F54" s="5">
        <f t="shared" si="20"/>
        <v>0.64634146341463417</v>
      </c>
      <c r="G54" s="4">
        <f>SUMIFS(Stems_3D_BP!$K$2:$K$1765,Stems_3D_BP!$A$2:$A$1765,$A54,Stems_3D_BP!$B$2:$B$1765,"Acceptor stem")</f>
        <v>12</v>
      </c>
      <c r="H54" s="4">
        <f>SUMIFS(Stems_3D_BP!$K$2:$K$1765,Stems_3D_BP!$A$2:$A$1765,$A54,Stems_3D_BP!$B$2:$B$1765,"D-stem")</f>
        <v>6</v>
      </c>
      <c r="I54" s="4">
        <f>SUMIFS(Stems_3D_BP!$K$2:$K$1765,Stems_3D_BP!$A$2:$A$1765,$A54,Stems_3D_BP!$B$2:$B$1765,"Anticodon stem")</f>
        <v>6</v>
      </c>
      <c r="J54" s="4">
        <f>SUMIFS(Stems_3D_BP!$K$2:$K$1765,Stems_3D_BP!$A$2:$A$1765,$A54,Stems_3D_BP!$B$2:$B$1765,"T-stem")</f>
        <v>8</v>
      </c>
      <c r="K54" s="3">
        <f t="shared" si="21"/>
        <v>32</v>
      </c>
      <c r="L54" s="5">
        <f t="shared" si="22"/>
        <v>0.76190476190476186</v>
      </c>
      <c r="M54" s="4">
        <f>SUMIFS(Stems_3D_BP!$K$2:$K$1765,Stems_3D_BP!$A$2:$A$1765,$A54,Stems_3D_BP!$B$2:$B$1765,"3D (tertiary) BP")</f>
        <v>7</v>
      </c>
      <c r="N54" s="6">
        <f t="shared" si="23"/>
        <v>0.5</v>
      </c>
      <c r="O54" s="3">
        <f t="shared" si="24"/>
        <v>39</v>
      </c>
      <c r="P54" s="5">
        <f t="shared" si="25"/>
        <v>0.6964285714285714</v>
      </c>
      <c r="Q54" s="4">
        <f>SUMIFS(Loops!$I$2:$I$316,Loops!$A$2:$A$316,$A54,Loops!$B$2:$B$316,"D-loop")</f>
        <v>3</v>
      </c>
      <c r="R54" s="4">
        <f>SUMIFS(Loops!$I$2:$I$316,Loops!$A$2:$A$316,$A54,Loops!$B$2:$B$316,"Anticodon loop")</f>
        <v>3</v>
      </c>
      <c r="S54" s="4">
        <f>SUMIFS(Loops!$I$2:$I$316,Loops!$A$2:$A$316,$A54,Loops!$B$2:$B$316,"Variable loop")</f>
        <v>12</v>
      </c>
      <c r="T54" s="4">
        <f>SUMIFS(Loops!$I$2:$I$316,Loops!$A$2:$A$316,$A54,Loops!$B$2:$B$316,"TΨC-loop")</f>
        <v>2</v>
      </c>
      <c r="U54" s="4">
        <f>SUMIFS(Loops!$F$2:$F$316,Loops!$A$2:$A$316,$A54)-SUMIFS(Loops!$F$2:$F$316,Loops!$A$2:$A$316,$A54,Loops!$B$2:$B$316,"Positions 8, 9, 26")</f>
        <v>37</v>
      </c>
      <c r="V54" s="3">
        <f t="shared" si="26"/>
        <v>20</v>
      </c>
      <c r="W54" s="5">
        <f t="shared" si="27"/>
        <v>0.54054054054054057</v>
      </c>
      <c r="X54" s="7" t="str">
        <f>INDEX(Positions!$E$2:$E$4694,MATCH($A54&amp;"|8",Positions!$A$2:$A$4694,0))</f>
        <v>U</v>
      </c>
      <c r="Y54" s="7" t="str">
        <f>INDEX(Positions!$E$2:$E$4694,MATCH($A54&amp;"|9",Positions!$A$2:$A$4694,0))</f>
        <v>A</v>
      </c>
      <c r="Z54" s="7" t="str">
        <f>INDEX(Positions!$E$2:$E$4694,MATCH($A54&amp;"|26",Positions!$A$2:$A$4694,0))</f>
        <v>G</v>
      </c>
      <c r="AA54" s="7">
        <f t="shared" si="28"/>
        <v>1</v>
      </c>
      <c r="AB54" s="7">
        <f t="shared" si="29"/>
        <v>0</v>
      </c>
      <c r="AC54" s="8">
        <f t="shared" si="30"/>
        <v>1</v>
      </c>
      <c r="AD54" s="9">
        <f t="shared" si="31"/>
        <v>0.33333333333333331</v>
      </c>
      <c r="AE54" s="7" t="str">
        <f t="shared" si="32"/>
        <v>OK</v>
      </c>
      <c r="AF54" s="10">
        <f t="shared" si="33"/>
        <v>40</v>
      </c>
      <c r="AG54" s="10">
        <f t="shared" si="34"/>
        <v>21</v>
      </c>
      <c r="AH54" s="11">
        <f t="shared" si="35"/>
        <v>0.52500000000000002</v>
      </c>
      <c r="AI54" s="11">
        <f t="shared" si="36"/>
        <v>0.76190476190476186</v>
      </c>
      <c r="AJ54" s="12">
        <f t="shared" si="37"/>
        <v>0.23690476190476184</v>
      </c>
    </row>
    <row r="55" spans="1:36">
      <c r="A55" s="3" t="s">
        <v>88</v>
      </c>
      <c r="B55" s="4">
        <f>COUNTIF(Positions!$B$2:$B$4694,A55)</f>
        <v>84</v>
      </c>
      <c r="C55" s="4">
        <f>COUNTIFS(Positions!$B$2:$B$4694,A55,Positions!$E$2:$E$4694,"G")</f>
        <v>26</v>
      </c>
      <c r="D55" s="4">
        <f>COUNTIFS(Positions!$B$2:$B$4694,A55,Positions!$E$2:$E$4694,"C")</f>
        <v>27</v>
      </c>
      <c r="E55" s="3">
        <f t="shared" si="19"/>
        <v>53</v>
      </c>
      <c r="F55" s="5">
        <f t="shared" si="20"/>
        <v>0.63095238095238093</v>
      </c>
      <c r="G55" s="4">
        <f>SUMIFS(Stems_3D_BP!$K$2:$K$1765,Stems_3D_BP!$A$2:$A$1765,$A55,Stems_3D_BP!$B$2:$B$1765,"Acceptor stem")</f>
        <v>10</v>
      </c>
      <c r="H55" s="4">
        <f>SUMIFS(Stems_3D_BP!$K$2:$K$1765,Stems_3D_BP!$A$2:$A$1765,$A55,Stems_3D_BP!$B$2:$B$1765,"D-stem")</f>
        <v>8</v>
      </c>
      <c r="I55" s="4">
        <f>SUMIFS(Stems_3D_BP!$K$2:$K$1765,Stems_3D_BP!$A$2:$A$1765,$A55,Stems_3D_BP!$B$2:$B$1765,"Anticodon stem")</f>
        <v>8</v>
      </c>
      <c r="J55" s="4">
        <f>SUMIFS(Stems_3D_BP!$K$2:$K$1765,Stems_3D_BP!$A$2:$A$1765,$A55,Stems_3D_BP!$B$2:$B$1765,"T-stem")</f>
        <v>8</v>
      </c>
      <c r="K55" s="3">
        <f t="shared" si="21"/>
        <v>34</v>
      </c>
      <c r="L55" s="5">
        <f t="shared" si="22"/>
        <v>0.80952380952380953</v>
      </c>
      <c r="M55" s="4">
        <f>SUMIFS(Stems_3D_BP!$K$2:$K$1765,Stems_3D_BP!$A$2:$A$1765,$A55,Stems_3D_BP!$B$2:$B$1765,"3D (tertiary) BP")</f>
        <v>7</v>
      </c>
      <c r="N55" s="6">
        <f t="shared" si="23"/>
        <v>0.5</v>
      </c>
      <c r="O55" s="3">
        <f t="shared" si="24"/>
        <v>41</v>
      </c>
      <c r="P55" s="5">
        <f t="shared" si="25"/>
        <v>0.7321428571428571</v>
      </c>
      <c r="Q55" s="4">
        <f>SUMIFS(Loops!$I$2:$I$316,Loops!$A$2:$A$316,$A55,Loops!$B$2:$B$316,"D-loop")</f>
        <v>5</v>
      </c>
      <c r="R55" s="4">
        <f>SUMIFS(Loops!$I$2:$I$316,Loops!$A$2:$A$316,$A55,Loops!$B$2:$B$316,"Anticodon loop")</f>
        <v>2</v>
      </c>
      <c r="S55" s="4">
        <f>SUMIFS(Loops!$I$2:$I$316,Loops!$A$2:$A$316,$A55,Loops!$B$2:$B$316,"Variable loop")</f>
        <v>9</v>
      </c>
      <c r="T55" s="4">
        <f>SUMIFS(Loops!$I$2:$I$316,Loops!$A$2:$A$316,$A55,Loops!$B$2:$B$316,"TΨC-loop")</f>
        <v>2</v>
      </c>
      <c r="U55" s="4">
        <f>SUMIFS(Loops!$F$2:$F$316,Loops!$A$2:$A$316,$A55)-SUMIFS(Loops!$F$2:$F$316,Loops!$A$2:$A$316,$A55,Loops!$B$2:$B$316,"Positions 8, 9, 26")</f>
        <v>39</v>
      </c>
      <c r="V55" s="3">
        <f t="shared" si="26"/>
        <v>18</v>
      </c>
      <c r="W55" s="5">
        <f t="shared" si="27"/>
        <v>0.46153846153846156</v>
      </c>
      <c r="X55" s="7" t="str">
        <f>INDEX(Positions!$E$2:$E$4694,MATCH($A55&amp;"|8",Positions!$A$2:$A$4694,0))</f>
        <v>U</v>
      </c>
      <c r="Y55" s="7" t="str">
        <f>INDEX(Positions!$E$2:$E$4694,MATCH($A55&amp;"|9",Positions!$A$2:$A$4694,0))</f>
        <v>A</v>
      </c>
      <c r="Z55" s="7" t="str">
        <f>INDEX(Positions!$E$2:$E$4694,MATCH($A55&amp;"|26",Positions!$A$2:$A$4694,0))</f>
        <v>G</v>
      </c>
      <c r="AA55" s="7">
        <f t="shared" si="28"/>
        <v>1</v>
      </c>
      <c r="AB55" s="7">
        <f t="shared" si="29"/>
        <v>0</v>
      </c>
      <c r="AC55" s="8">
        <f t="shared" si="30"/>
        <v>1</v>
      </c>
      <c r="AD55" s="9">
        <f t="shared" si="31"/>
        <v>0.33333333333333331</v>
      </c>
      <c r="AE55" s="7" t="str">
        <f t="shared" si="32"/>
        <v>OK</v>
      </c>
      <c r="AF55" s="10">
        <f t="shared" si="33"/>
        <v>42</v>
      </c>
      <c r="AG55" s="10">
        <f t="shared" si="34"/>
        <v>19</v>
      </c>
      <c r="AH55" s="11">
        <f t="shared" si="35"/>
        <v>0.45238095238095238</v>
      </c>
      <c r="AI55" s="11">
        <f t="shared" si="36"/>
        <v>0.80952380952380953</v>
      </c>
      <c r="AJ55" s="12">
        <f t="shared" si="37"/>
        <v>0.35714285714285715</v>
      </c>
    </row>
    <row r="56" spans="1:36">
      <c r="A56" s="3" t="s">
        <v>89</v>
      </c>
      <c r="B56" s="4">
        <f>COUNTIF(Positions!$B$2:$B$4694,A56)</f>
        <v>71</v>
      </c>
      <c r="C56" s="4">
        <f>COUNTIFS(Positions!$B$2:$B$4694,A56,Positions!$E$2:$E$4694,"G")</f>
        <v>25</v>
      </c>
      <c r="D56" s="4">
        <f>COUNTIFS(Positions!$B$2:$B$4694,A56,Positions!$E$2:$E$4694,"C")</f>
        <v>20</v>
      </c>
      <c r="E56" s="3">
        <f t="shared" si="19"/>
        <v>45</v>
      </c>
      <c r="F56" s="5">
        <f t="shared" si="20"/>
        <v>0.63380281690140849</v>
      </c>
      <c r="G56" s="4">
        <f>SUMIFS(Stems_3D_BP!$K$2:$K$1765,Stems_3D_BP!$A$2:$A$1765,$A56,Stems_3D_BP!$B$2:$B$1765,"Acceptor stem")</f>
        <v>13</v>
      </c>
      <c r="H56" s="4">
        <f>SUMIFS(Stems_3D_BP!$K$2:$K$1765,Stems_3D_BP!$A$2:$A$1765,$A56,Stems_3D_BP!$B$2:$B$1765,"D-stem")</f>
        <v>4</v>
      </c>
      <c r="I56" s="4">
        <f>SUMIFS(Stems_3D_BP!$K$2:$K$1765,Stems_3D_BP!$A$2:$A$1765,$A56,Stems_3D_BP!$B$2:$B$1765,"Anticodon stem")</f>
        <v>6</v>
      </c>
      <c r="J56" s="4">
        <f>SUMIFS(Stems_3D_BP!$K$2:$K$1765,Stems_3D_BP!$A$2:$A$1765,$A56,Stems_3D_BP!$B$2:$B$1765,"T-stem")</f>
        <v>9</v>
      </c>
      <c r="K56" s="3">
        <f t="shared" si="21"/>
        <v>32</v>
      </c>
      <c r="L56" s="5">
        <f t="shared" si="22"/>
        <v>0.76190476190476186</v>
      </c>
      <c r="M56" s="4">
        <f>SUMIFS(Stems_3D_BP!$K$2:$K$1765,Stems_3D_BP!$A$2:$A$1765,$A56,Stems_3D_BP!$B$2:$B$1765,"3D (tertiary) BP")</f>
        <v>6</v>
      </c>
      <c r="N56" s="6">
        <f t="shared" si="23"/>
        <v>0.42857142857142855</v>
      </c>
      <c r="O56" s="3">
        <f t="shared" si="24"/>
        <v>38</v>
      </c>
      <c r="P56" s="5">
        <f t="shared" si="25"/>
        <v>0.6785714285714286</v>
      </c>
      <c r="Q56" s="4">
        <f>SUMIFS(Loops!$I$2:$I$316,Loops!$A$2:$A$316,$A56,Loops!$B$2:$B$316,"D-loop")</f>
        <v>4</v>
      </c>
      <c r="R56" s="4">
        <f>SUMIFS(Loops!$I$2:$I$316,Loops!$A$2:$A$316,$A56,Loops!$B$2:$B$316,"Anticodon loop")</f>
        <v>2</v>
      </c>
      <c r="S56" s="4">
        <f>SUMIFS(Loops!$I$2:$I$316,Loops!$A$2:$A$316,$A56,Loops!$B$2:$B$316,"Variable loop")</f>
        <v>3</v>
      </c>
      <c r="T56" s="4">
        <f>SUMIFS(Loops!$I$2:$I$316,Loops!$A$2:$A$316,$A56,Loops!$B$2:$B$316,"TΨC-loop")</f>
        <v>2</v>
      </c>
      <c r="U56" s="4">
        <f>SUMIFS(Loops!$F$2:$F$316,Loops!$A$2:$A$316,$A56)-SUMIFS(Loops!$F$2:$F$316,Loops!$A$2:$A$316,$A56,Loops!$B$2:$B$316,"Positions 8, 9, 26")</f>
        <v>26</v>
      </c>
      <c r="V56" s="3">
        <f t="shared" si="26"/>
        <v>11</v>
      </c>
      <c r="W56" s="5">
        <f t="shared" si="27"/>
        <v>0.42307692307692307</v>
      </c>
      <c r="X56" s="7" t="str">
        <f>INDEX(Positions!$E$2:$E$4694,MATCH($A56&amp;"|8",Positions!$A$2:$A$4694,0))</f>
        <v>U</v>
      </c>
      <c r="Y56" s="7" t="str">
        <f>INDEX(Positions!$E$2:$E$4694,MATCH($A56&amp;"|9",Positions!$A$2:$A$4694,0))</f>
        <v>G</v>
      </c>
      <c r="Z56" s="7" t="str">
        <f>INDEX(Positions!$E$2:$E$4694,MATCH($A56&amp;"|26",Positions!$A$2:$A$4694,0))</f>
        <v>G</v>
      </c>
      <c r="AA56" s="7">
        <f t="shared" si="28"/>
        <v>2</v>
      </c>
      <c r="AB56" s="7">
        <f t="shared" si="29"/>
        <v>0</v>
      </c>
      <c r="AC56" s="8">
        <f t="shared" si="30"/>
        <v>2</v>
      </c>
      <c r="AD56" s="9">
        <f t="shared" si="31"/>
        <v>0.66666666666666663</v>
      </c>
      <c r="AE56" s="7" t="str">
        <f t="shared" si="32"/>
        <v>OK</v>
      </c>
      <c r="AF56" s="10">
        <f t="shared" si="33"/>
        <v>29</v>
      </c>
      <c r="AG56" s="10">
        <f t="shared" si="34"/>
        <v>13</v>
      </c>
      <c r="AH56" s="11">
        <f t="shared" si="35"/>
        <v>0.44827586206896552</v>
      </c>
      <c r="AI56" s="11">
        <f t="shared" si="36"/>
        <v>0.76190476190476186</v>
      </c>
      <c r="AJ56" s="12">
        <f t="shared" si="37"/>
        <v>0.31362889983579634</v>
      </c>
    </row>
    <row r="57" spans="1:36">
      <c r="A57" s="3" t="s">
        <v>90</v>
      </c>
      <c r="B57" s="4">
        <f>COUNTIF(Positions!$B$2:$B$4694,A57)</f>
        <v>71</v>
      </c>
      <c r="C57" s="4">
        <f>COUNTIFS(Positions!$B$2:$B$4694,A57,Positions!$E$2:$E$4694,"G")</f>
        <v>27</v>
      </c>
      <c r="D57" s="4">
        <f>COUNTIFS(Positions!$B$2:$B$4694,A57,Positions!$E$2:$E$4694,"C")</f>
        <v>18</v>
      </c>
      <c r="E57" s="3">
        <f t="shared" si="19"/>
        <v>45</v>
      </c>
      <c r="F57" s="5">
        <f t="shared" si="20"/>
        <v>0.63380281690140849</v>
      </c>
      <c r="G57" s="4">
        <f>SUMIFS(Stems_3D_BP!$K$2:$K$1765,Stems_3D_BP!$A$2:$A$1765,$A57,Stems_3D_BP!$B$2:$B$1765,"Acceptor stem")</f>
        <v>11</v>
      </c>
      <c r="H57" s="4">
        <f>SUMIFS(Stems_3D_BP!$K$2:$K$1765,Stems_3D_BP!$A$2:$A$1765,$A57,Stems_3D_BP!$B$2:$B$1765,"D-stem")</f>
        <v>4</v>
      </c>
      <c r="I57" s="4">
        <f>SUMIFS(Stems_3D_BP!$K$2:$K$1765,Stems_3D_BP!$A$2:$A$1765,$A57,Stems_3D_BP!$B$2:$B$1765,"Anticodon stem")</f>
        <v>8</v>
      </c>
      <c r="J57" s="4">
        <f>SUMIFS(Stems_3D_BP!$K$2:$K$1765,Stems_3D_BP!$A$2:$A$1765,$A57,Stems_3D_BP!$B$2:$B$1765,"T-stem")</f>
        <v>10</v>
      </c>
      <c r="K57" s="3">
        <f t="shared" si="21"/>
        <v>33</v>
      </c>
      <c r="L57" s="5">
        <f t="shared" si="22"/>
        <v>0.7857142857142857</v>
      </c>
      <c r="M57" s="4">
        <f>SUMIFS(Stems_3D_BP!$K$2:$K$1765,Stems_3D_BP!$A$2:$A$1765,$A57,Stems_3D_BP!$B$2:$B$1765,"3D (tertiary) BP")</f>
        <v>6</v>
      </c>
      <c r="N57" s="6">
        <f t="shared" si="23"/>
        <v>0.42857142857142855</v>
      </c>
      <c r="O57" s="3">
        <f t="shared" si="24"/>
        <v>39</v>
      </c>
      <c r="P57" s="5">
        <f t="shared" si="25"/>
        <v>0.6964285714285714</v>
      </c>
      <c r="Q57" s="4">
        <f>SUMIFS(Loops!$I$2:$I$316,Loops!$A$2:$A$316,$A57,Loops!$B$2:$B$316,"D-loop")</f>
        <v>4</v>
      </c>
      <c r="R57" s="4">
        <f>SUMIFS(Loops!$I$2:$I$316,Loops!$A$2:$A$316,$A57,Loops!$B$2:$B$316,"Anticodon loop")</f>
        <v>2</v>
      </c>
      <c r="S57" s="4">
        <f>SUMIFS(Loops!$I$2:$I$316,Loops!$A$2:$A$316,$A57,Loops!$B$2:$B$316,"Variable loop")</f>
        <v>3</v>
      </c>
      <c r="T57" s="4">
        <f>SUMIFS(Loops!$I$2:$I$316,Loops!$A$2:$A$316,$A57,Loops!$B$2:$B$316,"TΨC-loop")</f>
        <v>1</v>
      </c>
      <c r="U57" s="4">
        <f>SUMIFS(Loops!$F$2:$F$316,Loops!$A$2:$A$316,$A57)-SUMIFS(Loops!$F$2:$F$316,Loops!$A$2:$A$316,$A57,Loops!$B$2:$B$316,"Positions 8, 9, 26")</f>
        <v>26</v>
      </c>
      <c r="V57" s="3">
        <f t="shared" si="26"/>
        <v>10</v>
      </c>
      <c r="W57" s="5">
        <f t="shared" si="27"/>
        <v>0.38461538461538464</v>
      </c>
      <c r="X57" s="7" t="str">
        <f>INDEX(Positions!$E$2:$E$4694,MATCH($A57&amp;"|8",Positions!$A$2:$A$4694,0))</f>
        <v>U</v>
      </c>
      <c r="Y57" s="7" t="str">
        <f>INDEX(Positions!$E$2:$E$4694,MATCH($A57&amp;"|9",Positions!$A$2:$A$4694,0))</f>
        <v>G</v>
      </c>
      <c r="Z57" s="7" t="str">
        <f>INDEX(Positions!$E$2:$E$4694,MATCH($A57&amp;"|26",Positions!$A$2:$A$4694,0))</f>
        <v>G</v>
      </c>
      <c r="AA57" s="7">
        <f t="shared" si="28"/>
        <v>2</v>
      </c>
      <c r="AB57" s="7">
        <f t="shared" si="29"/>
        <v>0</v>
      </c>
      <c r="AC57" s="8">
        <f t="shared" si="30"/>
        <v>2</v>
      </c>
      <c r="AD57" s="9">
        <f t="shared" si="31"/>
        <v>0.66666666666666663</v>
      </c>
      <c r="AE57" s="7" t="str">
        <f t="shared" si="32"/>
        <v>OK</v>
      </c>
      <c r="AF57" s="10">
        <f t="shared" si="33"/>
        <v>29</v>
      </c>
      <c r="AG57" s="10">
        <f t="shared" si="34"/>
        <v>12</v>
      </c>
      <c r="AH57" s="11">
        <f t="shared" si="35"/>
        <v>0.41379310344827586</v>
      </c>
      <c r="AI57" s="11">
        <f t="shared" si="36"/>
        <v>0.7857142857142857</v>
      </c>
      <c r="AJ57" s="12">
        <f t="shared" si="37"/>
        <v>0.37192118226600984</v>
      </c>
    </row>
    <row r="58" spans="1:36">
      <c r="A58" s="3" t="s">
        <v>91</v>
      </c>
      <c r="B58" s="4">
        <f>COUNTIF(Positions!$B$2:$B$4694,A58)</f>
        <v>73</v>
      </c>
      <c r="C58" s="4">
        <f>COUNTIFS(Positions!$B$2:$B$4694,A58,Positions!$E$2:$E$4694,"G")</f>
        <v>23</v>
      </c>
      <c r="D58" s="4">
        <f>COUNTIFS(Positions!$B$2:$B$4694,A58,Positions!$E$2:$E$4694,"C")</f>
        <v>20</v>
      </c>
      <c r="E58" s="3">
        <f t="shared" si="19"/>
        <v>43</v>
      </c>
      <c r="F58" s="5">
        <f t="shared" si="20"/>
        <v>0.58904109589041098</v>
      </c>
      <c r="G58" s="4">
        <f>SUMIFS(Stems_3D_BP!$K$2:$K$1765,Stems_3D_BP!$A$2:$A$1765,$A58,Stems_3D_BP!$B$2:$B$1765,"Acceptor stem")</f>
        <v>11</v>
      </c>
      <c r="H58" s="4">
        <f>SUMIFS(Stems_3D_BP!$K$2:$K$1765,Stems_3D_BP!$A$2:$A$1765,$A58,Stems_3D_BP!$B$2:$B$1765,"D-stem")</f>
        <v>6</v>
      </c>
      <c r="I58" s="4">
        <f>SUMIFS(Stems_3D_BP!$K$2:$K$1765,Stems_3D_BP!$A$2:$A$1765,$A58,Stems_3D_BP!$B$2:$B$1765,"Anticodon stem")</f>
        <v>4</v>
      </c>
      <c r="J58" s="4">
        <f>SUMIFS(Stems_3D_BP!$K$2:$K$1765,Stems_3D_BP!$A$2:$A$1765,$A58,Stems_3D_BP!$B$2:$B$1765,"T-stem")</f>
        <v>8</v>
      </c>
      <c r="K58" s="3">
        <f t="shared" si="21"/>
        <v>29</v>
      </c>
      <c r="L58" s="5">
        <f t="shared" si="22"/>
        <v>0.69047619047619047</v>
      </c>
      <c r="M58" s="4">
        <f>SUMIFS(Stems_3D_BP!$K$2:$K$1765,Stems_3D_BP!$A$2:$A$1765,$A58,Stems_3D_BP!$B$2:$B$1765,"3D (tertiary) BP")</f>
        <v>7</v>
      </c>
      <c r="N58" s="6">
        <f t="shared" si="23"/>
        <v>0.5</v>
      </c>
      <c r="O58" s="3">
        <f t="shared" si="24"/>
        <v>36</v>
      </c>
      <c r="P58" s="5">
        <f t="shared" si="25"/>
        <v>0.6428571428571429</v>
      </c>
      <c r="Q58" s="4">
        <f>SUMIFS(Loops!$I$2:$I$316,Loops!$A$2:$A$316,$A58,Loops!$B$2:$B$316,"D-loop")</f>
        <v>6</v>
      </c>
      <c r="R58" s="4">
        <f>SUMIFS(Loops!$I$2:$I$316,Loops!$A$2:$A$316,$A58,Loops!$B$2:$B$316,"Anticodon loop")</f>
        <v>2</v>
      </c>
      <c r="S58" s="4">
        <f>SUMIFS(Loops!$I$2:$I$316,Loops!$A$2:$A$316,$A58,Loops!$B$2:$B$316,"Variable loop")</f>
        <v>3</v>
      </c>
      <c r="T58" s="4">
        <f>SUMIFS(Loops!$I$2:$I$316,Loops!$A$2:$A$316,$A58,Loops!$B$2:$B$316,"TΨC-loop")</f>
        <v>1</v>
      </c>
      <c r="U58" s="4">
        <f>SUMIFS(Loops!$F$2:$F$316,Loops!$A$2:$A$316,$A58)-SUMIFS(Loops!$F$2:$F$316,Loops!$A$2:$A$316,$A58,Loops!$B$2:$B$316,"Positions 8, 9, 26")</f>
        <v>28</v>
      </c>
      <c r="V58" s="3">
        <f t="shared" si="26"/>
        <v>12</v>
      </c>
      <c r="W58" s="5">
        <f t="shared" si="27"/>
        <v>0.42857142857142855</v>
      </c>
      <c r="X58" s="7" t="str">
        <f>INDEX(Positions!$E$2:$E$4694,MATCH($A58&amp;"|8",Positions!$A$2:$A$4694,0))</f>
        <v>U</v>
      </c>
      <c r="Y58" s="7" t="str">
        <f>INDEX(Positions!$E$2:$E$4694,MATCH($A58&amp;"|9",Positions!$A$2:$A$4694,0))</f>
        <v>G</v>
      </c>
      <c r="Z58" s="7" t="str">
        <f>INDEX(Positions!$E$2:$E$4694,MATCH($A58&amp;"|26",Positions!$A$2:$A$4694,0))</f>
        <v>G</v>
      </c>
      <c r="AA58" s="7">
        <f t="shared" si="28"/>
        <v>2</v>
      </c>
      <c r="AB58" s="7">
        <f t="shared" si="29"/>
        <v>0</v>
      </c>
      <c r="AC58" s="8">
        <f t="shared" si="30"/>
        <v>2</v>
      </c>
      <c r="AD58" s="9">
        <f t="shared" si="31"/>
        <v>0.66666666666666663</v>
      </c>
      <c r="AE58" s="7" t="str">
        <f t="shared" si="32"/>
        <v>OK</v>
      </c>
      <c r="AF58" s="10">
        <f t="shared" si="33"/>
        <v>31</v>
      </c>
      <c r="AG58" s="10">
        <f t="shared" si="34"/>
        <v>14</v>
      </c>
      <c r="AH58" s="11">
        <f t="shared" si="35"/>
        <v>0.45161290322580644</v>
      </c>
      <c r="AI58" s="11">
        <f t="shared" si="36"/>
        <v>0.69047619047619047</v>
      </c>
      <c r="AJ58" s="12">
        <f t="shared" si="37"/>
        <v>0.23886328725038403</v>
      </c>
    </row>
    <row r="59" spans="1:36">
      <c r="A59" s="3" t="s">
        <v>92</v>
      </c>
      <c r="B59" s="4">
        <f>COUNTIF(Positions!$B$2:$B$4694,A59)</f>
        <v>73</v>
      </c>
      <c r="C59" s="4">
        <f>COUNTIFS(Positions!$B$2:$B$4694,A59,Positions!$E$2:$E$4694,"G")</f>
        <v>21</v>
      </c>
      <c r="D59" s="4">
        <f>COUNTIFS(Positions!$B$2:$B$4694,A59,Positions!$E$2:$E$4694,"C")</f>
        <v>17</v>
      </c>
      <c r="E59" s="3">
        <f t="shared" si="19"/>
        <v>38</v>
      </c>
      <c r="F59" s="5">
        <f t="shared" si="20"/>
        <v>0.52054794520547942</v>
      </c>
      <c r="G59" s="4">
        <f>SUMIFS(Stems_3D_BP!$K$2:$K$1765,Stems_3D_BP!$A$2:$A$1765,$A59,Stems_3D_BP!$B$2:$B$1765,"Acceptor stem")</f>
        <v>9</v>
      </c>
      <c r="H59" s="4">
        <f>SUMIFS(Stems_3D_BP!$K$2:$K$1765,Stems_3D_BP!$A$2:$A$1765,$A59,Stems_3D_BP!$B$2:$B$1765,"D-stem")</f>
        <v>6</v>
      </c>
      <c r="I59" s="4">
        <f>SUMIFS(Stems_3D_BP!$K$2:$K$1765,Stems_3D_BP!$A$2:$A$1765,$A59,Stems_3D_BP!$B$2:$B$1765,"Anticodon stem")</f>
        <v>4</v>
      </c>
      <c r="J59" s="4">
        <f>SUMIFS(Stems_3D_BP!$K$2:$K$1765,Stems_3D_BP!$A$2:$A$1765,$A59,Stems_3D_BP!$B$2:$B$1765,"T-stem")</f>
        <v>8</v>
      </c>
      <c r="K59" s="3">
        <f t="shared" si="21"/>
        <v>27</v>
      </c>
      <c r="L59" s="5">
        <f t="shared" si="22"/>
        <v>0.6428571428571429</v>
      </c>
      <c r="M59" s="4">
        <f>SUMIFS(Stems_3D_BP!$K$2:$K$1765,Stems_3D_BP!$A$2:$A$1765,$A59,Stems_3D_BP!$B$2:$B$1765,"3D (tertiary) BP")</f>
        <v>4</v>
      </c>
      <c r="N59" s="6">
        <f t="shared" si="23"/>
        <v>0.2857142857142857</v>
      </c>
      <c r="O59" s="3">
        <f t="shared" si="24"/>
        <v>31</v>
      </c>
      <c r="P59" s="5">
        <f t="shared" si="25"/>
        <v>0.5535714285714286</v>
      </c>
      <c r="Q59" s="4">
        <f>SUMIFS(Loops!$I$2:$I$316,Loops!$A$2:$A$316,$A59,Loops!$B$2:$B$316,"D-loop")</f>
        <v>5</v>
      </c>
      <c r="R59" s="4">
        <f>SUMIFS(Loops!$I$2:$I$316,Loops!$A$2:$A$316,$A59,Loops!$B$2:$B$316,"Anticodon loop")</f>
        <v>1</v>
      </c>
      <c r="S59" s="4">
        <f>SUMIFS(Loops!$I$2:$I$316,Loops!$A$2:$A$316,$A59,Loops!$B$2:$B$316,"Variable loop")</f>
        <v>3</v>
      </c>
      <c r="T59" s="4">
        <f>SUMIFS(Loops!$I$2:$I$316,Loops!$A$2:$A$316,$A59,Loops!$B$2:$B$316,"TΨC-loop")</f>
        <v>1</v>
      </c>
      <c r="U59" s="4">
        <f>SUMIFS(Loops!$F$2:$F$316,Loops!$A$2:$A$316,$A59)-SUMIFS(Loops!$F$2:$F$316,Loops!$A$2:$A$316,$A59,Loops!$B$2:$B$316,"Positions 8, 9, 26")</f>
        <v>28</v>
      </c>
      <c r="V59" s="3">
        <f t="shared" si="26"/>
        <v>10</v>
      </c>
      <c r="W59" s="5">
        <f t="shared" si="27"/>
        <v>0.35714285714285715</v>
      </c>
      <c r="X59" s="7" t="str">
        <f>INDEX(Positions!$E$2:$E$4694,MATCH($A59&amp;"|8",Positions!$A$2:$A$4694,0))</f>
        <v>U</v>
      </c>
      <c r="Y59" s="7" t="str">
        <f>INDEX(Positions!$E$2:$E$4694,MATCH($A59&amp;"|9",Positions!$A$2:$A$4694,0))</f>
        <v>G</v>
      </c>
      <c r="Z59" s="7" t="str">
        <f>INDEX(Positions!$E$2:$E$4694,MATCH($A59&amp;"|26",Positions!$A$2:$A$4694,0))</f>
        <v>U</v>
      </c>
      <c r="AA59" s="7">
        <f t="shared" si="28"/>
        <v>1</v>
      </c>
      <c r="AB59" s="7">
        <f t="shared" si="29"/>
        <v>0</v>
      </c>
      <c r="AC59" s="8">
        <f t="shared" si="30"/>
        <v>1</v>
      </c>
      <c r="AD59" s="9">
        <f t="shared" si="31"/>
        <v>0.33333333333333331</v>
      </c>
      <c r="AE59" s="7" t="str">
        <f t="shared" si="32"/>
        <v>OK</v>
      </c>
      <c r="AF59" s="10">
        <f t="shared" si="33"/>
        <v>31</v>
      </c>
      <c r="AG59" s="10">
        <f t="shared" si="34"/>
        <v>11</v>
      </c>
      <c r="AH59" s="11">
        <f t="shared" si="35"/>
        <v>0.35483870967741937</v>
      </c>
      <c r="AI59" s="11">
        <f t="shared" si="36"/>
        <v>0.6428571428571429</v>
      </c>
      <c r="AJ59" s="12">
        <f t="shared" si="37"/>
        <v>0.28801843317972353</v>
      </c>
    </row>
    <row r="60" spans="1:36">
      <c r="A60" s="3" t="s">
        <v>93</v>
      </c>
      <c r="B60" s="4">
        <f>COUNTIF(Positions!$B$2:$B$4694,A60)</f>
        <v>73</v>
      </c>
      <c r="C60" s="4">
        <f>COUNTIFS(Positions!$B$2:$B$4694,A60,Positions!$E$2:$E$4694,"G")</f>
        <v>24</v>
      </c>
      <c r="D60" s="4">
        <f>COUNTIFS(Positions!$B$2:$B$4694,A60,Positions!$E$2:$E$4694,"C")</f>
        <v>25</v>
      </c>
      <c r="E60" s="3">
        <f t="shared" si="19"/>
        <v>49</v>
      </c>
      <c r="F60" s="5">
        <f t="shared" si="20"/>
        <v>0.67123287671232879</v>
      </c>
      <c r="G60" s="4">
        <f>SUMIFS(Stems_3D_BP!$K$2:$K$1765,Stems_3D_BP!$A$2:$A$1765,$A60,Stems_3D_BP!$B$2:$B$1765,"Acceptor stem")</f>
        <v>12</v>
      </c>
      <c r="H60" s="4">
        <f>SUMIFS(Stems_3D_BP!$K$2:$K$1765,Stems_3D_BP!$A$2:$A$1765,$A60,Stems_3D_BP!$B$2:$B$1765,"D-stem")</f>
        <v>6</v>
      </c>
      <c r="I60" s="4">
        <f>SUMIFS(Stems_3D_BP!$K$2:$K$1765,Stems_3D_BP!$A$2:$A$1765,$A60,Stems_3D_BP!$B$2:$B$1765,"Anticodon stem")</f>
        <v>7</v>
      </c>
      <c r="J60" s="4">
        <f>SUMIFS(Stems_3D_BP!$K$2:$K$1765,Stems_3D_BP!$A$2:$A$1765,$A60,Stems_3D_BP!$B$2:$B$1765,"T-stem")</f>
        <v>6</v>
      </c>
      <c r="K60" s="3">
        <f t="shared" si="21"/>
        <v>31</v>
      </c>
      <c r="L60" s="5">
        <f t="shared" si="22"/>
        <v>0.73809523809523814</v>
      </c>
      <c r="M60" s="4">
        <f>SUMIFS(Stems_3D_BP!$K$2:$K$1765,Stems_3D_BP!$A$2:$A$1765,$A60,Stems_3D_BP!$B$2:$B$1765,"3D (tertiary) BP")</f>
        <v>8</v>
      </c>
      <c r="N60" s="6">
        <f t="shared" si="23"/>
        <v>0.5714285714285714</v>
      </c>
      <c r="O60" s="3">
        <f t="shared" si="24"/>
        <v>39</v>
      </c>
      <c r="P60" s="5">
        <f t="shared" si="25"/>
        <v>0.6964285714285714</v>
      </c>
      <c r="Q60" s="4">
        <f>SUMIFS(Loops!$I$2:$I$316,Loops!$A$2:$A$316,$A60,Loops!$B$2:$B$316,"D-loop")</f>
        <v>7</v>
      </c>
      <c r="R60" s="4">
        <f>SUMIFS(Loops!$I$2:$I$316,Loops!$A$2:$A$316,$A60,Loops!$B$2:$B$316,"Anticodon loop")</f>
        <v>4</v>
      </c>
      <c r="S60" s="4">
        <f>SUMIFS(Loops!$I$2:$I$316,Loops!$A$2:$A$316,$A60,Loops!$B$2:$B$316,"Variable loop")</f>
        <v>3</v>
      </c>
      <c r="T60" s="4">
        <f>SUMIFS(Loops!$I$2:$I$316,Loops!$A$2:$A$316,$A60,Loops!$B$2:$B$316,"TΨC-loop")</f>
        <v>2</v>
      </c>
      <c r="U60" s="4">
        <f>SUMIFS(Loops!$F$2:$F$316,Loops!$A$2:$A$316,$A60)-SUMIFS(Loops!$F$2:$F$316,Loops!$A$2:$A$316,$A60,Loops!$B$2:$B$316,"Positions 8, 9, 26")</f>
        <v>28</v>
      </c>
      <c r="V60" s="3">
        <f t="shared" si="26"/>
        <v>16</v>
      </c>
      <c r="W60" s="5">
        <f t="shared" si="27"/>
        <v>0.5714285714285714</v>
      </c>
      <c r="X60" s="7" t="str">
        <f>INDEX(Positions!$E$2:$E$4694,MATCH($A60&amp;"|8",Positions!$A$2:$A$4694,0))</f>
        <v>U</v>
      </c>
      <c r="Y60" s="7" t="str">
        <f>INDEX(Positions!$E$2:$E$4694,MATCH($A60&amp;"|9",Positions!$A$2:$A$4694,0))</f>
        <v>G</v>
      </c>
      <c r="Z60" s="7" t="str">
        <f>INDEX(Positions!$E$2:$E$4694,MATCH($A60&amp;"|26",Positions!$A$2:$A$4694,0))</f>
        <v>G</v>
      </c>
      <c r="AA60" s="7">
        <f t="shared" si="28"/>
        <v>2</v>
      </c>
      <c r="AB60" s="7">
        <f t="shared" si="29"/>
        <v>0</v>
      </c>
      <c r="AC60" s="8">
        <f t="shared" si="30"/>
        <v>2</v>
      </c>
      <c r="AD60" s="9">
        <f t="shared" si="31"/>
        <v>0.66666666666666663</v>
      </c>
      <c r="AE60" s="7" t="str">
        <f t="shared" si="32"/>
        <v>OK</v>
      </c>
      <c r="AF60" s="10">
        <f t="shared" si="33"/>
        <v>31</v>
      </c>
      <c r="AG60" s="10">
        <f t="shared" si="34"/>
        <v>18</v>
      </c>
      <c r="AH60" s="11">
        <f t="shared" si="35"/>
        <v>0.58064516129032262</v>
      </c>
      <c r="AI60" s="11">
        <f t="shared" si="36"/>
        <v>0.73809523809523814</v>
      </c>
      <c r="AJ60" s="12">
        <f t="shared" si="37"/>
        <v>0.15745007680491552</v>
      </c>
    </row>
    <row r="61" spans="1:36">
      <c r="A61" s="3" t="s">
        <v>94</v>
      </c>
      <c r="B61" s="4">
        <f>COUNTIF(Positions!$B$2:$B$4694,A61)</f>
        <v>71</v>
      </c>
      <c r="C61" s="4">
        <f>COUNTIFS(Positions!$B$2:$B$4694,A61,Positions!$E$2:$E$4694,"G")</f>
        <v>27</v>
      </c>
      <c r="D61" s="4">
        <f>COUNTIFS(Positions!$B$2:$B$4694,A61,Positions!$E$2:$E$4694,"C")</f>
        <v>20</v>
      </c>
      <c r="E61" s="3">
        <f t="shared" si="19"/>
        <v>47</v>
      </c>
      <c r="F61" s="5">
        <f t="shared" si="20"/>
        <v>0.6619718309859155</v>
      </c>
      <c r="G61" s="4">
        <f>SUMIFS(Stems_3D_BP!$K$2:$K$1765,Stems_3D_BP!$A$2:$A$1765,$A61,Stems_3D_BP!$B$2:$B$1765,"Acceptor stem")</f>
        <v>12</v>
      </c>
      <c r="H61" s="4">
        <f>SUMIFS(Stems_3D_BP!$K$2:$K$1765,Stems_3D_BP!$A$2:$A$1765,$A61,Stems_3D_BP!$B$2:$B$1765,"D-stem")</f>
        <v>4</v>
      </c>
      <c r="I61" s="4">
        <f>SUMIFS(Stems_3D_BP!$K$2:$K$1765,Stems_3D_BP!$A$2:$A$1765,$A61,Stems_3D_BP!$B$2:$B$1765,"Anticodon stem")</f>
        <v>10</v>
      </c>
      <c r="J61" s="4">
        <f>SUMIFS(Stems_3D_BP!$K$2:$K$1765,Stems_3D_BP!$A$2:$A$1765,$A61,Stems_3D_BP!$B$2:$B$1765,"T-stem")</f>
        <v>9</v>
      </c>
      <c r="K61" s="3">
        <f t="shared" si="21"/>
        <v>35</v>
      </c>
      <c r="L61" s="5">
        <f t="shared" si="22"/>
        <v>0.83333333333333337</v>
      </c>
      <c r="M61" s="4">
        <f>SUMIFS(Stems_3D_BP!$K$2:$K$1765,Stems_3D_BP!$A$2:$A$1765,$A61,Stems_3D_BP!$B$2:$B$1765,"3D (tertiary) BP")</f>
        <v>7</v>
      </c>
      <c r="N61" s="6">
        <f t="shared" si="23"/>
        <v>0.5</v>
      </c>
      <c r="O61" s="3">
        <f t="shared" si="24"/>
        <v>42</v>
      </c>
      <c r="P61" s="5">
        <f t="shared" si="25"/>
        <v>0.75</v>
      </c>
      <c r="Q61" s="4">
        <f>SUMIFS(Loops!$I$2:$I$316,Loops!$A$2:$A$316,$A61,Loops!$B$2:$B$316,"D-loop")</f>
        <v>3</v>
      </c>
      <c r="R61" s="4">
        <f>SUMIFS(Loops!$I$2:$I$316,Loops!$A$2:$A$316,$A61,Loops!$B$2:$B$316,"Anticodon loop")</f>
        <v>3</v>
      </c>
      <c r="S61" s="4">
        <f>SUMIFS(Loops!$I$2:$I$316,Loops!$A$2:$A$316,$A61,Loops!$B$2:$B$316,"Variable loop")</f>
        <v>2</v>
      </c>
      <c r="T61" s="4">
        <f>SUMIFS(Loops!$I$2:$I$316,Loops!$A$2:$A$316,$A61,Loops!$B$2:$B$316,"TΨC-loop")</f>
        <v>3</v>
      </c>
      <c r="U61" s="4">
        <f>SUMIFS(Loops!$F$2:$F$316,Loops!$A$2:$A$316,$A61)-SUMIFS(Loops!$F$2:$F$316,Loops!$A$2:$A$316,$A61,Loops!$B$2:$B$316,"Positions 8, 9, 26")</f>
        <v>26</v>
      </c>
      <c r="V61" s="3">
        <f t="shared" si="26"/>
        <v>11</v>
      </c>
      <c r="W61" s="5">
        <f t="shared" si="27"/>
        <v>0.42307692307692307</v>
      </c>
      <c r="X61" s="7" t="str">
        <f>INDEX(Positions!$E$2:$E$4694,MATCH($A61&amp;"|8",Positions!$A$2:$A$4694,0))</f>
        <v>U</v>
      </c>
      <c r="Y61" s="7" t="str">
        <f>INDEX(Positions!$E$2:$E$4694,MATCH($A61&amp;"|9",Positions!$A$2:$A$4694,0))</f>
        <v>A</v>
      </c>
      <c r="Z61" s="7" t="str">
        <f>INDEX(Positions!$E$2:$E$4694,MATCH($A61&amp;"|26",Positions!$A$2:$A$4694,0))</f>
        <v>G</v>
      </c>
      <c r="AA61" s="7">
        <f t="shared" si="28"/>
        <v>1</v>
      </c>
      <c r="AB61" s="7">
        <f t="shared" si="29"/>
        <v>0</v>
      </c>
      <c r="AC61" s="8">
        <f t="shared" si="30"/>
        <v>1</v>
      </c>
      <c r="AD61" s="9">
        <f t="shared" si="31"/>
        <v>0.33333333333333331</v>
      </c>
      <c r="AE61" s="7" t="str">
        <f t="shared" si="32"/>
        <v>OK</v>
      </c>
      <c r="AF61" s="10">
        <f t="shared" si="33"/>
        <v>29</v>
      </c>
      <c r="AG61" s="10">
        <f t="shared" si="34"/>
        <v>12</v>
      </c>
      <c r="AH61" s="11">
        <f t="shared" si="35"/>
        <v>0.41379310344827586</v>
      </c>
      <c r="AI61" s="11">
        <f t="shared" si="36"/>
        <v>0.83333333333333337</v>
      </c>
      <c r="AJ61" s="12">
        <f t="shared" si="37"/>
        <v>0.41954022988505751</v>
      </c>
    </row>
    <row r="62" spans="1:36">
      <c r="A62" s="3" t="s">
        <v>501</v>
      </c>
      <c r="B62" s="4">
        <f>COUNTIF(Positions!$B$2:$B$4694,A62)</f>
        <v>72</v>
      </c>
      <c r="C62" s="4">
        <f>COUNTIFS(Positions!$B$2:$B$4694,A62,Positions!$E$2:$E$4694,"G")</f>
        <v>19</v>
      </c>
      <c r="D62" s="4">
        <f>COUNTIFS(Positions!$B$2:$B$4694,A62,Positions!$E$2:$E$4694,"C")</f>
        <v>21</v>
      </c>
      <c r="E62" s="3">
        <f t="shared" si="19"/>
        <v>40</v>
      </c>
      <c r="F62" s="5">
        <f t="shared" si="20"/>
        <v>0.55555555555555558</v>
      </c>
      <c r="G62" s="4">
        <f>SUMIFS(Stems_3D_BP!$K$2:$K$1765,Stems_3D_BP!$A$2:$A$1765,$A62,Stems_3D_BP!$B$2:$B$1765,"Acceptor stem")</f>
        <v>9</v>
      </c>
      <c r="H62" s="4">
        <f>SUMIFS(Stems_3D_BP!$K$2:$K$1765,Stems_3D_BP!$A$2:$A$1765,$A62,Stems_3D_BP!$B$2:$B$1765,"D-stem")</f>
        <v>7</v>
      </c>
      <c r="I62" s="4">
        <f>SUMIFS(Stems_3D_BP!$K$2:$K$1765,Stems_3D_BP!$A$2:$A$1765,$A62,Stems_3D_BP!$B$2:$B$1765,"Anticodon stem")</f>
        <v>4</v>
      </c>
      <c r="J62" s="4">
        <f>SUMIFS(Stems_3D_BP!$K$2:$K$1765,Stems_3D_BP!$A$2:$A$1765,$A62,Stems_3D_BP!$B$2:$B$1765,"T-stem")</f>
        <v>7</v>
      </c>
      <c r="K62" s="3">
        <f t="shared" si="21"/>
        <v>27</v>
      </c>
      <c r="L62" s="5">
        <f t="shared" si="22"/>
        <v>0.6428571428571429</v>
      </c>
      <c r="M62" s="4">
        <f>SUMIFS(Stems_3D_BP!$K$2:$K$1765,Stems_3D_BP!$A$2:$A$1765,$A62,Stems_3D_BP!$B$2:$B$1765,"3D (tertiary) BP")</f>
        <v>6</v>
      </c>
      <c r="N62" s="6">
        <f t="shared" si="23"/>
        <v>0.42857142857142855</v>
      </c>
      <c r="O62" s="3">
        <f t="shared" si="24"/>
        <v>33</v>
      </c>
      <c r="P62" s="5">
        <f t="shared" si="25"/>
        <v>0.5892857142857143</v>
      </c>
      <c r="Q62" s="4">
        <f>SUMIFS(Loops!$I$2:$I$316,Loops!$A$2:$A$316,$A62,Loops!$B$2:$B$316,"D-loop")</f>
        <v>5</v>
      </c>
      <c r="R62" s="4">
        <f>SUMIFS(Loops!$I$2:$I$316,Loops!$A$2:$A$316,$A62,Loops!$B$2:$B$316,"Anticodon loop")</f>
        <v>2</v>
      </c>
      <c r="S62" s="4">
        <f>SUMIFS(Loops!$I$2:$I$316,Loops!$A$2:$A$316,$A62,Loops!$B$2:$B$316,"Variable loop")</f>
        <v>3</v>
      </c>
      <c r="T62" s="4">
        <f>SUMIFS(Loops!$I$2:$I$316,Loops!$A$2:$A$316,$A62,Loops!$B$2:$B$316,"TΨC-loop")</f>
        <v>1</v>
      </c>
      <c r="U62" s="4">
        <f>SUMIFS(Loops!$F$2:$F$316,Loops!$A$2:$A$316,$A62)-SUMIFS(Loops!$F$2:$F$316,Loops!$A$2:$A$316,$A62,Loops!$B$2:$B$316,"Positions 8, 9, 26")</f>
        <v>27</v>
      </c>
      <c r="V62" s="3">
        <f t="shared" si="26"/>
        <v>11</v>
      </c>
      <c r="W62" s="5">
        <f t="shared" si="27"/>
        <v>0.40740740740740738</v>
      </c>
      <c r="X62" s="7" t="str">
        <f>INDEX(Positions!$E$2:$E$4694,MATCH($A62&amp;"|8",Positions!$A$2:$A$4694,0))</f>
        <v>U</v>
      </c>
      <c r="Y62" s="7" t="str">
        <f>INDEX(Positions!$E$2:$E$4694,MATCH($A62&amp;"|9",Positions!$A$2:$A$4694,0))</f>
        <v>G</v>
      </c>
      <c r="Z62" s="7" t="str">
        <f>INDEX(Positions!$E$2:$E$4694,MATCH($A62&amp;"|26",Positions!$A$2:$A$4694,0))</f>
        <v>G</v>
      </c>
      <c r="AA62" s="7">
        <f t="shared" si="28"/>
        <v>2</v>
      </c>
      <c r="AB62" s="7">
        <f t="shared" si="29"/>
        <v>0</v>
      </c>
      <c r="AC62" s="8">
        <f t="shared" si="30"/>
        <v>2</v>
      </c>
      <c r="AD62" s="9">
        <f t="shared" si="31"/>
        <v>0.66666666666666663</v>
      </c>
      <c r="AE62" s="7" t="str">
        <f t="shared" si="32"/>
        <v>OK</v>
      </c>
      <c r="AF62" s="10">
        <f t="shared" si="33"/>
        <v>30</v>
      </c>
      <c r="AG62" s="10">
        <f t="shared" si="34"/>
        <v>13</v>
      </c>
      <c r="AH62" s="11">
        <f t="shared" si="35"/>
        <v>0.43333333333333335</v>
      </c>
      <c r="AI62" s="11">
        <f t="shared" si="36"/>
        <v>0.6428571428571429</v>
      </c>
      <c r="AJ62" s="12">
        <f t="shared" si="37"/>
        <v>0.20952380952380956</v>
      </c>
    </row>
    <row r="63" spans="1:36">
      <c r="A63" s="3" t="s">
        <v>96</v>
      </c>
      <c r="B63" s="4">
        <f>COUNTIF(Positions!$B$2:$B$4694,A63)</f>
        <v>73</v>
      </c>
      <c r="C63" s="4">
        <f>COUNTIFS(Positions!$B$2:$B$4694,A63,Positions!$E$2:$E$4694,"G")</f>
        <v>25</v>
      </c>
      <c r="D63" s="4">
        <f>COUNTIFS(Positions!$B$2:$B$4694,A63,Positions!$E$2:$E$4694,"C")</f>
        <v>21</v>
      </c>
      <c r="E63" s="3">
        <f t="shared" si="19"/>
        <v>46</v>
      </c>
      <c r="F63" s="5">
        <f t="shared" si="20"/>
        <v>0.63013698630136983</v>
      </c>
      <c r="G63" s="4">
        <f>SUMIFS(Stems_3D_BP!$K$2:$K$1765,Stems_3D_BP!$A$2:$A$1765,$A63,Stems_3D_BP!$B$2:$B$1765,"Acceptor stem")</f>
        <v>13</v>
      </c>
      <c r="H63" s="4">
        <f>SUMIFS(Stems_3D_BP!$K$2:$K$1765,Stems_3D_BP!$A$2:$A$1765,$A63,Stems_3D_BP!$B$2:$B$1765,"D-stem")</f>
        <v>4</v>
      </c>
      <c r="I63" s="4">
        <f>SUMIFS(Stems_3D_BP!$K$2:$K$1765,Stems_3D_BP!$A$2:$A$1765,$A63,Stems_3D_BP!$B$2:$B$1765,"Anticodon stem")</f>
        <v>9</v>
      </c>
      <c r="J63" s="4">
        <f>SUMIFS(Stems_3D_BP!$K$2:$K$1765,Stems_3D_BP!$A$2:$A$1765,$A63,Stems_3D_BP!$B$2:$B$1765,"T-stem")</f>
        <v>6</v>
      </c>
      <c r="K63" s="3">
        <f t="shared" si="21"/>
        <v>32</v>
      </c>
      <c r="L63" s="5">
        <f t="shared" si="22"/>
        <v>0.76190476190476186</v>
      </c>
      <c r="M63" s="4">
        <f>SUMIFS(Stems_3D_BP!$K$2:$K$1765,Stems_3D_BP!$A$2:$A$1765,$A63,Stems_3D_BP!$B$2:$B$1765,"3D (tertiary) BP")</f>
        <v>7</v>
      </c>
      <c r="N63" s="6">
        <f t="shared" si="23"/>
        <v>0.5</v>
      </c>
      <c r="O63" s="3">
        <f t="shared" si="24"/>
        <v>39</v>
      </c>
      <c r="P63" s="5">
        <f t="shared" si="25"/>
        <v>0.6964285714285714</v>
      </c>
      <c r="Q63" s="4">
        <f>SUMIFS(Loops!$I$2:$I$316,Loops!$A$2:$A$316,$A63,Loops!$B$2:$B$316,"D-loop")</f>
        <v>4</v>
      </c>
      <c r="R63" s="4">
        <f>SUMIFS(Loops!$I$2:$I$316,Loops!$A$2:$A$316,$A63,Loops!$B$2:$B$316,"Anticodon loop")</f>
        <v>3</v>
      </c>
      <c r="S63" s="4">
        <f>SUMIFS(Loops!$I$2:$I$316,Loops!$A$2:$A$316,$A63,Loops!$B$2:$B$316,"Variable loop")</f>
        <v>3</v>
      </c>
      <c r="T63" s="4">
        <f>SUMIFS(Loops!$I$2:$I$316,Loops!$A$2:$A$316,$A63,Loops!$B$2:$B$316,"TΨC-loop")</f>
        <v>2</v>
      </c>
      <c r="U63" s="4">
        <f>SUMIFS(Loops!$F$2:$F$316,Loops!$A$2:$A$316,$A63)-SUMIFS(Loops!$F$2:$F$316,Loops!$A$2:$A$316,$A63,Loops!$B$2:$B$316,"Positions 8, 9, 26")</f>
        <v>28</v>
      </c>
      <c r="V63" s="3">
        <f t="shared" si="26"/>
        <v>12</v>
      </c>
      <c r="W63" s="5">
        <f t="shared" si="27"/>
        <v>0.42857142857142855</v>
      </c>
      <c r="X63" s="7" t="str">
        <f>INDEX(Positions!$E$2:$E$4694,MATCH($A63&amp;"|8",Positions!$A$2:$A$4694,0))</f>
        <v>U</v>
      </c>
      <c r="Y63" s="7" t="str">
        <f>INDEX(Positions!$E$2:$E$4694,MATCH($A63&amp;"|9",Positions!$A$2:$A$4694,0))</f>
        <v>G</v>
      </c>
      <c r="Z63" s="7" t="str">
        <f>INDEX(Positions!$E$2:$E$4694,MATCH($A63&amp;"|26",Positions!$A$2:$A$4694,0))</f>
        <v>G</v>
      </c>
      <c r="AA63" s="7">
        <f t="shared" si="28"/>
        <v>2</v>
      </c>
      <c r="AB63" s="7">
        <f t="shared" si="29"/>
        <v>0</v>
      </c>
      <c r="AC63" s="8">
        <f t="shared" si="30"/>
        <v>2</v>
      </c>
      <c r="AD63" s="9">
        <f t="shared" si="31"/>
        <v>0.66666666666666663</v>
      </c>
      <c r="AE63" s="7" t="str">
        <f t="shared" si="32"/>
        <v>OK</v>
      </c>
      <c r="AF63" s="10">
        <f t="shared" si="33"/>
        <v>31</v>
      </c>
      <c r="AG63" s="10">
        <f t="shared" si="34"/>
        <v>14</v>
      </c>
      <c r="AH63" s="11">
        <f t="shared" si="35"/>
        <v>0.45161290322580644</v>
      </c>
      <c r="AI63" s="11">
        <f t="shared" si="36"/>
        <v>0.76190476190476186</v>
      </c>
      <c r="AJ63" s="12">
        <f t="shared" si="37"/>
        <v>0.31029185867895542</v>
      </c>
    </row>
    <row r="64" spans="1:36">
      <c r="A64" s="3" t="s">
        <v>97</v>
      </c>
      <c r="B64" s="4">
        <f>COUNTIF(Positions!$B$2:$B$4694,A64)</f>
        <v>73</v>
      </c>
      <c r="C64" s="4">
        <f>COUNTIFS(Positions!$B$2:$B$4694,A64,Positions!$E$2:$E$4694,"G")</f>
        <v>26</v>
      </c>
      <c r="D64" s="4">
        <f>COUNTIFS(Positions!$B$2:$B$4694,A64,Positions!$E$2:$E$4694,"C")</f>
        <v>19</v>
      </c>
      <c r="E64" s="3">
        <f t="shared" si="19"/>
        <v>45</v>
      </c>
      <c r="F64" s="5">
        <f t="shared" si="20"/>
        <v>0.61643835616438358</v>
      </c>
      <c r="G64" s="4">
        <f>SUMIFS(Stems_3D_BP!$K$2:$K$1765,Stems_3D_BP!$A$2:$A$1765,$A64,Stems_3D_BP!$B$2:$B$1765,"Acceptor stem")</f>
        <v>13</v>
      </c>
      <c r="H64" s="4">
        <f>SUMIFS(Stems_3D_BP!$K$2:$K$1765,Stems_3D_BP!$A$2:$A$1765,$A64,Stems_3D_BP!$B$2:$B$1765,"D-stem")</f>
        <v>4</v>
      </c>
      <c r="I64" s="4">
        <f>SUMIFS(Stems_3D_BP!$K$2:$K$1765,Stems_3D_BP!$A$2:$A$1765,$A64,Stems_3D_BP!$B$2:$B$1765,"Anticodon stem")</f>
        <v>9</v>
      </c>
      <c r="J64" s="4">
        <f>SUMIFS(Stems_3D_BP!$K$2:$K$1765,Stems_3D_BP!$A$2:$A$1765,$A64,Stems_3D_BP!$B$2:$B$1765,"T-stem")</f>
        <v>6</v>
      </c>
      <c r="K64" s="3">
        <f t="shared" si="21"/>
        <v>32</v>
      </c>
      <c r="L64" s="5">
        <f t="shared" si="22"/>
        <v>0.76190476190476186</v>
      </c>
      <c r="M64" s="4">
        <f>SUMIFS(Stems_3D_BP!$K$2:$K$1765,Stems_3D_BP!$A$2:$A$1765,$A64,Stems_3D_BP!$B$2:$B$1765,"3D (tertiary) BP")</f>
        <v>6</v>
      </c>
      <c r="N64" s="6">
        <f t="shared" si="23"/>
        <v>0.42857142857142855</v>
      </c>
      <c r="O64" s="3">
        <f t="shared" si="24"/>
        <v>38</v>
      </c>
      <c r="P64" s="5">
        <f t="shared" si="25"/>
        <v>0.6785714285714286</v>
      </c>
      <c r="Q64" s="4">
        <f>SUMIFS(Loops!$I$2:$I$316,Loops!$A$2:$A$316,$A64,Loops!$B$2:$B$316,"D-loop")</f>
        <v>4</v>
      </c>
      <c r="R64" s="4">
        <f>SUMIFS(Loops!$I$2:$I$316,Loops!$A$2:$A$316,$A64,Loops!$B$2:$B$316,"Anticodon loop")</f>
        <v>2</v>
      </c>
      <c r="S64" s="4">
        <f>SUMIFS(Loops!$I$2:$I$316,Loops!$A$2:$A$316,$A64,Loops!$B$2:$B$316,"Variable loop")</f>
        <v>3</v>
      </c>
      <c r="T64" s="4">
        <f>SUMIFS(Loops!$I$2:$I$316,Loops!$A$2:$A$316,$A64,Loops!$B$2:$B$316,"TΨC-loop")</f>
        <v>2</v>
      </c>
      <c r="U64" s="4">
        <f>SUMIFS(Loops!$F$2:$F$316,Loops!$A$2:$A$316,$A64)-SUMIFS(Loops!$F$2:$F$316,Loops!$A$2:$A$316,$A64,Loops!$B$2:$B$316,"Positions 8, 9, 26")</f>
        <v>28</v>
      </c>
      <c r="V64" s="3">
        <f t="shared" si="26"/>
        <v>11</v>
      </c>
      <c r="W64" s="5">
        <f t="shared" si="27"/>
        <v>0.39285714285714285</v>
      </c>
      <c r="X64" s="7" t="str">
        <f>INDEX(Positions!$E$2:$E$4694,MATCH($A64&amp;"|8",Positions!$A$2:$A$4694,0))</f>
        <v>U</v>
      </c>
      <c r="Y64" s="7" t="str">
        <f>INDEX(Positions!$E$2:$E$4694,MATCH($A64&amp;"|9",Positions!$A$2:$A$4694,0))</f>
        <v>G</v>
      </c>
      <c r="Z64" s="7" t="str">
        <f>INDEX(Positions!$E$2:$E$4694,MATCH($A64&amp;"|26",Positions!$A$2:$A$4694,0))</f>
        <v>G</v>
      </c>
      <c r="AA64" s="7">
        <f t="shared" si="28"/>
        <v>2</v>
      </c>
      <c r="AB64" s="7">
        <f t="shared" si="29"/>
        <v>0</v>
      </c>
      <c r="AC64" s="8">
        <f t="shared" si="30"/>
        <v>2</v>
      </c>
      <c r="AD64" s="9">
        <f t="shared" si="31"/>
        <v>0.66666666666666663</v>
      </c>
      <c r="AE64" s="7" t="str">
        <f t="shared" si="32"/>
        <v>OK</v>
      </c>
      <c r="AF64" s="10">
        <f t="shared" si="33"/>
        <v>31</v>
      </c>
      <c r="AG64" s="10">
        <f t="shared" si="34"/>
        <v>13</v>
      </c>
      <c r="AH64" s="11">
        <f t="shared" si="35"/>
        <v>0.41935483870967744</v>
      </c>
      <c r="AI64" s="11">
        <f t="shared" si="36"/>
        <v>0.76190476190476186</v>
      </c>
      <c r="AJ64" s="12">
        <f t="shared" si="37"/>
        <v>0.34254992319508443</v>
      </c>
    </row>
    <row r="65" spans="1:36">
      <c r="A65" s="3" t="s">
        <v>98</v>
      </c>
      <c r="B65" s="4">
        <f>COUNTIF(Positions!$B$2:$B$4694,A65)</f>
        <v>73</v>
      </c>
      <c r="C65" s="4">
        <f>COUNTIFS(Positions!$B$2:$B$4694,A65,Positions!$E$2:$E$4694,"G")</f>
        <v>26</v>
      </c>
      <c r="D65" s="4">
        <f>COUNTIFS(Positions!$B$2:$B$4694,A65,Positions!$E$2:$E$4694,"C")</f>
        <v>19</v>
      </c>
      <c r="E65" s="3">
        <f t="shared" si="19"/>
        <v>45</v>
      </c>
      <c r="F65" s="5">
        <f t="shared" si="20"/>
        <v>0.61643835616438358</v>
      </c>
      <c r="G65" s="4">
        <f>SUMIFS(Stems_3D_BP!$K$2:$K$1765,Stems_3D_BP!$A$2:$A$1765,$A65,Stems_3D_BP!$B$2:$B$1765,"Acceptor stem")</f>
        <v>13</v>
      </c>
      <c r="H65" s="4">
        <f>SUMIFS(Stems_3D_BP!$K$2:$K$1765,Stems_3D_BP!$A$2:$A$1765,$A65,Stems_3D_BP!$B$2:$B$1765,"D-stem")</f>
        <v>4</v>
      </c>
      <c r="I65" s="4">
        <f>SUMIFS(Stems_3D_BP!$K$2:$K$1765,Stems_3D_BP!$A$2:$A$1765,$A65,Stems_3D_BP!$B$2:$B$1765,"Anticodon stem")</f>
        <v>9</v>
      </c>
      <c r="J65" s="4">
        <f>SUMIFS(Stems_3D_BP!$K$2:$K$1765,Stems_3D_BP!$A$2:$A$1765,$A65,Stems_3D_BP!$B$2:$B$1765,"T-stem")</f>
        <v>6</v>
      </c>
      <c r="K65" s="3">
        <f t="shared" si="21"/>
        <v>32</v>
      </c>
      <c r="L65" s="5">
        <f t="shared" si="22"/>
        <v>0.76190476190476186</v>
      </c>
      <c r="M65" s="4">
        <f>SUMIFS(Stems_3D_BP!$K$2:$K$1765,Stems_3D_BP!$A$2:$A$1765,$A65,Stems_3D_BP!$B$2:$B$1765,"3D (tertiary) BP")</f>
        <v>6</v>
      </c>
      <c r="N65" s="6">
        <f t="shared" si="23"/>
        <v>0.42857142857142855</v>
      </c>
      <c r="O65" s="3">
        <f t="shared" si="24"/>
        <v>38</v>
      </c>
      <c r="P65" s="5">
        <f t="shared" si="25"/>
        <v>0.6785714285714286</v>
      </c>
      <c r="Q65" s="4">
        <f>SUMIFS(Loops!$I$2:$I$316,Loops!$A$2:$A$316,$A65,Loops!$B$2:$B$316,"D-loop")</f>
        <v>4</v>
      </c>
      <c r="R65" s="4">
        <f>SUMIFS(Loops!$I$2:$I$316,Loops!$A$2:$A$316,$A65,Loops!$B$2:$B$316,"Anticodon loop")</f>
        <v>2</v>
      </c>
      <c r="S65" s="4">
        <f>SUMIFS(Loops!$I$2:$I$316,Loops!$A$2:$A$316,$A65,Loops!$B$2:$B$316,"Variable loop")</f>
        <v>3</v>
      </c>
      <c r="T65" s="4">
        <f>SUMIFS(Loops!$I$2:$I$316,Loops!$A$2:$A$316,$A65,Loops!$B$2:$B$316,"TΨC-loop")</f>
        <v>2</v>
      </c>
      <c r="U65" s="4">
        <f>SUMIFS(Loops!$F$2:$F$316,Loops!$A$2:$A$316,$A65)-SUMIFS(Loops!$F$2:$F$316,Loops!$A$2:$A$316,$A65,Loops!$B$2:$B$316,"Positions 8, 9, 26")</f>
        <v>28</v>
      </c>
      <c r="V65" s="3">
        <f t="shared" si="26"/>
        <v>11</v>
      </c>
      <c r="W65" s="5">
        <f t="shared" si="27"/>
        <v>0.39285714285714285</v>
      </c>
      <c r="X65" s="7" t="str">
        <f>INDEX(Positions!$E$2:$E$4694,MATCH($A65&amp;"|8",Positions!$A$2:$A$4694,0))</f>
        <v>U</v>
      </c>
      <c r="Y65" s="7" t="str">
        <f>INDEX(Positions!$E$2:$E$4694,MATCH($A65&amp;"|9",Positions!$A$2:$A$4694,0))</f>
        <v>G</v>
      </c>
      <c r="Z65" s="7" t="str">
        <f>INDEX(Positions!$E$2:$E$4694,MATCH($A65&amp;"|26",Positions!$A$2:$A$4694,0))</f>
        <v>G</v>
      </c>
      <c r="AA65" s="7">
        <f t="shared" si="28"/>
        <v>2</v>
      </c>
      <c r="AB65" s="7">
        <f t="shared" si="29"/>
        <v>0</v>
      </c>
      <c r="AC65" s="8">
        <f t="shared" si="30"/>
        <v>2</v>
      </c>
      <c r="AD65" s="9">
        <f t="shared" si="31"/>
        <v>0.66666666666666663</v>
      </c>
      <c r="AE65" s="7" t="str">
        <f t="shared" si="32"/>
        <v>OK</v>
      </c>
      <c r="AF65" s="10">
        <f t="shared" si="33"/>
        <v>31</v>
      </c>
      <c r="AG65" s="10">
        <f t="shared" si="34"/>
        <v>13</v>
      </c>
      <c r="AH65" s="11">
        <f t="shared" si="35"/>
        <v>0.41935483870967744</v>
      </c>
      <c r="AI65" s="11">
        <f t="shared" si="36"/>
        <v>0.76190476190476186</v>
      </c>
      <c r="AJ65" s="12">
        <f t="shared" si="37"/>
        <v>0.34254992319508443</v>
      </c>
    </row>
    <row r="66" spans="1:36">
      <c r="A66" s="3" t="s">
        <v>99</v>
      </c>
      <c r="B66" s="4">
        <f>COUNTIF(Positions!$B$2:$B$4694,A66)</f>
        <v>73</v>
      </c>
      <c r="C66" s="4">
        <f>COUNTIFS(Positions!$B$2:$B$4694,A66,Positions!$E$2:$E$4694,"G")</f>
        <v>24</v>
      </c>
      <c r="D66" s="4">
        <f>COUNTIFS(Positions!$B$2:$B$4694,A66,Positions!$E$2:$E$4694,"C")</f>
        <v>20</v>
      </c>
      <c r="E66" s="3">
        <f t="shared" si="19"/>
        <v>44</v>
      </c>
      <c r="F66" s="5">
        <f t="shared" si="20"/>
        <v>0.60273972602739723</v>
      </c>
      <c r="G66" s="4">
        <f>SUMIFS(Stems_3D_BP!$K$2:$K$1765,Stems_3D_BP!$A$2:$A$1765,$A66,Stems_3D_BP!$B$2:$B$1765,"Acceptor stem")</f>
        <v>13</v>
      </c>
      <c r="H66" s="4">
        <f>SUMIFS(Stems_3D_BP!$K$2:$K$1765,Stems_3D_BP!$A$2:$A$1765,$A66,Stems_3D_BP!$B$2:$B$1765,"D-stem")</f>
        <v>4</v>
      </c>
      <c r="I66" s="4">
        <f>SUMIFS(Stems_3D_BP!$K$2:$K$1765,Stems_3D_BP!$A$2:$A$1765,$A66,Stems_3D_BP!$B$2:$B$1765,"Anticodon stem")</f>
        <v>9</v>
      </c>
      <c r="J66" s="4">
        <f>SUMIFS(Stems_3D_BP!$K$2:$K$1765,Stems_3D_BP!$A$2:$A$1765,$A66,Stems_3D_BP!$B$2:$B$1765,"T-stem")</f>
        <v>6</v>
      </c>
      <c r="K66" s="3">
        <f t="shared" si="21"/>
        <v>32</v>
      </c>
      <c r="L66" s="5">
        <f t="shared" si="22"/>
        <v>0.76190476190476186</v>
      </c>
      <c r="M66" s="4">
        <f>SUMIFS(Stems_3D_BP!$K$2:$K$1765,Stems_3D_BP!$A$2:$A$1765,$A66,Stems_3D_BP!$B$2:$B$1765,"3D (tertiary) BP")</f>
        <v>7</v>
      </c>
      <c r="N66" s="6">
        <f t="shared" si="23"/>
        <v>0.5</v>
      </c>
      <c r="O66" s="3">
        <f t="shared" si="24"/>
        <v>39</v>
      </c>
      <c r="P66" s="5">
        <f t="shared" si="25"/>
        <v>0.6964285714285714</v>
      </c>
      <c r="Q66" s="4">
        <f>SUMIFS(Loops!$I$2:$I$316,Loops!$A$2:$A$316,$A66,Loops!$B$2:$B$316,"D-loop")</f>
        <v>4</v>
      </c>
      <c r="R66" s="4">
        <f>SUMIFS(Loops!$I$2:$I$316,Loops!$A$2:$A$316,$A66,Loops!$B$2:$B$316,"Anticodon loop")</f>
        <v>2</v>
      </c>
      <c r="S66" s="4">
        <f>SUMIFS(Loops!$I$2:$I$316,Loops!$A$2:$A$316,$A66,Loops!$B$2:$B$316,"Variable loop")</f>
        <v>3</v>
      </c>
      <c r="T66" s="4">
        <f>SUMIFS(Loops!$I$2:$I$316,Loops!$A$2:$A$316,$A66,Loops!$B$2:$B$316,"TΨC-loop")</f>
        <v>2</v>
      </c>
      <c r="U66" s="4">
        <f>SUMIFS(Loops!$F$2:$F$316,Loops!$A$2:$A$316,$A66)-SUMIFS(Loops!$F$2:$F$316,Loops!$A$2:$A$316,$A66,Loops!$B$2:$B$316,"Positions 8, 9, 26")</f>
        <v>28</v>
      </c>
      <c r="V66" s="3">
        <f t="shared" si="26"/>
        <v>11</v>
      </c>
      <c r="W66" s="5">
        <f t="shared" si="27"/>
        <v>0.39285714285714285</v>
      </c>
      <c r="X66" s="7" t="str">
        <f>INDEX(Positions!$E$2:$E$4694,MATCH($A66&amp;"|8",Positions!$A$2:$A$4694,0))</f>
        <v>U</v>
      </c>
      <c r="Y66" s="7" t="str">
        <f>INDEX(Positions!$E$2:$E$4694,MATCH($A66&amp;"|9",Positions!$A$2:$A$4694,0))</f>
        <v>G</v>
      </c>
      <c r="Z66" s="7" t="str">
        <f>INDEX(Positions!$E$2:$E$4694,MATCH($A66&amp;"|26",Positions!$A$2:$A$4694,0))</f>
        <v>A</v>
      </c>
      <c r="AA66" s="7">
        <f t="shared" si="28"/>
        <v>1</v>
      </c>
      <c r="AB66" s="7">
        <f t="shared" si="29"/>
        <v>0</v>
      </c>
      <c r="AC66" s="8">
        <f t="shared" si="30"/>
        <v>1</v>
      </c>
      <c r="AD66" s="9">
        <f t="shared" si="31"/>
        <v>0.33333333333333331</v>
      </c>
      <c r="AE66" s="7" t="str">
        <f t="shared" si="32"/>
        <v>OK</v>
      </c>
      <c r="AF66" s="10">
        <f t="shared" si="33"/>
        <v>31</v>
      </c>
      <c r="AG66" s="10">
        <f t="shared" si="34"/>
        <v>12</v>
      </c>
      <c r="AH66" s="11">
        <f t="shared" si="35"/>
        <v>0.38709677419354838</v>
      </c>
      <c r="AI66" s="11">
        <f t="shared" si="36"/>
        <v>0.76190476190476186</v>
      </c>
      <c r="AJ66" s="12">
        <f t="shared" si="37"/>
        <v>0.37480798771121349</v>
      </c>
    </row>
    <row r="67" spans="1:36">
      <c r="A67" s="3" t="s">
        <v>100</v>
      </c>
      <c r="B67" s="13">
        <f t="shared" ref="B67:W67" si="38">AVERAGE(B4:B66)</f>
        <v>74.492063492063494</v>
      </c>
      <c r="C67" s="13">
        <f t="shared" si="38"/>
        <v>24.111111111111111</v>
      </c>
      <c r="D67" s="13">
        <f t="shared" si="38"/>
        <v>21.238095238095237</v>
      </c>
      <c r="E67" s="13">
        <f t="shared" si="38"/>
        <v>45.349206349206348</v>
      </c>
      <c r="F67" s="14">
        <f t="shared" si="38"/>
        <v>0.60898274804498542</v>
      </c>
      <c r="G67" s="13">
        <f t="shared" si="38"/>
        <v>11.079365079365079</v>
      </c>
      <c r="H67" s="13">
        <f t="shared" si="38"/>
        <v>5.1428571428571432</v>
      </c>
      <c r="I67" s="13">
        <f t="shared" si="38"/>
        <v>7.1428571428571432</v>
      </c>
      <c r="J67" s="13">
        <f t="shared" si="38"/>
        <v>7.8571428571428568</v>
      </c>
      <c r="K67" s="13">
        <f t="shared" si="38"/>
        <v>31.222222222222221</v>
      </c>
      <c r="L67" s="14">
        <f t="shared" si="38"/>
        <v>0.74338624338624326</v>
      </c>
      <c r="M67" s="13">
        <f t="shared" si="38"/>
        <v>6.7619047619047619</v>
      </c>
      <c r="N67" s="14">
        <f t="shared" si="38"/>
        <v>0.48299319727891143</v>
      </c>
      <c r="O67" s="13">
        <f t="shared" si="38"/>
        <v>37.984126984126981</v>
      </c>
      <c r="P67" s="14">
        <f t="shared" si="38"/>
        <v>0.67828798185941064</v>
      </c>
      <c r="Q67" s="13">
        <f t="shared" si="38"/>
        <v>4.8888888888888893</v>
      </c>
      <c r="R67" s="13">
        <f t="shared" si="38"/>
        <v>2.8571428571428572</v>
      </c>
      <c r="S67" s="13">
        <f t="shared" si="38"/>
        <v>3.4285714285714284</v>
      </c>
      <c r="T67" s="13">
        <f t="shared" si="38"/>
        <v>1.8571428571428572</v>
      </c>
      <c r="U67" s="13">
        <f t="shared" si="38"/>
        <v>29.49206349206349</v>
      </c>
      <c r="V67" s="13">
        <f t="shared" si="38"/>
        <v>13.031746031746032</v>
      </c>
      <c r="W67" s="14">
        <f t="shared" si="38"/>
        <v>0.44204870927568457</v>
      </c>
      <c r="AA67" s="13">
        <f>AVERAGE(AA4:AA66)</f>
        <v>1.0158730158730158</v>
      </c>
      <c r="AB67" s="13">
        <f>AVERAGE(AB4:AB66)</f>
        <v>7.9365079365079361E-2</v>
      </c>
      <c r="AC67" s="13">
        <f>AVERAGE(AC4:AC66)</f>
        <v>1.0952380952380953</v>
      </c>
      <c r="AD67" s="14">
        <f>AVERAGE(AD4:AD66)</f>
        <v>0.36507936507936517</v>
      </c>
      <c r="AF67" s="13">
        <f>AVERAGE(AF4:AF66)</f>
        <v>32.492063492063494</v>
      </c>
      <c r="AG67" s="13">
        <f>AVERAGE(AG4:AG66)</f>
        <v>14.126984126984127</v>
      </c>
      <c r="AH67" s="14">
        <f>AVERAGE(AH4:AH66)</f>
        <v>0.43492327465063346</v>
      </c>
      <c r="AI67" s="14">
        <f>AVERAGE(AI4:AI66)</f>
        <v>0.74338624338624326</v>
      </c>
      <c r="AJ67" s="14">
        <f>AVERAGE(AJ4:AJ66)</f>
        <v>0.30846296873561019</v>
      </c>
    </row>
    <row r="69" spans="1:36">
      <c r="A69" s="15" t="s">
        <v>101</v>
      </c>
    </row>
    <row r="70" spans="1:36">
      <c r="A70" s="15" t="s">
        <v>102</v>
      </c>
    </row>
    <row r="72" spans="1:36">
      <c r="A72" t="s">
        <v>502</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dimension ref="A1:F4694"/>
  <sheetViews>
    <sheetView workbookViewId="0">
      <pane xSplit="1" ySplit="1" topLeftCell="B2" activePane="bottomRight" state="frozen"/>
      <selection pane="topRight" activeCell="B1" sqref="B1"/>
      <selection pane="bottomLeft" activeCell="A2" sqref="A2"/>
      <selection pane="bottomRight"/>
    </sheetView>
  </sheetViews>
  <sheetFormatPr defaultColWidth="8.7109375" defaultRowHeight="15"/>
  <cols>
    <col min="1" max="1" width="24" customWidth="1"/>
    <col min="2" max="2" width="19" customWidth="1"/>
    <col min="3" max="3" width="12" customWidth="1"/>
    <col min="4" max="5" width="11" customWidth="1"/>
    <col min="6" max="6" width="17" customWidth="1"/>
  </cols>
  <sheetData>
    <row r="1" spans="1:6" ht="30">
      <c r="A1" s="2" t="s">
        <v>103</v>
      </c>
      <c r="B1" s="2" t="s">
        <v>1</v>
      </c>
      <c r="C1" s="2" t="s">
        <v>104</v>
      </c>
      <c r="D1" s="2" t="s">
        <v>105</v>
      </c>
      <c r="E1" s="2" t="s">
        <v>106</v>
      </c>
      <c r="F1" s="2" t="s">
        <v>107</v>
      </c>
    </row>
    <row r="2" spans="1:6">
      <c r="A2" s="4" t="str">
        <f t="shared" ref="A2:A65" si="0">B2&amp;"|"&amp;C2</f>
        <v>tRNA-Ala-CGC-1-1|1</v>
      </c>
      <c r="B2" s="4" t="s">
        <v>37</v>
      </c>
      <c r="C2" s="4" t="s">
        <v>108</v>
      </c>
      <c r="D2" s="4">
        <v>1</v>
      </c>
      <c r="E2" s="16" t="s">
        <v>109</v>
      </c>
      <c r="F2" s="17" t="s">
        <v>110</v>
      </c>
    </row>
    <row r="3" spans="1:6">
      <c r="A3" s="4" t="str">
        <f t="shared" si="0"/>
        <v>tRNA-Ala-CGC-1-1|2</v>
      </c>
      <c r="B3" s="4" t="s">
        <v>37</v>
      </c>
      <c r="C3" s="4" t="s">
        <v>111</v>
      </c>
      <c r="D3" s="4">
        <v>2</v>
      </c>
      <c r="E3" s="16" t="s">
        <v>109</v>
      </c>
      <c r="F3" s="17" t="s">
        <v>110</v>
      </c>
    </row>
    <row r="4" spans="1:6">
      <c r="A4" s="4" t="str">
        <f t="shared" si="0"/>
        <v>tRNA-Ala-CGC-1-1|3</v>
      </c>
      <c r="B4" s="4" t="s">
        <v>37</v>
      </c>
      <c r="C4" s="4" t="s">
        <v>112</v>
      </c>
      <c r="D4" s="4">
        <v>3</v>
      </c>
      <c r="E4" s="16" t="s">
        <v>109</v>
      </c>
      <c r="F4" s="17" t="s">
        <v>110</v>
      </c>
    </row>
    <row r="5" spans="1:6">
      <c r="A5" s="4" t="str">
        <f t="shared" si="0"/>
        <v>tRNA-Ala-CGC-1-1|4</v>
      </c>
      <c r="B5" s="4" t="s">
        <v>37</v>
      </c>
      <c r="C5" s="4" t="s">
        <v>113</v>
      </c>
      <c r="D5" s="4">
        <v>4</v>
      </c>
      <c r="E5" s="16" t="s">
        <v>114</v>
      </c>
      <c r="F5" s="17" t="s">
        <v>110</v>
      </c>
    </row>
    <row r="6" spans="1:6">
      <c r="A6" s="4" t="str">
        <f t="shared" si="0"/>
        <v>tRNA-Ala-CGC-1-1|5</v>
      </c>
      <c r="B6" s="4" t="s">
        <v>37</v>
      </c>
      <c r="C6" s="4" t="s">
        <v>115</v>
      </c>
      <c r="D6" s="4">
        <v>5</v>
      </c>
      <c r="E6" s="16" t="s">
        <v>116</v>
      </c>
      <c r="F6" s="17" t="s">
        <v>110</v>
      </c>
    </row>
    <row r="7" spans="1:6">
      <c r="A7" s="4" t="str">
        <f t="shared" si="0"/>
        <v>tRNA-Ala-CGC-1-1|6</v>
      </c>
      <c r="B7" s="4" t="s">
        <v>37</v>
      </c>
      <c r="C7" s="4" t="s">
        <v>117</v>
      </c>
      <c r="D7" s="4">
        <v>6</v>
      </c>
      <c r="E7" s="16" t="s">
        <v>114</v>
      </c>
      <c r="F7" s="17" t="s">
        <v>110</v>
      </c>
    </row>
    <row r="8" spans="1:6">
      <c r="A8" s="4" t="str">
        <f t="shared" si="0"/>
        <v>tRNA-Ala-CGC-1-1|7</v>
      </c>
      <c r="B8" s="4" t="s">
        <v>37</v>
      </c>
      <c r="C8" s="4" t="s">
        <v>118</v>
      </c>
      <c r="D8" s="4">
        <v>7</v>
      </c>
      <c r="E8" s="16" t="s">
        <v>109</v>
      </c>
      <c r="F8" s="17" t="s">
        <v>110</v>
      </c>
    </row>
    <row r="9" spans="1:6">
      <c r="A9" s="4" t="str">
        <f t="shared" si="0"/>
        <v>tRNA-Ala-CGC-1-1|8</v>
      </c>
      <c r="B9" s="4" t="s">
        <v>37</v>
      </c>
      <c r="C9" s="4" t="s">
        <v>119</v>
      </c>
      <c r="D9" s="4">
        <v>8</v>
      </c>
      <c r="E9" s="3" t="s">
        <v>116</v>
      </c>
      <c r="F9" s="4" t="s">
        <v>120</v>
      </c>
    </row>
    <row r="10" spans="1:6">
      <c r="A10" s="4" t="str">
        <f t="shared" si="0"/>
        <v>tRNA-Ala-CGC-1-1|9</v>
      </c>
      <c r="B10" s="4" t="s">
        <v>37</v>
      </c>
      <c r="C10" s="4" t="s">
        <v>121</v>
      </c>
      <c r="D10" s="4">
        <v>9</v>
      </c>
      <c r="E10" s="3" t="s">
        <v>122</v>
      </c>
      <c r="F10" s="4" t="s">
        <v>123</v>
      </c>
    </row>
    <row r="11" spans="1:6">
      <c r="A11" s="4" t="str">
        <f t="shared" si="0"/>
        <v>tRNA-Ala-CGC-1-1|10</v>
      </c>
      <c r="B11" s="4" t="s">
        <v>37</v>
      </c>
      <c r="C11" s="4" t="s">
        <v>124</v>
      </c>
      <c r="D11" s="4">
        <v>10</v>
      </c>
      <c r="E11" s="8" t="s">
        <v>109</v>
      </c>
      <c r="F11" s="7" t="s">
        <v>125</v>
      </c>
    </row>
    <row r="12" spans="1:6">
      <c r="A12" s="4" t="str">
        <f t="shared" si="0"/>
        <v>tRNA-Ala-CGC-1-1|11</v>
      </c>
      <c r="B12" s="4" t="s">
        <v>37</v>
      </c>
      <c r="C12" s="4" t="s">
        <v>126</v>
      </c>
      <c r="D12" s="4">
        <v>11</v>
      </c>
      <c r="E12" s="8" t="s">
        <v>122</v>
      </c>
      <c r="F12" s="7" t="s">
        <v>125</v>
      </c>
    </row>
    <row r="13" spans="1:6">
      <c r="A13" s="4" t="str">
        <f t="shared" si="0"/>
        <v>tRNA-Ala-CGC-1-1|12</v>
      </c>
      <c r="B13" s="4" t="s">
        <v>37</v>
      </c>
      <c r="C13" s="4" t="s">
        <v>127</v>
      </c>
      <c r="D13" s="4">
        <v>12</v>
      </c>
      <c r="E13" s="8" t="s">
        <v>116</v>
      </c>
      <c r="F13" s="7" t="s">
        <v>125</v>
      </c>
    </row>
    <row r="14" spans="1:6">
      <c r="A14" s="4" t="str">
        <f t="shared" si="0"/>
        <v>tRNA-Ala-CGC-1-1|13</v>
      </c>
      <c r="B14" s="4" t="s">
        <v>37</v>
      </c>
      <c r="C14" s="4" t="s">
        <v>128</v>
      </c>
      <c r="D14" s="4">
        <v>13</v>
      </c>
      <c r="E14" s="8" t="s">
        <v>114</v>
      </c>
      <c r="F14" s="7" t="s">
        <v>125</v>
      </c>
    </row>
    <row r="15" spans="1:6">
      <c r="A15" s="4" t="str">
        <f t="shared" si="0"/>
        <v>tRNA-Ala-CGC-1-1|14</v>
      </c>
      <c r="B15" s="4" t="s">
        <v>37</v>
      </c>
      <c r="C15" s="4" t="s">
        <v>129</v>
      </c>
      <c r="D15" s="4">
        <v>14</v>
      </c>
      <c r="E15" s="18" t="s">
        <v>122</v>
      </c>
      <c r="F15" s="19" t="s">
        <v>130</v>
      </c>
    </row>
    <row r="16" spans="1:6">
      <c r="A16" s="4" t="str">
        <f t="shared" si="0"/>
        <v>tRNA-Ala-CGC-1-1|15</v>
      </c>
      <c r="B16" s="4" t="s">
        <v>37</v>
      </c>
      <c r="C16" s="4" t="s">
        <v>131</v>
      </c>
      <c r="D16" s="4">
        <v>15</v>
      </c>
      <c r="E16" s="18" t="s">
        <v>109</v>
      </c>
      <c r="F16" s="19" t="s">
        <v>130</v>
      </c>
    </row>
    <row r="17" spans="1:6">
      <c r="A17" s="4" t="str">
        <f t="shared" si="0"/>
        <v>tRNA-Ala-CGC-1-1|18</v>
      </c>
      <c r="B17" s="4" t="s">
        <v>37</v>
      </c>
      <c r="C17" s="4" t="s">
        <v>132</v>
      </c>
      <c r="D17" s="4">
        <v>16</v>
      </c>
      <c r="E17" s="18" t="s">
        <v>109</v>
      </c>
      <c r="F17" s="19" t="s">
        <v>130</v>
      </c>
    </row>
    <row r="18" spans="1:6">
      <c r="A18" s="4" t="str">
        <f t="shared" si="0"/>
        <v>tRNA-Ala-CGC-1-1|19</v>
      </c>
      <c r="B18" s="4" t="s">
        <v>37</v>
      </c>
      <c r="C18" s="4" t="s">
        <v>133</v>
      </c>
      <c r="D18" s="4">
        <v>17</v>
      </c>
      <c r="E18" s="18" t="s">
        <v>109</v>
      </c>
      <c r="F18" s="19" t="s">
        <v>130</v>
      </c>
    </row>
    <row r="19" spans="1:6">
      <c r="A19" s="4" t="str">
        <f t="shared" si="0"/>
        <v>tRNA-Ala-CGC-1-1|20</v>
      </c>
      <c r="B19" s="4" t="s">
        <v>37</v>
      </c>
      <c r="C19" s="4" t="s">
        <v>134</v>
      </c>
      <c r="D19" s="4">
        <v>18</v>
      </c>
      <c r="E19" s="18" t="s">
        <v>109</v>
      </c>
      <c r="F19" s="19" t="s">
        <v>130</v>
      </c>
    </row>
    <row r="20" spans="1:6">
      <c r="A20" s="4" t="str">
        <f t="shared" si="0"/>
        <v>tRNA-Ala-CGC-1-1|20a</v>
      </c>
      <c r="B20" s="4" t="s">
        <v>37</v>
      </c>
      <c r="C20" s="4" t="s">
        <v>135</v>
      </c>
      <c r="D20" s="4">
        <v>19</v>
      </c>
      <c r="E20" s="18" t="s">
        <v>122</v>
      </c>
      <c r="F20" s="19" t="s">
        <v>130</v>
      </c>
    </row>
    <row r="21" spans="1:6">
      <c r="A21" s="4" t="str">
        <f t="shared" si="0"/>
        <v>tRNA-Ala-CGC-1-1|21</v>
      </c>
      <c r="B21" s="4" t="s">
        <v>37</v>
      </c>
      <c r="C21" s="4" t="s">
        <v>136</v>
      </c>
      <c r="D21" s="4">
        <v>20</v>
      </c>
      <c r="E21" s="18" t="s">
        <v>122</v>
      </c>
      <c r="F21" s="19" t="s">
        <v>130</v>
      </c>
    </row>
    <row r="22" spans="1:6">
      <c r="A22" s="4" t="str">
        <f t="shared" si="0"/>
        <v>tRNA-Ala-CGC-1-1|22</v>
      </c>
      <c r="B22" s="4" t="s">
        <v>37</v>
      </c>
      <c r="C22" s="4" t="s">
        <v>137</v>
      </c>
      <c r="D22" s="4">
        <v>21</v>
      </c>
      <c r="E22" s="8" t="s">
        <v>109</v>
      </c>
      <c r="F22" s="7" t="s">
        <v>125</v>
      </c>
    </row>
    <row r="23" spans="1:6">
      <c r="A23" s="4" t="str">
        <f t="shared" si="0"/>
        <v>tRNA-Ala-CGC-1-1|23</v>
      </c>
      <c r="B23" s="4" t="s">
        <v>37</v>
      </c>
      <c r="C23" s="4" t="s">
        <v>138</v>
      </c>
      <c r="D23" s="4">
        <v>22</v>
      </c>
      <c r="E23" s="8" t="s">
        <v>122</v>
      </c>
      <c r="F23" s="7" t="s">
        <v>125</v>
      </c>
    </row>
    <row r="24" spans="1:6">
      <c r="A24" s="4" t="str">
        <f t="shared" si="0"/>
        <v>tRNA-Ala-CGC-1-1|24</v>
      </c>
      <c r="B24" s="4" t="s">
        <v>37</v>
      </c>
      <c r="C24" s="4" t="s">
        <v>139</v>
      </c>
      <c r="D24" s="4">
        <v>23</v>
      </c>
      <c r="E24" s="8" t="s">
        <v>116</v>
      </c>
      <c r="F24" s="7" t="s">
        <v>125</v>
      </c>
    </row>
    <row r="25" spans="1:6">
      <c r="A25" s="4" t="str">
        <f t="shared" si="0"/>
        <v>tRNA-Ala-CGC-1-1|25</v>
      </c>
      <c r="B25" s="4" t="s">
        <v>37</v>
      </c>
      <c r="C25" s="4" t="s">
        <v>140</v>
      </c>
      <c r="D25" s="4">
        <v>24</v>
      </c>
      <c r="E25" s="8" t="s">
        <v>114</v>
      </c>
      <c r="F25" s="7" t="s">
        <v>125</v>
      </c>
    </row>
    <row r="26" spans="1:6">
      <c r="A26" s="4" t="str">
        <f t="shared" si="0"/>
        <v>tRNA-Ala-CGC-1-1|26</v>
      </c>
      <c r="B26" s="4" t="s">
        <v>37</v>
      </c>
      <c r="C26" s="4" t="s">
        <v>141</v>
      </c>
      <c r="D26" s="4">
        <v>25</v>
      </c>
      <c r="E26" s="3" t="s">
        <v>109</v>
      </c>
      <c r="F26" s="4" t="s">
        <v>142</v>
      </c>
    </row>
    <row r="27" spans="1:6">
      <c r="A27" s="4" t="str">
        <f t="shared" si="0"/>
        <v>tRNA-Ala-CGC-1-1|27</v>
      </c>
      <c r="B27" s="4" t="s">
        <v>37</v>
      </c>
      <c r="C27" s="4" t="s">
        <v>143</v>
      </c>
      <c r="D27" s="4">
        <v>26</v>
      </c>
      <c r="E27" s="20" t="s">
        <v>116</v>
      </c>
      <c r="F27" s="21" t="s">
        <v>144</v>
      </c>
    </row>
    <row r="28" spans="1:6">
      <c r="A28" s="4" t="str">
        <f t="shared" si="0"/>
        <v>tRNA-Ala-CGC-1-1|28</v>
      </c>
      <c r="B28" s="4" t="s">
        <v>37</v>
      </c>
      <c r="C28" s="4" t="s">
        <v>145</v>
      </c>
      <c r="D28" s="4">
        <v>27</v>
      </c>
      <c r="E28" s="20" t="s">
        <v>116</v>
      </c>
      <c r="F28" s="21" t="s">
        <v>144</v>
      </c>
    </row>
    <row r="29" spans="1:6">
      <c r="A29" s="4" t="str">
        <f t="shared" si="0"/>
        <v>tRNA-Ala-CGC-1-1|29</v>
      </c>
      <c r="B29" s="4" t="s">
        <v>37</v>
      </c>
      <c r="C29" s="4" t="s">
        <v>146</v>
      </c>
      <c r="D29" s="4">
        <v>28</v>
      </c>
      <c r="E29" s="20" t="s">
        <v>122</v>
      </c>
      <c r="F29" s="21" t="s">
        <v>144</v>
      </c>
    </row>
    <row r="30" spans="1:6">
      <c r="A30" s="4" t="str">
        <f t="shared" si="0"/>
        <v>tRNA-Ala-CGC-1-1|30</v>
      </c>
      <c r="B30" s="4" t="s">
        <v>37</v>
      </c>
      <c r="C30" s="4" t="s">
        <v>147</v>
      </c>
      <c r="D30" s="4">
        <v>29</v>
      </c>
      <c r="E30" s="20" t="s">
        <v>114</v>
      </c>
      <c r="F30" s="21" t="s">
        <v>144</v>
      </c>
    </row>
    <row r="31" spans="1:6">
      <c r="A31" s="4" t="str">
        <f t="shared" si="0"/>
        <v>tRNA-Ala-CGC-1-1|31</v>
      </c>
      <c r="B31" s="4" t="s">
        <v>37</v>
      </c>
      <c r="C31" s="4" t="s">
        <v>148</v>
      </c>
      <c r="D31" s="4">
        <v>30</v>
      </c>
      <c r="E31" s="20" t="s">
        <v>109</v>
      </c>
      <c r="F31" s="21" t="s">
        <v>144</v>
      </c>
    </row>
    <row r="32" spans="1:6">
      <c r="A32" s="4" t="str">
        <f t="shared" si="0"/>
        <v>tRNA-Ala-CGC-1-1|32</v>
      </c>
      <c r="B32" s="4" t="s">
        <v>37</v>
      </c>
      <c r="C32" s="4" t="s">
        <v>149</v>
      </c>
      <c r="D32" s="4">
        <v>31</v>
      </c>
      <c r="E32" s="18" t="s">
        <v>116</v>
      </c>
      <c r="F32" s="19" t="s">
        <v>150</v>
      </c>
    </row>
    <row r="33" spans="1:6">
      <c r="A33" s="4" t="str">
        <f t="shared" si="0"/>
        <v>tRNA-Ala-CGC-1-1|33</v>
      </c>
      <c r="B33" s="4" t="s">
        <v>37</v>
      </c>
      <c r="C33" s="4" t="s">
        <v>151</v>
      </c>
      <c r="D33" s="4">
        <v>32</v>
      </c>
      <c r="E33" s="18" t="s">
        <v>116</v>
      </c>
      <c r="F33" s="19" t="s">
        <v>150</v>
      </c>
    </row>
    <row r="34" spans="1:6">
      <c r="A34" s="4" t="str">
        <f t="shared" si="0"/>
        <v>tRNA-Ala-CGC-1-1|34</v>
      </c>
      <c r="B34" s="4" t="s">
        <v>37</v>
      </c>
      <c r="C34" s="4" t="s">
        <v>152</v>
      </c>
      <c r="D34" s="4">
        <v>33</v>
      </c>
      <c r="E34" s="18" t="s">
        <v>114</v>
      </c>
      <c r="F34" s="19" t="s">
        <v>150</v>
      </c>
    </row>
    <row r="35" spans="1:6">
      <c r="A35" s="4" t="str">
        <f t="shared" si="0"/>
        <v>tRNA-Ala-CGC-1-1|35</v>
      </c>
      <c r="B35" s="4" t="s">
        <v>37</v>
      </c>
      <c r="C35" s="4" t="s">
        <v>153</v>
      </c>
      <c r="D35" s="4">
        <v>34</v>
      </c>
      <c r="E35" s="18" t="s">
        <v>109</v>
      </c>
      <c r="F35" s="19" t="s">
        <v>150</v>
      </c>
    </row>
    <row r="36" spans="1:6">
      <c r="A36" s="4" t="str">
        <f t="shared" si="0"/>
        <v>tRNA-Ala-CGC-1-1|36</v>
      </c>
      <c r="B36" s="4" t="s">
        <v>37</v>
      </c>
      <c r="C36" s="4" t="s">
        <v>154</v>
      </c>
      <c r="D36" s="4">
        <v>35</v>
      </c>
      <c r="E36" s="18" t="s">
        <v>114</v>
      </c>
      <c r="F36" s="19" t="s">
        <v>150</v>
      </c>
    </row>
    <row r="37" spans="1:6">
      <c r="A37" s="4" t="str">
        <f t="shared" si="0"/>
        <v>tRNA-Ala-CGC-1-1|37</v>
      </c>
      <c r="B37" s="4" t="s">
        <v>37</v>
      </c>
      <c r="C37" s="4" t="s">
        <v>155</v>
      </c>
      <c r="D37" s="4">
        <v>36</v>
      </c>
      <c r="E37" s="18" t="s">
        <v>122</v>
      </c>
      <c r="F37" s="19" t="s">
        <v>150</v>
      </c>
    </row>
    <row r="38" spans="1:6">
      <c r="A38" s="4" t="str">
        <f t="shared" si="0"/>
        <v>tRNA-Ala-CGC-1-1|38</v>
      </c>
      <c r="B38" s="4" t="s">
        <v>37</v>
      </c>
      <c r="C38" s="4" t="s">
        <v>156</v>
      </c>
      <c r="D38" s="4">
        <v>37</v>
      </c>
      <c r="E38" s="18" t="s">
        <v>122</v>
      </c>
      <c r="F38" s="19" t="s">
        <v>150</v>
      </c>
    </row>
    <row r="39" spans="1:6">
      <c r="A39" s="4" t="str">
        <f t="shared" si="0"/>
        <v>tRNA-Ala-CGC-1-1|39</v>
      </c>
      <c r="B39" s="4" t="s">
        <v>37</v>
      </c>
      <c r="C39" s="4" t="s">
        <v>157</v>
      </c>
      <c r="D39" s="4">
        <v>38</v>
      </c>
      <c r="E39" s="20" t="s">
        <v>114</v>
      </c>
      <c r="F39" s="21" t="s">
        <v>144</v>
      </c>
    </row>
    <row r="40" spans="1:6">
      <c r="A40" s="4" t="str">
        <f t="shared" si="0"/>
        <v>tRNA-Ala-CGC-1-1|40</v>
      </c>
      <c r="B40" s="4" t="s">
        <v>37</v>
      </c>
      <c r="C40" s="4" t="s">
        <v>158</v>
      </c>
      <c r="D40" s="4">
        <v>39</v>
      </c>
      <c r="E40" s="20" t="s">
        <v>109</v>
      </c>
      <c r="F40" s="21" t="s">
        <v>144</v>
      </c>
    </row>
    <row r="41" spans="1:6">
      <c r="A41" s="4" t="str">
        <f t="shared" si="0"/>
        <v>tRNA-Ala-CGC-1-1|41</v>
      </c>
      <c r="B41" s="4" t="s">
        <v>37</v>
      </c>
      <c r="C41" s="4" t="s">
        <v>159</v>
      </c>
      <c r="D41" s="4">
        <v>40</v>
      </c>
      <c r="E41" s="20" t="s">
        <v>116</v>
      </c>
      <c r="F41" s="21" t="s">
        <v>144</v>
      </c>
    </row>
    <row r="42" spans="1:6">
      <c r="A42" s="4" t="str">
        <f t="shared" si="0"/>
        <v>tRNA-Ala-CGC-1-1|42</v>
      </c>
      <c r="B42" s="4" t="s">
        <v>37</v>
      </c>
      <c r="C42" s="4" t="s">
        <v>160</v>
      </c>
      <c r="D42" s="4">
        <v>41</v>
      </c>
      <c r="E42" s="20" t="s">
        <v>122</v>
      </c>
      <c r="F42" s="21" t="s">
        <v>144</v>
      </c>
    </row>
    <row r="43" spans="1:6">
      <c r="A43" s="4" t="str">
        <f t="shared" si="0"/>
        <v>tRNA-Ala-CGC-1-1|43</v>
      </c>
      <c r="B43" s="4" t="s">
        <v>37</v>
      </c>
      <c r="C43" s="4" t="s">
        <v>161</v>
      </c>
      <c r="D43" s="4">
        <v>42</v>
      </c>
      <c r="E43" s="20" t="s">
        <v>122</v>
      </c>
      <c r="F43" s="21" t="s">
        <v>144</v>
      </c>
    </row>
    <row r="44" spans="1:6">
      <c r="A44" s="4" t="str">
        <f t="shared" si="0"/>
        <v>tRNA-Ala-CGC-1-1|44</v>
      </c>
      <c r="B44" s="4" t="s">
        <v>37</v>
      </c>
      <c r="C44" s="4" t="s">
        <v>162</v>
      </c>
      <c r="D44" s="4">
        <v>43</v>
      </c>
      <c r="E44" s="18" t="s">
        <v>122</v>
      </c>
      <c r="F44" s="19" t="s">
        <v>163</v>
      </c>
    </row>
    <row r="45" spans="1:6">
      <c r="A45" s="4" t="str">
        <f t="shared" si="0"/>
        <v>tRNA-Ala-CGC-1-1|45</v>
      </c>
      <c r="B45" s="4" t="s">
        <v>37</v>
      </c>
      <c r="C45" s="4" t="s">
        <v>164</v>
      </c>
      <c r="D45" s="4">
        <v>44</v>
      </c>
      <c r="E45" s="18" t="s">
        <v>109</v>
      </c>
      <c r="F45" s="19" t="s">
        <v>163</v>
      </c>
    </row>
    <row r="46" spans="1:6">
      <c r="A46" s="4" t="str">
        <f t="shared" si="0"/>
        <v>tRNA-Ala-CGC-1-1|46</v>
      </c>
      <c r="B46" s="4" t="s">
        <v>37</v>
      </c>
      <c r="C46" s="4" t="s">
        <v>165</v>
      </c>
      <c r="D46" s="4">
        <v>45</v>
      </c>
      <c r="E46" s="18" t="s">
        <v>109</v>
      </c>
      <c r="F46" s="19" t="s">
        <v>163</v>
      </c>
    </row>
    <row r="47" spans="1:6">
      <c r="A47" s="4" t="str">
        <f t="shared" si="0"/>
        <v>tRNA-Ala-CGC-1-1|47</v>
      </c>
      <c r="B47" s="4" t="s">
        <v>37</v>
      </c>
      <c r="C47" s="4" t="s">
        <v>166</v>
      </c>
      <c r="D47" s="4">
        <v>46</v>
      </c>
      <c r="E47" s="18" t="s">
        <v>114</v>
      </c>
      <c r="F47" s="19" t="s">
        <v>163</v>
      </c>
    </row>
    <row r="48" spans="1:6">
      <c r="A48" s="4" t="str">
        <f t="shared" si="0"/>
        <v>tRNA-Ala-CGC-1-1|48</v>
      </c>
      <c r="B48" s="4" t="s">
        <v>37</v>
      </c>
      <c r="C48" s="4" t="s">
        <v>167</v>
      </c>
      <c r="D48" s="4">
        <v>47</v>
      </c>
      <c r="E48" s="18" t="s">
        <v>114</v>
      </c>
      <c r="F48" s="19" t="s">
        <v>163</v>
      </c>
    </row>
    <row r="49" spans="1:6">
      <c r="A49" s="4" t="str">
        <f t="shared" si="0"/>
        <v>tRNA-Ala-CGC-1-1|49</v>
      </c>
      <c r="B49" s="4" t="s">
        <v>37</v>
      </c>
      <c r="C49" s="4" t="s">
        <v>168</v>
      </c>
      <c r="D49" s="4">
        <v>48</v>
      </c>
      <c r="E49" s="22" t="s">
        <v>109</v>
      </c>
      <c r="F49" s="10" t="s">
        <v>169</v>
      </c>
    </row>
    <row r="50" spans="1:6">
      <c r="A50" s="4" t="str">
        <f t="shared" si="0"/>
        <v>tRNA-Ala-CGC-1-1|50</v>
      </c>
      <c r="B50" s="4" t="s">
        <v>37</v>
      </c>
      <c r="C50" s="4" t="s">
        <v>170</v>
      </c>
      <c r="D50" s="4">
        <v>49</v>
      </c>
      <c r="E50" s="22" t="s">
        <v>114</v>
      </c>
      <c r="F50" s="10" t="s">
        <v>169</v>
      </c>
    </row>
    <row r="51" spans="1:6">
      <c r="A51" s="4" t="str">
        <f t="shared" si="0"/>
        <v>tRNA-Ala-CGC-1-1|51</v>
      </c>
      <c r="B51" s="4" t="s">
        <v>37</v>
      </c>
      <c r="C51" s="4" t="s">
        <v>171</v>
      </c>
      <c r="D51" s="4">
        <v>50</v>
      </c>
      <c r="E51" s="22" t="s">
        <v>109</v>
      </c>
      <c r="F51" s="10" t="s">
        <v>169</v>
      </c>
    </row>
    <row r="52" spans="1:6">
      <c r="A52" s="4" t="str">
        <f t="shared" si="0"/>
        <v>tRNA-Ala-CGC-1-1|52</v>
      </c>
      <c r="B52" s="4" t="s">
        <v>37</v>
      </c>
      <c r="C52" s="4" t="s">
        <v>172</v>
      </c>
      <c r="D52" s="4">
        <v>51</v>
      </c>
      <c r="E52" s="22" t="s">
        <v>109</v>
      </c>
      <c r="F52" s="10" t="s">
        <v>169</v>
      </c>
    </row>
    <row r="53" spans="1:6">
      <c r="A53" s="4" t="str">
        <f t="shared" si="0"/>
        <v>tRNA-Ala-CGC-1-1|53</v>
      </c>
      <c r="B53" s="4" t="s">
        <v>37</v>
      </c>
      <c r="C53" s="4" t="s">
        <v>173</v>
      </c>
      <c r="D53" s="4">
        <v>52</v>
      </c>
      <c r="E53" s="22" t="s">
        <v>109</v>
      </c>
      <c r="F53" s="10" t="s">
        <v>169</v>
      </c>
    </row>
    <row r="54" spans="1:6">
      <c r="A54" s="4" t="str">
        <f t="shared" si="0"/>
        <v>tRNA-Ala-CGC-1-1|54</v>
      </c>
      <c r="B54" s="4" t="s">
        <v>37</v>
      </c>
      <c r="C54" s="4" t="s">
        <v>174</v>
      </c>
      <c r="D54" s="4">
        <v>53</v>
      </c>
      <c r="E54" s="18" t="s">
        <v>116</v>
      </c>
      <c r="F54" s="19" t="s">
        <v>175</v>
      </c>
    </row>
    <row r="55" spans="1:6">
      <c r="A55" s="4" t="str">
        <f t="shared" si="0"/>
        <v>tRNA-Ala-CGC-1-1|55</v>
      </c>
      <c r="B55" s="4" t="s">
        <v>37</v>
      </c>
      <c r="C55" s="4" t="s">
        <v>176</v>
      </c>
      <c r="D55" s="4">
        <v>54</v>
      </c>
      <c r="E55" s="18" t="s">
        <v>116</v>
      </c>
      <c r="F55" s="19" t="s">
        <v>175</v>
      </c>
    </row>
    <row r="56" spans="1:6">
      <c r="A56" s="4" t="str">
        <f t="shared" si="0"/>
        <v>tRNA-Ala-CGC-1-1|56</v>
      </c>
      <c r="B56" s="4" t="s">
        <v>37</v>
      </c>
      <c r="C56" s="4" t="s">
        <v>177</v>
      </c>
      <c r="D56" s="4">
        <v>55</v>
      </c>
      <c r="E56" s="18" t="s">
        <v>114</v>
      </c>
      <c r="F56" s="19" t="s">
        <v>175</v>
      </c>
    </row>
    <row r="57" spans="1:6">
      <c r="A57" s="4" t="str">
        <f t="shared" si="0"/>
        <v>tRNA-Ala-CGC-1-1|57</v>
      </c>
      <c r="B57" s="4" t="s">
        <v>37</v>
      </c>
      <c r="C57" s="4" t="s">
        <v>178</v>
      </c>
      <c r="D57" s="4">
        <v>56</v>
      </c>
      <c r="E57" s="18" t="s">
        <v>122</v>
      </c>
      <c r="F57" s="19" t="s">
        <v>175</v>
      </c>
    </row>
    <row r="58" spans="1:6">
      <c r="A58" s="4" t="str">
        <f t="shared" si="0"/>
        <v>tRNA-Ala-CGC-1-1|58</v>
      </c>
      <c r="B58" s="4" t="s">
        <v>37</v>
      </c>
      <c r="C58" s="4" t="s">
        <v>179</v>
      </c>
      <c r="D58" s="4">
        <v>57</v>
      </c>
      <c r="E58" s="18" t="s">
        <v>122</v>
      </c>
      <c r="F58" s="19" t="s">
        <v>175</v>
      </c>
    </row>
    <row r="59" spans="1:6">
      <c r="A59" s="4" t="str">
        <f t="shared" si="0"/>
        <v>tRNA-Ala-CGC-1-1|59</v>
      </c>
      <c r="B59" s="4" t="s">
        <v>37</v>
      </c>
      <c r="C59" s="4" t="s">
        <v>180</v>
      </c>
      <c r="D59" s="4">
        <v>58</v>
      </c>
      <c r="E59" s="18" t="s">
        <v>122</v>
      </c>
      <c r="F59" s="19" t="s">
        <v>175</v>
      </c>
    </row>
    <row r="60" spans="1:6">
      <c r="A60" s="4" t="str">
        <f t="shared" si="0"/>
        <v>tRNA-Ala-CGC-1-1|60</v>
      </c>
      <c r="B60" s="4" t="s">
        <v>37</v>
      </c>
      <c r="C60" s="4" t="s">
        <v>181</v>
      </c>
      <c r="D60" s="4">
        <v>59</v>
      </c>
      <c r="E60" s="18" t="s">
        <v>116</v>
      </c>
      <c r="F60" s="19" t="s">
        <v>175</v>
      </c>
    </row>
    <row r="61" spans="1:6">
      <c r="A61" s="4" t="str">
        <f t="shared" si="0"/>
        <v>tRNA-Ala-CGC-1-1|61</v>
      </c>
      <c r="B61" s="4" t="s">
        <v>37</v>
      </c>
      <c r="C61" s="4" t="s">
        <v>182</v>
      </c>
      <c r="D61" s="4">
        <v>60</v>
      </c>
      <c r="E61" s="22" t="s">
        <v>114</v>
      </c>
      <c r="F61" s="10" t="s">
        <v>169</v>
      </c>
    </row>
    <row r="62" spans="1:6">
      <c r="A62" s="4" t="str">
        <f t="shared" si="0"/>
        <v>tRNA-Ala-CGC-1-1|62</v>
      </c>
      <c r="B62" s="4" t="s">
        <v>37</v>
      </c>
      <c r="C62" s="4" t="s">
        <v>183</v>
      </c>
      <c r="D62" s="4">
        <v>61</v>
      </c>
      <c r="E62" s="22" t="s">
        <v>114</v>
      </c>
      <c r="F62" s="10" t="s">
        <v>169</v>
      </c>
    </row>
    <row r="63" spans="1:6">
      <c r="A63" s="4" t="str">
        <f t="shared" si="0"/>
        <v>tRNA-Ala-CGC-1-1|63</v>
      </c>
      <c r="B63" s="4" t="s">
        <v>37</v>
      </c>
      <c r="C63" s="4" t="s">
        <v>184</v>
      </c>
      <c r="D63" s="4">
        <v>62</v>
      </c>
      <c r="E63" s="22" t="s">
        <v>114</v>
      </c>
      <c r="F63" s="10" t="s">
        <v>169</v>
      </c>
    </row>
    <row r="64" spans="1:6">
      <c r="A64" s="4" t="str">
        <f t="shared" si="0"/>
        <v>tRNA-Ala-CGC-1-1|64</v>
      </c>
      <c r="B64" s="4" t="s">
        <v>37</v>
      </c>
      <c r="C64" s="4" t="s">
        <v>185</v>
      </c>
      <c r="D64" s="4">
        <v>63</v>
      </c>
      <c r="E64" s="22" t="s">
        <v>109</v>
      </c>
      <c r="F64" s="10" t="s">
        <v>169</v>
      </c>
    </row>
    <row r="65" spans="1:6">
      <c r="A65" s="4" t="str">
        <f t="shared" si="0"/>
        <v>tRNA-Ala-CGC-1-1|65</v>
      </c>
      <c r="B65" s="4" t="s">
        <v>37</v>
      </c>
      <c r="C65" s="4" t="s">
        <v>186</v>
      </c>
      <c r="D65" s="4">
        <v>64</v>
      </c>
      <c r="E65" s="22" t="s">
        <v>114</v>
      </c>
      <c r="F65" s="10" t="s">
        <v>169</v>
      </c>
    </row>
    <row r="66" spans="1:6">
      <c r="A66" s="4" t="str">
        <f t="shared" ref="A66:A129" si="1">B66&amp;"|"&amp;C66</f>
        <v>tRNA-Ala-CGC-1-1|66</v>
      </c>
      <c r="B66" s="4" t="s">
        <v>37</v>
      </c>
      <c r="C66" s="4" t="s">
        <v>187</v>
      </c>
      <c r="D66" s="4">
        <v>65</v>
      </c>
      <c r="E66" s="16" t="s">
        <v>114</v>
      </c>
      <c r="F66" s="17" t="s">
        <v>110</v>
      </c>
    </row>
    <row r="67" spans="1:6">
      <c r="A67" s="4" t="str">
        <f t="shared" si="1"/>
        <v>tRNA-Ala-CGC-1-1|67</v>
      </c>
      <c r="B67" s="4" t="s">
        <v>37</v>
      </c>
      <c r="C67" s="4" t="s">
        <v>188</v>
      </c>
      <c r="D67" s="4">
        <v>66</v>
      </c>
      <c r="E67" s="16" t="s">
        <v>109</v>
      </c>
      <c r="F67" s="17" t="s">
        <v>110</v>
      </c>
    </row>
    <row r="68" spans="1:6">
      <c r="A68" s="4" t="str">
        <f t="shared" si="1"/>
        <v>tRNA-Ala-CGC-1-1|68</v>
      </c>
      <c r="B68" s="4" t="s">
        <v>37</v>
      </c>
      <c r="C68" s="4" t="s">
        <v>189</v>
      </c>
      <c r="D68" s="4">
        <v>67</v>
      </c>
      <c r="E68" s="16" t="s">
        <v>122</v>
      </c>
      <c r="F68" s="17" t="s">
        <v>110</v>
      </c>
    </row>
    <row r="69" spans="1:6">
      <c r="A69" s="4" t="str">
        <f t="shared" si="1"/>
        <v>tRNA-Ala-CGC-1-1|69</v>
      </c>
      <c r="B69" s="4" t="s">
        <v>37</v>
      </c>
      <c r="C69" s="4" t="s">
        <v>190</v>
      </c>
      <c r="D69" s="4">
        <v>68</v>
      </c>
      <c r="E69" s="16" t="s">
        <v>109</v>
      </c>
      <c r="F69" s="17" t="s">
        <v>110</v>
      </c>
    </row>
    <row r="70" spans="1:6">
      <c r="A70" s="4" t="str">
        <f t="shared" si="1"/>
        <v>tRNA-Ala-CGC-1-1|70</v>
      </c>
      <c r="B70" s="4" t="s">
        <v>37</v>
      </c>
      <c r="C70" s="4" t="s">
        <v>191</v>
      </c>
      <c r="D70" s="4">
        <v>69</v>
      </c>
      <c r="E70" s="16" t="s">
        <v>116</v>
      </c>
      <c r="F70" s="17" t="s">
        <v>110</v>
      </c>
    </row>
    <row r="71" spans="1:6">
      <c r="A71" s="4" t="str">
        <f t="shared" si="1"/>
        <v>tRNA-Ala-CGC-1-1|71</v>
      </c>
      <c r="B71" s="4" t="s">
        <v>37</v>
      </c>
      <c r="C71" s="4" t="s">
        <v>192</v>
      </c>
      <c r="D71" s="4">
        <v>70</v>
      </c>
      <c r="E71" s="16" t="s">
        <v>114</v>
      </c>
      <c r="F71" s="17" t="s">
        <v>110</v>
      </c>
    </row>
    <row r="72" spans="1:6">
      <c r="A72" s="4" t="str">
        <f t="shared" si="1"/>
        <v>tRNA-Ala-CGC-1-1|72</v>
      </c>
      <c r="B72" s="4" t="s">
        <v>37</v>
      </c>
      <c r="C72" s="4" t="s">
        <v>193</v>
      </c>
      <c r="D72" s="4">
        <v>71</v>
      </c>
      <c r="E72" s="16" t="s">
        <v>114</v>
      </c>
      <c r="F72" s="17" t="s">
        <v>110</v>
      </c>
    </row>
    <row r="73" spans="1:6">
      <c r="A73" s="4" t="str">
        <f t="shared" si="1"/>
        <v>tRNA-Ala-GGC-1-1|1</v>
      </c>
      <c r="B73" s="4" t="s">
        <v>38</v>
      </c>
      <c r="C73" s="4" t="s">
        <v>108</v>
      </c>
      <c r="D73" s="4">
        <v>1</v>
      </c>
      <c r="E73" s="16" t="s">
        <v>109</v>
      </c>
      <c r="F73" s="17" t="s">
        <v>110</v>
      </c>
    </row>
    <row r="74" spans="1:6">
      <c r="A74" s="4" t="str">
        <f t="shared" si="1"/>
        <v>tRNA-Ala-GGC-1-1|2</v>
      </c>
      <c r="B74" s="4" t="s">
        <v>38</v>
      </c>
      <c r="C74" s="4" t="s">
        <v>111</v>
      </c>
      <c r="D74" s="4">
        <v>2</v>
      </c>
      <c r="E74" s="16" t="s">
        <v>109</v>
      </c>
      <c r="F74" s="17" t="s">
        <v>110</v>
      </c>
    </row>
    <row r="75" spans="1:6">
      <c r="A75" s="4" t="str">
        <f t="shared" si="1"/>
        <v>tRNA-Ala-GGC-1-1|3</v>
      </c>
      <c r="B75" s="4" t="s">
        <v>38</v>
      </c>
      <c r="C75" s="4" t="s">
        <v>112</v>
      </c>
      <c r="D75" s="4">
        <v>3</v>
      </c>
      <c r="E75" s="16" t="s">
        <v>109</v>
      </c>
      <c r="F75" s="17" t="s">
        <v>110</v>
      </c>
    </row>
    <row r="76" spans="1:6">
      <c r="A76" s="4" t="str">
        <f t="shared" si="1"/>
        <v>tRNA-Ala-GGC-1-1|4</v>
      </c>
      <c r="B76" s="4" t="s">
        <v>38</v>
      </c>
      <c r="C76" s="4" t="s">
        <v>113</v>
      </c>
      <c r="D76" s="4">
        <v>4</v>
      </c>
      <c r="E76" s="16" t="s">
        <v>114</v>
      </c>
      <c r="F76" s="17" t="s">
        <v>110</v>
      </c>
    </row>
    <row r="77" spans="1:6">
      <c r="A77" s="4" t="str">
        <f t="shared" si="1"/>
        <v>tRNA-Ala-GGC-1-1|5</v>
      </c>
      <c r="B77" s="4" t="s">
        <v>38</v>
      </c>
      <c r="C77" s="4" t="s">
        <v>115</v>
      </c>
      <c r="D77" s="4">
        <v>5</v>
      </c>
      <c r="E77" s="16" t="s">
        <v>114</v>
      </c>
      <c r="F77" s="17" t="s">
        <v>110</v>
      </c>
    </row>
    <row r="78" spans="1:6">
      <c r="A78" s="4" t="str">
        <f t="shared" si="1"/>
        <v>tRNA-Ala-GGC-1-1|6</v>
      </c>
      <c r="B78" s="4" t="s">
        <v>38</v>
      </c>
      <c r="C78" s="4" t="s">
        <v>117</v>
      </c>
      <c r="D78" s="4">
        <v>6</v>
      </c>
      <c r="E78" s="16" t="s">
        <v>109</v>
      </c>
      <c r="F78" s="17" t="s">
        <v>110</v>
      </c>
    </row>
    <row r="79" spans="1:6">
      <c r="A79" s="4" t="str">
        <f t="shared" si="1"/>
        <v>tRNA-Ala-GGC-1-1|7</v>
      </c>
      <c r="B79" s="4" t="s">
        <v>38</v>
      </c>
      <c r="C79" s="4" t="s">
        <v>118</v>
      </c>
      <c r="D79" s="4">
        <v>7</v>
      </c>
      <c r="E79" s="16" t="s">
        <v>109</v>
      </c>
      <c r="F79" s="17" t="s">
        <v>110</v>
      </c>
    </row>
    <row r="80" spans="1:6">
      <c r="A80" s="4" t="str">
        <f t="shared" si="1"/>
        <v>tRNA-Ala-GGC-1-1|8</v>
      </c>
      <c r="B80" s="4" t="s">
        <v>38</v>
      </c>
      <c r="C80" s="4" t="s">
        <v>119</v>
      </c>
      <c r="D80" s="4">
        <v>8</v>
      </c>
      <c r="E80" s="3" t="s">
        <v>116</v>
      </c>
      <c r="F80" s="4" t="s">
        <v>120</v>
      </c>
    </row>
    <row r="81" spans="1:6">
      <c r="A81" s="4" t="str">
        <f t="shared" si="1"/>
        <v>tRNA-Ala-GGC-1-1|9</v>
      </c>
      <c r="B81" s="4" t="s">
        <v>38</v>
      </c>
      <c r="C81" s="4" t="s">
        <v>121</v>
      </c>
      <c r="D81" s="4">
        <v>9</v>
      </c>
      <c r="E81" s="3" t="s">
        <v>122</v>
      </c>
      <c r="F81" s="4" t="s">
        <v>123</v>
      </c>
    </row>
    <row r="82" spans="1:6">
      <c r="A82" s="4" t="str">
        <f t="shared" si="1"/>
        <v>tRNA-Ala-GGC-1-1|10</v>
      </c>
      <c r="B82" s="4" t="s">
        <v>38</v>
      </c>
      <c r="C82" s="4" t="s">
        <v>124</v>
      </c>
      <c r="D82" s="4">
        <v>10</v>
      </c>
      <c r="E82" s="8" t="s">
        <v>109</v>
      </c>
      <c r="F82" s="7" t="s">
        <v>125</v>
      </c>
    </row>
    <row r="83" spans="1:6">
      <c r="A83" s="4" t="str">
        <f t="shared" si="1"/>
        <v>tRNA-Ala-GGC-1-1|11</v>
      </c>
      <c r="B83" s="4" t="s">
        <v>38</v>
      </c>
      <c r="C83" s="4" t="s">
        <v>126</v>
      </c>
      <c r="D83" s="4">
        <v>11</v>
      </c>
      <c r="E83" s="8" t="s">
        <v>122</v>
      </c>
      <c r="F83" s="7" t="s">
        <v>125</v>
      </c>
    </row>
    <row r="84" spans="1:6">
      <c r="A84" s="4" t="str">
        <f t="shared" si="1"/>
        <v>tRNA-Ala-GGC-1-1|12</v>
      </c>
      <c r="B84" s="4" t="s">
        <v>38</v>
      </c>
      <c r="C84" s="4" t="s">
        <v>127</v>
      </c>
      <c r="D84" s="4">
        <v>12</v>
      </c>
      <c r="E84" s="8" t="s">
        <v>116</v>
      </c>
      <c r="F84" s="7" t="s">
        <v>125</v>
      </c>
    </row>
    <row r="85" spans="1:6">
      <c r="A85" s="4" t="str">
        <f t="shared" si="1"/>
        <v>tRNA-Ala-GGC-1-1|13</v>
      </c>
      <c r="B85" s="4" t="s">
        <v>38</v>
      </c>
      <c r="C85" s="4" t="s">
        <v>128</v>
      </c>
      <c r="D85" s="4">
        <v>13</v>
      </c>
      <c r="E85" s="8" t="s">
        <v>114</v>
      </c>
      <c r="F85" s="7" t="s">
        <v>125</v>
      </c>
    </row>
    <row r="86" spans="1:6">
      <c r="A86" s="4" t="str">
        <f t="shared" si="1"/>
        <v>tRNA-Ala-GGC-1-1|14</v>
      </c>
      <c r="B86" s="4" t="s">
        <v>38</v>
      </c>
      <c r="C86" s="4" t="s">
        <v>129</v>
      </c>
      <c r="D86" s="4">
        <v>14</v>
      </c>
      <c r="E86" s="18" t="s">
        <v>122</v>
      </c>
      <c r="F86" s="19" t="s">
        <v>130</v>
      </c>
    </row>
    <row r="87" spans="1:6">
      <c r="A87" s="4" t="str">
        <f t="shared" si="1"/>
        <v>tRNA-Ala-GGC-1-1|15</v>
      </c>
      <c r="B87" s="4" t="s">
        <v>38</v>
      </c>
      <c r="C87" s="4" t="s">
        <v>131</v>
      </c>
      <c r="D87" s="4">
        <v>15</v>
      </c>
      <c r="E87" s="18" t="s">
        <v>109</v>
      </c>
      <c r="F87" s="19" t="s">
        <v>130</v>
      </c>
    </row>
    <row r="88" spans="1:6">
      <c r="A88" s="4" t="str">
        <f t="shared" si="1"/>
        <v>tRNA-Ala-GGC-1-1|18</v>
      </c>
      <c r="B88" s="4" t="s">
        <v>38</v>
      </c>
      <c r="C88" s="4" t="s">
        <v>132</v>
      </c>
      <c r="D88" s="4">
        <v>16</v>
      </c>
      <c r="E88" s="18" t="s">
        <v>109</v>
      </c>
      <c r="F88" s="19" t="s">
        <v>130</v>
      </c>
    </row>
    <row r="89" spans="1:6">
      <c r="A89" s="4" t="str">
        <f t="shared" si="1"/>
        <v>tRNA-Ala-GGC-1-1|19</v>
      </c>
      <c r="B89" s="4" t="s">
        <v>38</v>
      </c>
      <c r="C89" s="4" t="s">
        <v>133</v>
      </c>
      <c r="D89" s="4">
        <v>17</v>
      </c>
      <c r="E89" s="18" t="s">
        <v>109</v>
      </c>
      <c r="F89" s="19" t="s">
        <v>130</v>
      </c>
    </row>
    <row r="90" spans="1:6">
      <c r="A90" s="4" t="str">
        <f t="shared" si="1"/>
        <v>tRNA-Ala-GGC-1-1|20</v>
      </c>
      <c r="B90" s="4" t="s">
        <v>38</v>
      </c>
      <c r="C90" s="4" t="s">
        <v>134</v>
      </c>
      <c r="D90" s="4">
        <v>18</v>
      </c>
      <c r="E90" s="18" t="s">
        <v>109</v>
      </c>
      <c r="F90" s="19" t="s">
        <v>130</v>
      </c>
    </row>
    <row r="91" spans="1:6">
      <c r="A91" s="4" t="str">
        <f t="shared" si="1"/>
        <v>tRNA-Ala-GGC-1-1|20a</v>
      </c>
      <c r="B91" s="4" t="s">
        <v>38</v>
      </c>
      <c r="C91" s="4" t="s">
        <v>135</v>
      </c>
      <c r="D91" s="4">
        <v>19</v>
      </c>
      <c r="E91" s="18" t="s">
        <v>122</v>
      </c>
      <c r="F91" s="19" t="s">
        <v>130</v>
      </c>
    </row>
    <row r="92" spans="1:6">
      <c r="A92" s="4" t="str">
        <f t="shared" si="1"/>
        <v>tRNA-Ala-GGC-1-1|21</v>
      </c>
      <c r="B92" s="4" t="s">
        <v>38</v>
      </c>
      <c r="C92" s="4" t="s">
        <v>136</v>
      </c>
      <c r="D92" s="4">
        <v>20</v>
      </c>
      <c r="E92" s="18" t="s">
        <v>122</v>
      </c>
      <c r="F92" s="19" t="s">
        <v>130</v>
      </c>
    </row>
    <row r="93" spans="1:6">
      <c r="A93" s="4" t="str">
        <f t="shared" si="1"/>
        <v>tRNA-Ala-GGC-1-1|22</v>
      </c>
      <c r="B93" s="4" t="s">
        <v>38</v>
      </c>
      <c r="C93" s="4" t="s">
        <v>137</v>
      </c>
      <c r="D93" s="4">
        <v>21</v>
      </c>
      <c r="E93" s="8" t="s">
        <v>109</v>
      </c>
      <c r="F93" s="7" t="s">
        <v>125</v>
      </c>
    </row>
    <row r="94" spans="1:6">
      <c r="A94" s="4" t="str">
        <f t="shared" si="1"/>
        <v>tRNA-Ala-GGC-1-1|23</v>
      </c>
      <c r="B94" s="4" t="s">
        <v>38</v>
      </c>
      <c r="C94" s="4" t="s">
        <v>138</v>
      </c>
      <c r="D94" s="4">
        <v>22</v>
      </c>
      <c r="E94" s="8" t="s">
        <v>122</v>
      </c>
      <c r="F94" s="7" t="s">
        <v>125</v>
      </c>
    </row>
    <row r="95" spans="1:6">
      <c r="A95" s="4" t="str">
        <f t="shared" si="1"/>
        <v>tRNA-Ala-GGC-1-1|24</v>
      </c>
      <c r="B95" s="4" t="s">
        <v>38</v>
      </c>
      <c r="C95" s="4" t="s">
        <v>139</v>
      </c>
      <c r="D95" s="4">
        <v>23</v>
      </c>
      <c r="E95" s="8" t="s">
        <v>116</v>
      </c>
      <c r="F95" s="7" t="s">
        <v>125</v>
      </c>
    </row>
    <row r="96" spans="1:6">
      <c r="A96" s="4" t="str">
        <f t="shared" si="1"/>
        <v>tRNA-Ala-GGC-1-1|25</v>
      </c>
      <c r="B96" s="4" t="s">
        <v>38</v>
      </c>
      <c r="C96" s="4" t="s">
        <v>140</v>
      </c>
      <c r="D96" s="4">
        <v>24</v>
      </c>
      <c r="E96" s="8" t="s">
        <v>114</v>
      </c>
      <c r="F96" s="7" t="s">
        <v>125</v>
      </c>
    </row>
    <row r="97" spans="1:6">
      <c r="A97" s="4" t="str">
        <f t="shared" si="1"/>
        <v>tRNA-Ala-GGC-1-1|26</v>
      </c>
      <c r="B97" s="4" t="s">
        <v>38</v>
      </c>
      <c r="C97" s="4" t="s">
        <v>141</v>
      </c>
      <c r="D97" s="4">
        <v>25</v>
      </c>
      <c r="E97" s="3" t="s">
        <v>109</v>
      </c>
      <c r="F97" s="4" t="s">
        <v>142</v>
      </c>
    </row>
    <row r="98" spans="1:6">
      <c r="A98" s="4" t="str">
        <f t="shared" si="1"/>
        <v>tRNA-Ala-GGC-1-1|27</v>
      </c>
      <c r="B98" s="4" t="s">
        <v>38</v>
      </c>
      <c r="C98" s="4" t="s">
        <v>143</v>
      </c>
      <c r="D98" s="4">
        <v>26</v>
      </c>
      <c r="E98" s="20" t="s">
        <v>114</v>
      </c>
      <c r="F98" s="21" t="s">
        <v>144</v>
      </c>
    </row>
    <row r="99" spans="1:6">
      <c r="A99" s="4" t="str">
        <f t="shared" si="1"/>
        <v>tRNA-Ala-GGC-1-1|28</v>
      </c>
      <c r="B99" s="4" t="s">
        <v>38</v>
      </c>
      <c r="C99" s="4" t="s">
        <v>145</v>
      </c>
      <c r="D99" s="4">
        <v>27</v>
      </c>
      <c r="E99" s="20" t="s">
        <v>116</v>
      </c>
      <c r="F99" s="21" t="s">
        <v>144</v>
      </c>
    </row>
    <row r="100" spans="1:6">
      <c r="A100" s="4" t="str">
        <f t="shared" si="1"/>
        <v>tRNA-Ala-GGC-1-1|29</v>
      </c>
      <c r="B100" s="4" t="s">
        <v>38</v>
      </c>
      <c r="C100" s="4" t="s">
        <v>146</v>
      </c>
      <c r="D100" s="4">
        <v>28</v>
      </c>
      <c r="E100" s="20" t="s">
        <v>122</v>
      </c>
      <c r="F100" s="21" t="s">
        <v>144</v>
      </c>
    </row>
    <row r="101" spans="1:6">
      <c r="A101" s="4" t="str">
        <f t="shared" si="1"/>
        <v>tRNA-Ala-GGC-1-1|30</v>
      </c>
      <c r="B101" s="4" t="s">
        <v>38</v>
      </c>
      <c r="C101" s="4" t="s">
        <v>147</v>
      </c>
      <c r="D101" s="4">
        <v>29</v>
      </c>
      <c r="E101" s="20" t="s">
        <v>114</v>
      </c>
      <c r="F101" s="21" t="s">
        <v>144</v>
      </c>
    </row>
    <row r="102" spans="1:6">
      <c r="A102" s="4" t="str">
        <f t="shared" si="1"/>
        <v>tRNA-Ala-GGC-1-1|31</v>
      </c>
      <c r="B102" s="4" t="s">
        <v>38</v>
      </c>
      <c r="C102" s="4" t="s">
        <v>148</v>
      </c>
      <c r="D102" s="4">
        <v>30</v>
      </c>
      <c r="E102" s="20" t="s">
        <v>114</v>
      </c>
      <c r="F102" s="21" t="s">
        <v>144</v>
      </c>
    </row>
    <row r="103" spans="1:6">
      <c r="A103" s="4" t="str">
        <f t="shared" si="1"/>
        <v>tRNA-Ala-GGC-1-1|32</v>
      </c>
      <c r="B103" s="4" t="s">
        <v>38</v>
      </c>
      <c r="C103" s="4" t="s">
        <v>149</v>
      </c>
      <c r="D103" s="4">
        <v>31</v>
      </c>
      <c r="E103" s="18" t="s">
        <v>116</v>
      </c>
      <c r="F103" s="19" t="s">
        <v>150</v>
      </c>
    </row>
    <row r="104" spans="1:6">
      <c r="A104" s="4" t="str">
        <f t="shared" si="1"/>
        <v>tRNA-Ala-GGC-1-1|33</v>
      </c>
      <c r="B104" s="4" t="s">
        <v>38</v>
      </c>
      <c r="C104" s="4" t="s">
        <v>151</v>
      </c>
      <c r="D104" s="4">
        <v>32</v>
      </c>
      <c r="E104" s="18" t="s">
        <v>116</v>
      </c>
      <c r="F104" s="19" t="s">
        <v>150</v>
      </c>
    </row>
    <row r="105" spans="1:6">
      <c r="A105" s="4" t="str">
        <f t="shared" si="1"/>
        <v>tRNA-Ala-GGC-1-1|34</v>
      </c>
      <c r="B105" s="4" t="s">
        <v>38</v>
      </c>
      <c r="C105" s="4" t="s">
        <v>152</v>
      </c>
      <c r="D105" s="4">
        <v>33</v>
      </c>
      <c r="E105" s="18" t="s">
        <v>109</v>
      </c>
      <c r="F105" s="19" t="s">
        <v>150</v>
      </c>
    </row>
    <row r="106" spans="1:6">
      <c r="A106" s="4" t="str">
        <f t="shared" si="1"/>
        <v>tRNA-Ala-GGC-1-1|35</v>
      </c>
      <c r="B106" s="4" t="s">
        <v>38</v>
      </c>
      <c r="C106" s="4" t="s">
        <v>153</v>
      </c>
      <c r="D106" s="4">
        <v>34</v>
      </c>
      <c r="E106" s="18" t="s">
        <v>109</v>
      </c>
      <c r="F106" s="19" t="s">
        <v>150</v>
      </c>
    </row>
    <row r="107" spans="1:6">
      <c r="A107" s="4" t="str">
        <f t="shared" si="1"/>
        <v>tRNA-Ala-GGC-1-1|36</v>
      </c>
      <c r="B107" s="4" t="s">
        <v>38</v>
      </c>
      <c r="C107" s="4" t="s">
        <v>154</v>
      </c>
      <c r="D107" s="4">
        <v>35</v>
      </c>
      <c r="E107" s="18" t="s">
        <v>114</v>
      </c>
      <c r="F107" s="19" t="s">
        <v>150</v>
      </c>
    </row>
    <row r="108" spans="1:6">
      <c r="A108" s="4" t="str">
        <f t="shared" si="1"/>
        <v>tRNA-Ala-GGC-1-1|37</v>
      </c>
      <c r="B108" s="4" t="s">
        <v>38</v>
      </c>
      <c r="C108" s="4" t="s">
        <v>155</v>
      </c>
      <c r="D108" s="4">
        <v>36</v>
      </c>
      <c r="E108" s="18" t="s">
        <v>122</v>
      </c>
      <c r="F108" s="19" t="s">
        <v>150</v>
      </c>
    </row>
    <row r="109" spans="1:6">
      <c r="A109" s="4" t="str">
        <f t="shared" si="1"/>
        <v>tRNA-Ala-GGC-1-1|38</v>
      </c>
      <c r="B109" s="4" t="s">
        <v>38</v>
      </c>
      <c r="C109" s="4" t="s">
        <v>156</v>
      </c>
      <c r="D109" s="4">
        <v>37</v>
      </c>
      <c r="E109" s="18" t="s">
        <v>116</v>
      </c>
      <c r="F109" s="19" t="s">
        <v>150</v>
      </c>
    </row>
    <row r="110" spans="1:6">
      <c r="A110" s="4" t="str">
        <f t="shared" si="1"/>
        <v>tRNA-Ala-GGC-1-1|39</v>
      </c>
      <c r="B110" s="4" t="s">
        <v>38</v>
      </c>
      <c r="C110" s="4" t="s">
        <v>157</v>
      </c>
      <c r="D110" s="4">
        <v>38</v>
      </c>
      <c r="E110" s="20" t="s">
        <v>109</v>
      </c>
      <c r="F110" s="21" t="s">
        <v>144</v>
      </c>
    </row>
    <row r="111" spans="1:6">
      <c r="A111" s="4" t="str">
        <f t="shared" si="1"/>
        <v>tRNA-Ala-GGC-1-1|40</v>
      </c>
      <c r="B111" s="4" t="s">
        <v>38</v>
      </c>
      <c r="C111" s="4" t="s">
        <v>158</v>
      </c>
      <c r="D111" s="4">
        <v>39</v>
      </c>
      <c r="E111" s="20" t="s">
        <v>109</v>
      </c>
      <c r="F111" s="21" t="s">
        <v>144</v>
      </c>
    </row>
    <row r="112" spans="1:6">
      <c r="A112" s="4" t="str">
        <f t="shared" si="1"/>
        <v>tRNA-Ala-GGC-1-1|41</v>
      </c>
      <c r="B112" s="4" t="s">
        <v>38</v>
      </c>
      <c r="C112" s="4" t="s">
        <v>159</v>
      </c>
      <c r="D112" s="4">
        <v>40</v>
      </c>
      <c r="E112" s="20" t="s">
        <v>116</v>
      </c>
      <c r="F112" s="21" t="s">
        <v>144</v>
      </c>
    </row>
    <row r="113" spans="1:6">
      <c r="A113" s="4" t="str">
        <f t="shared" si="1"/>
        <v>tRNA-Ala-GGC-1-1|42</v>
      </c>
      <c r="B113" s="4" t="s">
        <v>38</v>
      </c>
      <c r="C113" s="4" t="s">
        <v>160</v>
      </c>
      <c r="D113" s="4">
        <v>41</v>
      </c>
      <c r="E113" s="20" t="s">
        <v>122</v>
      </c>
      <c r="F113" s="21" t="s">
        <v>144</v>
      </c>
    </row>
    <row r="114" spans="1:6">
      <c r="A114" s="4" t="str">
        <f t="shared" si="1"/>
        <v>tRNA-Ala-GGC-1-1|43</v>
      </c>
      <c r="B114" s="4" t="s">
        <v>38</v>
      </c>
      <c r="C114" s="4" t="s">
        <v>161</v>
      </c>
      <c r="D114" s="4">
        <v>42</v>
      </c>
      <c r="E114" s="20" t="s">
        <v>109</v>
      </c>
      <c r="F114" s="21" t="s">
        <v>144</v>
      </c>
    </row>
    <row r="115" spans="1:6">
      <c r="A115" s="4" t="str">
        <f t="shared" si="1"/>
        <v>tRNA-Ala-GGC-1-1|44</v>
      </c>
      <c r="B115" s="4" t="s">
        <v>38</v>
      </c>
      <c r="C115" s="4" t="s">
        <v>162</v>
      </c>
      <c r="D115" s="4">
        <v>43</v>
      </c>
      <c r="E115" s="18" t="s">
        <v>122</v>
      </c>
      <c r="F115" s="19" t="s">
        <v>163</v>
      </c>
    </row>
    <row r="116" spans="1:6">
      <c r="A116" s="4" t="str">
        <f t="shared" si="1"/>
        <v>tRNA-Ala-GGC-1-1|45</v>
      </c>
      <c r="B116" s="4" t="s">
        <v>38</v>
      </c>
      <c r="C116" s="4" t="s">
        <v>164</v>
      </c>
      <c r="D116" s="4">
        <v>44</v>
      </c>
      <c r="E116" s="18" t="s">
        <v>109</v>
      </c>
      <c r="F116" s="19" t="s">
        <v>163</v>
      </c>
    </row>
    <row r="117" spans="1:6">
      <c r="A117" s="4" t="str">
        <f t="shared" si="1"/>
        <v>tRNA-Ala-GGC-1-1|46</v>
      </c>
      <c r="B117" s="4" t="s">
        <v>38</v>
      </c>
      <c r="C117" s="4" t="s">
        <v>165</v>
      </c>
      <c r="D117" s="4">
        <v>45</v>
      </c>
      <c r="E117" s="18" t="s">
        <v>109</v>
      </c>
      <c r="F117" s="19" t="s">
        <v>163</v>
      </c>
    </row>
    <row r="118" spans="1:6">
      <c r="A118" s="4" t="str">
        <f t="shared" si="1"/>
        <v>tRNA-Ala-GGC-1-1|47</v>
      </c>
      <c r="B118" s="4" t="s">
        <v>38</v>
      </c>
      <c r="C118" s="4" t="s">
        <v>166</v>
      </c>
      <c r="D118" s="4">
        <v>46</v>
      </c>
      <c r="E118" s="18" t="s">
        <v>114</v>
      </c>
      <c r="F118" s="19" t="s">
        <v>163</v>
      </c>
    </row>
    <row r="119" spans="1:6">
      <c r="A119" s="4" t="str">
        <f t="shared" si="1"/>
        <v>tRNA-Ala-GGC-1-1|48</v>
      </c>
      <c r="B119" s="4" t="s">
        <v>38</v>
      </c>
      <c r="C119" s="4" t="s">
        <v>167</v>
      </c>
      <c r="D119" s="4">
        <v>47</v>
      </c>
      <c r="E119" s="18" t="s">
        <v>114</v>
      </c>
      <c r="F119" s="19" t="s">
        <v>163</v>
      </c>
    </row>
    <row r="120" spans="1:6">
      <c r="A120" s="4" t="str">
        <f t="shared" si="1"/>
        <v>tRNA-Ala-GGC-1-1|49</v>
      </c>
      <c r="B120" s="4" t="s">
        <v>38</v>
      </c>
      <c r="C120" s="4" t="s">
        <v>168</v>
      </c>
      <c r="D120" s="4">
        <v>48</v>
      </c>
      <c r="E120" s="22" t="s">
        <v>116</v>
      </c>
      <c r="F120" s="10" t="s">
        <v>169</v>
      </c>
    </row>
    <row r="121" spans="1:6">
      <c r="A121" s="4" t="str">
        <f t="shared" si="1"/>
        <v>tRNA-Ala-GGC-1-1|50</v>
      </c>
      <c r="B121" s="4" t="s">
        <v>38</v>
      </c>
      <c r="C121" s="4" t="s">
        <v>170</v>
      </c>
      <c r="D121" s="4">
        <v>49</v>
      </c>
      <c r="E121" s="22" t="s">
        <v>114</v>
      </c>
      <c r="F121" s="10" t="s">
        <v>169</v>
      </c>
    </row>
    <row r="122" spans="1:6">
      <c r="A122" s="4" t="str">
        <f t="shared" si="1"/>
        <v>tRNA-Ala-GGC-1-1|51</v>
      </c>
      <c r="B122" s="4" t="s">
        <v>38</v>
      </c>
      <c r="C122" s="4" t="s">
        <v>171</v>
      </c>
      <c r="D122" s="4">
        <v>50</v>
      </c>
      <c r="E122" s="22" t="s">
        <v>109</v>
      </c>
      <c r="F122" s="10" t="s">
        <v>169</v>
      </c>
    </row>
    <row r="123" spans="1:6">
      <c r="A123" s="4" t="str">
        <f t="shared" si="1"/>
        <v>tRNA-Ala-GGC-1-1|52</v>
      </c>
      <c r="B123" s="4" t="s">
        <v>38</v>
      </c>
      <c r="C123" s="4" t="s">
        <v>172</v>
      </c>
      <c r="D123" s="4">
        <v>51</v>
      </c>
      <c r="E123" s="22" t="s">
        <v>109</v>
      </c>
      <c r="F123" s="10" t="s">
        <v>169</v>
      </c>
    </row>
    <row r="124" spans="1:6">
      <c r="A124" s="4" t="str">
        <f t="shared" si="1"/>
        <v>tRNA-Ala-GGC-1-1|53</v>
      </c>
      <c r="B124" s="4" t="s">
        <v>38</v>
      </c>
      <c r="C124" s="4" t="s">
        <v>173</v>
      </c>
      <c r="D124" s="4">
        <v>52</v>
      </c>
      <c r="E124" s="22" t="s">
        <v>109</v>
      </c>
      <c r="F124" s="10" t="s">
        <v>169</v>
      </c>
    </row>
    <row r="125" spans="1:6">
      <c r="A125" s="4" t="str">
        <f t="shared" si="1"/>
        <v>tRNA-Ala-GGC-1-1|54</v>
      </c>
      <c r="B125" s="4" t="s">
        <v>38</v>
      </c>
      <c r="C125" s="4" t="s">
        <v>174</v>
      </c>
      <c r="D125" s="4">
        <v>53</v>
      </c>
      <c r="E125" s="18" t="s">
        <v>116</v>
      </c>
      <c r="F125" s="19" t="s">
        <v>175</v>
      </c>
    </row>
    <row r="126" spans="1:6">
      <c r="A126" s="4" t="str">
        <f t="shared" si="1"/>
        <v>tRNA-Ala-GGC-1-1|55</v>
      </c>
      <c r="B126" s="4" t="s">
        <v>38</v>
      </c>
      <c r="C126" s="4" t="s">
        <v>176</v>
      </c>
      <c r="D126" s="4">
        <v>54</v>
      </c>
      <c r="E126" s="18" t="s">
        <v>116</v>
      </c>
      <c r="F126" s="19" t="s">
        <v>175</v>
      </c>
    </row>
    <row r="127" spans="1:6">
      <c r="A127" s="4" t="str">
        <f t="shared" si="1"/>
        <v>tRNA-Ala-GGC-1-1|56</v>
      </c>
      <c r="B127" s="4" t="s">
        <v>38</v>
      </c>
      <c r="C127" s="4" t="s">
        <v>177</v>
      </c>
      <c r="D127" s="4">
        <v>55</v>
      </c>
      <c r="E127" s="18" t="s">
        <v>114</v>
      </c>
      <c r="F127" s="19" t="s">
        <v>175</v>
      </c>
    </row>
    <row r="128" spans="1:6">
      <c r="A128" s="4" t="str">
        <f t="shared" si="1"/>
        <v>tRNA-Ala-GGC-1-1|57</v>
      </c>
      <c r="B128" s="4" t="s">
        <v>38</v>
      </c>
      <c r="C128" s="4" t="s">
        <v>178</v>
      </c>
      <c r="D128" s="4">
        <v>56</v>
      </c>
      <c r="E128" s="18" t="s">
        <v>122</v>
      </c>
      <c r="F128" s="19" t="s">
        <v>175</v>
      </c>
    </row>
    <row r="129" spans="1:6">
      <c r="A129" s="4" t="str">
        <f t="shared" si="1"/>
        <v>tRNA-Ala-GGC-1-1|58</v>
      </c>
      <c r="B129" s="4" t="s">
        <v>38</v>
      </c>
      <c r="C129" s="4" t="s">
        <v>179</v>
      </c>
      <c r="D129" s="4">
        <v>57</v>
      </c>
      <c r="E129" s="18" t="s">
        <v>122</v>
      </c>
      <c r="F129" s="19" t="s">
        <v>175</v>
      </c>
    </row>
    <row r="130" spans="1:6">
      <c r="A130" s="4" t="str">
        <f t="shared" ref="A130:A193" si="2">B130&amp;"|"&amp;C130</f>
        <v>tRNA-Ala-GGC-1-1|59</v>
      </c>
      <c r="B130" s="4" t="s">
        <v>38</v>
      </c>
      <c r="C130" s="4" t="s">
        <v>180</v>
      </c>
      <c r="D130" s="4">
        <v>58</v>
      </c>
      <c r="E130" s="18" t="s">
        <v>116</v>
      </c>
      <c r="F130" s="19" t="s">
        <v>175</v>
      </c>
    </row>
    <row r="131" spans="1:6">
      <c r="A131" s="4" t="str">
        <f t="shared" si="2"/>
        <v>tRNA-Ala-GGC-1-1|60</v>
      </c>
      <c r="B131" s="4" t="s">
        <v>38</v>
      </c>
      <c r="C131" s="4" t="s">
        <v>181</v>
      </c>
      <c r="D131" s="4">
        <v>59</v>
      </c>
      <c r="E131" s="18" t="s">
        <v>116</v>
      </c>
      <c r="F131" s="19" t="s">
        <v>175</v>
      </c>
    </row>
    <row r="132" spans="1:6">
      <c r="A132" s="4" t="str">
        <f t="shared" si="2"/>
        <v>tRNA-Ala-GGC-1-1|61</v>
      </c>
      <c r="B132" s="4" t="s">
        <v>38</v>
      </c>
      <c r="C132" s="4" t="s">
        <v>182</v>
      </c>
      <c r="D132" s="4">
        <v>60</v>
      </c>
      <c r="E132" s="22" t="s">
        <v>114</v>
      </c>
      <c r="F132" s="10" t="s">
        <v>169</v>
      </c>
    </row>
    <row r="133" spans="1:6">
      <c r="A133" s="4" t="str">
        <f t="shared" si="2"/>
        <v>tRNA-Ala-GGC-1-1|62</v>
      </c>
      <c r="B133" s="4" t="s">
        <v>38</v>
      </c>
      <c r="C133" s="4" t="s">
        <v>183</v>
      </c>
      <c r="D133" s="4">
        <v>61</v>
      </c>
      <c r="E133" s="22" t="s">
        <v>114</v>
      </c>
      <c r="F133" s="10" t="s">
        <v>169</v>
      </c>
    </row>
    <row r="134" spans="1:6">
      <c r="A134" s="4" t="str">
        <f t="shared" si="2"/>
        <v>tRNA-Ala-GGC-1-1|63</v>
      </c>
      <c r="B134" s="4" t="s">
        <v>38</v>
      </c>
      <c r="C134" s="4" t="s">
        <v>184</v>
      </c>
      <c r="D134" s="4">
        <v>62</v>
      </c>
      <c r="E134" s="22" t="s">
        <v>114</v>
      </c>
      <c r="F134" s="10" t="s">
        <v>169</v>
      </c>
    </row>
    <row r="135" spans="1:6">
      <c r="A135" s="4" t="str">
        <f t="shared" si="2"/>
        <v>tRNA-Ala-GGC-1-1|64</v>
      </c>
      <c r="B135" s="4" t="s">
        <v>38</v>
      </c>
      <c r="C135" s="4" t="s">
        <v>185</v>
      </c>
      <c r="D135" s="4">
        <v>63</v>
      </c>
      <c r="E135" s="22" t="s">
        <v>109</v>
      </c>
      <c r="F135" s="10" t="s">
        <v>169</v>
      </c>
    </row>
    <row r="136" spans="1:6">
      <c r="A136" s="4" t="str">
        <f t="shared" si="2"/>
        <v>tRNA-Ala-GGC-1-1|65</v>
      </c>
      <c r="B136" s="4" t="s">
        <v>38</v>
      </c>
      <c r="C136" s="4" t="s">
        <v>186</v>
      </c>
      <c r="D136" s="4">
        <v>64</v>
      </c>
      <c r="E136" s="22" t="s">
        <v>122</v>
      </c>
      <c r="F136" s="10" t="s">
        <v>169</v>
      </c>
    </row>
    <row r="137" spans="1:6">
      <c r="A137" s="4" t="str">
        <f t="shared" si="2"/>
        <v>tRNA-Ala-GGC-1-1|66</v>
      </c>
      <c r="B137" s="4" t="s">
        <v>38</v>
      </c>
      <c r="C137" s="4" t="s">
        <v>187</v>
      </c>
      <c r="D137" s="4">
        <v>65</v>
      </c>
      <c r="E137" s="16" t="s">
        <v>114</v>
      </c>
      <c r="F137" s="17" t="s">
        <v>110</v>
      </c>
    </row>
    <row r="138" spans="1:6">
      <c r="A138" s="4" t="str">
        <f t="shared" si="2"/>
        <v>tRNA-Ala-GGC-1-1|67</v>
      </c>
      <c r="B138" s="4" t="s">
        <v>38</v>
      </c>
      <c r="C138" s="4" t="s">
        <v>188</v>
      </c>
      <c r="D138" s="4">
        <v>66</v>
      </c>
      <c r="E138" s="16" t="s">
        <v>114</v>
      </c>
      <c r="F138" s="17" t="s">
        <v>110</v>
      </c>
    </row>
    <row r="139" spans="1:6">
      <c r="A139" s="4" t="str">
        <f t="shared" si="2"/>
        <v>tRNA-Ala-GGC-1-1|68</v>
      </c>
      <c r="B139" s="4" t="s">
        <v>38</v>
      </c>
      <c r="C139" s="4" t="s">
        <v>189</v>
      </c>
      <c r="D139" s="4">
        <v>67</v>
      </c>
      <c r="E139" s="16" t="s">
        <v>109</v>
      </c>
      <c r="F139" s="17" t="s">
        <v>110</v>
      </c>
    </row>
    <row r="140" spans="1:6">
      <c r="A140" s="4" t="str">
        <f t="shared" si="2"/>
        <v>tRNA-Ala-GGC-1-1|69</v>
      </c>
      <c r="B140" s="4" t="s">
        <v>38</v>
      </c>
      <c r="C140" s="4" t="s">
        <v>190</v>
      </c>
      <c r="D140" s="4">
        <v>68</v>
      </c>
      <c r="E140" s="16" t="s">
        <v>109</v>
      </c>
      <c r="F140" s="17" t="s">
        <v>110</v>
      </c>
    </row>
    <row r="141" spans="1:6">
      <c r="A141" s="4" t="str">
        <f t="shared" si="2"/>
        <v>tRNA-Ala-GGC-1-1|70</v>
      </c>
      <c r="B141" s="4" t="s">
        <v>38</v>
      </c>
      <c r="C141" s="4" t="s">
        <v>191</v>
      </c>
      <c r="D141" s="4">
        <v>69</v>
      </c>
      <c r="E141" s="16" t="s">
        <v>116</v>
      </c>
      <c r="F141" s="17" t="s">
        <v>110</v>
      </c>
    </row>
    <row r="142" spans="1:6">
      <c r="A142" s="4" t="str">
        <f t="shared" si="2"/>
        <v>tRNA-Ala-GGC-1-1|71</v>
      </c>
      <c r="B142" s="4" t="s">
        <v>38</v>
      </c>
      <c r="C142" s="4" t="s">
        <v>192</v>
      </c>
      <c r="D142" s="4">
        <v>70</v>
      </c>
      <c r="E142" s="16" t="s">
        <v>114</v>
      </c>
      <c r="F142" s="17" t="s">
        <v>110</v>
      </c>
    </row>
    <row r="143" spans="1:6">
      <c r="A143" s="4" t="str">
        <f t="shared" si="2"/>
        <v>tRNA-Ala-GGC-1-1|72</v>
      </c>
      <c r="B143" s="4" t="s">
        <v>38</v>
      </c>
      <c r="C143" s="4" t="s">
        <v>193</v>
      </c>
      <c r="D143" s="4">
        <v>71</v>
      </c>
      <c r="E143" s="16" t="s">
        <v>114</v>
      </c>
      <c r="F143" s="17" t="s">
        <v>110</v>
      </c>
    </row>
    <row r="144" spans="1:6">
      <c r="A144" s="4" t="str">
        <f t="shared" si="2"/>
        <v>tRNA-Ala-TGC-1-1|1</v>
      </c>
      <c r="B144" s="4" t="s">
        <v>39</v>
      </c>
      <c r="C144" s="4" t="s">
        <v>108</v>
      </c>
      <c r="D144" s="4">
        <v>1</v>
      </c>
      <c r="E144" s="16" t="s">
        <v>109</v>
      </c>
      <c r="F144" s="17" t="s">
        <v>110</v>
      </c>
    </row>
    <row r="145" spans="1:6">
      <c r="A145" s="4" t="str">
        <f t="shared" si="2"/>
        <v>tRNA-Ala-TGC-1-1|2</v>
      </c>
      <c r="B145" s="4" t="s">
        <v>39</v>
      </c>
      <c r="C145" s="4" t="s">
        <v>111</v>
      </c>
      <c r="D145" s="4">
        <v>2</v>
      </c>
      <c r="E145" s="16" t="s">
        <v>109</v>
      </c>
      <c r="F145" s="17" t="s">
        <v>110</v>
      </c>
    </row>
    <row r="146" spans="1:6">
      <c r="A146" s="4" t="str">
        <f t="shared" si="2"/>
        <v>tRNA-Ala-TGC-1-1|3</v>
      </c>
      <c r="B146" s="4" t="s">
        <v>39</v>
      </c>
      <c r="C146" s="4" t="s">
        <v>112</v>
      </c>
      <c r="D146" s="4">
        <v>3</v>
      </c>
      <c r="E146" s="16" t="s">
        <v>109</v>
      </c>
      <c r="F146" s="17" t="s">
        <v>110</v>
      </c>
    </row>
    <row r="147" spans="1:6">
      <c r="A147" s="4" t="str">
        <f t="shared" si="2"/>
        <v>tRNA-Ala-TGC-1-1|4</v>
      </c>
      <c r="B147" s="4" t="s">
        <v>39</v>
      </c>
      <c r="C147" s="4" t="s">
        <v>113</v>
      </c>
      <c r="D147" s="4">
        <v>4</v>
      </c>
      <c r="E147" s="16" t="s">
        <v>114</v>
      </c>
      <c r="F147" s="17" t="s">
        <v>110</v>
      </c>
    </row>
    <row r="148" spans="1:6">
      <c r="A148" s="4" t="str">
        <f t="shared" si="2"/>
        <v>tRNA-Ala-TGC-1-1|5</v>
      </c>
      <c r="B148" s="4" t="s">
        <v>39</v>
      </c>
      <c r="C148" s="4" t="s">
        <v>115</v>
      </c>
      <c r="D148" s="4">
        <v>5</v>
      </c>
      <c r="E148" s="16" t="s">
        <v>116</v>
      </c>
      <c r="F148" s="17" t="s">
        <v>110</v>
      </c>
    </row>
    <row r="149" spans="1:6">
      <c r="A149" s="4" t="str">
        <f t="shared" si="2"/>
        <v>tRNA-Ala-TGC-1-1|6</v>
      </c>
      <c r="B149" s="4" t="s">
        <v>39</v>
      </c>
      <c r="C149" s="4" t="s">
        <v>117</v>
      </c>
      <c r="D149" s="4">
        <v>6</v>
      </c>
      <c r="E149" s="16" t="s">
        <v>116</v>
      </c>
      <c r="F149" s="17" t="s">
        <v>110</v>
      </c>
    </row>
    <row r="150" spans="1:6">
      <c r="A150" s="4" t="str">
        <f t="shared" si="2"/>
        <v>tRNA-Ala-TGC-1-1|7</v>
      </c>
      <c r="B150" s="4" t="s">
        <v>39</v>
      </c>
      <c r="C150" s="4" t="s">
        <v>118</v>
      </c>
      <c r="D150" s="4">
        <v>7</v>
      </c>
      <c r="E150" s="16" t="s">
        <v>109</v>
      </c>
      <c r="F150" s="17" t="s">
        <v>110</v>
      </c>
    </row>
    <row r="151" spans="1:6">
      <c r="A151" s="4" t="str">
        <f t="shared" si="2"/>
        <v>tRNA-Ala-TGC-1-1|8</v>
      </c>
      <c r="B151" s="4" t="s">
        <v>39</v>
      </c>
      <c r="C151" s="4" t="s">
        <v>119</v>
      </c>
      <c r="D151" s="4">
        <v>8</v>
      </c>
      <c r="E151" s="3" t="s">
        <v>116</v>
      </c>
      <c r="F151" s="4" t="s">
        <v>120</v>
      </c>
    </row>
    <row r="152" spans="1:6">
      <c r="A152" s="4" t="str">
        <f t="shared" si="2"/>
        <v>tRNA-Ala-TGC-1-1|9</v>
      </c>
      <c r="B152" s="4" t="s">
        <v>39</v>
      </c>
      <c r="C152" s="4" t="s">
        <v>121</v>
      </c>
      <c r="D152" s="4">
        <v>9</v>
      </c>
      <c r="E152" s="3" t="s">
        <v>122</v>
      </c>
      <c r="F152" s="4" t="s">
        <v>123</v>
      </c>
    </row>
    <row r="153" spans="1:6">
      <c r="A153" s="4" t="str">
        <f t="shared" si="2"/>
        <v>tRNA-Ala-TGC-1-1|10</v>
      </c>
      <c r="B153" s="4" t="s">
        <v>39</v>
      </c>
      <c r="C153" s="4" t="s">
        <v>124</v>
      </c>
      <c r="D153" s="4">
        <v>10</v>
      </c>
      <c r="E153" s="8" t="s">
        <v>109</v>
      </c>
      <c r="F153" s="7" t="s">
        <v>125</v>
      </c>
    </row>
    <row r="154" spans="1:6">
      <c r="A154" s="4" t="str">
        <f t="shared" si="2"/>
        <v>tRNA-Ala-TGC-1-1|11</v>
      </c>
      <c r="B154" s="4" t="s">
        <v>39</v>
      </c>
      <c r="C154" s="4" t="s">
        <v>126</v>
      </c>
      <c r="D154" s="4">
        <v>11</v>
      </c>
      <c r="E154" s="8" t="s">
        <v>122</v>
      </c>
      <c r="F154" s="7" t="s">
        <v>125</v>
      </c>
    </row>
    <row r="155" spans="1:6">
      <c r="A155" s="4" t="str">
        <f t="shared" si="2"/>
        <v>tRNA-Ala-TGC-1-1|12</v>
      </c>
      <c r="B155" s="4" t="s">
        <v>39</v>
      </c>
      <c r="C155" s="4" t="s">
        <v>127</v>
      </c>
      <c r="D155" s="4">
        <v>12</v>
      </c>
      <c r="E155" s="8" t="s">
        <v>116</v>
      </c>
      <c r="F155" s="7" t="s">
        <v>125</v>
      </c>
    </row>
    <row r="156" spans="1:6">
      <c r="A156" s="4" t="str">
        <f t="shared" si="2"/>
        <v>tRNA-Ala-TGC-1-1|13</v>
      </c>
      <c r="B156" s="4" t="s">
        <v>39</v>
      </c>
      <c r="C156" s="4" t="s">
        <v>128</v>
      </c>
      <c r="D156" s="4">
        <v>13</v>
      </c>
      <c r="E156" s="8" t="s">
        <v>114</v>
      </c>
      <c r="F156" s="7" t="s">
        <v>125</v>
      </c>
    </row>
    <row r="157" spans="1:6">
      <c r="A157" s="4" t="str">
        <f t="shared" si="2"/>
        <v>tRNA-Ala-TGC-1-1|14</v>
      </c>
      <c r="B157" s="4" t="s">
        <v>39</v>
      </c>
      <c r="C157" s="4" t="s">
        <v>129</v>
      </c>
      <c r="D157" s="4">
        <v>14</v>
      </c>
      <c r="E157" s="18" t="s">
        <v>122</v>
      </c>
      <c r="F157" s="19" t="s">
        <v>130</v>
      </c>
    </row>
    <row r="158" spans="1:6">
      <c r="A158" s="4" t="str">
        <f t="shared" si="2"/>
        <v>tRNA-Ala-TGC-1-1|15</v>
      </c>
      <c r="B158" s="4" t="s">
        <v>39</v>
      </c>
      <c r="C158" s="4" t="s">
        <v>131</v>
      </c>
      <c r="D158" s="4">
        <v>15</v>
      </c>
      <c r="E158" s="18" t="s">
        <v>109</v>
      </c>
      <c r="F158" s="19" t="s">
        <v>130</v>
      </c>
    </row>
    <row r="159" spans="1:6">
      <c r="A159" s="4" t="str">
        <f t="shared" si="2"/>
        <v>tRNA-Ala-TGC-1-1|16</v>
      </c>
      <c r="B159" s="4" t="s">
        <v>39</v>
      </c>
      <c r="C159" s="4" t="s">
        <v>194</v>
      </c>
      <c r="D159" s="4">
        <v>16</v>
      </c>
      <c r="E159" s="18" t="s">
        <v>122</v>
      </c>
      <c r="F159" s="19" t="s">
        <v>130</v>
      </c>
    </row>
    <row r="160" spans="1:6">
      <c r="A160" s="4" t="str">
        <f t="shared" si="2"/>
        <v>tRNA-Ala-TGC-1-1|17</v>
      </c>
      <c r="B160" s="4" t="s">
        <v>39</v>
      </c>
      <c r="C160" s="4" t="s">
        <v>195</v>
      </c>
      <c r="D160" s="4">
        <v>17</v>
      </c>
      <c r="E160" s="18" t="s">
        <v>116</v>
      </c>
      <c r="F160" s="19" t="s">
        <v>130</v>
      </c>
    </row>
    <row r="161" spans="1:6">
      <c r="A161" s="4" t="str">
        <f t="shared" si="2"/>
        <v>tRNA-Ala-TGC-1-1|18</v>
      </c>
      <c r="B161" s="4" t="s">
        <v>39</v>
      </c>
      <c r="C161" s="4" t="s">
        <v>132</v>
      </c>
      <c r="D161" s="4">
        <v>18</v>
      </c>
      <c r="E161" s="18" t="s">
        <v>109</v>
      </c>
      <c r="F161" s="19" t="s">
        <v>130</v>
      </c>
    </row>
    <row r="162" spans="1:6">
      <c r="A162" s="4" t="str">
        <f t="shared" si="2"/>
        <v>tRNA-Ala-TGC-1-1|19</v>
      </c>
      <c r="B162" s="4" t="s">
        <v>39</v>
      </c>
      <c r="C162" s="4" t="s">
        <v>133</v>
      </c>
      <c r="D162" s="4">
        <v>19</v>
      </c>
      <c r="E162" s="18" t="s">
        <v>109</v>
      </c>
      <c r="F162" s="19" t="s">
        <v>130</v>
      </c>
    </row>
    <row r="163" spans="1:6">
      <c r="A163" s="4" t="str">
        <f t="shared" si="2"/>
        <v>tRNA-Ala-TGC-1-1|20</v>
      </c>
      <c r="B163" s="4" t="s">
        <v>39</v>
      </c>
      <c r="C163" s="4" t="s">
        <v>134</v>
      </c>
      <c r="D163" s="4">
        <v>20</v>
      </c>
      <c r="E163" s="18" t="s">
        <v>122</v>
      </c>
      <c r="F163" s="19" t="s">
        <v>130</v>
      </c>
    </row>
    <row r="164" spans="1:6">
      <c r="A164" s="4" t="str">
        <f t="shared" si="2"/>
        <v>tRNA-Ala-TGC-1-1|21</v>
      </c>
      <c r="B164" s="4" t="s">
        <v>39</v>
      </c>
      <c r="C164" s="4" t="s">
        <v>136</v>
      </c>
      <c r="D164" s="4">
        <v>21</v>
      </c>
      <c r="E164" s="18" t="s">
        <v>122</v>
      </c>
      <c r="F164" s="19" t="s">
        <v>130</v>
      </c>
    </row>
    <row r="165" spans="1:6">
      <c r="A165" s="4" t="str">
        <f t="shared" si="2"/>
        <v>tRNA-Ala-TGC-1-1|22</v>
      </c>
      <c r="B165" s="4" t="s">
        <v>39</v>
      </c>
      <c r="C165" s="4" t="s">
        <v>137</v>
      </c>
      <c r="D165" s="4">
        <v>22</v>
      </c>
      <c r="E165" s="8" t="s">
        <v>109</v>
      </c>
      <c r="F165" s="7" t="s">
        <v>125</v>
      </c>
    </row>
    <row r="166" spans="1:6">
      <c r="A166" s="4" t="str">
        <f t="shared" si="2"/>
        <v>tRNA-Ala-TGC-1-1|23</v>
      </c>
      <c r="B166" s="4" t="s">
        <v>39</v>
      </c>
      <c r="C166" s="4" t="s">
        <v>138</v>
      </c>
      <c r="D166" s="4">
        <v>23</v>
      </c>
      <c r="E166" s="8" t="s">
        <v>122</v>
      </c>
      <c r="F166" s="7" t="s">
        <v>125</v>
      </c>
    </row>
    <row r="167" spans="1:6">
      <c r="A167" s="4" t="str">
        <f t="shared" si="2"/>
        <v>tRNA-Ala-TGC-1-1|24</v>
      </c>
      <c r="B167" s="4" t="s">
        <v>39</v>
      </c>
      <c r="C167" s="4" t="s">
        <v>139</v>
      </c>
      <c r="D167" s="4">
        <v>24</v>
      </c>
      <c r="E167" s="8" t="s">
        <v>116</v>
      </c>
      <c r="F167" s="7" t="s">
        <v>125</v>
      </c>
    </row>
    <row r="168" spans="1:6">
      <c r="A168" s="4" t="str">
        <f t="shared" si="2"/>
        <v>tRNA-Ala-TGC-1-1|25</v>
      </c>
      <c r="B168" s="4" t="s">
        <v>39</v>
      </c>
      <c r="C168" s="4" t="s">
        <v>140</v>
      </c>
      <c r="D168" s="4">
        <v>25</v>
      </c>
      <c r="E168" s="8" t="s">
        <v>114</v>
      </c>
      <c r="F168" s="7" t="s">
        <v>125</v>
      </c>
    </row>
    <row r="169" spans="1:6">
      <c r="A169" s="4" t="str">
        <f t="shared" si="2"/>
        <v>tRNA-Ala-TGC-1-1|26</v>
      </c>
      <c r="B169" s="4" t="s">
        <v>39</v>
      </c>
      <c r="C169" s="4" t="s">
        <v>141</v>
      </c>
      <c r="D169" s="4">
        <v>26</v>
      </c>
      <c r="E169" s="3" t="s">
        <v>109</v>
      </c>
      <c r="F169" s="4" t="s">
        <v>142</v>
      </c>
    </row>
    <row r="170" spans="1:6">
      <c r="A170" s="4" t="str">
        <f t="shared" si="2"/>
        <v>tRNA-Ala-TGC-1-1|27</v>
      </c>
      <c r="B170" s="4" t="s">
        <v>39</v>
      </c>
      <c r="C170" s="4" t="s">
        <v>143</v>
      </c>
      <c r="D170" s="4">
        <v>27</v>
      </c>
      <c r="E170" s="20" t="s">
        <v>114</v>
      </c>
      <c r="F170" s="21" t="s">
        <v>144</v>
      </c>
    </row>
    <row r="171" spans="1:6">
      <c r="A171" s="4" t="str">
        <f t="shared" si="2"/>
        <v>tRNA-Ala-TGC-1-1|28</v>
      </c>
      <c r="B171" s="4" t="s">
        <v>39</v>
      </c>
      <c r="C171" s="4" t="s">
        <v>145</v>
      </c>
      <c r="D171" s="4">
        <v>28</v>
      </c>
      <c r="E171" s="20" t="s">
        <v>116</v>
      </c>
      <c r="F171" s="21" t="s">
        <v>144</v>
      </c>
    </row>
    <row r="172" spans="1:6">
      <c r="A172" s="4" t="str">
        <f t="shared" si="2"/>
        <v>tRNA-Ala-TGC-1-1|29</v>
      </c>
      <c r="B172" s="4" t="s">
        <v>39</v>
      </c>
      <c r="C172" s="4" t="s">
        <v>146</v>
      </c>
      <c r="D172" s="4">
        <v>29</v>
      </c>
      <c r="E172" s="20" t="s">
        <v>109</v>
      </c>
      <c r="F172" s="21" t="s">
        <v>144</v>
      </c>
    </row>
    <row r="173" spans="1:6">
      <c r="A173" s="4" t="str">
        <f t="shared" si="2"/>
        <v>tRNA-Ala-TGC-1-1|30</v>
      </c>
      <c r="B173" s="4" t="s">
        <v>39</v>
      </c>
      <c r="C173" s="4" t="s">
        <v>147</v>
      </c>
      <c r="D173" s="4">
        <v>30</v>
      </c>
      <c r="E173" s="20" t="s">
        <v>114</v>
      </c>
      <c r="F173" s="21" t="s">
        <v>144</v>
      </c>
    </row>
    <row r="174" spans="1:6">
      <c r="A174" s="4" t="str">
        <f t="shared" si="2"/>
        <v>tRNA-Ala-TGC-1-1|31</v>
      </c>
      <c r="B174" s="4" t="s">
        <v>39</v>
      </c>
      <c r="C174" s="4" t="s">
        <v>148</v>
      </c>
      <c r="D174" s="4">
        <v>31</v>
      </c>
      <c r="E174" s="20" t="s">
        <v>114</v>
      </c>
      <c r="F174" s="21" t="s">
        <v>144</v>
      </c>
    </row>
    <row r="175" spans="1:6">
      <c r="A175" s="4" t="str">
        <f t="shared" si="2"/>
        <v>tRNA-Ala-TGC-1-1|32</v>
      </c>
      <c r="B175" s="4" t="s">
        <v>39</v>
      </c>
      <c r="C175" s="4" t="s">
        <v>149</v>
      </c>
      <c r="D175" s="4">
        <v>32</v>
      </c>
      <c r="E175" s="18" t="s">
        <v>116</v>
      </c>
      <c r="F175" s="19" t="s">
        <v>150</v>
      </c>
    </row>
    <row r="176" spans="1:6">
      <c r="A176" s="4" t="str">
        <f t="shared" si="2"/>
        <v>tRNA-Ala-TGC-1-1|33</v>
      </c>
      <c r="B176" s="4" t="s">
        <v>39</v>
      </c>
      <c r="C176" s="4" t="s">
        <v>151</v>
      </c>
      <c r="D176" s="4">
        <v>33</v>
      </c>
      <c r="E176" s="18" t="s">
        <v>116</v>
      </c>
      <c r="F176" s="19" t="s">
        <v>150</v>
      </c>
    </row>
    <row r="177" spans="1:6">
      <c r="A177" s="4" t="str">
        <f t="shared" si="2"/>
        <v>tRNA-Ala-TGC-1-1|34</v>
      </c>
      <c r="B177" s="4" t="s">
        <v>39</v>
      </c>
      <c r="C177" s="4" t="s">
        <v>152</v>
      </c>
      <c r="D177" s="4">
        <v>34</v>
      </c>
      <c r="E177" s="18" t="s">
        <v>116</v>
      </c>
      <c r="F177" s="19" t="s">
        <v>150</v>
      </c>
    </row>
    <row r="178" spans="1:6">
      <c r="A178" s="4" t="str">
        <f t="shared" si="2"/>
        <v>tRNA-Ala-TGC-1-1|35</v>
      </c>
      <c r="B178" s="4" t="s">
        <v>39</v>
      </c>
      <c r="C178" s="4" t="s">
        <v>153</v>
      </c>
      <c r="D178" s="4">
        <v>35</v>
      </c>
      <c r="E178" s="18" t="s">
        <v>109</v>
      </c>
      <c r="F178" s="19" t="s">
        <v>150</v>
      </c>
    </row>
    <row r="179" spans="1:6">
      <c r="A179" s="4" t="str">
        <f t="shared" si="2"/>
        <v>tRNA-Ala-TGC-1-1|36</v>
      </c>
      <c r="B179" s="4" t="s">
        <v>39</v>
      </c>
      <c r="C179" s="4" t="s">
        <v>154</v>
      </c>
      <c r="D179" s="4">
        <v>36</v>
      </c>
      <c r="E179" s="18" t="s">
        <v>114</v>
      </c>
      <c r="F179" s="19" t="s">
        <v>150</v>
      </c>
    </row>
    <row r="180" spans="1:6">
      <c r="A180" s="4" t="str">
        <f t="shared" si="2"/>
        <v>tRNA-Ala-TGC-1-1|37</v>
      </c>
      <c r="B180" s="4" t="s">
        <v>39</v>
      </c>
      <c r="C180" s="4" t="s">
        <v>155</v>
      </c>
      <c r="D180" s="4">
        <v>37</v>
      </c>
      <c r="E180" s="18" t="s">
        <v>122</v>
      </c>
      <c r="F180" s="19" t="s">
        <v>150</v>
      </c>
    </row>
    <row r="181" spans="1:6">
      <c r="A181" s="4" t="str">
        <f t="shared" si="2"/>
        <v>tRNA-Ala-TGC-1-1|38</v>
      </c>
      <c r="B181" s="4" t="s">
        <v>39</v>
      </c>
      <c r="C181" s="4" t="s">
        <v>156</v>
      </c>
      <c r="D181" s="4">
        <v>38</v>
      </c>
      <c r="E181" s="18" t="s">
        <v>122</v>
      </c>
      <c r="F181" s="19" t="s">
        <v>150</v>
      </c>
    </row>
    <row r="182" spans="1:6">
      <c r="A182" s="4" t="str">
        <f t="shared" si="2"/>
        <v>tRNA-Ala-TGC-1-1|39</v>
      </c>
      <c r="B182" s="4" t="s">
        <v>39</v>
      </c>
      <c r="C182" s="4" t="s">
        <v>157</v>
      </c>
      <c r="D182" s="4">
        <v>39</v>
      </c>
      <c r="E182" s="20" t="s">
        <v>109</v>
      </c>
      <c r="F182" s="21" t="s">
        <v>144</v>
      </c>
    </row>
    <row r="183" spans="1:6">
      <c r="A183" s="4" t="str">
        <f t="shared" si="2"/>
        <v>tRNA-Ala-TGC-1-1|40</v>
      </c>
      <c r="B183" s="4" t="s">
        <v>39</v>
      </c>
      <c r="C183" s="4" t="s">
        <v>158</v>
      </c>
      <c r="D183" s="4">
        <v>40</v>
      </c>
      <c r="E183" s="20" t="s">
        <v>109</v>
      </c>
      <c r="F183" s="21" t="s">
        <v>144</v>
      </c>
    </row>
    <row r="184" spans="1:6">
      <c r="A184" s="4" t="str">
        <f t="shared" si="2"/>
        <v>tRNA-Ala-TGC-1-1|41</v>
      </c>
      <c r="B184" s="4" t="s">
        <v>39</v>
      </c>
      <c r="C184" s="4" t="s">
        <v>159</v>
      </c>
      <c r="D184" s="4">
        <v>41</v>
      </c>
      <c r="E184" s="20" t="s">
        <v>114</v>
      </c>
      <c r="F184" s="21" t="s">
        <v>144</v>
      </c>
    </row>
    <row r="185" spans="1:6">
      <c r="A185" s="4" t="str">
        <f t="shared" si="2"/>
        <v>tRNA-Ala-TGC-1-1|42</v>
      </c>
      <c r="B185" s="4" t="s">
        <v>39</v>
      </c>
      <c r="C185" s="4" t="s">
        <v>160</v>
      </c>
      <c r="D185" s="4">
        <v>42</v>
      </c>
      <c r="E185" s="20" t="s">
        <v>122</v>
      </c>
      <c r="F185" s="21" t="s">
        <v>144</v>
      </c>
    </row>
    <row r="186" spans="1:6">
      <c r="A186" s="4" t="str">
        <f t="shared" si="2"/>
        <v>tRNA-Ala-TGC-1-1|43</v>
      </c>
      <c r="B186" s="4" t="s">
        <v>39</v>
      </c>
      <c r="C186" s="4" t="s">
        <v>161</v>
      </c>
      <c r="D186" s="4">
        <v>43</v>
      </c>
      <c r="E186" s="20" t="s">
        <v>109</v>
      </c>
      <c r="F186" s="21" t="s">
        <v>144</v>
      </c>
    </row>
    <row r="187" spans="1:6">
      <c r="A187" s="4" t="str">
        <f t="shared" si="2"/>
        <v>tRNA-Ala-TGC-1-1|44</v>
      </c>
      <c r="B187" s="4" t="s">
        <v>39</v>
      </c>
      <c r="C187" s="4" t="s">
        <v>162</v>
      </c>
      <c r="D187" s="4">
        <v>44</v>
      </c>
      <c r="E187" s="18" t="s">
        <v>122</v>
      </c>
      <c r="F187" s="19" t="s">
        <v>163</v>
      </c>
    </row>
    <row r="188" spans="1:6">
      <c r="A188" s="4" t="str">
        <f t="shared" si="2"/>
        <v>tRNA-Ala-TGC-1-1|45</v>
      </c>
      <c r="B188" s="4" t="s">
        <v>39</v>
      </c>
      <c r="C188" s="4" t="s">
        <v>164</v>
      </c>
      <c r="D188" s="4">
        <v>45</v>
      </c>
      <c r="E188" s="18" t="s">
        <v>109</v>
      </c>
      <c r="F188" s="19" t="s">
        <v>163</v>
      </c>
    </row>
    <row r="189" spans="1:6">
      <c r="A189" s="4" t="str">
        <f t="shared" si="2"/>
        <v>tRNA-Ala-TGC-1-1|46</v>
      </c>
      <c r="B189" s="4" t="s">
        <v>39</v>
      </c>
      <c r="C189" s="4" t="s">
        <v>165</v>
      </c>
      <c r="D189" s="4">
        <v>46</v>
      </c>
      <c r="E189" s="18" t="s">
        <v>109</v>
      </c>
      <c r="F189" s="19" t="s">
        <v>163</v>
      </c>
    </row>
    <row r="190" spans="1:6">
      <c r="A190" s="4" t="str">
        <f t="shared" si="2"/>
        <v>tRNA-Ala-TGC-1-1|47</v>
      </c>
      <c r="B190" s="4" t="s">
        <v>39</v>
      </c>
      <c r="C190" s="4" t="s">
        <v>166</v>
      </c>
      <c r="D190" s="4">
        <v>47</v>
      </c>
      <c r="E190" s="18" t="s">
        <v>114</v>
      </c>
      <c r="F190" s="19" t="s">
        <v>163</v>
      </c>
    </row>
    <row r="191" spans="1:6">
      <c r="A191" s="4" t="str">
        <f t="shared" si="2"/>
        <v>tRNA-Ala-TGC-1-1|48</v>
      </c>
      <c r="B191" s="4" t="s">
        <v>39</v>
      </c>
      <c r="C191" s="4" t="s">
        <v>167</v>
      </c>
      <c r="D191" s="4">
        <v>48</v>
      </c>
      <c r="E191" s="18" t="s">
        <v>114</v>
      </c>
      <c r="F191" s="19" t="s">
        <v>163</v>
      </c>
    </row>
    <row r="192" spans="1:6">
      <c r="A192" s="4" t="str">
        <f t="shared" si="2"/>
        <v>tRNA-Ala-TGC-1-1|49</v>
      </c>
      <c r="B192" s="4" t="s">
        <v>39</v>
      </c>
      <c r="C192" s="4" t="s">
        <v>168</v>
      </c>
      <c r="D192" s="4">
        <v>49</v>
      </c>
      <c r="E192" s="22" t="s">
        <v>114</v>
      </c>
      <c r="F192" s="10" t="s">
        <v>169</v>
      </c>
    </row>
    <row r="193" spans="1:6">
      <c r="A193" s="4" t="str">
        <f t="shared" si="2"/>
        <v>tRNA-Ala-TGC-1-1|50</v>
      </c>
      <c r="B193" s="4" t="s">
        <v>39</v>
      </c>
      <c r="C193" s="4" t="s">
        <v>170</v>
      </c>
      <c r="D193" s="4">
        <v>50</v>
      </c>
      <c r="E193" s="22" t="s">
        <v>116</v>
      </c>
      <c r="F193" s="10" t="s">
        <v>169</v>
      </c>
    </row>
    <row r="194" spans="1:6">
      <c r="A194" s="4" t="str">
        <f t="shared" ref="A194:A257" si="3">B194&amp;"|"&amp;C194</f>
        <v>tRNA-Ala-TGC-1-1|51</v>
      </c>
      <c r="B194" s="4" t="s">
        <v>39</v>
      </c>
      <c r="C194" s="4" t="s">
        <v>171</v>
      </c>
      <c r="D194" s="4">
        <v>51</v>
      </c>
      <c r="E194" s="22" t="s">
        <v>109</v>
      </c>
      <c r="F194" s="10" t="s">
        <v>169</v>
      </c>
    </row>
    <row r="195" spans="1:6">
      <c r="A195" s="4" t="str">
        <f t="shared" si="3"/>
        <v>tRNA-Ala-TGC-1-1|52</v>
      </c>
      <c r="B195" s="4" t="s">
        <v>39</v>
      </c>
      <c r="C195" s="4" t="s">
        <v>172</v>
      </c>
      <c r="D195" s="4">
        <v>52</v>
      </c>
      <c r="E195" s="22" t="s">
        <v>109</v>
      </c>
      <c r="F195" s="10" t="s">
        <v>169</v>
      </c>
    </row>
    <row r="196" spans="1:6">
      <c r="A196" s="4" t="str">
        <f t="shared" si="3"/>
        <v>tRNA-Ala-TGC-1-1|53</v>
      </c>
      <c r="B196" s="4" t="s">
        <v>39</v>
      </c>
      <c r="C196" s="4" t="s">
        <v>173</v>
      </c>
      <c r="D196" s="4">
        <v>53</v>
      </c>
      <c r="E196" s="22" t="s">
        <v>109</v>
      </c>
      <c r="F196" s="10" t="s">
        <v>169</v>
      </c>
    </row>
    <row r="197" spans="1:6">
      <c r="A197" s="4" t="str">
        <f t="shared" si="3"/>
        <v>tRNA-Ala-TGC-1-1|54</v>
      </c>
      <c r="B197" s="4" t="s">
        <v>39</v>
      </c>
      <c r="C197" s="4" t="s">
        <v>174</v>
      </c>
      <c r="D197" s="4">
        <v>54</v>
      </c>
      <c r="E197" s="18" t="s">
        <v>116</v>
      </c>
      <c r="F197" s="19" t="s">
        <v>175</v>
      </c>
    </row>
    <row r="198" spans="1:6">
      <c r="A198" s="4" t="str">
        <f t="shared" si="3"/>
        <v>tRNA-Ala-TGC-1-1|55</v>
      </c>
      <c r="B198" s="4" t="s">
        <v>39</v>
      </c>
      <c r="C198" s="4" t="s">
        <v>176</v>
      </c>
      <c r="D198" s="4">
        <v>55</v>
      </c>
      <c r="E198" s="18" t="s">
        <v>116</v>
      </c>
      <c r="F198" s="19" t="s">
        <v>175</v>
      </c>
    </row>
    <row r="199" spans="1:6">
      <c r="A199" s="4" t="str">
        <f t="shared" si="3"/>
        <v>tRNA-Ala-TGC-1-1|56</v>
      </c>
      <c r="B199" s="4" t="s">
        <v>39</v>
      </c>
      <c r="C199" s="4" t="s">
        <v>177</v>
      </c>
      <c r="D199" s="4">
        <v>56</v>
      </c>
      <c r="E199" s="18" t="s">
        <v>114</v>
      </c>
      <c r="F199" s="19" t="s">
        <v>175</v>
      </c>
    </row>
    <row r="200" spans="1:6">
      <c r="A200" s="4" t="str">
        <f t="shared" si="3"/>
        <v>tRNA-Ala-TGC-1-1|57</v>
      </c>
      <c r="B200" s="4" t="s">
        <v>39</v>
      </c>
      <c r="C200" s="4" t="s">
        <v>178</v>
      </c>
      <c r="D200" s="4">
        <v>57</v>
      </c>
      <c r="E200" s="18" t="s">
        <v>109</v>
      </c>
      <c r="F200" s="19" t="s">
        <v>175</v>
      </c>
    </row>
    <row r="201" spans="1:6">
      <c r="A201" s="4" t="str">
        <f t="shared" si="3"/>
        <v>tRNA-Ala-TGC-1-1|58</v>
      </c>
      <c r="B201" s="4" t="s">
        <v>39</v>
      </c>
      <c r="C201" s="4" t="s">
        <v>179</v>
      </c>
      <c r="D201" s="4">
        <v>58</v>
      </c>
      <c r="E201" s="18" t="s">
        <v>122</v>
      </c>
      <c r="F201" s="19" t="s">
        <v>175</v>
      </c>
    </row>
    <row r="202" spans="1:6">
      <c r="A202" s="4" t="str">
        <f t="shared" si="3"/>
        <v>tRNA-Ala-TGC-1-1|59</v>
      </c>
      <c r="B202" s="4" t="s">
        <v>39</v>
      </c>
      <c r="C202" s="4" t="s">
        <v>180</v>
      </c>
      <c r="D202" s="4">
        <v>59</v>
      </c>
      <c r="E202" s="18" t="s">
        <v>122</v>
      </c>
      <c r="F202" s="19" t="s">
        <v>175</v>
      </c>
    </row>
    <row r="203" spans="1:6">
      <c r="A203" s="4" t="str">
        <f t="shared" si="3"/>
        <v>tRNA-Ala-TGC-1-1|60</v>
      </c>
      <c r="B203" s="4" t="s">
        <v>39</v>
      </c>
      <c r="C203" s="4" t="s">
        <v>181</v>
      </c>
      <c r="D203" s="4">
        <v>60</v>
      </c>
      <c r="E203" s="18" t="s">
        <v>116</v>
      </c>
      <c r="F203" s="19" t="s">
        <v>175</v>
      </c>
    </row>
    <row r="204" spans="1:6">
      <c r="A204" s="4" t="str">
        <f t="shared" si="3"/>
        <v>tRNA-Ala-TGC-1-1|61</v>
      </c>
      <c r="B204" s="4" t="s">
        <v>39</v>
      </c>
      <c r="C204" s="4" t="s">
        <v>182</v>
      </c>
      <c r="D204" s="4">
        <v>61</v>
      </c>
      <c r="E204" s="22" t="s">
        <v>114</v>
      </c>
      <c r="F204" s="10" t="s">
        <v>169</v>
      </c>
    </row>
    <row r="205" spans="1:6">
      <c r="A205" s="4" t="str">
        <f t="shared" si="3"/>
        <v>tRNA-Ala-TGC-1-1|62</v>
      </c>
      <c r="B205" s="4" t="s">
        <v>39</v>
      </c>
      <c r="C205" s="4" t="s">
        <v>183</v>
      </c>
      <c r="D205" s="4">
        <v>62</v>
      </c>
      <c r="E205" s="22" t="s">
        <v>114</v>
      </c>
      <c r="F205" s="10" t="s">
        <v>169</v>
      </c>
    </row>
    <row r="206" spans="1:6">
      <c r="A206" s="4" t="str">
        <f t="shared" si="3"/>
        <v>tRNA-Ala-TGC-1-1|63</v>
      </c>
      <c r="B206" s="4" t="s">
        <v>39</v>
      </c>
      <c r="C206" s="4" t="s">
        <v>184</v>
      </c>
      <c r="D206" s="4">
        <v>63</v>
      </c>
      <c r="E206" s="22" t="s">
        <v>114</v>
      </c>
      <c r="F206" s="10" t="s">
        <v>169</v>
      </c>
    </row>
    <row r="207" spans="1:6">
      <c r="A207" s="4" t="str">
        <f t="shared" si="3"/>
        <v>tRNA-Ala-TGC-1-1|64</v>
      </c>
      <c r="B207" s="4" t="s">
        <v>39</v>
      </c>
      <c r="C207" s="4" t="s">
        <v>185</v>
      </c>
      <c r="D207" s="4">
        <v>64</v>
      </c>
      <c r="E207" s="22" t="s">
        <v>122</v>
      </c>
      <c r="F207" s="10" t="s">
        <v>169</v>
      </c>
    </row>
    <row r="208" spans="1:6">
      <c r="A208" s="4" t="str">
        <f t="shared" si="3"/>
        <v>tRNA-Ala-TGC-1-1|65</v>
      </c>
      <c r="B208" s="4" t="s">
        <v>39</v>
      </c>
      <c r="C208" s="4" t="s">
        <v>186</v>
      </c>
      <c r="D208" s="4">
        <v>65</v>
      </c>
      <c r="E208" s="22" t="s">
        <v>109</v>
      </c>
      <c r="F208" s="10" t="s">
        <v>169</v>
      </c>
    </row>
    <row r="209" spans="1:6">
      <c r="A209" s="4" t="str">
        <f t="shared" si="3"/>
        <v>tRNA-Ala-TGC-1-1|66</v>
      </c>
      <c r="B209" s="4" t="s">
        <v>39</v>
      </c>
      <c r="C209" s="4" t="s">
        <v>187</v>
      </c>
      <c r="D209" s="4">
        <v>66</v>
      </c>
      <c r="E209" s="16" t="s">
        <v>114</v>
      </c>
      <c r="F209" s="17" t="s">
        <v>110</v>
      </c>
    </row>
    <row r="210" spans="1:6">
      <c r="A210" s="4" t="str">
        <f t="shared" si="3"/>
        <v>tRNA-Ala-TGC-1-1|67</v>
      </c>
      <c r="B210" s="4" t="s">
        <v>39</v>
      </c>
      <c r="C210" s="4" t="s">
        <v>188</v>
      </c>
      <c r="D210" s="4">
        <v>67</v>
      </c>
      <c r="E210" s="16" t="s">
        <v>122</v>
      </c>
      <c r="F210" s="17" t="s">
        <v>110</v>
      </c>
    </row>
    <row r="211" spans="1:6">
      <c r="A211" s="4" t="str">
        <f t="shared" si="3"/>
        <v>tRNA-Ala-TGC-1-1|68</v>
      </c>
      <c r="B211" s="4" t="s">
        <v>39</v>
      </c>
      <c r="C211" s="4" t="s">
        <v>189</v>
      </c>
      <c r="D211" s="4">
        <v>68</v>
      </c>
      <c r="E211" s="16" t="s">
        <v>122</v>
      </c>
      <c r="F211" s="17" t="s">
        <v>110</v>
      </c>
    </row>
    <row r="212" spans="1:6">
      <c r="A212" s="4" t="str">
        <f t="shared" si="3"/>
        <v>tRNA-Ala-TGC-1-1|69</v>
      </c>
      <c r="B212" s="4" t="s">
        <v>39</v>
      </c>
      <c r="C212" s="4" t="s">
        <v>190</v>
      </c>
      <c r="D212" s="4">
        <v>69</v>
      </c>
      <c r="E212" s="16" t="s">
        <v>109</v>
      </c>
      <c r="F212" s="17" t="s">
        <v>110</v>
      </c>
    </row>
    <row r="213" spans="1:6">
      <c r="A213" s="4" t="str">
        <f t="shared" si="3"/>
        <v>tRNA-Ala-TGC-1-1|70</v>
      </c>
      <c r="B213" s="4" t="s">
        <v>39</v>
      </c>
      <c r="C213" s="4" t="s">
        <v>191</v>
      </c>
      <c r="D213" s="4">
        <v>70</v>
      </c>
      <c r="E213" s="16" t="s">
        <v>116</v>
      </c>
      <c r="F213" s="17" t="s">
        <v>110</v>
      </c>
    </row>
    <row r="214" spans="1:6">
      <c r="A214" s="4" t="str">
        <f t="shared" si="3"/>
        <v>tRNA-Ala-TGC-1-1|71</v>
      </c>
      <c r="B214" s="4" t="s">
        <v>39</v>
      </c>
      <c r="C214" s="4" t="s">
        <v>192</v>
      </c>
      <c r="D214" s="4">
        <v>71</v>
      </c>
      <c r="E214" s="16" t="s">
        <v>114</v>
      </c>
      <c r="F214" s="17" t="s">
        <v>110</v>
      </c>
    </row>
    <row r="215" spans="1:6">
      <c r="A215" s="4" t="str">
        <f t="shared" si="3"/>
        <v>tRNA-Ala-TGC-1-1|72</v>
      </c>
      <c r="B215" s="4" t="s">
        <v>39</v>
      </c>
      <c r="C215" s="4" t="s">
        <v>193</v>
      </c>
      <c r="D215" s="4">
        <v>72</v>
      </c>
      <c r="E215" s="16" t="s">
        <v>114</v>
      </c>
      <c r="F215" s="17" t="s">
        <v>110</v>
      </c>
    </row>
    <row r="216" spans="1:6">
      <c r="A216" s="4" t="str">
        <f t="shared" si="3"/>
        <v>tRNA-Arg-CCG-1-1|1</v>
      </c>
      <c r="B216" s="4" t="s">
        <v>40</v>
      </c>
      <c r="C216" s="4" t="s">
        <v>108</v>
      </c>
      <c r="D216" s="4">
        <v>1</v>
      </c>
      <c r="E216" s="16" t="s">
        <v>122</v>
      </c>
      <c r="F216" s="17" t="s">
        <v>110</v>
      </c>
    </row>
    <row r="217" spans="1:6">
      <c r="A217" s="4" t="str">
        <f t="shared" si="3"/>
        <v>tRNA-Arg-CCG-1-1|2</v>
      </c>
      <c r="B217" s="4" t="s">
        <v>40</v>
      </c>
      <c r="C217" s="4" t="s">
        <v>111</v>
      </c>
      <c r="D217" s="4">
        <v>2</v>
      </c>
      <c r="E217" s="16" t="s">
        <v>109</v>
      </c>
      <c r="F217" s="17" t="s">
        <v>110</v>
      </c>
    </row>
    <row r="218" spans="1:6">
      <c r="A218" s="4" t="str">
        <f t="shared" si="3"/>
        <v>tRNA-Arg-CCG-1-1|3</v>
      </c>
      <c r="B218" s="4" t="s">
        <v>40</v>
      </c>
      <c r="C218" s="4" t="s">
        <v>112</v>
      </c>
      <c r="D218" s="4">
        <v>3</v>
      </c>
      <c r="E218" s="16" t="s">
        <v>109</v>
      </c>
      <c r="F218" s="17" t="s">
        <v>110</v>
      </c>
    </row>
    <row r="219" spans="1:6">
      <c r="A219" s="4" t="str">
        <f t="shared" si="3"/>
        <v>tRNA-Arg-CCG-1-1|4</v>
      </c>
      <c r="B219" s="4" t="s">
        <v>40</v>
      </c>
      <c r="C219" s="4" t="s">
        <v>113</v>
      </c>
      <c r="D219" s="4">
        <v>4</v>
      </c>
      <c r="E219" s="16" t="s">
        <v>116</v>
      </c>
      <c r="F219" s="17" t="s">
        <v>110</v>
      </c>
    </row>
    <row r="220" spans="1:6">
      <c r="A220" s="4" t="str">
        <f t="shared" si="3"/>
        <v>tRNA-Arg-CCG-1-1|5</v>
      </c>
      <c r="B220" s="4" t="s">
        <v>40</v>
      </c>
      <c r="C220" s="4" t="s">
        <v>115</v>
      </c>
      <c r="D220" s="4">
        <v>5</v>
      </c>
      <c r="E220" s="16" t="s">
        <v>114</v>
      </c>
      <c r="F220" s="17" t="s">
        <v>110</v>
      </c>
    </row>
    <row r="221" spans="1:6">
      <c r="A221" s="4" t="str">
        <f t="shared" si="3"/>
        <v>tRNA-Arg-CCG-1-1|6</v>
      </c>
      <c r="B221" s="4" t="s">
        <v>40</v>
      </c>
      <c r="C221" s="4" t="s">
        <v>117</v>
      </c>
      <c r="D221" s="4">
        <v>6</v>
      </c>
      <c r="E221" s="16" t="s">
        <v>116</v>
      </c>
      <c r="F221" s="17" t="s">
        <v>110</v>
      </c>
    </row>
    <row r="222" spans="1:6">
      <c r="A222" s="4" t="str">
        <f t="shared" si="3"/>
        <v>tRNA-Arg-CCG-1-1|7</v>
      </c>
      <c r="B222" s="4" t="s">
        <v>40</v>
      </c>
      <c r="C222" s="4" t="s">
        <v>118</v>
      </c>
      <c r="D222" s="4">
        <v>7</v>
      </c>
      <c r="E222" s="16" t="s">
        <v>109</v>
      </c>
      <c r="F222" s="17" t="s">
        <v>110</v>
      </c>
    </row>
    <row r="223" spans="1:6">
      <c r="A223" s="4" t="str">
        <f t="shared" si="3"/>
        <v>tRNA-Arg-CCG-1-1|8</v>
      </c>
      <c r="B223" s="4" t="s">
        <v>40</v>
      </c>
      <c r="C223" s="4" t="s">
        <v>119</v>
      </c>
      <c r="D223" s="4">
        <v>8</v>
      </c>
      <c r="E223" s="3" t="s">
        <v>116</v>
      </c>
      <c r="F223" s="4" t="s">
        <v>120</v>
      </c>
    </row>
    <row r="224" spans="1:6">
      <c r="A224" s="4" t="str">
        <f t="shared" si="3"/>
        <v>tRNA-Arg-CCG-1-1|9</v>
      </c>
      <c r="B224" s="4" t="s">
        <v>40</v>
      </c>
      <c r="C224" s="4" t="s">
        <v>121</v>
      </c>
      <c r="D224" s="4">
        <v>9</v>
      </c>
      <c r="E224" s="3" t="s">
        <v>122</v>
      </c>
      <c r="F224" s="4" t="s">
        <v>123</v>
      </c>
    </row>
    <row r="225" spans="1:6">
      <c r="A225" s="4" t="str">
        <f t="shared" si="3"/>
        <v>tRNA-Arg-CCG-1-1|10</v>
      </c>
      <c r="B225" s="4" t="s">
        <v>40</v>
      </c>
      <c r="C225" s="4" t="s">
        <v>124</v>
      </c>
      <c r="D225" s="4">
        <v>10</v>
      </c>
      <c r="E225" s="8" t="s">
        <v>109</v>
      </c>
      <c r="F225" s="7" t="s">
        <v>125</v>
      </c>
    </row>
    <row r="226" spans="1:6">
      <c r="A226" s="4" t="str">
        <f t="shared" si="3"/>
        <v>tRNA-Arg-CCG-1-1|11</v>
      </c>
      <c r="B226" s="4" t="s">
        <v>40</v>
      </c>
      <c r="C226" s="4" t="s">
        <v>126</v>
      </c>
      <c r="D226" s="4">
        <v>11</v>
      </c>
      <c r="E226" s="8" t="s">
        <v>116</v>
      </c>
      <c r="F226" s="7" t="s">
        <v>125</v>
      </c>
    </row>
    <row r="227" spans="1:6">
      <c r="A227" s="4" t="str">
        <f t="shared" si="3"/>
        <v>tRNA-Arg-CCG-1-1|12</v>
      </c>
      <c r="B227" s="4" t="s">
        <v>40</v>
      </c>
      <c r="C227" s="4" t="s">
        <v>127</v>
      </c>
      <c r="D227" s="4">
        <v>12</v>
      </c>
      <c r="E227" s="8" t="s">
        <v>109</v>
      </c>
      <c r="F227" s="7" t="s">
        <v>125</v>
      </c>
    </row>
    <row r="228" spans="1:6">
      <c r="A228" s="4" t="str">
        <f t="shared" si="3"/>
        <v>tRNA-Arg-CCG-1-1|13</v>
      </c>
      <c r="B228" s="4" t="s">
        <v>40</v>
      </c>
      <c r="C228" s="4" t="s">
        <v>128</v>
      </c>
      <c r="D228" s="4">
        <v>13</v>
      </c>
      <c r="E228" s="8" t="s">
        <v>116</v>
      </c>
      <c r="F228" s="7" t="s">
        <v>125</v>
      </c>
    </row>
    <row r="229" spans="1:6">
      <c r="A229" s="4" t="str">
        <f t="shared" si="3"/>
        <v>tRNA-Arg-CCG-1-1|14</v>
      </c>
      <c r="B229" s="4" t="s">
        <v>40</v>
      </c>
      <c r="C229" s="4" t="s">
        <v>129</v>
      </c>
      <c r="D229" s="4">
        <v>14</v>
      </c>
      <c r="E229" s="18" t="s">
        <v>122</v>
      </c>
      <c r="F229" s="19" t="s">
        <v>130</v>
      </c>
    </row>
    <row r="230" spans="1:6">
      <c r="A230" s="4" t="str">
        <f t="shared" si="3"/>
        <v>tRNA-Arg-CCG-1-1|15</v>
      </c>
      <c r="B230" s="4" t="s">
        <v>40</v>
      </c>
      <c r="C230" s="4" t="s">
        <v>131</v>
      </c>
      <c r="D230" s="4">
        <v>15</v>
      </c>
      <c r="E230" s="18" t="s">
        <v>109</v>
      </c>
      <c r="F230" s="19" t="s">
        <v>130</v>
      </c>
    </row>
    <row r="231" spans="1:6">
      <c r="A231" s="4" t="str">
        <f t="shared" si="3"/>
        <v>tRNA-Arg-CCG-1-1|16</v>
      </c>
      <c r="B231" s="4" t="s">
        <v>40</v>
      </c>
      <c r="C231" s="4" t="s">
        <v>194</v>
      </c>
      <c r="D231" s="4">
        <v>16</v>
      </c>
      <c r="E231" s="18" t="s">
        <v>122</v>
      </c>
      <c r="F231" s="19" t="s">
        <v>130</v>
      </c>
    </row>
    <row r="232" spans="1:6">
      <c r="A232" s="4" t="str">
        <f t="shared" si="3"/>
        <v>tRNA-Arg-CCG-1-1|18</v>
      </c>
      <c r="B232" s="4" t="s">
        <v>40</v>
      </c>
      <c r="C232" s="4" t="s">
        <v>132</v>
      </c>
      <c r="D232" s="4">
        <v>17</v>
      </c>
      <c r="E232" s="18" t="s">
        <v>109</v>
      </c>
      <c r="F232" s="19" t="s">
        <v>130</v>
      </c>
    </row>
    <row r="233" spans="1:6">
      <c r="A233" s="4" t="str">
        <f t="shared" si="3"/>
        <v>tRNA-Arg-CCG-1-1|19</v>
      </c>
      <c r="B233" s="4" t="s">
        <v>40</v>
      </c>
      <c r="C233" s="4" t="s">
        <v>133</v>
      </c>
      <c r="D233" s="4">
        <v>18</v>
      </c>
      <c r="E233" s="18" t="s">
        <v>109</v>
      </c>
      <c r="F233" s="19" t="s">
        <v>130</v>
      </c>
    </row>
    <row r="234" spans="1:6">
      <c r="A234" s="4" t="str">
        <f t="shared" si="3"/>
        <v>tRNA-Arg-CCG-1-1|20</v>
      </c>
      <c r="B234" s="4" t="s">
        <v>40</v>
      </c>
      <c r="C234" s="4" t="s">
        <v>134</v>
      </c>
      <c r="D234" s="4">
        <v>19</v>
      </c>
      <c r="E234" s="18" t="s">
        <v>122</v>
      </c>
      <c r="F234" s="19" t="s">
        <v>130</v>
      </c>
    </row>
    <row r="235" spans="1:6">
      <c r="A235" s="4" t="str">
        <f t="shared" si="3"/>
        <v>tRNA-Arg-CCG-1-1|20a</v>
      </c>
      <c r="B235" s="4" t="s">
        <v>40</v>
      </c>
      <c r="C235" s="4" t="s">
        <v>135</v>
      </c>
      <c r="D235" s="4">
        <v>20</v>
      </c>
      <c r="E235" s="18" t="s">
        <v>116</v>
      </c>
      <c r="F235" s="19" t="s">
        <v>130</v>
      </c>
    </row>
    <row r="236" spans="1:6">
      <c r="A236" s="4" t="str">
        <f t="shared" si="3"/>
        <v>tRNA-Arg-CCG-1-1|21</v>
      </c>
      <c r="B236" s="4" t="s">
        <v>40</v>
      </c>
      <c r="C236" s="4" t="s">
        <v>136</v>
      </c>
      <c r="D236" s="4">
        <v>21</v>
      </c>
      <c r="E236" s="18" t="s">
        <v>122</v>
      </c>
      <c r="F236" s="19" t="s">
        <v>130</v>
      </c>
    </row>
    <row r="237" spans="1:6">
      <c r="A237" s="4" t="str">
        <f t="shared" si="3"/>
        <v>tRNA-Arg-CCG-1-1|22</v>
      </c>
      <c r="B237" s="4" t="s">
        <v>40</v>
      </c>
      <c r="C237" s="4" t="s">
        <v>137</v>
      </c>
      <c r="D237" s="4">
        <v>22</v>
      </c>
      <c r="E237" s="8" t="s">
        <v>116</v>
      </c>
      <c r="F237" s="7" t="s">
        <v>125</v>
      </c>
    </row>
    <row r="238" spans="1:6">
      <c r="A238" s="4" t="str">
        <f t="shared" si="3"/>
        <v>tRNA-Arg-CCG-1-1|23</v>
      </c>
      <c r="B238" s="4" t="s">
        <v>40</v>
      </c>
      <c r="C238" s="4" t="s">
        <v>138</v>
      </c>
      <c r="D238" s="4">
        <v>23</v>
      </c>
      <c r="E238" s="8" t="s">
        <v>114</v>
      </c>
      <c r="F238" s="7" t="s">
        <v>125</v>
      </c>
    </row>
    <row r="239" spans="1:6">
      <c r="A239" s="4" t="str">
        <f t="shared" si="3"/>
        <v>tRNA-Arg-CCG-1-1|24</v>
      </c>
      <c r="B239" s="4" t="s">
        <v>40</v>
      </c>
      <c r="C239" s="4" t="s">
        <v>139</v>
      </c>
      <c r="D239" s="4">
        <v>24</v>
      </c>
      <c r="E239" s="8" t="s">
        <v>122</v>
      </c>
      <c r="F239" s="7" t="s">
        <v>125</v>
      </c>
    </row>
    <row r="240" spans="1:6">
      <c r="A240" s="4" t="str">
        <f t="shared" si="3"/>
        <v>tRNA-Arg-CCG-1-1|25</v>
      </c>
      <c r="B240" s="4" t="s">
        <v>40</v>
      </c>
      <c r="C240" s="4" t="s">
        <v>140</v>
      </c>
      <c r="D240" s="4">
        <v>25</v>
      </c>
      <c r="E240" s="8" t="s">
        <v>114</v>
      </c>
      <c r="F240" s="7" t="s">
        <v>125</v>
      </c>
    </row>
    <row r="241" spans="1:6">
      <c r="A241" s="4" t="str">
        <f t="shared" si="3"/>
        <v>tRNA-Arg-CCG-1-1|26</v>
      </c>
      <c r="B241" s="4" t="s">
        <v>40</v>
      </c>
      <c r="C241" s="4" t="s">
        <v>141</v>
      </c>
      <c r="D241" s="4">
        <v>26</v>
      </c>
      <c r="E241" s="3" t="s">
        <v>116</v>
      </c>
      <c r="F241" s="4" t="s">
        <v>142</v>
      </c>
    </row>
    <row r="242" spans="1:6">
      <c r="A242" s="4" t="str">
        <f t="shared" si="3"/>
        <v>tRNA-Arg-CCG-1-1|27</v>
      </c>
      <c r="B242" s="4" t="s">
        <v>40</v>
      </c>
      <c r="C242" s="4" t="s">
        <v>143</v>
      </c>
      <c r="D242" s="4">
        <v>27</v>
      </c>
      <c r="E242" s="20" t="s">
        <v>109</v>
      </c>
      <c r="F242" s="21" t="s">
        <v>144</v>
      </c>
    </row>
    <row r="243" spans="1:6">
      <c r="A243" s="4" t="str">
        <f t="shared" si="3"/>
        <v>tRNA-Arg-CCG-1-1|28</v>
      </c>
      <c r="B243" s="4" t="s">
        <v>40</v>
      </c>
      <c r="C243" s="4" t="s">
        <v>145</v>
      </c>
      <c r="D243" s="4">
        <v>28</v>
      </c>
      <c r="E243" s="20" t="s">
        <v>109</v>
      </c>
      <c r="F243" s="21" t="s">
        <v>144</v>
      </c>
    </row>
    <row r="244" spans="1:6">
      <c r="A244" s="4" t="str">
        <f t="shared" si="3"/>
        <v>tRNA-Arg-CCG-1-1|29</v>
      </c>
      <c r="B244" s="4" t="s">
        <v>40</v>
      </c>
      <c r="C244" s="4" t="s">
        <v>146</v>
      </c>
      <c r="D244" s="4">
        <v>29</v>
      </c>
      <c r="E244" s="20" t="s">
        <v>122</v>
      </c>
      <c r="F244" s="21" t="s">
        <v>144</v>
      </c>
    </row>
    <row r="245" spans="1:6">
      <c r="A245" s="4" t="str">
        <f t="shared" si="3"/>
        <v>tRNA-Arg-CCG-1-1|30</v>
      </c>
      <c r="B245" s="4" t="s">
        <v>40</v>
      </c>
      <c r="C245" s="4" t="s">
        <v>147</v>
      </c>
      <c r="D245" s="4">
        <v>30</v>
      </c>
      <c r="E245" s="20" t="s">
        <v>109</v>
      </c>
      <c r="F245" s="21" t="s">
        <v>144</v>
      </c>
    </row>
    <row r="246" spans="1:6">
      <c r="A246" s="4" t="str">
        <f t="shared" si="3"/>
        <v>tRNA-Arg-CCG-1-1|31</v>
      </c>
      <c r="B246" s="4" t="s">
        <v>40</v>
      </c>
      <c r="C246" s="4" t="s">
        <v>148</v>
      </c>
      <c r="D246" s="4">
        <v>31</v>
      </c>
      <c r="E246" s="20" t="s">
        <v>114</v>
      </c>
      <c r="F246" s="21" t="s">
        <v>144</v>
      </c>
    </row>
    <row r="247" spans="1:6">
      <c r="A247" s="4" t="str">
        <f t="shared" si="3"/>
        <v>tRNA-Arg-CCG-1-1|32</v>
      </c>
      <c r="B247" s="4" t="s">
        <v>40</v>
      </c>
      <c r="C247" s="4" t="s">
        <v>149</v>
      </c>
      <c r="D247" s="4">
        <v>32</v>
      </c>
      <c r="E247" s="18" t="s">
        <v>114</v>
      </c>
      <c r="F247" s="19" t="s">
        <v>150</v>
      </c>
    </row>
    <row r="248" spans="1:6">
      <c r="A248" s="4" t="str">
        <f t="shared" si="3"/>
        <v>tRNA-Arg-CCG-1-1|33</v>
      </c>
      <c r="B248" s="4" t="s">
        <v>40</v>
      </c>
      <c r="C248" s="4" t="s">
        <v>151</v>
      </c>
      <c r="D248" s="4">
        <v>33</v>
      </c>
      <c r="E248" s="18" t="s">
        <v>116</v>
      </c>
      <c r="F248" s="19" t="s">
        <v>150</v>
      </c>
    </row>
    <row r="249" spans="1:6">
      <c r="A249" s="4" t="str">
        <f t="shared" si="3"/>
        <v>tRNA-Arg-CCG-1-1|34</v>
      </c>
      <c r="B249" s="4" t="s">
        <v>40</v>
      </c>
      <c r="C249" s="4" t="s">
        <v>152</v>
      </c>
      <c r="D249" s="4">
        <v>34</v>
      </c>
      <c r="E249" s="18" t="s">
        <v>114</v>
      </c>
      <c r="F249" s="19" t="s">
        <v>150</v>
      </c>
    </row>
    <row r="250" spans="1:6">
      <c r="A250" s="4" t="str">
        <f t="shared" si="3"/>
        <v>tRNA-Arg-CCG-1-1|35</v>
      </c>
      <c r="B250" s="4" t="s">
        <v>40</v>
      </c>
      <c r="C250" s="4" t="s">
        <v>153</v>
      </c>
      <c r="D250" s="4">
        <v>35</v>
      </c>
      <c r="E250" s="18" t="s">
        <v>114</v>
      </c>
      <c r="F250" s="19" t="s">
        <v>150</v>
      </c>
    </row>
    <row r="251" spans="1:6">
      <c r="A251" s="4" t="str">
        <f t="shared" si="3"/>
        <v>tRNA-Arg-CCG-1-1|36</v>
      </c>
      <c r="B251" s="4" t="s">
        <v>40</v>
      </c>
      <c r="C251" s="4" t="s">
        <v>154</v>
      </c>
      <c r="D251" s="4">
        <v>36</v>
      </c>
      <c r="E251" s="18" t="s">
        <v>109</v>
      </c>
      <c r="F251" s="19" t="s">
        <v>150</v>
      </c>
    </row>
    <row r="252" spans="1:6">
      <c r="A252" s="4" t="str">
        <f t="shared" si="3"/>
        <v>tRNA-Arg-CCG-1-1|37</v>
      </c>
      <c r="B252" s="4" t="s">
        <v>40</v>
      </c>
      <c r="C252" s="4" t="s">
        <v>155</v>
      </c>
      <c r="D252" s="4">
        <v>37</v>
      </c>
      <c r="E252" s="18" t="s">
        <v>109</v>
      </c>
      <c r="F252" s="19" t="s">
        <v>150</v>
      </c>
    </row>
    <row r="253" spans="1:6">
      <c r="A253" s="4" t="str">
        <f t="shared" si="3"/>
        <v>tRNA-Arg-CCG-1-1|38</v>
      </c>
      <c r="B253" s="4" t="s">
        <v>40</v>
      </c>
      <c r="C253" s="4" t="s">
        <v>156</v>
      </c>
      <c r="D253" s="4">
        <v>38</v>
      </c>
      <c r="E253" s="18" t="s">
        <v>122</v>
      </c>
      <c r="F253" s="19" t="s">
        <v>150</v>
      </c>
    </row>
    <row r="254" spans="1:6">
      <c r="A254" s="4" t="str">
        <f t="shared" si="3"/>
        <v>tRNA-Arg-CCG-1-1|39</v>
      </c>
      <c r="B254" s="4" t="s">
        <v>40</v>
      </c>
      <c r="C254" s="4" t="s">
        <v>157</v>
      </c>
      <c r="D254" s="4">
        <v>39</v>
      </c>
      <c r="E254" s="20" t="s">
        <v>109</v>
      </c>
      <c r="F254" s="21" t="s">
        <v>144</v>
      </c>
    </row>
    <row r="255" spans="1:6">
      <c r="A255" s="4" t="str">
        <f t="shared" si="3"/>
        <v>tRNA-Arg-CCG-1-1|40</v>
      </c>
      <c r="B255" s="4" t="s">
        <v>40</v>
      </c>
      <c r="C255" s="4" t="s">
        <v>158</v>
      </c>
      <c r="D255" s="4">
        <v>40</v>
      </c>
      <c r="E255" s="20" t="s">
        <v>114</v>
      </c>
      <c r="F255" s="21" t="s">
        <v>144</v>
      </c>
    </row>
    <row r="256" spans="1:6">
      <c r="A256" s="4" t="str">
        <f t="shared" si="3"/>
        <v>tRNA-Arg-CCG-1-1|41</v>
      </c>
      <c r="B256" s="4" t="s">
        <v>40</v>
      </c>
      <c r="C256" s="4" t="s">
        <v>159</v>
      </c>
      <c r="D256" s="4">
        <v>41</v>
      </c>
      <c r="E256" s="20" t="s">
        <v>116</v>
      </c>
      <c r="F256" s="21" t="s">
        <v>144</v>
      </c>
    </row>
    <row r="257" spans="1:6">
      <c r="A257" s="4" t="str">
        <f t="shared" si="3"/>
        <v>tRNA-Arg-CCG-1-1|42</v>
      </c>
      <c r="B257" s="4" t="s">
        <v>40</v>
      </c>
      <c r="C257" s="4" t="s">
        <v>160</v>
      </c>
      <c r="D257" s="4">
        <v>42</v>
      </c>
      <c r="E257" s="20" t="s">
        <v>114</v>
      </c>
      <c r="F257" s="21" t="s">
        <v>144</v>
      </c>
    </row>
    <row r="258" spans="1:6">
      <c r="A258" s="4" t="str">
        <f t="shared" ref="A258:A321" si="4">B258&amp;"|"&amp;C258</f>
        <v>tRNA-Arg-CCG-1-1|43</v>
      </c>
      <c r="B258" s="4" t="s">
        <v>40</v>
      </c>
      <c r="C258" s="4" t="s">
        <v>161</v>
      </c>
      <c r="D258" s="4">
        <v>43</v>
      </c>
      <c r="E258" s="20" t="s">
        <v>114</v>
      </c>
      <c r="F258" s="21" t="s">
        <v>144</v>
      </c>
    </row>
    <row r="259" spans="1:6">
      <c r="A259" s="4" t="str">
        <f t="shared" si="4"/>
        <v>tRNA-Arg-CCG-1-1|44</v>
      </c>
      <c r="B259" s="4" t="s">
        <v>40</v>
      </c>
      <c r="C259" s="4" t="s">
        <v>162</v>
      </c>
      <c r="D259" s="4">
        <v>44</v>
      </c>
      <c r="E259" s="18" t="s">
        <v>109</v>
      </c>
      <c r="F259" s="19" t="s">
        <v>163</v>
      </c>
    </row>
    <row r="260" spans="1:6">
      <c r="A260" s="4" t="str">
        <f t="shared" si="4"/>
        <v>tRNA-Arg-CCG-1-1|45</v>
      </c>
      <c r="B260" s="4" t="s">
        <v>40</v>
      </c>
      <c r="C260" s="4" t="s">
        <v>164</v>
      </c>
      <c r="D260" s="4">
        <v>45</v>
      </c>
      <c r="E260" s="18" t="s">
        <v>122</v>
      </c>
      <c r="F260" s="19" t="s">
        <v>163</v>
      </c>
    </row>
    <row r="261" spans="1:6">
      <c r="A261" s="4" t="str">
        <f t="shared" si="4"/>
        <v>tRNA-Arg-CCG-1-1|46</v>
      </c>
      <c r="B261" s="4" t="s">
        <v>40</v>
      </c>
      <c r="C261" s="4" t="s">
        <v>165</v>
      </c>
      <c r="D261" s="4">
        <v>46</v>
      </c>
      <c r="E261" s="18" t="s">
        <v>122</v>
      </c>
      <c r="F261" s="19" t="s">
        <v>163</v>
      </c>
    </row>
    <row r="262" spans="1:6">
      <c r="A262" s="4" t="str">
        <f t="shared" si="4"/>
        <v>tRNA-Arg-CCG-1-1|48</v>
      </c>
      <c r="B262" s="4" t="s">
        <v>40</v>
      </c>
      <c r="C262" s="4" t="s">
        <v>167</v>
      </c>
      <c r="D262" s="4">
        <v>47</v>
      </c>
      <c r="E262" s="18" t="s">
        <v>114</v>
      </c>
      <c r="F262" s="19" t="s">
        <v>163</v>
      </c>
    </row>
    <row r="263" spans="1:6">
      <c r="A263" s="4" t="str">
        <f t="shared" si="4"/>
        <v>tRNA-Arg-CCG-1-1|49</v>
      </c>
      <c r="B263" s="4" t="s">
        <v>40</v>
      </c>
      <c r="C263" s="4" t="s">
        <v>168</v>
      </c>
      <c r="D263" s="4">
        <v>48</v>
      </c>
      <c r="E263" s="22" t="s">
        <v>114</v>
      </c>
      <c r="F263" s="10" t="s">
        <v>169</v>
      </c>
    </row>
    <row r="264" spans="1:6">
      <c r="A264" s="4" t="str">
        <f t="shared" si="4"/>
        <v>tRNA-Arg-CCG-1-1|50</v>
      </c>
      <c r="B264" s="4" t="s">
        <v>40</v>
      </c>
      <c r="C264" s="4" t="s">
        <v>170</v>
      </c>
      <c r="D264" s="4">
        <v>49</v>
      </c>
      <c r="E264" s="22" t="s">
        <v>116</v>
      </c>
      <c r="F264" s="10" t="s">
        <v>169</v>
      </c>
    </row>
    <row r="265" spans="1:6">
      <c r="A265" s="4" t="str">
        <f t="shared" si="4"/>
        <v>tRNA-Arg-CCG-1-1|51</v>
      </c>
      <c r="B265" s="4" t="s">
        <v>40</v>
      </c>
      <c r="C265" s="4" t="s">
        <v>171</v>
      </c>
      <c r="D265" s="4">
        <v>50</v>
      </c>
      <c r="E265" s="22" t="s">
        <v>109</v>
      </c>
      <c r="F265" s="10" t="s">
        <v>169</v>
      </c>
    </row>
    <row r="266" spans="1:6">
      <c r="A266" s="4" t="str">
        <f t="shared" si="4"/>
        <v>tRNA-Arg-CCG-1-1|52</v>
      </c>
      <c r="B266" s="4" t="s">
        <v>40</v>
      </c>
      <c r="C266" s="4" t="s">
        <v>172</v>
      </c>
      <c r="D266" s="4">
        <v>51</v>
      </c>
      <c r="E266" s="22" t="s">
        <v>109</v>
      </c>
      <c r="F266" s="10" t="s">
        <v>169</v>
      </c>
    </row>
    <row r="267" spans="1:6">
      <c r="A267" s="4" t="str">
        <f t="shared" si="4"/>
        <v>tRNA-Arg-CCG-1-1|53</v>
      </c>
      <c r="B267" s="4" t="s">
        <v>40</v>
      </c>
      <c r="C267" s="4" t="s">
        <v>173</v>
      </c>
      <c r="D267" s="4">
        <v>52</v>
      </c>
      <c r="E267" s="22" t="s">
        <v>109</v>
      </c>
      <c r="F267" s="10" t="s">
        <v>169</v>
      </c>
    </row>
    <row r="268" spans="1:6">
      <c r="A268" s="4" t="str">
        <f t="shared" si="4"/>
        <v>tRNA-Arg-CCG-1-1|54</v>
      </c>
      <c r="B268" s="4" t="s">
        <v>40</v>
      </c>
      <c r="C268" s="4" t="s">
        <v>174</v>
      </c>
      <c r="D268" s="4">
        <v>53</v>
      </c>
      <c r="E268" s="18" t="s">
        <v>116</v>
      </c>
      <c r="F268" s="19" t="s">
        <v>175</v>
      </c>
    </row>
    <row r="269" spans="1:6">
      <c r="A269" s="4" t="str">
        <f t="shared" si="4"/>
        <v>tRNA-Arg-CCG-1-1|55</v>
      </c>
      <c r="B269" s="4" t="s">
        <v>40</v>
      </c>
      <c r="C269" s="4" t="s">
        <v>176</v>
      </c>
      <c r="D269" s="4">
        <v>54</v>
      </c>
      <c r="E269" s="18" t="s">
        <v>116</v>
      </c>
      <c r="F269" s="19" t="s">
        <v>175</v>
      </c>
    </row>
    <row r="270" spans="1:6">
      <c r="A270" s="4" t="str">
        <f t="shared" si="4"/>
        <v>tRNA-Arg-CCG-1-1|56</v>
      </c>
      <c r="B270" s="4" t="s">
        <v>40</v>
      </c>
      <c r="C270" s="4" t="s">
        <v>177</v>
      </c>
      <c r="D270" s="4">
        <v>55</v>
      </c>
      <c r="E270" s="18" t="s">
        <v>114</v>
      </c>
      <c r="F270" s="19" t="s">
        <v>175</v>
      </c>
    </row>
    <row r="271" spans="1:6">
      <c r="A271" s="4" t="str">
        <f t="shared" si="4"/>
        <v>tRNA-Arg-CCG-1-1|57</v>
      </c>
      <c r="B271" s="4" t="s">
        <v>40</v>
      </c>
      <c r="C271" s="4" t="s">
        <v>178</v>
      </c>
      <c r="D271" s="4">
        <v>56</v>
      </c>
      <c r="E271" s="18" t="s">
        <v>109</v>
      </c>
      <c r="F271" s="19" t="s">
        <v>175</v>
      </c>
    </row>
    <row r="272" spans="1:6">
      <c r="A272" s="4" t="str">
        <f t="shared" si="4"/>
        <v>tRNA-Arg-CCG-1-1|58</v>
      </c>
      <c r="B272" s="4" t="s">
        <v>40</v>
      </c>
      <c r="C272" s="4" t="s">
        <v>179</v>
      </c>
      <c r="D272" s="4">
        <v>57</v>
      </c>
      <c r="E272" s="18" t="s">
        <v>122</v>
      </c>
      <c r="F272" s="19" t="s">
        <v>175</v>
      </c>
    </row>
    <row r="273" spans="1:6">
      <c r="A273" s="4" t="str">
        <f t="shared" si="4"/>
        <v>tRNA-Arg-CCG-1-1|59</v>
      </c>
      <c r="B273" s="4" t="s">
        <v>40</v>
      </c>
      <c r="C273" s="4" t="s">
        <v>180</v>
      </c>
      <c r="D273" s="4">
        <v>58</v>
      </c>
      <c r="E273" s="18" t="s">
        <v>116</v>
      </c>
      <c r="F273" s="19" t="s">
        <v>175</v>
      </c>
    </row>
    <row r="274" spans="1:6">
      <c r="A274" s="4" t="str">
        <f t="shared" si="4"/>
        <v>tRNA-Arg-CCG-1-1|60</v>
      </c>
      <c r="B274" s="4" t="s">
        <v>40</v>
      </c>
      <c r="C274" s="4" t="s">
        <v>181</v>
      </c>
      <c r="D274" s="4">
        <v>59</v>
      </c>
      <c r="E274" s="18" t="s">
        <v>116</v>
      </c>
      <c r="F274" s="19" t="s">
        <v>175</v>
      </c>
    </row>
    <row r="275" spans="1:6">
      <c r="A275" s="4" t="str">
        <f t="shared" si="4"/>
        <v>tRNA-Arg-CCG-1-1|61</v>
      </c>
      <c r="B275" s="4" t="s">
        <v>40</v>
      </c>
      <c r="C275" s="4" t="s">
        <v>182</v>
      </c>
      <c r="D275" s="4">
        <v>60</v>
      </c>
      <c r="E275" s="22" t="s">
        <v>114</v>
      </c>
      <c r="F275" s="10" t="s">
        <v>169</v>
      </c>
    </row>
    <row r="276" spans="1:6">
      <c r="A276" s="4" t="str">
        <f t="shared" si="4"/>
        <v>tRNA-Arg-CCG-1-1|62</v>
      </c>
      <c r="B276" s="4" t="s">
        <v>40</v>
      </c>
      <c r="C276" s="4" t="s">
        <v>183</v>
      </c>
      <c r="D276" s="4">
        <v>61</v>
      </c>
      <c r="E276" s="22" t="s">
        <v>114</v>
      </c>
      <c r="F276" s="10" t="s">
        <v>169</v>
      </c>
    </row>
    <row r="277" spans="1:6">
      <c r="A277" s="4" t="str">
        <f t="shared" si="4"/>
        <v>tRNA-Arg-CCG-1-1|63</v>
      </c>
      <c r="B277" s="4" t="s">
        <v>40</v>
      </c>
      <c r="C277" s="4" t="s">
        <v>184</v>
      </c>
      <c r="D277" s="4">
        <v>62</v>
      </c>
      <c r="E277" s="22" t="s">
        <v>114</v>
      </c>
      <c r="F277" s="10" t="s">
        <v>169</v>
      </c>
    </row>
    <row r="278" spans="1:6">
      <c r="A278" s="4" t="str">
        <f t="shared" si="4"/>
        <v>tRNA-Arg-CCG-1-1|64</v>
      </c>
      <c r="B278" s="4" t="s">
        <v>40</v>
      </c>
      <c r="C278" s="4" t="s">
        <v>185</v>
      </c>
      <c r="D278" s="4">
        <v>63</v>
      </c>
      <c r="E278" s="22" t="s">
        <v>122</v>
      </c>
      <c r="F278" s="10" t="s">
        <v>169</v>
      </c>
    </row>
    <row r="279" spans="1:6">
      <c r="A279" s="4" t="str">
        <f t="shared" si="4"/>
        <v>tRNA-Arg-CCG-1-1|65</v>
      </c>
      <c r="B279" s="4" t="s">
        <v>40</v>
      </c>
      <c r="C279" s="4" t="s">
        <v>186</v>
      </c>
      <c r="D279" s="4">
        <v>64</v>
      </c>
      <c r="E279" s="22" t="s">
        <v>109</v>
      </c>
      <c r="F279" s="10" t="s">
        <v>169</v>
      </c>
    </row>
    <row r="280" spans="1:6">
      <c r="A280" s="4" t="str">
        <f t="shared" si="4"/>
        <v>tRNA-Arg-CCG-1-1|66</v>
      </c>
      <c r="B280" s="4" t="s">
        <v>40</v>
      </c>
      <c r="C280" s="4" t="s">
        <v>187</v>
      </c>
      <c r="D280" s="4">
        <v>65</v>
      </c>
      <c r="E280" s="16" t="s">
        <v>114</v>
      </c>
      <c r="F280" s="17" t="s">
        <v>110</v>
      </c>
    </row>
    <row r="281" spans="1:6">
      <c r="A281" s="4" t="str">
        <f t="shared" si="4"/>
        <v>tRNA-Arg-CCG-1-1|67</v>
      </c>
      <c r="B281" s="4" t="s">
        <v>40</v>
      </c>
      <c r="C281" s="4" t="s">
        <v>188</v>
      </c>
      <c r="D281" s="4">
        <v>66</v>
      </c>
      <c r="E281" s="16" t="s">
        <v>122</v>
      </c>
      <c r="F281" s="17" t="s">
        <v>110</v>
      </c>
    </row>
    <row r="282" spans="1:6">
      <c r="A282" s="4" t="str">
        <f t="shared" si="4"/>
        <v>tRNA-Arg-CCG-1-1|68</v>
      </c>
      <c r="B282" s="4" t="s">
        <v>40</v>
      </c>
      <c r="C282" s="4" t="s">
        <v>189</v>
      </c>
      <c r="D282" s="4">
        <v>67</v>
      </c>
      <c r="E282" s="16" t="s">
        <v>109</v>
      </c>
      <c r="F282" s="17" t="s">
        <v>110</v>
      </c>
    </row>
    <row r="283" spans="1:6">
      <c r="A283" s="4" t="str">
        <f t="shared" si="4"/>
        <v>tRNA-Arg-CCG-1-1|69</v>
      </c>
      <c r="B283" s="4" t="s">
        <v>40</v>
      </c>
      <c r="C283" s="4" t="s">
        <v>190</v>
      </c>
      <c r="D283" s="4">
        <v>68</v>
      </c>
      <c r="E283" s="16" t="s">
        <v>122</v>
      </c>
      <c r="F283" s="17" t="s">
        <v>110</v>
      </c>
    </row>
    <row r="284" spans="1:6">
      <c r="A284" s="4" t="str">
        <f t="shared" si="4"/>
        <v>tRNA-Arg-CCG-1-1|70</v>
      </c>
      <c r="B284" s="4" t="s">
        <v>40</v>
      </c>
      <c r="C284" s="4" t="s">
        <v>191</v>
      </c>
      <c r="D284" s="4">
        <v>69</v>
      </c>
      <c r="E284" s="16" t="s">
        <v>114</v>
      </c>
      <c r="F284" s="17" t="s">
        <v>110</v>
      </c>
    </row>
    <row r="285" spans="1:6">
      <c r="A285" s="4" t="str">
        <f t="shared" si="4"/>
        <v>tRNA-Arg-CCG-1-1|71</v>
      </c>
      <c r="B285" s="4" t="s">
        <v>40</v>
      </c>
      <c r="C285" s="4" t="s">
        <v>192</v>
      </c>
      <c r="D285" s="4">
        <v>70</v>
      </c>
      <c r="E285" s="16" t="s">
        <v>114</v>
      </c>
      <c r="F285" s="17" t="s">
        <v>110</v>
      </c>
    </row>
    <row r="286" spans="1:6">
      <c r="A286" s="4" t="str">
        <f t="shared" si="4"/>
        <v>tRNA-Arg-CCG-1-1|72</v>
      </c>
      <c r="B286" s="4" t="s">
        <v>40</v>
      </c>
      <c r="C286" s="4" t="s">
        <v>193</v>
      </c>
      <c r="D286" s="4">
        <v>71</v>
      </c>
      <c r="E286" s="16" t="s">
        <v>116</v>
      </c>
      <c r="F286" s="17" t="s">
        <v>110</v>
      </c>
    </row>
    <row r="287" spans="1:6">
      <c r="A287" s="4" t="str">
        <f t="shared" si="4"/>
        <v>tRNA-Arg-CCT-1-1|1</v>
      </c>
      <c r="B287" s="4" t="s">
        <v>41</v>
      </c>
      <c r="C287" s="4" t="s">
        <v>108</v>
      </c>
      <c r="D287" s="4">
        <v>1</v>
      </c>
      <c r="E287" s="16" t="s">
        <v>109</v>
      </c>
      <c r="F287" s="17" t="s">
        <v>110</v>
      </c>
    </row>
    <row r="288" spans="1:6">
      <c r="A288" s="4" t="str">
        <f t="shared" si="4"/>
        <v>tRNA-Arg-CCT-1-1|2</v>
      </c>
      <c r="B288" s="4" t="s">
        <v>41</v>
      </c>
      <c r="C288" s="4" t="s">
        <v>111</v>
      </c>
      <c r="D288" s="4">
        <v>2</v>
      </c>
      <c r="E288" s="16" t="s">
        <v>109</v>
      </c>
      <c r="F288" s="17" t="s">
        <v>110</v>
      </c>
    </row>
    <row r="289" spans="1:6">
      <c r="A289" s="4" t="str">
        <f t="shared" si="4"/>
        <v>tRNA-Arg-CCT-1-1|3</v>
      </c>
      <c r="B289" s="4" t="s">
        <v>41</v>
      </c>
      <c r="C289" s="4" t="s">
        <v>112</v>
      </c>
      <c r="D289" s="4">
        <v>3</v>
      </c>
      <c r="E289" s="16" t="s">
        <v>109</v>
      </c>
      <c r="F289" s="17" t="s">
        <v>110</v>
      </c>
    </row>
    <row r="290" spans="1:6">
      <c r="A290" s="4" t="str">
        <f t="shared" si="4"/>
        <v>tRNA-Arg-CCT-1-1|4</v>
      </c>
      <c r="B290" s="4" t="s">
        <v>41</v>
      </c>
      <c r="C290" s="4" t="s">
        <v>113</v>
      </c>
      <c r="D290" s="4">
        <v>4</v>
      </c>
      <c r="E290" s="16" t="s">
        <v>114</v>
      </c>
      <c r="F290" s="17" t="s">
        <v>110</v>
      </c>
    </row>
    <row r="291" spans="1:6">
      <c r="A291" s="4" t="str">
        <f t="shared" si="4"/>
        <v>tRNA-Arg-CCT-1-1|5</v>
      </c>
      <c r="B291" s="4" t="s">
        <v>41</v>
      </c>
      <c r="C291" s="4" t="s">
        <v>115</v>
      </c>
      <c r="D291" s="4">
        <v>5</v>
      </c>
      <c r="E291" s="16" t="s">
        <v>109</v>
      </c>
      <c r="F291" s="17" t="s">
        <v>110</v>
      </c>
    </row>
    <row r="292" spans="1:6">
      <c r="A292" s="4" t="str">
        <f t="shared" si="4"/>
        <v>tRNA-Arg-CCT-1-1|6</v>
      </c>
      <c r="B292" s="4" t="s">
        <v>41</v>
      </c>
      <c r="C292" s="4" t="s">
        <v>117</v>
      </c>
      <c r="D292" s="4">
        <v>6</v>
      </c>
      <c r="E292" s="16" t="s">
        <v>114</v>
      </c>
      <c r="F292" s="17" t="s">
        <v>110</v>
      </c>
    </row>
    <row r="293" spans="1:6">
      <c r="A293" s="4" t="str">
        <f t="shared" si="4"/>
        <v>tRNA-Arg-CCT-1-1|7</v>
      </c>
      <c r="B293" s="4" t="s">
        <v>41</v>
      </c>
      <c r="C293" s="4" t="s">
        <v>118</v>
      </c>
      <c r="D293" s="4">
        <v>7</v>
      </c>
      <c r="E293" s="16" t="s">
        <v>109</v>
      </c>
      <c r="F293" s="17" t="s">
        <v>110</v>
      </c>
    </row>
    <row r="294" spans="1:6">
      <c r="A294" s="4" t="str">
        <f t="shared" si="4"/>
        <v>tRNA-Arg-CCT-1-1|8</v>
      </c>
      <c r="B294" s="4" t="s">
        <v>41</v>
      </c>
      <c r="C294" s="4" t="s">
        <v>119</v>
      </c>
      <c r="D294" s="4">
        <v>8</v>
      </c>
      <c r="E294" s="3" t="s">
        <v>116</v>
      </c>
      <c r="F294" s="4" t="s">
        <v>120</v>
      </c>
    </row>
    <row r="295" spans="1:6">
      <c r="A295" s="4" t="str">
        <f t="shared" si="4"/>
        <v>tRNA-Arg-CCT-1-1|9</v>
      </c>
      <c r="B295" s="4" t="s">
        <v>41</v>
      </c>
      <c r="C295" s="4" t="s">
        <v>121</v>
      </c>
      <c r="D295" s="4">
        <v>9</v>
      </c>
      <c r="E295" s="3" t="s">
        <v>109</v>
      </c>
      <c r="F295" s="4" t="s">
        <v>123</v>
      </c>
    </row>
    <row r="296" spans="1:6">
      <c r="A296" s="4" t="str">
        <f t="shared" si="4"/>
        <v>tRNA-Arg-CCT-1-1|10</v>
      </c>
      <c r="B296" s="4" t="s">
        <v>41</v>
      </c>
      <c r="C296" s="4" t="s">
        <v>124</v>
      </c>
      <c r="D296" s="4">
        <v>10</v>
      </c>
      <c r="E296" s="8" t="s">
        <v>109</v>
      </c>
      <c r="F296" s="7" t="s">
        <v>125</v>
      </c>
    </row>
    <row r="297" spans="1:6">
      <c r="A297" s="4" t="str">
        <f t="shared" si="4"/>
        <v>tRNA-Arg-CCT-1-1|11</v>
      </c>
      <c r="B297" s="4" t="s">
        <v>41</v>
      </c>
      <c r="C297" s="4" t="s">
        <v>126</v>
      </c>
      <c r="D297" s="4">
        <v>11</v>
      </c>
      <c r="E297" s="8" t="s">
        <v>114</v>
      </c>
      <c r="F297" s="7" t="s">
        <v>125</v>
      </c>
    </row>
    <row r="298" spans="1:6">
      <c r="A298" s="4" t="str">
        <f t="shared" si="4"/>
        <v>tRNA-Arg-CCT-1-1|12</v>
      </c>
      <c r="B298" s="4" t="s">
        <v>41</v>
      </c>
      <c r="C298" s="4" t="s">
        <v>127</v>
      </c>
      <c r="D298" s="4">
        <v>12</v>
      </c>
      <c r="E298" s="8" t="s">
        <v>114</v>
      </c>
      <c r="F298" s="7" t="s">
        <v>125</v>
      </c>
    </row>
    <row r="299" spans="1:6">
      <c r="A299" s="4" t="str">
        <f t="shared" si="4"/>
        <v>tRNA-Arg-CCT-1-1|13</v>
      </c>
      <c r="B299" s="4" t="s">
        <v>41</v>
      </c>
      <c r="C299" s="4" t="s">
        <v>128</v>
      </c>
      <c r="D299" s="4">
        <v>13</v>
      </c>
      <c r="E299" s="8" t="s">
        <v>116</v>
      </c>
      <c r="F299" s="7" t="s">
        <v>125</v>
      </c>
    </row>
    <row r="300" spans="1:6">
      <c r="A300" s="4" t="str">
        <f t="shared" si="4"/>
        <v>tRNA-Arg-CCT-1-1|14</v>
      </c>
      <c r="B300" s="4" t="s">
        <v>41</v>
      </c>
      <c r="C300" s="4" t="s">
        <v>129</v>
      </c>
      <c r="D300" s="4">
        <v>14</v>
      </c>
      <c r="E300" s="18" t="s">
        <v>122</v>
      </c>
      <c r="F300" s="19" t="s">
        <v>130</v>
      </c>
    </row>
    <row r="301" spans="1:6">
      <c r="A301" s="4" t="str">
        <f t="shared" si="4"/>
        <v>tRNA-Arg-CCT-1-1|15</v>
      </c>
      <c r="B301" s="4" t="s">
        <v>41</v>
      </c>
      <c r="C301" s="4" t="s">
        <v>131</v>
      </c>
      <c r="D301" s="4">
        <v>15</v>
      </c>
      <c r="E301" s="18" t="s">
        <v>109</v>
      </c>
      <c r="F301" s="19" t="s">
        <v>130</v>
      </c>
    </row>
    <row r="302" spans="1:6">
      <c r="A302" s="4" t="str">
        <f t="shared" si="4"/>
        <v>tRNA-Arg-CCT-1-1|16</v>
      </c>
      <c r="B302" s="4" t="s">
        <v>41</v>
      </c>
      <c r="C302" s="4" t="s">
        <v>194</v>
      </c>
      <c r="D302" s="4">
        <v>16</v>
      </c>
      <c r="E302" s="18" t="s">
        <v>114</v>
      </c>
      <c r="F302" s="19" t="s">
        <v>130</v>
      </c>
    </row>
    <row r="303" spans="1:6">
      <c r="A303" s="4" t="str">
        <f t="shared" si="4"/>
        <v>tRNA-Arg-CCT-1-1|17</v>
      </c>
      <c r="B303" s="4" t="s">
        <v>41</v>
      </c>
      <c r="C303" s="4" t="s">
        <v>195</v>
      </c>
      <c r="D303" s="4">
        <v>17</v>
      </c>
      <c r="E303" s="18" t="s">
        <v>114</v>
      </c>
      <c r="F303" s="19" t="s">
        <v>130</v>
      </c>
    </row>
    <row r="304" spans="1:6">
      <c r="A304" s="4" t="str">
        <f t="shared" si="4"/>
        <v>tRNA-Arg-CCT-1-1|17a</v>
      </c>
      <c r="B304" s="4" t="s">
        <v>41</v>
      </c>
      <c r="C304" s="4" t="s">
        <v>196</v>
      </c>
      <c r="D304" s="4">
        <v>18</v>
      </c>
      <c r="E304" s="18" t="s">
        <v>122</v>
      </c>
      <c r="F304" s="19" t="s">
        <v>130</v>
      </c>
    </row>
    <row r="305" spans="1:6">
      <c r="A305" s="4" t="str">
        <f t="shared" si="4"/>
        <v>tRNA-Arg-CCT-1-1|18</v>
      </c>
      <c r="B305" s="4" t="s">
        <v>41</v>
      </c>
      <c r="C305" s="4" t="s">
        <v>132</v>
      </c>
      <c r="D305" s="4">
        <v>19</v>
      </c>
      <c r="E305" s="18" t="s">
        <v>109</v>
      </c>
      <c r="F305" s="19" t="s">
        <v>130</v>
      </c>
    </row>
    <row r="306" spans="1:6">
      <c r="A306" s="4" t="str">
        <f t="shared" si="4"/>
        <v>tRNA-Arg-CCT-1-1|19</v>
      </c>
      <c r="B306" s="4" t="s">
        <v>41</v>
      </c>
      <c r="C306" s="4" t="s">
        <v>133</v>
      </c>
      <c r="D306" s="4">
        <v>20</v>
      </c>
      <c r="E306" s="18" t="s">
        <v>109</v>
      </c>
      <c r="F306" s="19" t="s">
        <v>130</v>
      </c>
    </row>
    <row r="307" spans="1:6">
      <c r="A307" s="4" t="str">
        <f t="shared" si="4"/>
        <v>tRNA-Arg-CCT-1-1|20</v>
      </c>
      <c r="B307" s="4" t="s">
        <v>41</v>
      </c>
      <c r="C307" s="4" t="s">
        <v>134</v>
      </c>
      <c r="D307" s="4">
        <v>21</v>
      </c>
      <c r="E307" s="18" t="s">
        <v>122</v>
      </c>
      <c r="F307" s="19" t="s">
        <v>130</v>
      </c>
    </row>
    <row r="308" spans="1:6">
      <c r="A308" s="4" t="str">
        <f t="shared" si="4"/>
        <v>tRNA-Arg-CCT-1-1|20a</v>
      </c>
      <c r="B308" s="4" t="s">
        <v>41</v>
      </c>
      <c r="C308" s="4" t="s">
        <v>135</v>
      </c>
      <c r="D308" s="4">
        <v>22</v>
      </c>
      <c r="E308" s="18" t="s">
        <v>116</v>
      </c>
      <c r="F308" s="19" t="s">
        <v>130</v>
      </c>
    </row>
    <row r="309" spans="1:6">
      <c r="A309" s="4" t="str">
        <f t="shared" si="4"/>
        <v>tRNA-Arg-CCT-1-1|21</v>
      </c>
      <c r="B309" s="4" t="s">
        <v>41</v>
      </c>
      <c r="C309" s="4" t="s">
        <v>136</v>
      </c>
      <c r="D309" s="4">
        <v>23</v>
      </c>
      <c r="E309" s="18" t="s">
        <v>122</v>
      </c>
      <c r="F309" s="19" t="s">
        <v>130</v>
      </c>
    </row>
    <row r="310" spans="1:6">
      <c r="A310" s="4" t="str">
        <f t="shared" si="4"/>
        <v>tRNA-Arg-CCT-1-1|22</v>
      </c>
      <c r="B310" s="4" t="s">
        <v>41</v>
      </c>
      <c r="C310" s="4" t="s">
        <v>137</v>
      </c>
      <c r="D310" s="4">
        <v>24</v>
      </c>
      <c r="E310" s="8" t="s">
        <v>116</v>
      </c>
      <c r="F310" s="7" t="s">
        <v>125</v>
      </c>
    </row>
    <row r="311" spans="1:6">
      <c r="A311" s="4" t="str">
        <f t="shared" si="4"/>
        <v>tRNA-Arg-CCT-1-1|23</v>
      </c>
      <c r="B311" s="4" t="s">
        <v>41</v>
      </c>
      <c r="C311" s="4" t="s">
        <v>138</v>
      </c>
      <c r="D311" s="4">
        <v>25</v>
      </c>
      <c r="E311" s="8" t="s">
        <v>109</v>
      </c>
      <c r="F311" s="7" t="s">
        <v>125</v>
      </c>
    </row>
    <row r="312" spans="1:6">
      <c r="A312" s="4" t="str">
        <f t="shared" si="4"/>
        <v>tRNA-Arg-CCT-1-1|24</v>
      </c>
      <c r="B312" s="4" t="s">
        <v>41</v>
      </c>
      <c r="C312" s="4" t="s">
        <v>139</v>
      </c>
      <c r="D312" s="4">
        <v>26</v>
      </c>
      <c r="E312" s="8" t="s">
        <v>109</v>
      </c>
      <c r="F312" s="7" t="s">
        <v>125</v>
      </c>
    </row>
    <row r="313" spans="1:6">
      <c r="A313" s="4" t="str">
        <f t="shared" si="4"/>
        <v>tRNA-Arg-CCT-1-1|25</v>
      </c>
      <c r="B313" s="4" t="s">
        <v>41</v>
      </c>
      <c r="C313" s="4" t="s">
        <v>140</v>
      </c>
      <c r="D313" s="4">
        <v>27</v>
      </c>
      <c r="E313" s="8" t="s">
        <v>114</v>
      </c>
      <c r="F313" s="7" t="s">
        <v>125</v>
      </c>
    </row>
    <row r="314" spans="1:6">
      <c r="A314" s="4" t="str">
        <f t="shared" si="4"/>
        <v>tRNA-Arg-CCT-1-1|26</v>
      </c>
      <c r="B314" s="4" t="s">
        <v>41</v>
      </c>
      <c r="C314" s="4" t="s">
        <v>141</v>
      </c>
      <c r="D314" s="4">
        <v>28</v>
      </c>
      <c r="E314" s="3" t="s">
        <v>109</v>
      </c>
      <c r="F314" s="4" t="s">
        <v>142</v>
      </c>
    </row>
    <row r="315" spans="1:6">
      <c r="A315" s="4" t="str">
        <f t="shared" si="4"/>
        <v>tRNA-Arg-CCT-1-1|27</v>
      </c>
      <c r="B315" s="4" t="s">
        <v>41</v>
      </c>
      <c r="C315" s="4" t="s">
        <v>143</v>
      </c>
      <c r="D315" s="4">
        <v>29</v>
      </c>
      <c r="E315" s="20" t="s">
        <v>109</v>
      </c>
      <c r="F315" s="21" t="s">
        <v>144</v>
      </c>
    </row>
    <row r="316" spans="1:6">
      <c r="A316" s="4" t="str">
        <f t="shared" si="4"/>
        <v>tRNA-Arg-CCT-1-1|28</v>
      </c>
      <c r="B316" s="4" t="s">
        <v>41</v>
      </c>
      <c r="C316" s="4" t="s">
        <v>145</v>
      </c>
      <c r="D316" s="4">
        <v>30</v>
      </c>
      <c r="E316" s="20" t="s">
        <v>114</v>
      </c>
      <c r="F316" s="21" t="s">
        <v>144</v>
      </c>
    </row>
    <row r="317" spans="1:6">
      <c r="A317" s="4" t="str">
        <f t="shared" si="4"/>
        <v>tRNA-Arg-CCT-1-1|29</v>
      </c>
      <c r="B317" s="4" t="s">
        <v>41</v>
      </c>
      <c r="C317" s="4" t="s">
        <v>146</v>
      </c>
      <c r="D317" s="4">
        <v>31</v>
      </c>
      <c r="E317" s="20" t="s">
        <v>122</v>
      </c>
      <c r="F317" s="21" t="s">
        <v>144</v>
      </c>
    </row>
    <row r="318" spans="1:6">
      <c r="A318" s="4" t="str">
        <f t="shared" si="4"/>
        <v>tRNA-Arg-CCT-1-1|30</v>
      </c>
      <c r="B318" s="4" t="s">
        <v>41</v>
      </c>
      <c r="C318" s="4" t="s">
        <v>147</v>
      </c>
      <c r="D318" s="4">
        <v>32</v>
      </c>
      <c r="E318" s="20" t="s">
        <v>109</v>
      </c>
      <c r="F318" s="21" t="s">
        <v>144</v>
      </c>
    </row>
    <row r="319" spans="1:6">
      <c r="A319" s="4" t="str">
        <f t="shared" si="4"/>
        <v>tRNA-Arg-CCT-1-1|31</v>
      </c>
      <c r="B319" s="4" t="s">
        <v>41</v>
      </c>
      <c r="C319" s="4" t="s">
        <v>148</v>
      </c>
      <c r="D319" s="4">
        <v>33</v>
      </c>
      <c r="E319" s="20" t="s">
        <v>114</v>
      </c>
      <c r="F319" s="21" t="s">
        <v>144</v>
      </c>
    </row>
    <row r="320" spans="1:6">
      <c r="A320" s="4" t="str">
        <f t="shared" si="4"/>
        <v>tRNA-Arg-CCT-1-1|32</v>
      </c>
      <c r="B320" s="4" t="s">
        <v>41</v>
      </c>
      <c r="C320" s="4" t="s">
        <v>149</v>
      </c>
      <c r="D320" s="4">
        <v>34</v>
      </c>
      <c r="E320" s="18" t="s">
        <v>114</v>
      </c>
      <c r="F320" s="19" t="s">
        <v>150</v>
      </c>
    </row>
    <row r="321" spans="1:6">
      <c r="A321" s="4" t="str">
        <f t="shared" si="4"/>
        <v>tRNA-Arg-CCT-1-1|33</v>
      </c>
      <c r="B321" s="4" t="s">
        <v>41</v>
      </c>
      <c r="C321" s="4" t="s">
        <v>151</v>
      </c>
      <c r="D321" s="4">
        <v>35</v>
      </c>
      <c r="E321" s="18" t="s">
        <v>116</v>
      </c>
      <c r="F321" s="19" t="s">
        <v>150</v>
      </c>
    </row>
    <row r="322" spans="1:6">
      <c r="A322" s="4" t="str">
        <f t="shared" ref="A322:A385" si="5">B322&amp;"|"&amp;C322</f>
        <v>tRNA-Arg-CCT-1-1|34</v>
      </c>
      <c r="B322" s="4" t="s">
        <v>41</v>
      </c>
      <c r="C322" s="4" t="s">
        <v>152</v>
      </c>
      <c r="D322" s="4">
        <v>36</v>
      </c>
      <c r="E322" s="18" t="s">
        <v>114</v>
      </c>
      <c r="F322" s="19" t="s">
        <v>150</v>
      </c>
    </row>
    <row r="323" spans="1:6">
      <c r="A323" s="4" t="str">
        <f t="shared" si="5"/>
        <v>tRNA-Arg-CCT-1-1|35</v>
      </c>
      <c r="B323" s="4" t="s">
        <v>41</v>
      </c>
      <c r="C323" s="4" t="s">
        <v>153</v>
      </c>
      <c r="D323" s="4">
        <v>37</v>
      </c>
      <c r="E323" s="18" t="s">
        <v>114</v>
      </c>
      <c r="F323" s="19" t="s">
        <v>150</v>
      </c>
    </row>
    <row r="324" spans="1:6">
      <c r="A324" s="4" t="str">
        <f t="shared" si="5"/>
        <v>tRNA-Arg-CCT-1-1|36</v>
      </c>
      <c r="B324" s="4" t="s">
        <v>41</v>
      </c>
      <c r="C324" s="4" t="s">
        <v>154</v>
      </c>
      <c r="D324" s="4">
        <v>38</v>
      </c>
      <c r="E324" s="18" t="s">
        <v>116</v>
      </c>
      <c r="F324" s="19" t="s">
        <v>150</v>
      </c>
    </row>
    <row r="325" spans="1:6">
      <c r="A325" s="4" t="str">
        <f t="shared" si="5"/>
        <v>tRNA-Arg-CCT-1-1|37</v>
      </c>
      <c r="B325" s="4" t="s">
        <v>41</v>
      </c>
      <c r="C325" s="4" t="s">
        <v>155</v>
      </c>
      <c r="D325" s="4">
        <v>39</v>
      </c>
      <c r="E325" s="18" t="s">
        <v>122</v>
      </c>
      <c r="F325" s="19" t="s">
        <v>150</v>
      </c>
    </row>
    <row r="326" spans="1:6">
      <c r="A326" s="4" t="str">
        <f t="shared" si="5"/>
        <v>tRNA-Arg-CCT-1-1|38</v>
      </c>
      <c r="B326" s="4" t="s">
        <v>41</v>
      </c>
      <c r="C326" s="4" t="s">
        <v>156</v>
      </c>
      <c r="D326" s="4">
        <v>40</v>
      </c>
      <c r="E326" s="18" t="s">
        <v>122</v>
      </c>
      <c r="F326" s="19" t="s">
        <v>150</v>
      </c>
    </row>
    <row r="327" spans="1:6">
      <c r="A327" s="4" t="str">
        <f t="shared" si="5"/>
        <v>tRNA-Arg-CCT-1-1|39</v>
      </c>
      <c r="B327" s="4" t="s">
        <v>41</v>
      </c>
      <c r="C327" s="4" t="s">
        <v>157</v>
      </c>
      <c r="D327" s="4">
        <v>41</v>
      </c>
      <c r="E327" s="20" t="s">
        <v>109</v>
      </c>
      <c r="F327" s="21" t="s">
        <v>144</v>
      </c>
    </row>
    <row r="328" spans="1:6">
      <c r="A328" s="4" t="str">
        <f t="shared" si="5"/>
        <v>tRNA-Arg-CCT-1-1|40</v>
      </c>
      <c r="B328" s="4" t="s">
        <v>41</v>
      </c>
      <c r="C328" s="4" t="s">
        <v>158</v>
      </c>
      <c r="D328" s="4">
        <v>42</v>
      </c>
      <c r="E328" s="20" t="s">
        <v>114</v>
      </c>
      <c r="F328" s="21" t="s">
        <v>144</v>
      </c>
    </row>
    <row r="329" spans="1:6">
      <c r="A329" s="4" t="str">
        <f t="shared" si="5"/>
        <v>tRNA-Arg-CCT-1-1|41</v>
      </c>
      <c r="B329" s="4" t="s">
        <v>41</v>
      </c>
      <c r="C329" s="4" t="s">
        <v>159</v>
      </c>
      <c r="D329" s="4">
        <v>43</v>
      </c>
      <c r="E329" s="20" t="s">
        <v>116</v>
      </c>
      <c r="F329" s="21" t="s">
        <v>144</v>
      </c>
    </row>
    <row r="330" spans="1:6">
      <c r="A330" s="4" t="str">
        <f t="shared" si="5"/>
        <v>tRNA-Arg-CCT-1-1|42</v>
      </c>
      <c r="B330" s="4" t="s">
        <v>41</v>
      </c>
      <c r="C330" s="4" t="s">
        <v>160</v>
      </c>
      <c r="D330" s="4">
        <v>44</v>
      </c>
      <c r="E330" s="20" t="s">
        <v>109</v>
      </c>
      <c r="F330" s="21" t="s">
        <v>144</v>
      </c>
    </row>
    <row r="331" spans="1:6">
      <c r="A331" s="4" t="str">
        <f t="shared" si="5"/>
        <v>tRNA-Arg-CCT-1-1|43</v>
      </c>
      <c r="B331" s="4" t="s">
        <v>41</v>
      </c>
      <c r="C331" s="4" t="s">
        <v>161</v>
      </c>
      <c r="D331" s="4">
        <v>45</v>
      </c>
      <c r="E331" s="20" t="s">
        <v>116</v>
      </c>
      <c r="F331" s="21" t="s">
        <v>144</v>
      </c>
    </row>
    <row r="332" spans="1:6">
      <c r="A332" s="4" t="str">
        <f t="shared" si="5"/>
        <v>tRNA-Arg-CCT-1-1|44</v>
      </c>
      <c r="B332" s="4" t="s">
        <v>41</v>
      </c>
      <c r="C332" s="4" t="s">
        <v>162</v>
      </c>
      <c r="D332" s="4">
        <v>46</v>
      </c>
      <c r="E332" s="18" t="s">
        <v>122</v>
      </c>
      <c r="F332" s="19" t="s">
        <v>163</v>
      </c>
    </row>
    <row r="333" spans="1:6">
      <c r="A333" s="4" t="str">
        <f t="shared" si="5"/>
        <v>tRNA-Arg-CCT-1-1|45</v>
      </c>
      <c r="B333" s="4" t="s">
        <v>41</v>
      </c>
      <c r="C333" s="4" t="s">
        <v>164</v>
      </c>
      <c r="D333" s="4">
        <v>47</v>
      </c>
      <c r="E333" s="18" t="s">
        <v>122</v>
      </c>
      <c r="F333" s="19" t="s">
        <v>163</v>
      </c>
    </row>
    <row r="334" spans="1:6">
      <c r="A334" s="4" t="str">
        <f t="shared" si="5"/>
        <v>tRNA-Arg-CCT-1-1|46</v>
      </c>
      <c r="B334" s="4" t="s">
        <v>41</v>
      </c>
      <c r="C334" s="4" t="s">
        <v>165</v>
      </c>
      <c r="D334" s="4">
        <v>48</v>
      </c>
      <c r="E334" s="18" t="s">
        <v>122</v>
      </c>
      <c r="F334" s="19" t="s">
        <v>163</v>
      </c>
    </row>
    <row r="335" spans="1:6">
      <c r="A335" s="4" t="str">
        <f t="shared" si="5"/>
        <v>tRNA-Arg-CCT-1-1|47</v>
      </c>
      <c r="B335" s="4" t="s">
        <v>41</v>
      </c>
      <c r="C335" s="4" t="s">
        <v>166</v>
      </c>
      <c r="D335" s="4">
        <v>49</v>
      </c>
      <c r="E335" s="18" t="s">
        <v>116</v>
      </c>
      <c r="F335" s="19" t="s">
        <v>163</v>
      </c>
    </row>
    <row r="336" spans="1:6">
      <c r="A336" s="4" t="str">
        <f t="shared" si="5"/>
        <v>tRNA-Arg-CCT-1-1|48</v>
      </c>
      <c r="B336" s="4" t="s">
        <v>41</v>
      </c>
      <c r="C336" s="4" t="s">
        <v>167</v>
      </c>
      <c r="D336" s="4">
        <v>50</v>
      </c>
      <c r="E336" s="18" t="s">
        <v>114</v>
      </c>
      <c r="F336" s="19" t="s">
        <v>163</v>
      </c>
    </row>
    <row r="337" spans="1:6">
      <c r="A337" s="4" t="str">
        <f t="shared" si="5"/>
        <v>tRNA-Arg-CCT-1-1|49</v>
      </c>
      <c r="B337" s="4" t="s">
        <v>41</v>
      </c>
      <c r="C337" s="4" t="s">
        <v>168</v>
      </c>
      <c r="D337" s="4">
        <v>51</v>
      </c>
      <c r="E337" s="22" t="s">
        <v>109</v>
      </c>
      <c r="F337" s="10" t="s">
        <v>169</v>
      </c>
    </row>
    <row r="338" spans="1:6">
      <c r="A338" s="4" t="str">
        <f t="shared" si="5"/>
        <v>tRNA-Arg-CCT-1-1|50</v>
      </c>
      <c r="B338" s="4" t="s">
        <v>41</v>
      </c>
      <c r="C338" s="4" t="s">
        <v>170</v>
      </c>
      <c r="D338" s="4">
        <v>52</v>
      </c>
      <c r="E338" s="22" t="s">
        <v>109</v>
      </c>
      <c r="F338" s="10" t="s">
        <v>169</v>
      </c>
    </row>
    <row r="339" spans="1:6">
      <c r="A339" s="4" t="str">
        <f t="shared" si="5"/>
        <v>tRNA-Arg-CCT-1-1|51</v>
      </c>
      <c r="B339" s="4" t="s">
        <v>41</v>
      </c>
      <c r="C339" s="4" t="s">
        <v>171</v>
      </c>
      <c r="D339" s="4">
        <v>53</v>
      </c>
      <c r="E339" s="22" t="s">
        <v>109</v>
      </c>
      <c r="F339" s="10" t="s">
        <v>169</v>
      </c>
    </row>
    <row r="340" spans="1:6">
      <c r="A340" s="4" t="str">
        <f t="shared" si="5"/>
        <v>tRNA-Arg-CCT-1-1|52</v>
      </c>
      <c r="B340" s="4" t="s">
        <v>41</v>
      </c>
      <c r="C340" s="4" t="s">
        <v>172</v>
      </c>
      <c r="D340" s="4">
        <v>54</v>
      </c>
      <c r="E340" s="22" t="s">
        <v>109</v>
      </c>
      <c r="F340" s="10" t="s">
        <v>169</v>
      </c>
    </row>
    <row r="341" spans="1:6">
      <c r="A341" s="4" t="str">
        <f t="shared" si="5"/>
        <v>tRNA-Arg-CCT-1-1|53</v>
      </c>
      <c r="B341" s="4" t="s">
        <v>41</v>
      </c>
      <c r="C341" s="4" t="s">
        <v>173</v>
      </c>
      <c r="D341" s="4">
        <v>55</v>
      </c>
      <c r="E341" s="22" t="s">
        <v>109</v>
      </c>
      <c r="F341" s="10" t="s">
        <v>169</v>
      </c>
    </row>
    <row r="342" spans="1:6">
      <c r="A342" s="4" t="str">
        <f t="shared" si="5"/>
        <v>tRNA-Arg-CCT-1-1|54</v>
      </c>
      <c r="B342" s="4" t="s">
        <v>41</v>
      </c>
      <c r="C342" s="4" t="s">
        <v>174</v>
      </c>
      <c r="D342" s="4">
        <v>56</v>
      </c>
      <c r="E342" s="18" t="s">
        <v>116</v>
      </c>
      <c r="F342" s="19" t="s">
        <v>175</v>
      </c>
    </row>
    <row r="343" spans="1:6">
      <c r="A343" s="4" t="str">
        <f t="shared" si="5"/>
        <v>tRNA-Arg-CCT-1-1|55</v>
      </c>
      <c r="B343" s="4" t="s">
        <v>41</v>
      </c>
      <c r="C343" s="4" t="s">
        <v>176</v>
      </c>
      <c r="D343" s="4">
        <v>57</v>
      </c>
      <c r="E343" s="18" t="s">
        <v>116</v>
      </c>
      <c r="F343" s="19" t="s">
        <v>175</v>
      </c>
    </row>
    <row r="344" spans="1:6">
      <c r="A344" s="4" t="str">
        <f t="shared" si="5"/>
        <v>tRNA-Arg-CCT-1-1|56</v>
      </c>
      <c r="B344" s="4" t="s">
        <v>41</v>
      </c>
      <c r="C344" s="4" t="s">
        <v>177</v>
      </c>
      <c r="D344" s="4">
        <v>58</v>
      </c>
      <c r="E344" s="18" t="s">
        <v>114</v>
      </c>
      <c r="F344" s="19" t="s">
        <v>175</v>
      </c>
    </row>
    <row r="345" spans="1:6">
      <c r="A345" s="4" t="str">
        <f t="shared" si="5"/>
        <v>tRNA-Arg-CCT-1-1|57</v>
      </c>
      <c r="B345" s="4" t="s">
        <v>41</v>
      </c>
      <c r="C345" s="4" t="s">
        <v>178</v>
      </c>
      <c r="D345" s="4">
        <v>59</v>
      </c>
      <c r="E345" s="18" t="s">
        <v>122</v>
      </c>
      <c r="F345" s="19" t="s">
        <v>175</v>
      </c>
    </row>
    <row r="346" spans="1:6">
      <c r="A346" s="4" t="str">
        <f t="shared" si="5"/>
        <v>tRNA-Arg-CCT-1-1|58</v>
      </c>
      <c r="B346" s="4" t="s">
        <v>41</v>
      </c>
      <c r="C346" s="4" t="s">
        <v>179</v>
      </c>
      <c r="D346" s="4">
        <v>60</v>
      </c>
      <c r="E346" s="18" t="s">
        <v>122</v>
      </c>
      <c r="F346" s="19" t="s">
        <v>175</v>
      </c>
    </row>
    <row r="347" spans="1:6">
      <c r="A347" s="4" t="str">
        <f t="shared" si="5"/>
        <v>tRNA-Arg-CCT-1-1|59</v>
      </c>
      <c r="B347" s="4" t="s">
        <v>41</v>
      </c>
      <c r="C347" s="4" t="s">
        <v>180</v>
      </c>
      <c r="D347" s="4">
        <v>61</v>
      </c>
      <c r="E347" s="18" t="s">
        <v>122</v>
      </c>
      <c r="F347" s="19" t="s">
        <v>175</v>
      </c>
    </row>
    <row r="348" spans="1:6">
      <c r="A348" s="4" t="str">
        <f t="shared" si="5"/>
        <v>tRNA-Arg-CCT-1-1|60</v>
      </c>
      <c r="B348" s="4" t="s">
        <v>41</v>
      </c>
      <c r="C348" s="4" t="s">
        <v>181</v>
      </c>
      <c r="D348" s="4">
        <v>62</v>
      </c>
      <c r="E348" s="18" t="s">
        <v>116</v>
      </c>
      <c r="F348" s="19" t="s">
        <v>175</v>
      </c>
    </row>
    <row r="349" spans="1:6">
      <c r="A349" s="4" t="str">
        <f t="shared" si="5"/>
        <v>tRNA-Arg-CCT-1-1|61</v>
      </c>
      <c r="B349" s="4" t="s">
        <v>41</v>
      </c>
      <c r="C349" s="4" t="s">
        <v>182</v>
      </c>
      <c r="D349" s="4">
        <v>63</v>
      </c>
      <c r="E349" s="22" t="s">
        <v>114</v>
      </c>
      <c r="F349" s="10" t="s">
        <v>169</v>
      </c>
    </row>
    <row r="350" spans="1:6">
      <c r="A350" s="4" t="str">
        <f t="shared" si="5"/>
        <v>tRNA-Arg-CCT-1-1|62</v>
      </c>
      <c r="B350" s="4" t="s">
        <v>41</v>
      </c>
      <c r="C350" s="4" t="s">
        <v>183</v>
      </c>
      <c r="D350" s="4">
        <v>64</v>
      </c>
      <c r="E350" s="22" t="s">
        <v>114</v>
      </c>
      <c r="F350" s="10" t="s">
        <v>169</v>
      </c>
    </row>
    <row r="351" spans="1:6">
      <c r="A351" s="4" t="str">
        <f t="shared" si="5"/>
        <v>tRNA-Arg-CCT-1-1|63</v>
      </c>
      <c r="B351" s="4" t="s">
        <v>41</v>
      </c>
      <c r="C351" s="4" t="s">
        <v>184</v>
      </c>
      <c r="D351" s="4">
        <v>65</v>
      </c>
      <c r="E351" s="22" t="s">
        <v>114</v>
      </c>
      <c r="F351" s="10" t="s">
        <v>169</v>
      </c>
    </row>
    <row r="352" spans="1:6">
      <c r="A352" s="4" t="str">
        <f t="shared" si="5"/>
        <v>tRNA-Arg-CCT-1-1|64</v>
      </c>
      <c r="B352" s="4" t="s">
        <v>41</v>
      </c>
      <c r="C352" s="4" t="s">
        <v>185</v>
      </c>
      <c r="D352" s="4">
        <v>66</v>
      </c>
      <c r="E352" s="22" t="s">
        <v>116</v>
      </c>
      <c r="F352" s="10" t="s">
        <v>169</v>
      </c>
    </row>
    <row r="353" spans="1:6">
      <c r="A353" s="4" t="str">
        <f t="shared" si="5"/>
        <v>tRNA-Arg-CCT-1-1|65</v>
      </c>
      <c r="B353" s="4" t="s">
        <v>41</v>
      </c>
      <c r="C353" s="4" t="s">
        <v>186</v>
      </c>
      <c r="D353" s="4">
        <v>67</v>
      </c>
      <c r="E353" s="22" t="s">
        <v>116</v>
      </c>
      <c r="F353" s="10" t="s">
        <v>169</v>
      </c>
    </row>
    <row r="354" spans="1:6">
      <c r="A354" s="4" t="str">
        <f t="shared" si="5"/>
        <v>tRNA-Arg-CCT-1-1|66</v>
      </c>
      <c r="B354" s="4" t="s">
        <v>41</v>
      </c>
      <c r="C354" s="4" t="s">
        <v>187</v>
      </c>
      <c r="D354" s="4">
        <v>68</v>
      </c>
      <c r="E354" s="16" t="s">
        <v>114</v>
      </c>
      <c r="F354" s="17" t="s">
        <v>110</v>
      </c>
    </row>
    <row r="355" spans="1:6">
      <c r="A355" s="4" t="str">
        <f t="shared" si="5"/>
        <v>tRNA-Arg-CCT-1-1|67</v>
      </c>
      <c r="B355" s="4" t="s">
        <v>41</v>
      </c>
      <c r="C355" s="4" t="s">
        <v>188</v>
      </c>
      <c r="D355" s="4">
        <v>69</v>
      </c>
      <c r="E355" s="16" t="s">
        <v>109</v>
      </c>
      <c r="F355" s="17" t="s">
        <v>110</v>
      </c>
    </row>
    <row r="356" spans="1:6">
      <c r="A356" s="4" t="str">
        <f t="shared" si="5"/>
        <v>tRNA-Arg-CCT-1-1|68</v>
      </c>
      <c r="B356" s="4" t="s">
        <v>41</v>
      </c>
      <c r="C356" s="4" t="s">
        <v>189</v>
      </c>
      <c r="D356" s="4">
        <v>70</v>
      </c>
      <c r="E356" s="16" t="s">
        <v>114</v>
      </c>
      <c r="F356" s="17" t="s">
        <v>110</v>
      </c>
    </row>
    <row r="357" spans="1:6">
      <c r="A357" s="4" t="str">
        <f t="shared" si="5"/>
        <v>tRNA-Arg-CCT-1-1|69</v>
      </c>
      <c r="B357" s="4" t="s">
        <v>41</v>
      </c>
      <c r="C357" s="4" t="s">
        <v>190</v>
      </c>
      <c r="D357" s="4">
        <v>71</v>
      </c>
      <c r="E357" s="16" t="s">
        <v>109</v>
      </c>
      <c r="F357" s="17" t="s">
        <v>110</v>
      </c>
    </row>
    <row r="358" spans="1:6">
      <c r="A358" s="4" t="str">
        <f t="shared" si="5"/>
        <v>tRNA-Arg-CCT-1-1|70</v>
      </c>
      <c r="B358" s="4" t="s">
        <v>41</v>
      </c>
      <c r="C358" s="4" t="s">
        <v>191</v>
      </c>
      <c r="D358" s="4">
        <v>72</v>
      </c>
      <c r="E358" s="16" t="s">
        <v>114</v>
      </c>
      <c r="F358" s="17" t="s">
        <v>110</v>
      </c>
    </row>
    <row r="359" spans="1:6">
      <c r="A359" s="4" t="str">
        <f t="shared" si="5"/>
        <v>tRNA-Arg-CCT-1-1|71</v>
      </c>
      <c r="B359" s="4" t="s">
        <v>41</v>
      </c>
      <c r="C359" s="4" t="s">
        <v>192</v>
      </c>
      <c r="D359" s="4">
        <v>73</v>
      </c>
      <c r="E359" s="16" t="s">
        <v>114</v>
      </c>
      <c r="F359" s="17" t="s">
        <v>110</v>
      </c>
    </row>
    <row r="360" spans="1:6">
      <c r="A360" s="4" t="str">
        <f t="shared" si="5"/>
        <v>tRNA-Arg-CCT-1-1|72</v>
      </c>
      <c r="B360" s="4" t="s">
        <v>41</v>
      </c>
      <c r="C360" s="4" t="s">
        <v>193</v>
      </c>
      <c r="D360" s="4">
        <v>74</v>
      </c>
      <c r="E360" s="16" t="s">
        <v>114</v>
      </c>
      <c r="F360" s="17" t="s">
        <v>110</v>
      </c>
    </row>
    <row r="361" spans="1:6">
      <c r="A361" s="4" t="str">
        <f t="shared" si="5"/>
        <v>tRNA-Arg-GCG-1-1|1</v>
      </c>
      <c r="B361" s="4" t="s">
        <v>42</v>
      </c>
      <c r="C361" s="4" t="s">
        <v>108</v>
      </c>
      <c r="D361" s="4">
        <v>1</v>
      </c>
      <c r="E361" s="16" t="s">
        <v>109</v>
      </c>
      <c r="F361" s="17" t="s">
        <v>110</v>
      </c>
    </row>
    <row r="362" spans="1:6">
      <c r="A362" s="4" t="str">
        <f t="shared" si="5"/>
        <v>tRNA-Arg-GCG-1-1|2</v>
      </c>
      <c r="B362" s="4" t="s">
        <v>42</v>
      </c>
      <c r="C362" s="4" t="s">
        <v>111</v>
      </c>
      <c r="D362" s="4">
        <v>2</v>
      </c>
      <c r="E362" s="16" t="s">
        <v>116</v>
      </c>
      <c r="F362" s="17" t="s">
        <v>110</v>
      </c>
    </row>
    <row r="363" spans="1:6">
      <c r="A363" s="4" t="str">
        <f t="shared" si="5"/>
        <v>tRNA-Arg-GCG-1-1|3</v>
      </c>
      <c r="B363" s="4" t="s">
        <v>42</v>
      </c>
      <c r="C363" s="4" t="s">
        <v>112</v>
      </c>
      <c r="D363" s="4">
        <v>3</v>
      </c>
      <c r="E363" s="16" t="s">
        <v>114</v>
      </c>
      <c r="F363" s="17" t="s">
        <v>110</v>
      </c>
    </row>
    <row r="364" spans="1:6">
      <c r="A364" s="4" t="str">
        <f t="shared" si="5"/>
        <v>tRNA-Arg-GCG-1-1|4</v>
      </c>
      <c r="B364" s="4" t="s">
        <v>42</v>
      </c>
      <c r="C364" s="4" t="s">
        <v>113</v>
      </c>
      <c r="D364" s="4">
        <v>4</v>
      </c>
      <c r="E364" s="16" t="s">
        <v>114</v>
      </c>
      <c r="F364" s="17" t="s">
        <v>110</v>
      </c>
    </row>
    <row r="365" spans="1:6">
      <c r="A365" s="4" t="str">
        <f t="shared" si="5"/>
        <v>tRNA-Arg-GCG-1-1|5</v>
      </c>
      <c r="B365" s="4" t="s">
        <v>42</v>
      </c>
      <c r="C365" s="4" t="s">
        <v>115</v>
      </c>
      <c r="D365" s="4">
        <v>5</v>
      </c>
      <c r="E365" s="16" t="s">
        <v>114</v>
      </c>
      <c r="F365" s="17" t="s">
        <v>110</v>
      </c>
    </row>
    <row r="366" spans="1:6">
      <c r="A366" s="4" t="str">
        <f t="shared" si="5"/>
        <v>tRNA-Arg-GCG-1-1|6</v>
      </c>
      <c r="B366" s="4" t="s">
        <v>42</v>
      </c>
      <c r="C366" s="4" t="s">
        <v>117</v>
      </c>
      <c r="D366" s="4">
        <v>6</v>
      </c>
      <c r="E366" s="16" t="s">
        <v>109</v>
      </c>
      <c r="F366" s="17" t="s">
        <v>110</v>
      </c>
    </row>
    <row r="367" spans="1:6">
      <c r="A367" s="4" t="str">
        <f t="shared" si="5"/>
        <v>tRNA-Arg-GCG-1-1|7</v>
      </c>
      <c r="B367" s="4" t="s">
        <v>42</v>
      </c>
      <c r="C367" s="4" t="s">
        <v>118</v>
      </c>
      <c r="D367" s="4">
        <v>7</v>
      </c>
      <c r="E367" s="16" t="s">
        <v>122</v>
      </c>
      <c r="F367" s="17" t="s">
        <v>110</v>
      </c>
    </row>
    <row r="368" spans="1:6">
      <c r="A368" s="4" t="str">
        <f t="shared" si="5"/>
        <v>tRNA-Arg-GCG-1-1|8</v>
      </c>
      <c r="B368" s="4" t="s">
        <v>42</v>
      </c>
      <c r="C368" s="4" t="s">
        <v>119</v>
      </c>
      <c r="D368" s="4">
        <v>8</v>
      </c>
      <c r="E368" s="3" t="s">
        <v>116</v>
      </c>
      <c r="F368" s="4" t="s">
        <v>120</v>
      </c>
    </row>
    <row r="369" spans="1:6">
      <c r="A369" s="4" t="str">
        <f t="shared" si="5"/>
        <v>tRNA-Arg-GCG-1-1|9</v>
      </c>
      <c r="B369" s="4" t="s">
        <v>42</v>
      </c>
      <c r="C369" s="4" t="s">
        <v>121</v>
      </c>
      <c r="D369" s="4">
        <v>9</v>
      </c>
      <c r="E369" s="3" t="s">
        <v>122</v>
      </c>
      <c r="F369" s="4" t="s">
        <v>123</v>
      </c>
    </row>
    <row r="370" spans="1:6">
      <c r="A370" s="4" t="str">
        <f t="shared" si="5"/>
        <v>tRNA-Arg-GCG-1-1|10</v>
      </c>
      <c r="B370" s="4" t="s">
        <v>42</v>
      </c>
      <c r="C370" s="4" t="s">
        <v>124</v>
      </c>
      <c r="D370" s="4">
        <v>10</v>
      </c>
      <c r="E370" s="8" t="s">
        <v>109</v>
      </c>
      <c r="F370" s="7" t="s">
        <v>125</v>
      </c>
    </row>
    <row r="371" spans="1:6">
      <c r="A371" s="4" t="str">
        <f t="shared" si="5"/>
        <v>tRNA-Arg-GCG-1-1|11</v>
      </c>
      <c r="B371" s="4" t="s">
        <v>42</v>
      </c>
      <c r="C371" s="4" t="s">
        <v>126</v>
      </c>
      <c r="D371" s="4">
        <v>11</v>
      </c>
      <c r="E371" s="8" t="s">
        <v>109</v>
      </c>
      <c r="F371" s="7" t="s">
        <v>125</v>
      </c>
    </row>
    <row r="372" spans="1:6">
      <c r="A372" s="4" t="str">
        <f t="shared" si="5"/>
        <v>tRNA-Arg-GCG-1-1|12</v>
      </c>
      <c r="B372" s="4" t="s">
        <v>42</v>
      </c>
      <c r="C372" s="4" t="s">
        <v>127</v>
      </c>
      <c r="D372" s="4">
        <v>12</v>
      </c>
      <c r="E372" s="8" t="s">
        <v>109</v>
      </c>
      <c r="F372" s="7" t="s">
        <v>125</v>
      </c>
    </row>
    <row r="373" spans="1:6">
      <c r="A373" s="4" t="str">
        <f t="shared" si="5"/>
        <v>tRNA-Arg-GCG-1-1|13</v>
      </c>
      <c r="B373" s="4" t="s">
        <v>42</v>
      </c>
      <c r="C373" s="4" t="s">
        <v>128</v>
      </c>
      <c r="D373" s="4">
        <v>13</v>
      </c>
      <c r="E373" s="8" t="s">
        <v>116</v>
      </c>
      <c r="F373" s="7" t="s">
        <v>125</v>
      </c>
    </row>
    <row r="374" spans="1:6">
      <c r="A374" s="4" t="str">
        <f t="shared" si="5"/>
        <v>tRNA-Arg-GCG-1-1|14</v>
      </c>
      <c r="B374" s="4" t="s">
        <v>42</v>
      </c>
      <c r="C374" s="4" t="s">
        <v>129</v>
      </c>
      <c r="D374" s="4">
        <v>14</v>
      </c>
      <c r="E374" s="18" t="s">
        <v>122</v>
      </c>
      <c r="F374" s="19" t="s">
        <v>130</v>
      </c>
    </row>
    <row r="375" spans="1:6">
      <c r="A375" s="4" t="str">
        <f t="shared" si="5"/>
        <v>tRNA-Arg-GCG-1-1|15</v>
      </c>
      <c r="B375" s="4" t="s">
        <v>42</v>
      </c>
      <c r="C375" s="4" t="s">
        <v>131</v>
      </c>
      <c r="D375" s="4">
        <v>15</v>
      </c>
      <c r="E375" s="18" t="s">
        <v>109</v>
      </c>
      <c r="F375" s="19" t="s">
        <v>130</v>
      </c>
    </row>
    <row r="376" spans="1:6">
      <c r="A376" s="4" t="str">
        <f t="shared" si="5"/>
        <v>tRNA-Arg-GCG-1-1|16</v>
      </c>
      <c r="B376" s="4" t="s">
        <v>42</v>
      </c>
      <c r="C376" s="4" t="s">
        <v>194</v>
      </c>
      <c r="D376" s="4">
        <v>16</v>
      </c>
      <c r="E376" s="18" t="s">
        <v>116</v>
      </c>
      <c r="F376" s="19" t="s">
        <v>130</v>
      </c>
    </row>
    <row r="377" spans="1:6">
      <c r="A377" s="4" t="str">
        <f t="shared" si="5"/>
        <v>tRNA-Arg-GCG-1-1|18</v>
      </c>
      <c r="B377" s="4" t="s">
        <v>42</v>
      </c>
      <c r="C377" s="4" t="s">
        <v>132</v>
      </c>
      <c r="D377" s="4">
        <v>17</v>
      </c>
      <c r="E377" s="18" t="s">
        <v>109</v>
      </c>
      <c r="F377" s="19" t="s">
        <v>130</v>
      </c>
    </row>
    <row r="378" spans="1:6">
      <c r="A378" s="4" t="str">
        <f t="shared" si="5"/>
        <v>tRNA-Arg-GCG-1-1|19</v>
      </c>
      <c r="B378" s="4" t="s">
        <v>42</v>
      </c>
      <c r="C378" s="4" t="s">
        <v>133</v>
      </c>
      <c r="D378" s="4">
        <v>18</v>
      </c>
      <c r="E378" s="18" t="s">
        <v>109</v>
      </c>
      <c r="F378" s="19" t="s">
        <v>130</v>
      </c>
    </row>
    <row r="379" spans="1:6">
      <c r="A379" s="4" t="str">
        <f t="shared" si="5"/>
        <v>tRNA-Arg-GCG-1-1|20</v>
      </c>
      <c r="B379" s="4" t="s">
        <v>42</v>
      </c>
      <c r="C379" s="4" t="s">
        <v>134</v>
      </c>
      <c r="D379" s="4">
        <v>19</v>
      </c>
      <c r="E379" s="18" t="s">
        <v>122</v>
      </c>
      <c r="F379" s="19" t="s">
        <v>130</v>
      </c>
    </row>
    <row r="380" spans="1:6">
      <c r="A380" s="4" t="str">
        <f t="shared" si="5"/>
        <v>tRNA-Arg-GCG-1-1|20a</v>
      </c>
      <c r="B380" s="4" t="s">
        <v>42</v>
      </c>
      <c r="C380" s="4" t="s">
        <v>135</v>
      </c>
      <c r="D380" s="4">
        <v>20</v>
      </c>
      <c r="E380" s="18" t="s">
        <v>116</v>
      </c>
      <c r="F380" s="19" t="s">
        <v>130</v>
      </c>
    </row>
    <row r="381" spans="1:6">
      <c r="A381" s="4" t="str">
        <f t="shared" si="5"/>
        <v>tRNA-Arg-GCG-1-1|21</v>
      </c>
      <c r="B381" s="4" t="s">
        <v>42</v>
      </c>
      <c r="C381" s="4" t="s">
        <v>136</v>
      </c>
      <c r="D381" s="4">
        <v>21</v>
      </c>
      <c r="E381" s="18" t="s">
        <v>122</v>
      </c>
      <c r="F381" s="19" t="s">
        <v>130</v>
      </c>
    </row>
    <row r="382" spans="1:6">
      <c r="A382" s="4" t="str">
        <f t="shared" si="5"/>
        <v>tRNA-Arg-GCG-1-1|22</v>
      </c>
      <c r="B382" s="4" t="s">
        <v>42</v>
      </c>
      <c r="C382" s="4" t="s">
        <v>137</v>
      </c>
      <c r="D382" s="4">
        <v>22</v>
      </c>
      <c r="E382" s="8" t="s">
        <v>116</v>
      </c>
      <c r="F382" s="7" t="s">
        <v>125</v>
      </c>
    </row>
    <row r="383" spans="1:6">
      <c r="A383" s="4" t="str">
        <f t="shared" si="5"/>
        <v>tRNA-Arg-GCG-1-1|23</v>
      </c>
      <c r="B383" s="4" t="s">
        <v>42</v>
      </c>
      <c r="C383" s="4" t="s">
        <v>138</v>
      </c>
      <c r="D383" s="4">
        <v>23</v>
      </c>
      <c r="E383" s="8" t="s">
        <v>114</v>
      </c>
      <c r="F383" s="7" t="s">
        <v>125</v>
      </c>
    </row>
    <row r="384" spans="1:6">
      <c r="A384" s="4" t="str">
        <f t="shared" si="5"/>
        <v>tRNA-Arg-GCG-1-1|24</v>
      </c>
      <c r="B384" s="4" t="s">
        <v>42</v>
      </c>
      <c r="C384" s="4" t="s">
        <v>139</v>
      </c>
      <c r="D384" s="4">
        <v>24</v>
      </c>
      <c r="E384" s="8" t="s">
        <v>114</v>
      </c>
      <c r="F384" s="7" t="s">
        <v>125</v>
      </c>
    </row>
    <row r="385" spans="1:6">
      <c r="A385" s="4" t="str">
        <f t="shared" si="5"/>
        <v>tRNA-Arg-GCG-1-1|25</v>
      </c>
      <c r="B385" s="4" t="s">
        <v>42</v>
      </c>
      <c r="C385" s="4" t="s">
        <v>140</v>
      </c>
      <c r="D385" s="4">
        <v>25</v>
      </c>
      <c r="E385" s="8" t="s">
        <v>116</v>
      </c>
      <c r="F385" s="7" t="s">
        <v>125</v>
      </c>
    </row>
    <row r="386" spans="1:6">
      <c r="A386" s="4" t="str">
        <f t="shared" ref="A386:A449" si="6">B386&amp;"|"&amp;C386</f>
        <v>tRNA-Arg-GCG-1-1|26</v>
      </c>
      <c r="B386" s="4" t="s">
        <v>42</v>
      </c>
      <c r="C386" s="4" t="s">
        <v>141</v>
      </c>
      <c r="D386" s="4">
        <v>26</v>
      </c>
      <c r="E386" s="3" t="s">
        <v>116</v>
      </c>
      <c r="F386" s="4" t="s">
        <v>142</v>
      </c>
    </row>
    <row r="387" spans="1:6">
      <c r="A387" s="4" t="str">
        <f t="shared" si="6"/>
        <v>tRNA-Arg-GCG-1-1|27</v>
      </c>
      <c r="B387" s="4" t="s">
        <v>42</v>
      </c>
      <c r="C387" s="4" t="s">
        <v>143</v>
      </c>
      <c r="D387" s="4">
        <v>27</v>
      </c>
      <c r="E387" s="20" t="s">
        <v>109</v>
      </c>
      <c r="F387" s="21" t="s">
        <v>144</v>
      </c>
    </row>
    <row r="388" spans="1:6">
      <c r="A388" s="4" t="str">
        <f t="shared" si="6"/>
        <v>tRNA-Arg-GCG-1-1|28</v>
      </c>
      <c r="B388" s="4" t="s">
        <v>42</v>
      </c>
      <c r="C388" s="4" t="s">
        <v>145</v>
      </c>
      <c r="D388" s="4">
        <v>28</v>
      </c>
      <c r="E388" s="20" t="s">
        <v>122</v>
      </c>
      <c r="F388" s="21" t="s">
        <v>144</v>
      </c>
    </row>
    <row r="389" spans="1:6">
      <c r="A389" s="4" t="str">
        <f t="shared" si="6"/>
        <v>tRNA-Arg-GCG-1-1|29</v>
      </c>
      <c r="B389" s="4" t="s">
        <v>42</v>
      </c>
      <c r="C389" s="4" t="s">
        <v>146</v>
      </c>
      <c r="D389" s="4">
        <v>29</v>
      </c>
      <c r="E389" s="20" t="s">
        <v>109</v>
      </c>
      <c r="F389" s="21" t="s">
        <v>144</v>
      </c>
    </row>
    <row r="390" spans="1:6">
      <c r="A390" s="4" t="str">
        <f t="shared" si="6"/>
        <v>tRNA-Arg-GCG-1-1|30</v>
      </c>
      <c r="B390" s="4" t="s">
        <v>42</v>
      </c>
      <c r="C390" s="4" t="s">
        <v>147</v>
      </c>
      <c r="D390" s="4">
        <v>30</v>
      </c>
      <c r="E390" s="20" t="s">
        <v>109</v>
      </c>
      <c r="F390" s="21" t="s">
        <v>144</v>
      </c>
    </row>
    <row r="391" spans="1:6">
      <c r="A391" s="4" t="str">
        <f t="shared" si="6"/>
        <v>tRNA-Arg-GCG-1-1|31</v>
      </c>
      <c r="B391" s="4" t="s">
        <v>42</v>
      </c>
      <c r="C391" s="4" t="s">
        <v>148</v>
      </c>
      <c r="D391" s="4">
        <v>31</v>
      </c>
      <c r="E391" s="20" t="s">
        <v>114</v>
      </c>
      <c r="F391" s="21" t="s">
        <v>144</v>
      </c>
    </row>
    <row r="392" spans="1:6">
      <c r="A392" s="4" t="str">
        <f t="shared" si="6"/>
        <v>tRNA-Arg-GCG-1-1|32</v>
      </c>
      <c r="B392" s="4" t="s">
        <v>42</v>
      </c>
      <c r="C392" s="4" t="s">
        <v>149</v>
      </c>
      <c r="D392" s="4">
        <v>32</v>
      </c>
      <c r="E392" s="18" t="s">
        <v>114</v>
      </c>
      <c r="F392" s="19" t="s">
        <v>150</v>
      </c>
    </row>
    <row r="393" spans="1:6">
      <c r="A393" s="4" t="str">
        <f t="shared" si="6"/>
        <v>tRNA-Arg-GCG-1-1|33</v>
      </c>
      <c r="B393" s="4" t="s">
        <v>42</v>
      </c>
      <c r="C393" s="4" t="s">
        <v>151</v>
      </c>
      <c r="D393" s="4">
        <v>33</v>
      </c>
      <c r="E393" s="18" t="s">
        <v>116</v>
      </c>
      <c r="F393" s="19" t="s">
        <v>150</v>
      </c>
    </row>
    <row r="394" spans="1:6">
      <c r="A394" s="4" t="str">
        <f t="shared" si="6"/>
        <v>tRNA-Arg-GCG-1-1|34</v>
      </c>
      <c r="B394" s="4" t="s">
        <v>42</v>
      </c>
      <c r="C394" s="4" t="s">
        <v>152</v>
      </c>
      <c r="D394" s="4">
        <v>34</v>
      </c>
      <c r="E394" s="18" t="s">
        <v>109</v>
      </c>
      <c r="F394" s="19" t="s">
        <v>150</v>
      </c>
    </row>
    <row r="395" spans="1:6">
      <c r="A395" s="4" t="str">
        <f t="shared" si="6"/>
        <v>tRNA-Arg-GCG-1-1|35</v>
      </c>
      <c r="B395" s="4" t="s">
        <v>42</v>
      </c>
      <c r="C395" s="4" t="s">
        <v>153</v>
      </c>
      <c r="D395" s="4">
        <v>35</v>
      </c>
      <c r="E395" s="18" t="s">
        <v>114</v>
      </c>
      <c r="F395" s="19" t="s">
        <v>150</v>
      </c>
    </row>
    <row r="396" spans="1:6">
      <c r="A396" s="4" t="str">
        <f t="shared" si="6"/>
        <v>tRNA-Arg-GCG-1-1|36</v>
      </c>
      <c r="B396" s="4" t="s">
        <v>42</v>
      </c>
      <c r="C396" s="4" t="s">
        <v>154</v>
      </c>
      <c r="D396" s="4">
        <v>36</v>
      </c>
      <c r="E396" s="18" t="s">
        <v>109</v>
      </c>
      <c r="F396" s="19" t="s">
        <v>150</v>
      </c>
    </row>
    <row r="397" spans="1:6">
      <c r="A397" s="4" t="str">
        <f t="shared" si="6"/>
        <v>tRNA-Arg-GCG-1-1|37</v>
      </c>
      <c r="B397" s="4" t="s">
        <v>42</v>
      </c>
      <c r="C397" s="4" t="s">
        <v>155</v>
      </c>
      <c r="D397" s="4">
        <v>37</v>
      </c>
      <c r="E397" s="18" t="s">
        <v>109</v>
      </c>
      <c r="F397" s="19" t="s">
        <v>150</v>
      </c>
    </row>
    <row r="398" spans="1:6">
      <c r="A398" s="4" t="str">
        <f t="shared" si="6"/>
        <v>tRNA-Arg-GCG-1-1|38</v>
      </c>
      <c r="B398" s="4" t="s">
        <v>42</v>
      </c>
      <c r="C398" s="4" t="s">
        <v>156</v>
      </c>
      <c r="D398" s="4">
        <v>38</v>
      </c>
      <c r="E398" s="18" t="s">
        <v>122</v>
      </c>
      <c r="F398" s="19" t="s">
        <v>150</v>
      </c>
    </row>
    <row r="399" spans="1:6">
      <c r="A399" s="4" t="str">
        <f t="shared" si="6"/>
        <v>tRNA-Arg-GCG-1-1|39</v>
      </c>
      <c r="B399" s="4" t="s">
        <v>42</v>
      </c>
      <c r="C399" s="4" t="s">
        <v>157</v>
      </c>
      <c r="D399" s="4">
        <v>39</v>
      </c>
      <c r="E399" s="20" t="s">
        <v>109</v>
      </c>
      <c r="F399" s="21" t="s">
        <v>144</v>
      </c>
    </row>
    <row r="400" spans="1:6">
      <c r="A400" s="4" t="str">
        <f t="shared" si="6"/>
        <v>tRNA-Arg-GCG-1-1|40</v>
      </c>
      <c r="B400" s="4" t="s">
        <v>42</v>
      </c>
      <c r="C400" s="4" t="s">
        <v>158</v>
      </c>
      <c r="D400" s="4">
        <v>40</v>
      </c>
      <c r="E400" s="20" t="s">
        <v>114</v>
      </c>
      <c r="F400" s="21" t="s">
        <v>144</v>
      </c>
    </row>
    <row r="401" spans="1:6">
      <c r="A401" s="4" t="str">
        <f t="shared" si="6"/>
        <v>tRNA-Arg-GCG-1-1|41</v>
      </c>
      <c r="B401" s="4" t="s">
        <v>42</v>
      </c>
      <c r="C401" s="4" t="s">
        <v>159</v>
      </c>
      <c r="D401" s="4">
        <v>41</v>
      </c>
      <c r="E401" s="20" t="s">
        <v>114</v>
      </c>
      <c r="F401" s="21" t="s">
        <v>144</v>
      </c>
    </row>
    <row r="402" spans="1:6">
      <c r="A402" s="4" t="str">
        <f t="shared" si="6"/>
        <v>tRNA-Arg-GCG-1-1|42</v>
      </c>
      <c r="B402" s="4" t="s">
        <v>42</v>
      </c>
      <c r="C402" s="4" t="s">
        <v>160</v>
      </c>
      <c r="D402" s="4">
        <v>42</v>
      </c>
      <c r="E402" s="20" t="s">
        <v>116</v>
      </c>
      <c r="F402" s="21" t="s">
        <v>144</v>
      </c>
    </row>
    <row r="403" spans="1:6">
      <c r="A403" s="4" t="str">
        <f t="shared" si="6"/>
        <v>tRNA-Arg-GCG-1-1|43</v>
      </c>
      <c r="B403" s="4" t="s">
        <v>42</v>
      </c>
      <c r="C403" s="4" t="s">
        <v>161</v>
      </c>
      <c r="D403" s="4">
        <v>43</v>
      </c>
      <c r="E403" s="20" t="s">
        <v>116</v>
      </c>
      <c r="F403" s="21" t="s">
        <v>144</v>
      </c>
    </row>
    <row r="404" spans="1:6">
      <c r="A404" s="4" t="str">
        <f t="shared" si="6"/>
        <v>tRNA-Arg-GCG-1-1|44</v>
      </c>
      <c r="B404" s="4" t="s">
        <v>42</v>
      </c>
      <c r="C404" s="4" t="s">
        <v>162</v>
      </c>
      <c r="D404" s="4">
        <v>44</v>
      </c>
      <c r="E404" s="18" t="s">
        <v>122</v>
      </c>
      <c r="F404" s="19" t="s">
        <v>163</v>
      </c>
    </row>
    <row r="405" spans="1:6">
      <c r="A405" s="4" t="str">
        <f t="shared" si="6"/>
        <v>tRNA-Arg-GCG-1-1|45</v>
      </c>
      <c r="B405" s="4" t="s">
        <v>42</v>
      </c>
      <c r="C405" s="4" t="s">
        <v>164</v>
      </c>
      <c r="D405" s="4">
        <v>45</v>
      </c>
      <c r="E405" s="18" t="s">
        <v>109</v>
      </c>
      <c r="F405" s="19" t="s">
        <v>163</v>
      </c>
    </row>
    <row r="406" spans="1:6">
      <c r="A406" s="4" t="str">
        <f t="shared" si="6"/>
        <v>tRNA-Arg-GCG-1-1|46</v>
      </c>
      <c r="B406" s="4" t="s">
        <v>42</v>
      </c>
      <c r="C406" s="4" t="s">
        <v>165</v>
      </c>
      <c r="D406" s="4">
        <v>46</v>
      </c>
      <c r="E406" s="18" t="s">
        <v>122</v>
      </c>
      <c r="F406" s="19" t="s">
        <v>163</v>
      </c>
    </row>
    <row r="407" spans="1:6">
      <c r="A407" s="4" t="str">
        <f t="shared" si="6"/>
        <v>tRNA-Arg-GCG-1-1|48</v>
      </c>
      <c r="B407" s="4" t="s">
        <v>42</v>
      </c>
      <c r="C407" s="4" t="s">
        <v>167</v>
      </c>
      <c r="D407" s="4">
        <v>47</v>
      </c>
      <c r="E407" s="18" t="s">
        <v>114</v>
      </c>
      <c r="F407" s="19" t="s">
        <v>163</v>
      </c>
    </row>
    <row r="408" spans="1:6">
      <c r="A408" s="4" t="str">
        <f t="shared" si="6"/>
        <v>tRNA-Arg-GCG-1-1|49</v>
      </c>
      <c r="B408" s="4" t="s">
        <v>42</v>
      </c>
      <c r="C408" s="4" t="s">
        <v>168</v>
      </c>
      <c r="D408" s="4">
        <v>48</v>
      </c>
      <c r="E408" s="22" t="s">
        <v>114</v>
      </c>
      <c r="F408" s="10" t="s">
        <v>169</v>
      </c>
    </row>
    <row r="409" spans="1:6">
      <c r="A409" s="4" t="str">
        <f t="shared" si="6"/>
        <v>tRNA-Arg-GCG-1-1|50</v>
      </c>
      <c r="B409" s="4" t="s">
        <v>42</v>
      </c>
      <c r="C409" s="4" t="s">
        <v>170</v>
      </c>
      <c r="D409" s="4">
        <v>49</v>
      </c>
      <c r="E409" s="22" t="s">
        <v>116</v>
      </c>
      <c r="F409" s="10" t="s">
        <v>169</v>
      </c>
    </row>
    <row r="410" spans="1:6">
      <c r="A410" s="4" t="str">
        <f t="shared" si="6"/>
        <v>tRNA-Arg-GCG-1-1|51</v>
      </c>
      <c r="B410" s="4" t="s">
        <v>42</v>
      </c>
      <c r="C410" s="4" t="s">
        <v>171</v>
      </c>
      <c r="D410" s="4">
        <v>50</v>
      </c>
      <c r="E410" s="22" t="s">
        <v>109</v>
      </c>
      <c r="F410" s="10" t="s">
        <v>169</v>
      </c>
    </row>
    <row r="411" spans="1:6">
      <c r="A411" s="4" t="str">
        <f t="shared" si="6"/>
        <v>tRNA-Arg-GCG-1-1|52</v>
      </c>
      <c r="B411" s="4" t="s">
        <v>42</v>
      </c>
      <c r="C411" s="4" t="s">
        <v>172</v>
      </c>
      <c r="D411" s="4">
        <v>51</v>
      </c>
      <c r="E411" s="22" t="s">
        <v>122</v>
      </c>
      <c r="F411" s="10" t="s">
        <v>169</v>
      </c>
    </row>
    <row r="412" spans="1:6">
      <c r="A412" s="4" t="str">
        <f t="shared" si="6"/>
        <v>tRNA-Arg-GCG-1-1|53</v>
      </c>
      <c r="B412" s="4" t="s">
        <v>42</v>
      </c>
      <c r="C412" s="4" t="s">
        <v>173</v>
      </c>
      <c r="D412" s="4">
        <v>52</v>
      </c>
      <c r="E412" s="22" t="s">
        <v>109</v>
      </c>
      <c r="F412" s="10" t="s">
        <v>169</v>
      </c>
    </row>
    <row r="413" spans="1:6">
      <c r="A413" s="4" t="str">
        <f t="shared" si="6"/>
        <v>tRNA-Arg-GCG-1-1|54</v>
      </c>
      <c r="B413" s="4" t="s">
        <v>42</v>
      </c>
      <c r="C413" s="4" t="s">
        <v>174</v>
      </c>
      <c r="D413" s="4">
        <v>53</v>
      </c>
      <c r="E413" s="18" t="s">
        <v>116</v>
      </c>
      <c r="F413" s="19" t="s">
        <v>175</v>
      </c>
    </row>
    <row r="414" spans="1:6">
      <c r="A414" s="4" t="str">
        <f t="shared" si="6"/>
        <v>tRNA-Arg-GCG-1-1|55</v>
      </c>
      <c r="B414" s="4" t="s">
        <v>42</v>
      </c>
      <c r="C414" s="4" t="s">
        <v>176</v>
      </c>
      <c r="D414" s="4">
        <v>54</v>
      </c>
      <c r="E414" s="18" t="s">
        <v>116</v>
      </c>
      <c r="F414" s="19" t="s">
        <v>175</v>
      </c>
    </row>
    <row r="415" spans="1:6">
      <c r="A415" s="4" t="str">
        <f t="shared" si="6"/>
        <v>tRNA-Arg-GCG-1-1|56</v>
      </c>
      <c r="B415" s="4" t="s">
        <v>42</v>
      </c>
      <c r="C415" s="4" t="s">
        <v>177</v>
      </c>
      <c r="D415" s="4">
        <v>55</v>
      </c>
      <c r="E415" s="18" t="s">
        <v>114</v>
      </c>
      <c r="F415" s="19" t="s">
        <v>175</v>
      </c>
    </row>
    <row r="416" spans="1:6">
      <c r="A416" s="4" t="str">
        <f t="shared" si="6"/>
        <v>tRNA-Arg-GCG-1-1|57</v>
      </c>
      <c r="B416" s="4" t="s">
        <v>42</v>
      </c>
      <c r="C416" s="4" t="s">
        <v>178</v>
      </c>
      <c r="D416" s="4">
        <v>56</v>
      </c>
      <c r="E416" s="18" t="s">
        <v>122</v>
      </c>
      <c r="F416" s="19" t="s">
        <v>175</v>
      </c>
    </row>
    <row r="417" spans="1:6">
      <c r="A417" s="4" t="str">
        <f t="shared" si="6"/>
        <v>tRNA-Arg-GCG-1-1|58</v>
      </c>
      <c r="B417" s="4" t="s">
        <v>42</v>
      </c>
      <c r="C417" s="4" t="s">
        <v>179</v>
      </c>
      <c r="D417" s="4">
        <v>57</v>
      </c>
      <c r="E417" s="18" t="s">
        <v>122</v>
      </c>
      <c r="F417" s="19" t="s">
        <v>175</v>
      </c>
    </row>
    <row r="418" spans="1:6">
      <c r="A418" s="4" t="str">
        <f t="shared" si="6"/>
        <v>tRNA-Arg-GCG-1-1|59</v>
      </c>
      <c r="B418" s="4" t="s">
        <v>42</v>
      </c>
      <c r="C418" s="4" t="s">
        <v>180</v>
      </c>
      <c r="D418" s="4">
        <v>58</v>
      </c>
      <c r="E418" s="18" t="s">
        <v>109</v>
      </c>
      <c r="F418" s="19" t="s">
        <v>175</v>
      </c>
    </row>
    <row r="419" spans="1:6">
      <c r="A419" s="4" t="str">
        <f t="shared" si="6"/>
        <v>tRNA-Arg-GCG-1-1|60</v>
      </c>
      <c r="B419" s="4" t="s">
        <v>42</v>
      </c>
      <c r="C419" s="4" t="s">
        <v>181</v>
      </c>
      <c r="D419" s="4">
        <v>59</v>
      </c>
      <c r="E419" s="18" t="s">
        <v>116</v>
      </c>
      <c r="F419" s="19" t="s">
        <v>175</v>
      </c>
    </row>
    <row r="420" spans="1:6">
      <c r="A420" s="4" t="str">
        <f t="shared" si="6"/>
        <v>tRNA-Arg-GCG-1-1|61</v>
      </c>
      <c r="B420" s="4" t="s">
        <v>42</v>
      </c>
      <c r="C420" s="4" t="s">
        <v>182</v>
      </c>
      <c r="D420" s="4">
        <v>60</v>
      </c>
      <c r="E420" s="22" t="s">
        <v>114</v>
      </c>
      <c r="F420" s="10" t="s">
        <v>169</v>
      </c>
    </row>
    <row r="421" spans="1:6">
      <c r="A421" s="4" t="str">
        <f t="shared" si="6"/>
        <v>tRNA-Arg-GCG-1-1|62</v>
      </c>
      <c r="B421" s="4" t="s">
        <v>42</v>
      </c>
      <c r="C421" s="4" t="s">
        <v>183</v>
      </c>
      <c r="D421" s="4">
        <v>61</v>
      </c>
      <c r="E421" s="22" t="s">
        <v>116</v>
      </c>
      <c r="F421" s="10" t="s">
        <v>169</v>
      </c>
    </row>
    <row r="422" spans="1:6">
      <c r="A422" s="4" t="str">
        <f t="shared" si="6"/>
        <v>tRNA-Arg-GCG-1-1|63</v>
      </c>
      <c r="B422" s="4" t="s">
        <v>42</v>
      </c>
      <c r="C422" s="4" t="s">
        <v>184</v>
      </c>
      <c r="D422" s="4">
        <v>62</v>
      </c>
      <c r="E422" s="22" t="s">
        <v>114</v>
      </c>
      <c r="F422" s="10" t="s">
        <v>169</v>
      </c>
    </row>
    <row r="423" spans="1:6">
      <c r="A423" s="4" t="str">
        <f t="shared" si="6"/>
        <v>tRNA-Arg-GCG-1-1|64</v>
      </c>
      <c r="B423" s="4" t="s">
        <v>42</v>
      </c>
      <c r="C423" s="4" t="s">
        <v>185</v>
      </c>
      <c r="D423" s="4">
        <v>63</v>
      </c>
      <c r="E423" s="22" t="s">
        <v>122</v>
      </c>
      <c r="F423" s="10" t="s">
        <v>169</v>
      </c>
    </row>
    <row r="424" spans="1:6">
      <c r="A424" s="4" t="str">
        <f t="shared" si="6"/>
        <v>tRNA-Arg-GCG-1-1|65</v>
      </c>
      <c r="B424" s="4" t="s">
        <v>42</v>
      </c>
      <c r="C424" s="4" t="s">
        <v>186</v>
      </c>
      <c r="D424" s="4">
        <v>64</v>
      </c>
      <c r="E424" s="22" t="s">
        <v>109</v>
      </c>
      <c r="F424" s="10" t="s">
        <v>169</v>
      </c>
    </row>
    <row r="425" spans="1:6">
      <c r="A425" s="4" t="str">
        <f t="shared" si="6"/>
        <v>tRNA-Arg-GCG-1-1|66</v>
      </c>
      <c r="B425" s="4" t="s">
        <v>42</v>
      </c>
      <c r="C425" s="4" t="s">
        <v>187</v>
      </c>
      <c r="D425" s="4">
        <v>65</v>
      </c>
      <c r="E425" s="16" t="s">
        <v>116</v>
      </c>
      <c r="F425" s="17" t="s">
        <v>110</v>
      </c>
    </row>
    <row r="426" spans="1:6">
      <c r="A426" s="4" t="str">
        <f t="shared" si="6"/>
        <v>tRNA-Arg-GCG-1-1|67</v>
      </c>
      <c r="B426" s="4" t="s">
        <v>42</v>
      </c>
      <c r="C426" s="4" t="s">
        <v>188</v>
      </c>
      <c r="D426" s="4">
        <v>66</v>
      </c>
      <c r="E426" s="16" t="s">
        <v>114</v>
      </c>
      <c r="F426" s="17" t="s">
        <v>110</v>
      </c>
    </row>
    <row r="427" spans="1:6">
      <c r="A427" s="4" t="str">
        <f t="shared" si="6"/>
        <v>tRNA-Arg-GCG-1-1|68</v>
      </c>
      <c r="B427" s="4" t="s">
        <v>42</v>
      </c>
      <c r="C427" s="4" t="s">
        <v>189</v>
      </c>
      <c r="D427" s="4">
        <v>67</v>
      </c>
      <c r="E427" s="16" t="s">
        <v>109</v>
      </c>
      <c r="F427" s="17" t="s">
        <v>110</v>
      </c>
    </row>
    <row r="428" spans="1:6">
      <c r="A428" s="4" t="str">
        <f t="shared" si="6"/>
        <v>tRNA-Arg-GCG-1-1|69</v>
      </c>
      <c r="B428" s="4" t="s">
        <v>42</v>
      </c>
      <c r="C428" s="4" t="s">
        <v>190</v>
      </c>
      <c r="D428" s="4">
        <v>68</v>
      </c>
      <c r="E428" s="16" t="s">
        <v>109</v>
      </c>
      <c r="F428" s="17" t="s">
        <v>110</v>
      </c>
    </row>
    <row r="429" spans="1:6">
      <c r="A429" s="4" t="str">
        <f t="shared" si="6"/>
        <v>tRNA-Arg-GCG-1-1|70</v>
      </c>
      <c r="B429" s="4" t="s">
        <v>42</v>
      </c>
      <c r="C429" s="4" t="s">
        <v>191</v>
      </c>
      <c r="D429" s="4">
        <v>69</v>
      </c>
      <c r="E429" s="16" t="s">
        <v>109</v>
      </c>
      <c r="F429" s="17" t="s">
        <v>110</v>
      </c>
    </row>
    <row r="430" spans="1:6">
      <c r="A430" s="4" t="str">
        <f t="shared" si="6"/>
        <v>tRNA-Arg-GCG-1-1|71</v>
      </c>
      <c r="B430" s="4" t="s">
        <v>42</v>
      </c>
      <c r="C430" s="4" t="s">
        <v>192</v>
      </c>
      <c r="D430" s="4">
        <v>70</v>
      </c>
      <c r="E430" s="16" t="s">
        <v>122</v>
      </c>
      <c r="F430" s="17" t="s">
        <v>110</v>
      </c>
    </row>
    <row r="431" spans="1:6">
      <c r="A431" s="4" t="str">
        <f t="shared" si="6"/>
        <v>tRNA-Arg-GCG-1-1|72</v>
      </c>
      <c r="B431" s="4" t="s">
        <v>42</v>
      </c>
      <c r="C431" s="4" t="s">
        <v>193</v>
      </c>
      <c r="D431" s="4">
        <v>71</v>
      </c>
      <c r="E431" s="16" t="s">
        <v>114</v>
      </c>
      <c r="F431" s="17" t="s">
        <v>110</v>
      </c>
    </row>
    <row r="432" spans="1:6">
      <c r="A432" s="4" t="str">
        <f t="shared" si="6"/>
        <v>tRNA-Arg-TCG-1-1|1</v>
      </c>
      <c r="B432" s="4" t="s">
        <v>43</v>
      </c>
      <c r="C432" s="4" t="s">
        <v>108</v>
      </c>
      <c r="D432" s="4">
        <v>1</v>
      </c>
      <c r="E432" s="16" t="s">
        <v>109</v>
      </c>
      <c r="F432" s="17" t="s">
        <v>110</v>
      </c>
    </row>
    <row r="433" spans="1:6">
      <c r="A433" s="4" t="str">
        <f t="shared" si="6"/>
        <v>tRNA-Arg-TCG-1-1|2</v>
      </c>
      <c r="B433" s="4" t="s">
        <v>43</v>
      </c>
      <c r="C433" s="4" t="s">
        <v>111</v>
      </c>
      <c r="D433" s="4">
        <v>2</v>
      </c>
      <c r="E433" s="16" t="s">
        <v>109</v>
      </c>
      <c r="F433" s="17" t="s">
        <v>110</v>
      </c>
    </row>
    <row r="434" spans="1:6">
      <c r="A434" s="4" t="str">
        <f t="shared" si="6"/>
        <v>tRNA-Arg-TCG-1-1|3</v>
      </c>
      <c r="B434" s="4" t="s">
        <v>43</v>
      </c>
      <c r="C434" s="4" t="s">
        <v>112</v>
      </c>
      <c r="D434" s="4">
        <v>3</v>
      </c>
      <c r="E434" s="16" t="s">
        <v>109</v>
      </c>
      <c r="F434" s="17" t="s">
        <v>110</v>
      </c>
    </row>
    <row r="435" spans="1:6">
      <c r="A435" s="4" t="str">
        <f t="shared" si="6"/>
        <v>tRNA-Arg-TCG-1-1|4</v>
      </c>
      <c r="B435" s="4" t="s">
        <v>43</v>
      </c>
      <c r="C435" s="4" t="s">
        <v>113</v>
      </c>
      <c r="D435" s="4">
        <v>4</v>
      </c>
      <c r="E435" s="16" t="s">
        <v>114</v>
      </c>
      <c r="F435" s="17" t="s">
        <v>110</v>
      </c>
    </row>
    <row r="436" spans="1:6">
      <c r="A436" s="4" t="str">
        <f t="shared" si="6"/>
        <v>tRNA-Arg-TCG-1-1|5</v>
      </c>
      <c r="B436" s="4" t="s">
        <v>43</v>
      </c>
      <c r="C436" s="4" t="s">
        <v>115</v>
      </c>
      <c r="D436" s="4">
        <v>5</v>
      </c>
      <c r="E436" s="16" t="s">
        <v>116</v>
      </c>
      <c r="F436" s="17" t="s">
        <v>110</v>
      </c>
    </row>
    <row r="437" spans="1:6">
      <c r="A437" s="4" t="str">
        <f t="shared" si="6"/>
        <v>tRNA-Arg-TCG-1-1|6</v>
      </c>
      <c r="B437" s="4" t="s">
        <v>43</v>
      </c>
      <c r="C437" s="4" t="s">
        <v>117</v>
      </c>
      <c r="D437" s="4">
        <v>6</v>
      </c>
      <c r="E437" s="16" t="s">
        <v>114</v>
      </c>
      <c r="F437" s="17" t="s">
        <v>110</v>
      </c>
    </row>
    <row r="438" spans="1:6">
      <c r="A438" s="4" t="str">
        <f t="shared" si="6"/>
        <v>tRNA-Arg-TCG-1-1|7</v>
      </c>
      <c r="B438" s="4" t="s">
        <v>43</v>
      </c>
      <c r="C438" s="4" t="s">
        <v>118</v>
      </c>
      <c r="D438" s="4">
        <v>7</v>
      </c>
      <c r="E438" s="16" t="s">
        <v>109</v>
      </c>
      <c r="F438" s="17" t="s">
        <v>110</v>
      </c>
    </row>
    <row r="439" spans="1:6">
      <c r="A439" s="4" t="str">
        <f t="shared" si="6"/>
        <v>tRNA-Arg-TCG-1-1|8</v>
      </c>
      <c r="B439" s="4" t="s">
        <v>43</v>
      </c>
      <c r="C439" s="4" t="s">
        <v>119</v>
      </c>
      <c r="D439" s="4">
        <v>8</v>
      </c>
      <c r="E439" s="3" t="s">
        <v>116</v>
      </c>
      <c r="F439" s="4" t="s">
        <v>120</v>
      </c>
    </row>
    <row r="440" spans="1:6">
      <c r="A440" s="4" t="str">
        <f t="shared" si="6"/>
        <v>tRNA-Arg-TCG-1-1|9</v>
      </c>
      <c r="B440" s="4" t="s">
        <v>43</v>
      </c>
      <c r="C440" s="4" t="s">
        <v>121</v>
      </c>
      <c r="D440" s="4">
        <v>9</v>
      </c>
      <c r="E440" s="3" t="s">
        <v>122</v>
      </c>
      <c r="F440" s="4" t="s">
        <v>123</v>
      </c>
    </row>
    <row r="441" spans="1:6">
      <c r="A441" s="4" t="str">
        <f t="shared" si="6"/>
        <v>tRNA-Arg-TCG-1-1|10</v>
      </c>
      <c r="B441" s="4" t="s">
        <v>43</v>
      </c>
      <c r="C441" s="4" t="s">
        <v>124</v>
      </c>
      <c r="D441" s="4">
        <v>10</v>
      </c>
      <c r="E441" s="8" t="s">
        <v>109</v>
      </c>
      <c r="F441" s="7" t="s">
        <v>125</v>
      </c>
    </row>
    <row r="442" spans="1:6">
      <c r="A442" s="4" t="str">
        <f t="shared" si="6"/>
        <v>tRNA-Arg-TCG-1-1|11</v>
      </c>
      <c r="B442" s="4" t="s">
        <v>43</v>
      </c>
      <c r="C442" s="4" t="s">
        <v>126</v>
      </c>
      <c r="D442" s="4">
        <v>11</v>
      </c>
      <c r="E442" s="8" t="s">
        <v>109</v>
      </c>
      <c r="F442" s="7" t="s">
        <v>125</v>
      </c>
    </row>
    <row r="443" spans="1:6">
      <c r="A443" s="4" t="str">
        <f t="shared" si="6"/>
        <v>tRNA-Arg-TCG-1-1|12</v>
      </c>
      <c r="B443" s="4" t="s">
        <v>43</v>
      </c>
      <c r="C443" s="4" t="s">
        <v>127</v>
      </c>
      <c r="D443" s="4">
        <v>12</v>
      </c>
      <c r="E443" s="8" t="s">
        <v>109</v>
      </c>
      <c r="F443" s="7" t="s">
        <v>125</v>
      </c>
    </row>
    <row r="444" spans="1:6">
      <c r="A444" s="4" t="str">
        <f t="shared" si="6"/>
        <v>tRNA-Arg-TCG-1-1|13</v>
      </c>
      <c r="B444" s="4" t="s">
        <v>43</v>
      </c>
      <c r="C444" s="4" t="s">
        <v>128</v>
      </c>
      <c r="D444" s="4">
        <v>13</v>
      </c>
      <c r="E444" s="8" t="s">
        <v>116</v>
      </c>
      <c r="F444" s="7" t="s">
        <v>125</v>
      </c>
    </row>
    <row r="445" spans="1:6">
      <c r="A445" s="4" t="str">
        <f t="shared" si="6"/>
        <v>tRNA-Arg-TCG-1-1|14</v>
      </c>
      <c r="B445" s="4" t="s">
        <v>43</v>
      </c>
      <c r="C445" s="4" t="s">
        <v>129</v>
      </c>
      <c r="D445" s="4">
        <v>14</v>
      </c>
      <c r="E445" s="18" t="s">
        <v>122</v>
      </c>
      <c r="F445" s="19" t="s">
        <v>130</v>
      </c>
    </row>
    <row r="446" spans="1:6">
      <c r="A446" s="4" t="str">
        <f t="shared" si="6"/>
        <v>tRNA-Arg-TCG-1-1|15</v>
      </c>
      <c r="B446" s="4" t="s">
        <v>43</v>
      </c>
      <c r="C446" s="4" t="s">
        <v>131</v>
      </c>
      <c r="D446" s="4">
        <v>15</v>
      </c>
      <c r="E446" s="18" t="s">
        <v>109</v>
      </c>
      <c r="F446" s="19" t="s">
        <v>130</v>
      </c>
    </row>
    <row r="447" spans="1:6">
      <c r="A447" s="4" t="str">
        <f t="shared" si="6"/>
        <v>tRNA-Arg-TCG-1-1|16</v>
      </c>
      <c r="B447" s="4" t="s">
        <v>43</v>
      </c>
      <c r="C447" s="4" t="s">
        <v>194</v>
      </c>
      <c r="D447" s="4">
        <v>16</v>
      </c>
      <c r="E447" s="18" t="s">
        <v>114</v>
      </c>
      <c r="F447" s="19" t="s">
        <v>130</v>
      </c>
    </row>
    <row r="448" spans="1:6">
      <c r="A448" s="4" t="str">
        <f t="shared" si="6"/>
        <v>tRNA-Arg-TCG-1-1|17</v>
      </c>
      <c r="B448" s="4" t="s">
        <v>43</v>
      </c>
      <c r="C448" s="4" t="s">
        <v>195</v>
      </c>
      <c r="D448" s="4">
        <v>17</v>
      </c>
      <c r="E448" s="18" t="s">
        <v>114</v>
      </c>
      <c r="F448" s="19" t="s">
        <v>130</v>
      </c>
    </row>
    <row r="449" spans="1:6">
      <c r="A449" s="4" t="str">
        <f t="shared" si="6"/>
        <v>tRNA-Arg-TCG-1-1|17a</v>
      </c>
      <c r="B449" s="4" t="s">
        <v>43</v>
      </c>
      <c r="C449" s="4" t="s">
        <v>196</v>
      </c>
      <c r="D449" s="4">
        <v>18</v>
      </c>
      <c r="E449" s="18" t="s">
        <v>122</v>
      </c>
      <c r="F449" s="19" t="s">
        <v>130</v>
      </c>
    </row>
    <row r="450" spans="1:6">
      <c r="A450" s="4" t="str">
        <f t="shared" ref="A450:A513" si="7">B450&amp;"|"&amp;C450</f>
        <v>tRNA-Arg-TCG-1-1|18</v>
      </c>
      <c r="B450" s="4" t="s">
        <v>43</v>
      </c>
      <c r="C450" s="4" t="s">
        <v>132</v>
      </c>
      <c r="D450" s="4">
        <v>19</v>
      </c>
      <c r="E450" s="18" t="s">
        <v>109</v>
      </c>
      <c r="F450" s="19" t="s">
        <v>130</v>
      </c>
    </row>
    <row r="451" spans="1:6">
      <c r="A451" s="4" t="str">
        <f t="shared" si="7"/>
        <v>tRNA-Arg-TCG-1-1|19</v>
      </c>
      <c r="B451" s="4" t="s">
        <v>43</v>
      </c>
      <c r="C451" s="4" t="s">
        <v>133</v>
      </c>
      <c r="D451" s="4">
        <v>20</v>
      </c>
      <c r="E451" s="18" t="s">
        <v>109</v>
      </c>
      <c r="F451" s="19" t="s">
        <v>130</v>
      </c>
    </row>
    <row r="452" spans="1:6">
      <c r="A452" s="4" t="str">
        <f t="shared" si="7"/>
        <v>tRNA-Arg-TCG-1-1|20</v>
      </c>
      <c r="B452" s="4" t="s">
        <v>43</v>
      </c>
      <c r="C452" s="4" t="s">
        <v>134</v>
      </c>
      <c r="D452" s="4">
        <v>21</v>
      </c>
      <c r="E452" s="18" t="s">
        <v>122</v>
      </c>
      <c r="F452" s="19" t="s">
        <v>130</v>
      </c>
    </row>
    <row r="453" spans="1:6">
      <c r="A453" s="4" t="str">
        <f t="shared" si="7"/>
        <v>tRNA-Arg-TCG-1-1|20a</v>
      </c>
      <c r="B453" s="4" t="s">
        <v>43</v>
      </c>
      <c r="C453" s="4" t="s">
        <v>135</v>
      </c>
      <c r="D453" s="4">
        <v>22</v>
      </c>
      <c r="E453" s="18" t="s">
        <v>116</v>
      </c>
      <c r="F453" s="19" t="s">
        <v>130</v>
      </c>
    </row>
    <row r="454" spans="1:6">
      <c r="A454" s="4" t="str">
        <f t="shared" si="7"/>
        <v>tRNA-Arg-TCG-1-1|21</v>
      </c>
      <c r="B454" s="4" t="s">
        <v>43</v>
      </c>
      <c r="C454" s="4" t="s">
        <v>136</v>
      </c>
      <c r="D454" s="4">
        <v>23</v>
      </c>
      <c r="E454" s="18" t="s">
        <v>122</v>
      </c>
      <c r="F454" s="19" t="s">
        <v>130</v>
      </c>
    </row>
    <row r="455" spans="1:6">
      <c r="A455" s="4" t="str">
        <f t="shared" si="7"/>
        <v>tRNA-Arg-TCG-1-1|22</v>
      </c>
      <c r="B455" s="4" t="s">
        <v>43</v>
      </c>
      <c r="C455" s="4" t="s">
        <v>137</v>
      </c>
      <c r="D455" s="4">
        <v>24</v>
      </c>
      <c r="E455" s="8" t="s">
        <v>116</v>
      </c>
      <c r="F455" s="7" t="s">
        <v>125</v>
      </c>
    </row>
    <row r="456" spans="1:6">
      <c r="A456" s="4" t="str">
        <f t="shared" si="7"/>
        <v>tRNA-Arg-TCG-1-1|23</v>
      </c>
      <c r="B456" s="4" t="s">
        <v>43</v>
      </c>
      <c r="C456" s="4" t="s">
        <v>138</v>
      </c>
      <c r="D456" s="4">
        <v>25</v>
      </c>
      <c r="E456" s="8" t="s">
        <v>114</v>
      </c>
      <c r="F456" s="7" t="s">
        <v>125</v>
      </c>
    </row>
    <row r="457" spans="1:6">
      <c r="A457" s="4" t="str">
        <f t="shared" si="7"/>
        <v>tRNA-Arg-TCG-1-1|24</v>
      </c>
      <c r="B457" s="4" t="s">
        <v>43</v>
      </c>
      <c r="C457" s="4" t="s">
        <v>139</v>
      </c>
      <c r="D457" s="4">
        <v>26</v>
      </c>
      <c r="E457" s="8" t="s">
        <v>114</v>
      </c>
      <c r="F457" s="7" t="s">
        <v>125</v>
      </c>
    </row>
    <row r="458" spans="1:6">
      <c r="A458" s="4" t="str">
        <f t="shared" si="7"/>
        <v>tRNA-Arg-TCG-1-1|25</v>
      </c>
      <c r="B458" s="4" t="s">
        <v>43</v>
      </c>
      <c r="C458" s="4" t="s">
        <v>140</v>
      </c>
      <c r="D458" s="4">
        <v>27</v>
      </c>
      <c r="E458" s="8" t="s">
        <v>116</v>
      </c>
      <c r="F458" s="7" t="s">
        <v>125</v>
      </c>
    </row>
    <row r="459" spans="1:6">
      <c r="A459" s="4" t="str">
        <f t="shared" si="7"/>
        <v>tRNA-Arg-TCG-1-1|26</v>
      </c>
      <c r="B459" s="4" t="s">
        <v>43</v>
      </c>
      <c r="C459" s="4" t="s">
        <v>141</v>
      </c>
      <c r="D459" s="4">
        <v>28</v>
      </c>
      <c r="E459" s="3" t="s">
        <v>122</v>
      </c>
      <c r="F459" s="4" t="s">
        <v>142</v>
      </c>
    </row>
    <row r="460" spans="1:6">
      <c r="A460" s="4" t="str">
        <f t="shared" si="7"/>
        <v>tRNA-Arg-TCG-1-1|27</v>
      </c>
      <c r="B460" s="4" t="s">
        <v>43</v>
      </c>
      <c r="C460" s="4" t="s">
        <v>143</v>
      </c>
      <c r="D460" s="4">
        <v>29</v>
      </c>
      <c r="E460" s="20" t="s">
        <v>122</v>
      </c>
      <c r="F460" s="21" t="s">
        <v>144</v>
      </c>
    </row>
    <row r="461" spans="1:6">
      <c r="A461" s="4" t="str">
        <f t="shared" si="7"/>
        <v>tRNA-Arg-TCG-1-1|28</v>
      </c>
      <c r="B461" s="4" t="s">
        <v>43</v>
      </c>
      <c r="C461" s="4" t="s">
        <v>145</v>
      </c>
      <c r="D461" s="4">
        <v>30</v>
      </c>
      <c r="E461" s="20" t="s">
        <v>116</v>
      </c>
      <c r="F461" s="21" t="s">
        <v>144</v>
      </c>
    </row>
    <row r="462" spans="1:6">
      <c r="A462" s="4" t="str">
        <f t="shared" si="7"/>
        <v>tRNA-Arg-TCG-1-1|29</v>
      </c>
      <c r="B462" s="4" t="s">
        <v>43</v>
      </c>
      <c r="C462" s="4" t="s">
        <v>146</v>
      </c>
      <c r="D462" s="4">
        <v>31</v>
      </c>
      <c r="E462" s="20" t="s">
        <v>109</v>
      </c>
      <c r="F462" s="21" t="s">
        <v>144</v>
      </c>
    </row>
    <row r="463" spans="1:6">
      <c r="A463" s="4" t="str">
        <f t="shared" si="7"/>
        <v>tRNA-Arg-TCG-1-1|30</v>
      </c>
      <c r="B463" s="4" t="s">
        <v>43</v>
      </c>
      <c r="C463" s="4" t="s">
        <v>147</v>
      </c>
      <c r="D463" s="4">
        <v>32</v>
      </c>
      <c r="E463" s="20" t="s">
        <v>109</v>
      </c>
      <c r="F463" s="21" t="s">
        <v>144</v>
      </c>
    </row>
    <row r="464" spans="1:6">
      <c r="A464" s="4" t="str">
        <f t="shared" si="7"/>
        <v>tRNA-Arg-TCG-1-1|31</v>
      </c>
      <c r="B464" s="4" t="s">
        <v>43</v>
      </c>
      <c r="C464" s="4" t="s">
        <v>148</v>
      </c>
      <c r="D464" s="4">
        <v>33</v>
      </c>
      <c r="E464" s="20" t="s">
        <v>109</v>
      </c>
      <c r="F464" s="21" t="s">
        <v>144</v>
      </c>
    </row>
    <row r="465" spans="1:6">
      <c r="A465" s="4" t="str">
        <f t="shared" si="7"/>
        <v>tRNA-Arg-TCG-1-1|32</v>
      </c>
      <c r="B465" s="4" t="s">
        <v>43</v>
      </c>
      <c r="C465" s="4" t="s">
        <v>149</v>
      </c>
      <c r="D465" s="4">
        <v>34</v>
      </c>
      <c r="E465" s="18" t="s">
        <v>114</v>
      </c>
      <c r="F465" s="19" t="s">
        <v>150</v>
      </c>
    </row>
    <row r="466" spans="1:6">
      <c r="A466" s="4" t="str">
        <f t="shared" si="7"/>
        <v>tRNA-Arg-TCG-1-1|33</v>
      </c>
      <c r="B466" s="4" t="s">
        <v>43</v>
      </c>
      <c r="C466" s="4" t="s">
        <v>151</v>
      </c>
      <c r="D466" s="4">
        <v>35</v>
      </c>
      <c r="E466" s="18" t="s">
        <v>116</v>
      </c>
      <c r="F466" s="19" t="s">
        <v>150</v>
      </c>
    </row>
    <row r="467" spans="1:6">
      <c r="A467" s="4" t="str">
        <f t="shared" si="7"/>
        <v>tRNA-Arg-TCG-1-1|34</v>
      </c>
      <c r="B467" s="4" t="s">
        <v>43</v>
      </c>
      <c r="C467" s="4" t="s">
        <v>152</v>
      </c>
      <c r="D467" s="4">
        <v>36</v>
      </c>
      <c r="E467" s="18" t="s">
        <v>116</v>
      </c>
      <c r="F467" s="19" t="s">
        <v>150</v>
      </c>
    </row>
    <row r="468" spans="1:6">
      <c r="A468" s="4" t="str">
        <f t="shared" si="7"/>
        <v>tRNA-Arg-TCG-1-1|35</v>
      </c>
      <c r="B468" s="4" t="s">
        <v>43</v>
      </c>
      <c r="C468" s="4" t="s">
        <v>153</v>
      </c>
      <c r="D468" s="4">
        <v>37</v>
      </c>
      <c r="E468" s="18" t="s">
        <v>114</v>
      </c>
      <c r="F468" s="19" t="s">
        <v>150</v>
      </c>
    </row>
    <row r="469" spans="1:6">
      <c r="A469" s="4" t="str">
        <f t="shared" si="7"/>
        <v>tRNA-Arg-TCG-1-1|36</v>
      </c>
      <c r="B469" s="4" t="s">
        <v>43</v>
      </c>
      <c r="C469" s="4" t="s">
        <v>154</v>
      </c>
      <c r="D469" s="4">
        <v>38</v>
      </c>
      <c r="E469" s="18" t="s">
        <v>109</v>
      </c>
      <c r="F469" s="19" t="s">
        <v>150</v>
      </c>
    </row>
    <row r="470" spans="1:6">
      <c r="A470" s="4" t="str">
        <f t="shared" si="7"/>
        <v>tRNA-Arg-TCG-1-1|37</v>
      </c>
      <c r="B470" s="4" t="s">
        <v>43</v>
      </c>
      <c r="C470" s="4" t="s">
        <v>155</v>
      </c>
      <c r="D470" s="4">
        <v>39</v>
      </c>
      <c r="E470" s="18" t="s">
        <v>122</v>
      </c>
      <c r="F470" s="19" t="s">
        <v>150</v>
      </c>
    </row>
    <row r="471" spans="1:6">
      <c r="A471" s="4" t="str">
        <f t="shared" si="7"/>
        <v>tRNA-Arg-TCG-1-1|38</v>
      </c>
      <c r="B471" s="4" t="s">
        <v>43</v>
      </c>
      <c r="C471" s="4" t="s">
        <v>156</v>
      </c>
      <c r="D471" s="4">
        <v>40</v>
      </c>
      <c r="E471" s="18" t="s">
        <v>122</v>
      </c>
      <c r="F471" s="19" t="s">
        <v>150</v>
      </c>
    </row>
    <row r="472" spans="1:6">
      <c r="A472" s="4" t="str">
        <f t="shared" si="7"/>
        <v>tRNA-Arg-TCG-1-1|39</v>
      </c>
      <c r="B472" s="4" t="s">
        <v>43</v>
      </c>
      <c r="C472" s="4" t="s">
        <v>157</v>
      </c>
      <c r="D472" s="4">
        <v>41</v>
      </c>
      <c r="E472" s="20" t="s">
        <v>114</v>
      </c>
      <c r="F472" s="21" t="s">
        <v>144</v>
      </c>
    </row>
    <row r="473" spans="1:6">
      <c r="A473" s="4" t="str">
        <f t="shared" si="7"/>
        <v>tRNA-Arg-TCG-1-1|40</v>
      </c>
      <c r="B473" s="4" t="s">
        <v>43</v>
      </c>
      <c r="C473" s="4" t="s">
        <v>158</v>
      </c>
      <c r="D473" s="4">
        <v>42</v>
      </c>
      <c r="E473" s="20" t="s">
        <v>114</v>
      </c>
      <c r="F473" s="21" t="s">
        <v>144</v>
      </c>
    </row>
    <row r="474" spans="1:6">
      <c r="A474" s="4" t="str">
        <f t="shared" si="7"/>
        <v>tRNA-Arg-TCG-1-1|41</v>
      </c>
      <c r="B474" s="4" t="s">
        <v>43</v>
      </c>
      <c r="C474" s="4" t="s">
        <v>159</v>
      </c>
      <c r="D474" s="4">
        <v>43</v>
      </c>
      <c r="E474" s="20" t="s">
        <v>114</v>
      </c>
      <c r="F474" s="21" t="s">
        <v>144</v>
      </c>
    </row>
    <row r="475" spans="1:6">
      <c r="A475" s="4" t="str">
        <f t="shared" si="7"/>
        <v>tRNA-Arg-TCG-1-1|42</v>
      </c>
      <c r="B475" s="4" t="s">
        <v>43</v>
      </c>
      <c r="C475" s="4" t="s">
        <v>160</v>
      </c>
      <c r="D475" s="4">
        <v>44</v>
      </c>
      <c r="E475" s="20" t="s">
        <v>122</v>
      </c>
      <c r="F475" s="21" t="s">
        <v>144</v>
      </c>
    </row>
    <row r="476" spans="1:6">
      <c r="A476" s="4" t="str">
        <f t="shared" si="7"/>
        <v>tRNA-Arg-TCG-1-1|43</v>
      </c>
      <c r="B476" s="4" t="s">
        <v>43</v>
      </c>
      <c r="C476" s="4" t="s">
        <v>161</v>
      </c>
      <c r="D476" s="4">
        <v>45</v>
      </c>
      <c r="E476" s="20" t="s">
        <v>116</v>
      </c>
      <c r="F476" s="21" t="s">
        <v>144</v>
      </c>
    </row>
    <row r="477" spans="1:6">
      <c r="A477" s="4" t="str">
        <f t="shared" si="7"/>
        <v>tRNA-Arg-TCG-1-1|44</v>
      </c>
      <c r="B477" s="4" t="s">
        <v>43</v>
      </c>
      <c r="C477" s="4" t="s">
        <v>162</v>
      </c>
      <c r="D477" s="4">
        <v>46</v>
      </c>
      <c r="E477" s="18" t="s">
        <v>116</v>
      </c>
      <c r="F477" s="19" t="s">
        <v>163</v>
      </c>
    </row>
    <row r="478" spans="1:6">
      <c r="A478" s="4" t="str">
        <f t="shared" si="7"/>
        <v>tRNA-Arg-TCG-1-1|45</v>
      </c>
      <c r="B478" s="4" t="s">
        <v>43</v>
      </c>
      <c r="C478" s="4" t="s">
        <v>164</v>
      </c>
      <c r="D478" s="4">
        <v>47</v>
      </c>
      <c r="E478" s="18" t="s">
        <v>109</v>
      </c>
      <c r="F478" s="19" t="s">
        <v>163</v>
      </c>
    </row>
    <row r="479" spans="1:6">
      <c r="A479" s="4" t="str">
        <f t="shared" si="7"/>
        <v>tRNA-Arg-TCG-1-1|46</v>
      </c>
      <c r="B479" s="4" t="s">
        <v>43</v>
      </c>
      <c r="C479" s="4" t="s">
        <v>165</v>
      </c>
      <c r="D479" s="4">
        <v>48</v>
      </c>
      <c r="E479" s="18" t="s">
        <v>122</v>
      </c>
      <c r="F479" s="19" t="s">
        <v>163</v>
      </c>
    </row>
    <row r="480" spans="1:6">
      <c r="A480" s="4" t="str">
        <f t="shared" si="7"/>
        <v>tRNA-Arg-TCG-1-1|48</v>
      </c>
      <c r="B480" s="4" t="s">
        <v>43</v>
      </c>
      <c r="C480" s="4" t="s">
        <v>167</v>
      </c>
      <c r="D480" s="4">
        <v>49</v>
      </c>
      <c r="E480" s="18" t="s">
        <v>114</v>
      </c>
      <c r="F480" s="19" t="s">
        <v>163</v>
      </c>
    </row>
    <row r="481" spans="1:6">
      <c r="A481" s="4" t="str">
        <f t="shared" si="7"/>
        <v>tRNA-Arg-TCG-1-1|49</v>
      </c>
      <c r="B481" s="4" t="s">
        <v>43</v>
      </c>
      <c r="C481" s="4" t="s">
        <v>168</v>
      </c>
      <c r="D481" s="4">
        <v>50</v>
      </c>
      <c r="E481" s="22" t="s">
        <v>116</v>
      </c>
      <c r="F481" s="10" t="s">
        <v>169</v>
      </c>
    </row>
    <row r="482" spans="1:6">
      <c r="A482" s="4" t="str">
        <f t="shared" si="7"/>
        <v>tRNA-Arg-TCG-1-1|50</v>
      </c>
      <c r="B482" s="4" t="s">
        <v>43</v>
      </c>
      <c r="C482" s="4" t="s">
        <v>170</v>
      </c>
      <c r="D482" s="4">
        <v>51</v>
      </c>
      <c r="E482" s="22" t="s">
        <v>114</v>
      </c>
      <c r="F482" s="10" t="s">
        <v>169</v>
      </c>
    </row>
    <row r="483" spans="1:6">
      <c r="A483" s="4" t="str">
        <f t="shared" si="7"/>
        <v>tRNA-Arg-TCG-1-1|51</v>
      </c>
      <c r="B483" s="4" t="s">
        <v>43</v>
      </c>
      <c r="C483" s="4" t="s">
        <v>171</v>
      </c>
      <c r="D483" s="4">
        <v>52</v>
      </c>
      <c r="E483" s="22" t="s">
        <v>109</v>
      </c>
      <c r="F483" s="10" t="s">
        <v>169</v>
      </c>
    </row>
    <row r="484" spans="1:6">
      <c r="A484" s="4" t="str">
        <f t="shared" si="7"/>
        <v>tRNA-Arg-TCG-1-1|52</v>
      </c>
      <c r="B484" s="4" t="s">
        <v>43</v>
      </c>
      <c r="C484" s="4" t="s">
        <v>172</v>
      </c>
      <c r="D484" s="4">
        <v>53</v>
      </c>
      <c r="E484" s="22" t="s">
        <v>116</v>
      </c>
      <c r="F484" s="10" t="s">
        <v>169</v>
      </c>
    </row>
    <row r="485" spans="1:6">
      <c r="A485" s="4" t="str">
        <f t="shared" si="7"/>
        <v>tRNA-Arg-TCG-1-1|53</v>
      </c>
      <c r="B485" s="4" t="s">
        <v>43</v>
      </c>
      <c r="C485" s="4" t="s">
        <v>173</v>
      </c>
      <c r="D485" s="4">
        <v>54</v>
      </c>
      <c r="E485" s="22" t="s">
        <v>109</v>
      </c>
      <c r="F485" s="10" t="s">
        <v>169</v>
      </c>
    </row>
    <row r="486" spans="1:6">
      <c r="A486" s="4" t="str">
        <f t="shared" si="7"/>
        <v>tRNA-Arg-TCG-1-1|54</v>
      </c>
      <c r="B486" s="4" t="s">
        <v>43</v>
      </c>
      <c r="C486" s="4" t="s">
        <v>174</v>
      </c>
      <c r="D486" s="4">
        <v>55</v>
      </c>
      <c r="E486" s="18" t="s">
        <v>116</v>
      </c>
      <c r="F486" s="19" t="s">
        <v>175</v>
      </c>
    </row>
    <row r="487" spans="1:6">
      <c r="A487" s="4" t="str">
        <f t="shared" si="7"/>
        <v>tRNA-Arg-TCG-1-1|55</v>
      </c>
      <c r="B487" s="4" t="s">
        <v>43</v>
      </c>
      <c r="C487" s="4" t="s">
        <v>176</v>
      </c>
      <c r="D487" s="4">
        <v>56</v>
      </c>
      <c r="E487" s="18" t="s">
        <v>116</v>
      </c>
      <c r="F487" s="19" t="s">
        <v>175</v>
      </c>
    </row>
    <row r="488" spans="1:6">
      <c r="A488" s="4" t="str">
        <f t="shared" si="7"/>
        <v>tRNA-Arg-TCG-1-1|56</v>
      </c>
      <c r="B488" s="4" t="s">
        <v>43</v>
      </c>
      <c r="C488" s="4" t="s">
        <v>177</v>
      </c>
      <c r="D488" s="4">
        <v>57</v>
      </c>
      <c r="E488" s="18" t="s">
        <v>114</v>
      </c>
      <c r="F488" s="19" t="s">
        <v>175</v>
      </c>
    </row>
    <row r="489" spans="1:6">
      <c r="A489" s="4" t="str">
        <f t="shared" si="7"/>
        <v>tRNA-Arg-TCG-1-1|57</v>
      </c>
      <c r="B489" s="4" t="s">
        <v>43</v>
      </c>
      <c r="C489" s="4" t="s">
        <v>178</v>
      </c>
      <c r="D489" s="4">
        <v>58</v>
      </c>
      <c r="E489" s="18" t="s">
        <v>109</v>
      </c>
      <c r="F489" s="19" t="s">
        <v>175</v>
      </c>
    </row>
    <row r="490" spans="1:6">
      <c r="A490" s="4" t="str">
        <f t="shared" si="7"/>
        <v>tRNA-Arg-TCG-1-1|58</v>
      </c>
      <c r="B490" s="4" t="s">
        <v>43</v>
      </c>
      <c r="C490" s="4" t="s">
        <v>179</v>
      </c>
      <c r="D490" s="4">
        <v>59</v>
      </c>
      <c r="E490" s="18" t="s">
        <v>122</v>
      </c>
      <c r="F490" s="19" t="s">
        <v>175</v>
      </c>
    </row>
    <row r="491" spans="1:6">
      <c r="A491" s="4" t="str">
        <f t="shared" si="7"/>
        <v>tRNA-Arg-TCG-1-1|59</v>
      </c>
      <c r="B491" s="4" t="s">
        <v>43</v>
      </c>
      <c r="C491" s="4" t="s">
        <v>180</v>
      </c>
      <c r="D491" s="4">
        <v>60</v>
      </c>
      <c r="E491" s="18" t="s">
        <v>122</v>
      </c>
      <c r="F491" s="19" t="s">
        <v>175</v>
      </c>
    </row>
    <row r="492" spans="1:6">
      <c r="A492" s="4" t="str">
        <f t="shared" si="7"/>
        <v>tRNA-Arg-TCG-1-1|60</v>
      </c>
      <c r="B492" s="4" t="s">
        <v>43</v>
      </c>
      <c r="C492" s="4" t="s">
        <v>181</v>
      </c>
      <c r="D492" s="4">
        <v>61</v>
      </c>
      <c r="E492" s="18" t="s">
        <v>116</v>
      </c>
      <c r="F492" s="19" t="s">
        <v>175</v>
      </c>
    </row>
    <row r="493" spans="1:6">
      <c r="A493" s="4" t="str">
        <f t="shared" si="7"/>
        <v>tRNA-Arg-TCG-1-1|61</v>
      </c>
      <c r="B493" s="4" t="s">
        <v>43</v>
      </c>
      <c r="C493" s="4" t="s">
        <v>182</v>
      </c>
      <c r="D493" s="4">
        <v>62</v>
      </c>
      <c r="E493" s="22" t="s">
        <v>114</v>
      </c>
      <c r="F493" s="10" t="s">
        <v>169</v>
      </c>
    </row>
    <row r="494" spans="1:6">
      <c r="A494" s="4" t="str">
        <f t="shared" si="7"/>
        <v>tRNA-Arg-TCG-1-1|62</v>
      </c>
      <c r="B494" s="4" t="s">
        <v>43</v>
      </c>
      <c r="C494" s="4" t="s">
        <v>183</v>
      </c>
      <c r="D494" s="4">
        <v>63</v>
      </c>
      <c r="E494" s="22" t="s">
        <v>109</v>
      </c>
      <c r="F494" s="10" t="s">
        <v>169</v>
      </c>
    </row>
    <row r="495" spans="1:6">
      <c r="A495" s="4" t="str">
        <f t="shared" si="7"/>
        <v>tRNA-Arg-TCG-1-1|63</v>
      </c>
      <c r="B495" s="4" t="s">
        <v>43</v>
      </c>
      <c r="C495" s="4" t="s">
        <v>184</v>
      </c>
      <c r="D495" s="4">
        <v>64</v>
      </c>
      <c r="E495" s="22" t="s">
        <v>114</v>
      </c>
      <c r="F495" s="10" t="s">
        <v>169</v>
      </c>
    </row>
    <row r="496" spans="1:6">
      <c r="A496" s="4" t="str">
        <f t="shared" si="7"/>
        <v>tRNA-Arg-TCG-1-1|64</v>
      </c>
      <c r="B496" s="4" t="s">
        <v>43</v>
      </c>
      <c r="C496" s="4" t="s">
        <v>185</v>
      </c>
      <c r="D496" s="4">
        <v>65</v>
      </c>
      <c r="E496" s="22" t="s">
        <v>109</v>
      </c>
      <c r="F496" s="10" t="s">
        <v>169</v>
      </c>
    </row>
    <row r="497" spans="1:6">
      <c r="A497" s="4" t="str">
        <f t="shared" si="7"/>
        <v>tRNA-Arg-TCG-1-1|65</v>
      </c>
      <c r="B497" s="4" t="s">
        <v>43</v>
      </c>
      <c r="C497" s="4" t="s">
        <v>186</v>
      </c>
      <c r="D497" s="4">
        <v>66</v>
      </c>
      <c r="E497" s="22" t="s">
        <v>109</v>
      </c>
      <c r="F497" s="10" t="s">
        <v>169</v>
      </c>
    </row>
    <row r="498" spans="1:6">
      <c r="A498" s="4" t="str">
        <f t="shared" si="7"/>
        <v>tRNA-Arg-TCG-1-1|66</v>
      </c>
      <c r="B498" s="4" t="s">
        <v>43</v>
      </c>
      <c r="C498" s="4" t="s">
        <v>187</v>
      </c>
      <c r="D498" s="4">
        <v>67</v>
      </c>
      <c r="E498" s="16" t="s">
        <v>114</v>
      </c>
      <c r="F498" s="17" t="s">
        <v>110</v>
      </c>
    </row>
    <row r="499" spans="1:6">
      <c r="A499" s="4" t="str">
        <f t="shared" si="7"/>
        <v>tRNA-Arg-TCG-1-1|67</v>
      </c>
      <c r="B499" s="4" t="s">
        <v>43</v>
      </c>
      <c r="C499" s="4" t="s">
        <v>188</v>
      </c>
      <c r="D499" s="4">
        <v>68</v>
      </c>
      <c r="E499" s="16" t="s">
        <v>109</v>
      </c>
      <c r="F499" s="17" t="s">
        <v>110</v>
      </c>
    </row>
    <row r="500" spans="1:6">
      <c r="A500" s="4" t="str">
        <f t="shared" si="7"/>
        <v>tRNA-Arg-TCG-1-1|68</v>
      </c>
      <c r="B500" s="4" t="s">
        <v>43</v>
      </c>
      <c r="C500" s="4" t="s">
        <v>189</v>
      </c>
      <c r="D500" s="4">
        <v>69</v>
      </c>
      <c r="E500" s="16" t="s">
        <v>109</v>
      </c>
      <c r="F500" s="17" t="s">
        <v>110</v>
      </c>
    </row>
    <row r="501" spans="1:6">
      <c r="A501" s="4" t="str">
        <f t="shared" si="7"/>
        <v>tRNA-Arg-TCG-1-1|69</v>
      </c>
      <c r="B501" s="4" t="s">
        <v>43</v>
      </c>
      <c r="C501" s="4" t="s">
        <v>190</v>
      </c>
      <c r="D501" s="4">
        <v>70</v>
      </c>
      <c r="E501" s="16" t="s">
        <v>109</v>
      </c>
      <c r="F501" s="17" t="s">
        <v>110</v>
      </c>
    </row>
    <row r="502" spans="1:6">
      <c r="A502" s="4" t="str">
        <f t="shared" si="7"/>
        <v>tRNA-Arg-TCG-1-1|70</v>
      </c>
      <c r="B502" s="4" t="s">
        <v>43</v>
      </c>
      <c r="C502" s="4" t="s">
        <v>191</v>
      </c>
      <c r="D502" s="4">
        <v>71</v>
      </c>
      <c r="E502" s="16" t="s">
        <v>114</v>
      </c>
      <c r="F502" s="17" t="s">
        <v>110</v>
      </c>
    </row>
    <row r="503" spans="1:6">
      <c r="A503" s="4" t="str">
        <f t="shared" si="7"/>
        <v>tRNA-Arg-TCG-1-1|71</v>
      </c>
      <c r="B503" s="4" t="s">
        <v>43</v>
      </c>
      <c r="C503" s="4" t="s">
        <v>192</v>
      </c>
      <c r="D503" s="4">
        <v>72</v>
      </c>
      <c r="E503" s="16" t="s">
        <v>114</v>
      </c>
      <c r="F503" s="17" t="s">
        <v>110</v>
      </c>
    </row>
    <row r="504" spans="1:6">
      <c r="A504" s="4" t="str">
        <f t="shared" si="7"/>
        <v>tRNA-Arg-TCG-1-1|72</v>
      </c>
      <c r="B504" s="4" t="s">
        <v>43</v>
      </c>
      <c r="C504" s="4" t="s">
        <v>193</v>
      </c>
      <c r="D504" s="4">
        <v>73</v>
      </c>
      <c r="E504" s="16" t="s">
        <v>114</v>
      </c>
      <c r="F504" s="17" t="s">
        <v>110</v>
      </c>
    </row>
    <row r="505" spans="1:6">
      <c r="A505" s="4" t="str">
        <f t="shared" si="7"/>
        <v>tRNA-Arg-TCT-1-1|1</v>
      </c>
      <c r="B505" s="4" t="s">
        <v>44</v>
      </c>
      <c r="C505" s="4" t="s">
        <v>108</v>
      </c>
      <c r="D505" s="4">
        <v>1</v>
      </c>
      <c r="E505" s="16" t="s">
        <v>109</v>
      </c>
      <c r="F505" s="17" t="s">
        <v>110</v>
      </c>
    </row>
    <row r="506" spans="1:6">
      <c r="A506" s="4" t="str">
        <f t="shared" si="7"/>
        <v>tRNA-Arg-TCT-1-1|2</v>
      </c>
      <c r="B506" s="4" t="s">
        <v>44</v>
      </c>
      <c r="C506" s="4" t="s">
        <v>111</v>
      </c>
      <c r="D506" s="4">
        <v>2</v>
      </c>
      <c r="E506" s="16" t="s">
        <v>109</v>
      </c>
      <c r="F506" s="17" t="s">
        <v>110</v>
      </c>
    </row>
    <row r="507" spans="1:6">
      <c r="A507" s="4" t="str">
        <f t="shared" si="7"/>
        <v>tRNA-Arg-TCT-1-1|3</v>
      </c>
      <c r="B507" s="4" t="s">
        <v>44</v>
      </c>
      <c r="C507" s="4" t="s">
        <v>112</v>
      </c>
      <c r="D507" s="4">
        <v>3</v>
      </c>
      <c r="E507" s="16" t="s">
        <v>109</v>
      </c>
      <c r="F507" s="17" t="s">
        <v>110</v>
      </c>
    </row>
    <row r="508" spans="1:6">
      <c r="A508" s="4" t="str">
        <f t="shared" si="7"/>
        <v>tRNA-Arg-TCT-1-1|4</v>
      </c>
      <c r="B508" s="4" t="s">
        <v>44</v>
      </c>
      <c r="C508" s="4" t="s">
        <v>113</v>
      </c>
      <c r="D508" s="4">
        <v>4</v>
      </c>
      <c r="E508" s="16" t="s">
        <v>114</v>
      </c>
      <c r="F508" s="17" t="s">
        <v>110</v>
      </c>
    </row>
    <row r="509" spans="1:6">
      <c r="A509" s="4" t="str">
        <f t="shared" si="7"/>
        <v>tRNA-Arg-TCT-1-1|5</v>
      </c>
      <c r="B509" s="4" t="s">
        <v>44</v>
      </c>
      <c r="C509" s="4" t="s">
        <v>115</v>
      </c>
      <c r="D509" s="4">
        <v>5</v>
      </c>
      <c r="E509" s="16" t="s">
        <v>116</v>
      </c>
      <c r="F509" s="17" t="s">
        <v>110</v>
      </c>
    </row>
    <row r="510" spans="1:6">
      <c r="A510" s="4" t="str">
        <f t="shared" si="7"/>
        <v>tRNA-Arg-TCT-1-1|6</v>
      </c>
      <c r="B510" s="4" t="s">
        <v>44</v>
      </c>
      <c r="C510" s="4" t="s">
        <v>117</v>
      </c>
      <c r="D510" s="4">
        <v>6</v>
      </c>
      <c r="E510" s="16" t="s">
        <v>114</v>
      </c>
      <c r="F510" s="17" t="s">
        <v>110</v>
      </c>
    </row>
    <row r="511" spans="1:6">
      <c r="A511" s="4" t="str">
        <f t="shared" si="7"/>
        <v>tRNA-Arg-TCT-1-1|7</v>
      </c>
      <c r="B511" s="4" t="s">
        <v>44</v>
      </c>
      <c r="C511" s="4" t="s">
        <v>118</v>
      </c>
      <c r="D511" s="4">
        <v>7</v>
      </c>
      <c r="E511" s="16" t="s">
        <v>109</v>
      </c>
      <c r="F511" s="17" t="s">
        <v>110</v>
      </c>
    </row>
    <row r="512" spans="1:6">
      <c r="A512" s="4" t="str">
        <f t="shared" si="7"/>
        <v>tRNA-Arg-TCT-1-1|8</v>
      </c>
      <c r="B512" s="4" t="s">
        <v>44</v>
      </c>
      <c r="C512" s="4" t="s">
        <v>119</v>
      </c>
      <c r="D512" s="4">
        <v>8</v>
      </c>
      <c r="E512" s="3" t="s">
        <v>116</v>
      </c>
      <c r="F512" s="4" t="s">
        <v>120</v>
      </c>
    </row>
    <row r="513" spans="1:6">
      <c r="A513" s="4" t="str">
        <f t="shared" si="7"/>
        <v>tRNA-Arg-TCT-1-1|9</v>
      </c>
      <c r="B513" s="4" t="s">
        <v>44</v>
      </c>
      <c r="C513" s="4" t="s">
        <v>121</v>
      </c>
      <c r="D513" s="4">
        <v>9</v>
      </c>
      <c r="E513" s="3" t="s">
        <v>109</v>
      </c>
      <c r="F513" s="4" t="s">
        <v>123</v>
      </c>
    </row>
    <row r="514" spans="1:6">
      <c r="A514" s="4" t="str">
        <f t="shared" ref="A514:A577" si="8">B514&amp;"|"&amp;C514</f>
        <v>tRNA-Arg-TCT-1-1|10</v>
      </c>
      <c r="B514" s="4" t="s">
        <v>44</v>
      </c>
      <c r="C514" s="4" t="s">
        <v>124</v>
      </c>
      <c r="D514" s="4">
        <v>10</v>
      </c>
      <c r="E514" s="8" t="s">
        <v>109</v>
      </c>
      <c r="F514" s="7" t="s">
        <v>125</v>
      </c>
    </row>
    <row r="515" spans="1:6">
      <c r="A515" s="4" t="str">
        <f t="shared" si="8"/>
        <v>tRNA-Arg-TCT-1-1|11</v>
      </c>
      <c r="B515" s="4" t="s">
        <v>44</v>
      </c>
      <c r="C515" s="4" t="s">
        <v>126</v>
      </c>
      <c r="D515" s="4">
        <v>11</v>
      </c>
      <c r="E515" s="8" t="s">
        <v>114</v>
      </c>
      <c r="F515" s="7" t="s">
        <v>125</v>
      </c>
    </row>
    <row r="516" spans="1:6">
      <c r="A516" s="4" t="str">
        <f t="shared" si="8"/>
        <v>tRNA-Arg-TCT-1-1|12</v>
      </c>
      <c r="B516" s="4" t="s">
        <v>44</v>
      </c>
      <c r="C516" s="4" t="s">
        <v>127</v>
      </c>
      <c r="D516" s="4">
        <v>12</v>
      </c>
      <c r="E516" s="8" t="s">
        <v>116</v>
      </c>
      <c r="F516" s="7" t="s">
        <v>125</v>
      </c>
    </row>
    <row r="517" spans="1:6">
      <c r="A517" s="4" t="str">
        <f t="shared" si="8"/>
        <v>tRNA-Arg-TCT-1-1|13</v>
      </c>
      <c r="B517" s="4" t="s">
        <v>44</v>
      </c>
      <c r="C517" s="4" t="s">
        <v>128</v>
      </c>
      <c r="D517" s="4">
        <v>13</v>
      </c>
      <c r="E517" s="8" t="s">
        <v>116</v>
      </c>
      <c r="F517" s="7" t="s">
        <v>125</v>
      </c>
    </row>
    <row r="518" spans="1:6">
      <c r="A518" s="4" t="str">
        <f t="shared" si="8"/>
        <v>tRNA-Arg-TCT-1-1|14</v>
      </c>
      <c r="B518" s="4" t="s">
        <v>44</v>
      </c>
      <c r="C518" s="4" t="s">
        <v>129</v>
      </c>
      <c r="D518" s="4">
        <v>14</v>
      </c>
      <c r="E518" s="18" t="s">
        <v>122</v>
      </c>
      <c r="F518" s="19" t="s">
        <v>130</v>
      </c>
    </row>
    <row r="519" spans="1:6">
      <c r="A519" s="4" t="str">
        <f t="shared" si="8"/>
        <v>tRNA-Arg-TCT-1-1|15</v>
      </c>
      <c r="B519" s="4" t="s">
        <v>44</v>
      </c>
      <c r="C519" s="4" t="s">
        <v>131</v>
      </c>
      <c r="D519" s="4">
        <v>15</v>
      </c>
      <c r="E519" s="18" t="s">
        <v>109</v>
      </c>
      <c r="F519" s="19" t="s">
        <v>130</v>
      </c>
    </row>
    <row r="520" spans="1:6">
      <c r="A520" s="4" t="str">
        <f t="shared" si="8"/>
        <v>tRNA-Arg-TCT-1-1|16</v>
      </c>
      <c r="B520" s="4" t="s">
        <v>44</v>
      </c>
      <c r="C520" s="4" t="s">
        <v>194</v>
      </c>
      <c r="D520" s="4">
        <v>16</v>
      </c>
      <c r="E520" s="18" t="s">
        <v>114</v>
      </c>
      <c r="F520" s="19" t="s">
        <v>130</v>
      </c>
    </row>
    <row r="521" spans="1:6">
      <c r="A521" s="4" t="str">
        <f t="shared" si="8"/>
        <v>tRNA-Arg-TCT-1-1|17</v>
      </c>
      <c r="B521" s="4" t="s">
        <v>44</v>
      </c>
      <c r="C521" s="4" t="s">
        <v>195</v>
      </c>
      <c r="D521" s="4">
        <v>17</v>
      </c>
      <c r="E521" s="18" t="s">
        <v>114</v>
      </c>
      <c r="F521" s="19" t="s">
        <v>130</v>
      </c>
    </row>
    <row r="522" spans="1:6">
      <c r="A522" s="4" t="str">
        <f t="shared" si="8"/>
        <v>tRNA-Arg-TCT-1-1|17a</v>
      </c>
      <c r="B522" s="4" t="s">
        <v>44</v>
      </c>
      <c r="C522" s="4" t="s">
        <v>196</v>
      </c>
      <c r="D522" s="4">
        <v>18</v>
      </c>
      <c r="E522" s="18" t="s">
        <v>122</v>
      </c>
      <c r="F522" s="19" t="s">
        <v>130</v>
      </c>
    </row>
    <row r="523" spans="1:6">
      <c r="A523" s="4" t="str">
        <f t="shared" si="8"/>
        <v>tRNA-Arg-TCT-1-1|18</v>
      </c>
      <c r="B523" s="4" t="s">
        <v>44</v>
      </c>
      <c r="C523" s="4" t="s">
        <v>132</v>
      </c>
      <c r="D523" s="4">
        <v>19</v>
      </c>
      <c r="E523" s="18" t="s">
        <v>109</v>
      </c>
      <c r="F523" s="19" t="s">
        <v>130</v>
      </c>
    </row>
    <row r="524" spans="1:6">
      <c r="A524" s="4" t="str">
        <f t="shared" si="8"/>
        <v>tRNA-Arg-TCT-1-1|19</v>
      </c>
      <c r="B524" s="4" t="s">
        <v>44</v>
      </c>
      <c r="C524" s="4" t="s">
        <v>133</v>
      </c>
      <c r="D524" s="4">
        <v>20</v>
      </c>
      <c r="E524" s="18" t="s">
        <v>109</v>
      </c>
      <c r="F524" s="19" t="s">
        <v>130</v>
      </c>
    </row>
    <row r="525" spans="1:6">
      <c r="A525" s="4" t="str">
        <f t="shared" si="8"/>
        <v>tRNA-Arg-TCT-1-1|20</v>
      </c>
      <c r="B525" s="4" t="s">
        <v>44</v>
      </c>
      <c r="C525" s="4" t="s">
        <v>134</v>
      </c>
      <c r="D525" s="4">
        <v>21</v>
      </c>
      <c r="E525" s="18" t="s">
        <v>122</v>
      </c>
      <c r="F525" s="19" t="s">
        <v>130</v>
      </c>
    </row>
    <row r="526" spans="1:6">
      <c r="A526" s="4" t="str">
        <f t="shared" si="8"/>
        <v>tRNA-Arg-TCT-1-1|20a</v>
      </c>
      <c r="B526" s="4" t="s">
        <v>44</v>
      </c>
      <c r="C526" s="4" t="s">
        <v>135</v>
      </c>
      <c r="D526" s="4">
        <v>22</v>
      </c>
      <c r="E526" s="18" t="s">
        <v>116</v>
      </c>
      <c r="F526" s="19" t="s">
        <v>130</v>
      </c>
    </row>
    <row r="527" spans="1:6">
      <c r="A527" s="4" t="str">
        <f t="shared" si="8"/>
        <v>tRNA-Arg-TCT-1-1|21</v>
      </c>
      <c r="B527" s="4" t="s">
        <v>44</v>
      </c>
      <c r="C527" s="4" t="s">
        <v>136</v>
      </c>
      <c r="D527" s="4">
        <v>23</v>
      </c>
      <c r="E527" s="18" t="s">
        <v>122</v>
      </c>
      <c r="F527" s="19" t="s">
        <v>130</v>
      </c>
    </row>
    <row r="528" spans="1:6">
      <c r="A528" s="4" t="str">
        <f t="shared" si="8"/>
        <v>tRNA-Arg-TCT-1-1|22</v>
      </c>
      <c r="B528" s="4" t="s">
        <v>44</v>
      </c>
      <c r="C528" s="4" t="s">
        <v>137</v>
      </c>
      <c r="D528" s="4">
        <v>24</v>
      </c>
      <c r="E528" s="8" t="s">
        <v>116</v>
      </c>
      <c r="F528" s="7" t="s">
        <v>125</v>
      </c>
    </row>
    <row r="529" spans="1:6">
      <c r="A529" s="4" t="str">
        <f t="shared" si="8"/>
        <v>tRNA-Arg-TCT-1-1|23</v>
      </c>
      <c r="B529" s="4" t="s">
        <v>44</v>
      </c>
      <c r="C529" s="4" t="s">
        <v>138</v>
      </c>
      <c r="D529" s="4">
        <v>25</v>
      </c>
      <c r="E529" s="8" t="s">
        <v>122</v>
      </c>
      <c r="F529" s="7" t="s">
        <v>125</v>
      </c>
    </row>
    <row r="530" spans="1:6">
      <c r="A530" s="4" t="str">
        <f t="shared" si="8"/>
        <v>tRNA-Arg-TCT-1-1|24</v>
      </c>
      <c r="B530" s="4" t="s">
        <v>44</v>
      </c>
      <c r="C530" s="4" t="s">
        <v>139</v>
      </c>
      <c r="D530" s="4">
        <v>26</v>
      </c>
      <c r="E530" s="8" t="s">
        <v>109</v>
      </c>
      <c r="F530" s="7" t="s">
        <v>125</v>
      </c>
    </row>
    <row r="531" spans="1:6">
      <c r="A531" s="4" t="str">
        <f t="shared" si="8"/>
        <v>tRNA-Arg-TCT-1-1|25</v>
      </c>
      <c r="B531" s="4" t="s">
        <v>44</v>
      </c>
      <c r="C531" s="4" t="s">
        <v>140</v>
      </c>
      <c r="D531" s="4">
        <v>27</v>
      </c>
      <c r="E531" s="8" t="s">
        <v>114</v>
      </c>
      <c r="F531" s="7" t="s">
        <v>125</v>
      </c>
    </row>
    <row r="532" spans="1:6">
      <c r="A532" s="4" t="str">
        <f t="shared" si="8"/>
        <v>tRNA-Arg-TCT-1-1|26</v>
      </c>
      <c r="B532" s="4" t="s">
        <v>44</v>
      </c>
      <c r="C532" s="4" t="s">
        <v>141</v>
      </c>
      <c r="D532" s="4">
        <v>28</v>
      </c>
      <c r="E532" s="3" t="s">
        <v>109</v>
      </c>
      <c r="F532" s="4" t="s">
        <v>142</v>
      </c>
    </row>
    <row r="533" spans="1:6">
      <c r="A533" s="4" t="str">
        <f t="shared" si="8"/>
        <v>tRNA-Arg-TCT-1-1|27</v>
      </c>
      <c r="B533" s="4" t="s">
        <v>44</v>
      </c>
      <c r="C533" s="4" t="s">
        <v>143</v>
      </c>
      <c r="D533" s="4">
        <v>29</v>
      </c>
      <c r="E533" s="20" t="s">
        <v>114</v>
      </c>
      <c r="F533" s="21" t="s">
        <v>144</v>
      </c>
    </row>
    <row r="534" spans="1:6">
      <c r="A534" s="4" t="str">
        <f t="shared" si="8"/>
        <v>tRNA-Arg-TCT-1-1|28</v>
      </c>
      <c r="B534" s="4" t="s">
        <v>44</v>
      </c>
      <c r="C534" s="4" t="s">
        <v>145</v>
      </c>
      <c r="D534" s="4">
        <v>30</v>
      </c>
      <c r="E534" s="20" t="s">
        <v>116</v>
      </c>
      <c r="F534" s="21" t="s">
        <v>144</v>
      </c>
    </row>
    <row r="535" spans="1:6">
      <c r="A535" s="4" t="str">
        <f t="shared" si="8"/>
        <v>tRNA-Arg-TCT-1-1|29</v>
      </c>
      <c r="B535" s="4" t="s">
        <v>44</v>
      </c>
      <c r="C535" s="4" t="s">
        <v>146</v>
      </c>
      <c r="D535" s="4">
        <v>31</v>
      </c>
      <c r="E535" s="20" t="s">
        <v>109</v>
      </c>
      <c r="F535" s="21" t="s">
        <v>144</v>
      </c>
    </row>
    <row r="536" spans="1:6">
      <c r="A536" s="4" t="str">
        <f t="shared" si="8"/>
        <v>tRNA-Arg-TCT-1-1|30</v>
      </c>
      <c r="B536" s="4" t="s">
        <v>44</v>
      </c>
      <c r="C536" s="4" t="s">
        <v>147</v>
      </c>
      <c r="D536" s="4">
        <v>32</v>
      </c>
      <c r="E536" s="20" t="s">
        <v>109</v>
      </c>
      <c r="F536" s="21" t="s">
        <v>144</v>
      </c>
    </row>
    <row r="537" spans="1:6">
      <c r="A537" s="4" t="str">
        <f t="shared" si="8"/>
        <v>tRNA-Arg-TCT-1-1|31</v>
      </c>
      <c r="B537" s="4" t="s">
        <v>44</v>
      </c>
      <c r="C537" s="4" t="s">
        <v>148</v>
      </c>
      <c r="D537" s="4">
        <v>33</v>
      </c>
      <c r="E537" s="20" t="s">
        <v>109</v>
      </c>
      <c r="F537" s="21" t="s">
        <v>144</v>
      </c>
    </row>
    <row r="538" spans="1:6">
      <c r="A538" s="4" t="str">
        <f t="shared" si="8"/>
        <v>tRNA-Arg-TCT-1-1|32</v>
      </c>
      <c r="B538" s="4" t="s">
        <v>44</v>
      </c>
      <c r="C538" s="4" t="s">
        <v>149</v>
      </c>
      <c r="D538" s="4">
        <v>34</v>
      </c>
      <c r="E538" s="18" t="s">
        <v>114</v>
      </c>
      <c r="F538" s="19" t="s">
        <v>150</v>
      </c>
    </row>
    <row r="539" spans="1:6">
      <c r="A539" s="4" t="str">
        <f t="shared" si="8"/>
        <v>tRNA-Arg-TCT-1-1|33</v>
      </c>
      <c r="B539" s="4" t="s">
        <v>44</v>
      </c>
      <c r="C539" s="4" t="s">
        <v>151</v>
      </c>
      <c r="D539" s="4">
        <v>35</v>
      </c>
      <c r="E539" s="18" t="s">
        <v>116</v>
      </c>
      <c r="F539" s="19" t="s">
        <v>150</v>
      </c>
    </row>
    <row r="540" spans="1:6">
      <c r="A540" s="4" t="str">
        <f t="shared" si="8"/>
        <v>tRNA-Arg-TCT-1-1|34</v>
      </c>
      <c r="B540" s="4" t="s">
        <v>44</v>
      </c>
      <c r="C540" s="4" t="s">
        <v>152</v>
      </c>
      <c r="D540" s="4">
        <v>36</v>
      </c>
      <c r="E540" s="18" t="s">
        <v>116</v>
      </c>
      <c r="F540" s="19" t="s">
        <v>150</v>
      </c>
    </row>
    <row r="541" spans="1:6">
      <c r="A541" s="4" t="str">
        <f t="shared" si="8"/>
        <v>tRNA-Arg-TCT-1-1|35</v>
      </c>
      <c r="B541" s="4" t="s">
        <v>44</v>
      </c>
      <c r="C541" s="4" t="s">
        <v>153</v>
      </c>
      <c r="D541" s="4">
        <v>37</v>
      </c>
      <c r="E541" s="18" t="s">
        <v>114</v>
      </c>
      <c r="F541" s="19" t="s">
        <v>150</v>
      </c>
    </row>
    <row r="542" spans="1:6">
      <c r="A542" s="4" t="str">
        <f t="shared" si="8"/>
        <v>tRNA-Arg-TCT-1-1|36</v>
      </c>
      <c r="B542" s="4" t="s">
        <v>44</v>
      </c>
      <c r="C542" s="4" t="s">
        <v>154</v>
      </c>
      <c r="D542" s="4">
        <v>38</v>
      </c>
      <c r="E542" s="18" t="s">
        <v>116</v>
      </c>
      <c r="F542" s="19" t="s">
        <v>150</v>
      </c>
    </row>
    <row r="543" spans="1:6">
      <c r="A543" s="4" t="str">
        <f t="shared" si="8"/>
        <v>tRNA-Arg-TCT-1-1|37</v>
      </c>
      <c r="B543" s="4" t="s">
        <v>44</v>
      </c>
      <c r="C543" s="4" t="s">
        <v>155</v>
      </c>
      <c r="D543" s="4">
        <v>39</v>
      </c>
      <c r="E543" s="18" t="s">
        <v>122</v>
      </c>
      <c r="F543" s="19" t="s">
        <v>150</v>
      </c>
    </row>
    <row r="544" spans="1:6">
      <c r="A544" s="4" t="str">
        <f t="shared" si="8"/>
        <v>tRNA-Arg-TCT-1-1|38</v>
      </c>
      <c r="B544" s="4" t="s">
        <v>44</v>
      </c>
      <c r="C544" s="4" t="s">
        <v>156</v>
      </c>
      <c r="D544" s="4">
        <v>40</v>
      </c>
      <c r="E544" s="18" t="s">
        <v>122</v>
      </c>
      <c r="F544" s="19" t="s">
        <v>150</v>
      </c>
    </row>
    <row r="545" spans="1:6">
      <c r="A545" s="4" t="str">
        <f t="shared" si="8"/>
        <v>tRNA-Arg-TCT-1-1|39</v>
      </c>
      <c r="B545" s="4" t="s">
        <v>44</v>
      </c>
      <c r="C545" s="4" t="s">
        <v>157</v>
      </c>
      <c r="D545" s="4">
        <v>41</v>
      </c>
      <c r="E545" s="20" t="s">
        <v>114</v>
      </c>
      <c r="F545" s="21" t="s">
        <v>144</v>
      </c>
    </row>
    <row r="546" spans="1:6">
      <c r="A546" s="4" t="str">
        <f t="shared" si="8"/>
        <v>tRNA-Arg-TCT-1-1|40</v>
      </c>
      <c r="B546" s="4" t="s">
        <v>44</v>
      </c>
      <c r="C546" s="4" t="s">
        <v>158</v>
      </c>
      <c r="D546" s="4">
        <v>42</v>
      </c>
      <c r="E546" s="20" t="s">
        <v>114</v>
      </c>
      <c r="F546" s="21" t="s">
        <v>144</v>
      </c>
    </row>
    <row r="547" spans="1:6">
      <c r="A547" s="4" t="str">
        <f t="shared" si="8"/>
        <v>tRNA-Arg-TCT-1-1|41</v>
      </c>
      <c r="B547" s="4" t="s">
        <v>44</v>
      </c>
      <c r="C547" s="4" t="s">
        <v>159</v>
      </c>
      <c r="D547" s="4">
        <v>43</v>
      </c>
      <c r="E547" s="20" t="s">
        <v>114</v>
      </c>
      <c r="F547" s="21" t="s">
        <v>144</v>
      </c>
    </row>
    <row r="548" spans="1:6">
      <c r="A548" s="4" t="str">
        <f t="shared" si="8"/>
        <v>tRNA-Arg-TCT-1-1|42</v>
      </c>
      <c r="B548" s="4" t="s">
        <v>44</v>
      </c>
      <c r="C548" s="4" t="s">
        <v>160</v>
      </c>
      <c r="D548" s="4">
        <v>44</v>
      </c>
      <c r="E548" s="20" t="s">
        <v>122</v>
      </c>
      <c r="F548" s="21" t="s">
        <v>144</v>
      </c>
    </row>
    <row r="549" spans="1:6">
      <c r="A549" s="4" t="str">
        <f t="shared" si="8"/>
        <v>tRNA-Arg-TCT-1-1|43</v>
      </c>
      <c r="B549" s="4" t="s">
        <v>44</v>
      </c>
      <c r="C549" s="4" t="s">
        <v>161</v>
      </c>
      <c r="D549" s="4">
        <v>45</v>
      </c>
      <c r="E549" s="20" t="s">
        <v>109</v>
      </c>
      <c r="F549" s="21" t="s">
        <v>144</v>
      </c>
    </row>
    <row r="550" spans="1:6">
      <c r="A550" s="4" t="str">
        <f t="shared" si="8"/>
        <v>tRNA-Arg-TCT-1-1|44</v>
      </c>
      <c r="B550" s="4" t="s">
        <v>44</v>
      </c>
      <c r="C550" s="4" t="s">
        <v>162</v>
      </c>
      <c r="D550" s="4">
        <v>46</v>
      </c>
      <c r="E550" s="18" t="s">
        <v>122</v>
      </c>
      <c r="F550" s="19" t="s">
        <v>163</v>
      </c>
    </row>
    <row r="551" spans="1:6">
      <c r="A551" s="4" t="str">
        <f t="shared" si="8"/>
        <v>tRNA-Arg-TCT-1-1|45</v>
      </c>
      <c r="B551" s="4" t="s">
        <v>44</v>
      </c>
      <c r="C551" s="4" t="s">
        <v>164</v>
      </c>
      <c r="D551" s="4">
        <v>47</v>
      </c>
      <c r="E551" s="18" t="s">
        <v>114</v>
      </c>
      <c r="F551" s="19" t="s">
        <v>163</v>
      </c>
    </row>
    <row r="552" spans="1:6">
      <c r="A552" s="4" t="str">
        <f t="shared" si="8"/>
        <v>tRNA-Arg-TCT-1-1|46</v>
      </c>
      <c r="B552" s="4" t="s">
        <v>44</v>
      </c>
      <c r="C552" s="4" t="s">
        <v>165</v>
      </c>
      <c r="D552" s="4">
        <v>48</v>
      </c>
      <c r="E552" s="18" t="s">
        <v>109</v>
      </c>
      <c r="F552" s="19" t="s">
        <v>163</v>
      </c>
    </row>
    <row r="553" spans="1:6">
      <c r="A553" s="4" t="str">
        <f t="shared" si="8"/>
        <v>tRNA-Arg-TCT-1-1|47</v>
      </c>
      <c r="B553" s="4" t="s">
        <v>44</v>
      </c>
      <c r="C553" s="4" t="s">
        <v>166</v>
      </c>
      <c r="D553" s="4">
        <v>49</v>
      </c>
      <c r="E553" s="18" t="s">
        <v>116</v>
      </c>
      <c r="F553" s="19" t="s">
        <v>163</v>
      </c>
    </row>
    <row r="554" spans="1:6">
      <c r="A554" s="4" t="str">
        <f t="shared" si="8"/>
        <v>tRNA-Arg-TCT-1-1|48</v>
      </c>
      <c r="B554" s="4" t="s">
        <v>44</v>
      </c>
      <c r="C554" s="4" t="s">
        <v>167</v>
      </c>
      <c r="D554" s="4">
        <v>50</v>
      </c>
      <c r="E554" s="18" t="s">
        <v>114</v>
      </c>
      <c r="F554" s="19" t="s">
        <v>163</v>
      </c>
    </row>
    <row r="555" spans="1:6">
      <c r="A555" s="4" t="str">
        <f t="shared" si="8"/>
        <v>tRNA-Arg-TCT-1-1|49</v>
      </c>
      <c r="B555" s="4" t="s">
        <v>44</v>
      </c>
      <c r="C555" s="4" t="s">
        <v>168</v>
      </c>
      <c r="D555" s="4">
        <v>51</v>
      </c>
      <c r="E555" s="22" t="s">
        <v>109</v>
      </c>
      <c r="F555" s="10" t="s">
        <v>169</v>
      </c>
    </row>
    <row r="556" spans="1:6">
      <c r="A556" s="4" t="str">
        <f t="shared" si="8"/>
        <v>tRNA-Arg-TCT-1-1|50</v>
      </c>
      <c r="B556" s="4" t="s">
        <v>44</v>
      </c>
      <c r="C556" s="4" t="s">
        <v>170</v>
      </c>
      <c r="D556" s="4">
        <v>52</v>
      </c>
      <c r="E556" s="22" t="s">
        <v>109</v>
      </c>
      <c r="F556" s="10" t="s">
        <v>169</v>
      </c>
    </row>
    <row r="557" spans="1:6">
      <c r="A557" s="4" t="str">
        <f t="shared" si="8"/>
        <v>tRNA-Arg-TCT-1-1|51</v>
      </c>
      <c r="B557" s="4" t="s">
        <v>44</v>
      </c>
      <c r="C557" s="4" t="s">
        <v>171</v>
      </c>
      <c r="D557" s="4">
        <v>53</v>
      </c>
      <c r="E557" s="22" t="s">
        <v>109</v>
      </c>
      <c r="F557" s="10" t="s">
        <v>169</v>
      </c>
    </row>
    <row r="558" spans="1:6">
      <c r="A558" s="4" t="str">
        <f t="shared" si="8"/>
        <v>tRNA-Arg-TCT-1-1|52</v>
      </c>
      <c r="B558" s="4" t="s">
        <v>44</v>
      </c>
      <c r="C558" s="4" t="s">
        <v>172</v>
      </c>
      <c r="D558" s="4">
        <v>54</v>
      </c>
      <c r="E558" s="22" t="s">
        <v>109</v>
      </c>
      <c r="F558" s="10" t="s">
        <v>169</v>
      </c>
    </row>
    <row r="559" spans="1:6">
      <c r="A559" s="4" t="str">
        <f t="shared" si="8"/>
        <v>tRNA-Arg-TCT-1-1|53</v>
      </c>
      <c r="B559" s="4" t="s">
        <v>44</v>
      </c>
      <c r="C559" s="4" t="s">
        <v>173</v>
      </c>
      <c r="D559" s="4">
        <v>55</v>
      </c>
      <c r="E559" s="22" t="s">
        <v>109</v>
      </c>
      <c r="F559" s="10" t="s">
        <v>169</v>
      </c>
    </row>
    <row r="560" spans="1:6">
      <c r="A560" s="4" t="str">
        <f t="shared" si="8"/>
        <v>tRNA-Arg-TCT-1-1|54</v>
      </c>
      <c r="B560" s="4" t="s">
        <v>44</v>
      </c>
      <c r="C560" s="4" t="s">
        <v>174</v>
      </c>
      <c r="D560" s="4">
        <v>56</v>
      </c>
      <c r="E560" s="18" t="s">
        <v>116</v>
      </c>
      <c r="F560" s="19" t="s">
        <v>175</v>
      </c>
    </row>
    <row r="561" spans="1:6">
      <c r="A561" s="4" t="str">
        <f t="shared" si="8"/>
        <v>tRNA-Arg-TCT-1-1|55</v>
      </c>
      <c r="B561" s="4" t="s">
        <v>44</v>
      </c>
      <c r="C561" s="4" t="s">
        <v>176</v>
      </c>
      <c r="D561" s="4">
        <v>57</v>
      </c>
      <c r="E561" s="18" t="s">
        <v>116</v>
      </c>
      <c r="F561" s="19" t="s">
        <v>175</v>
      </c>
    </row>
    <row r="562" spans="1:6">
      <c r="A562" s="4" t="str">
        <f t="shared" si="8"/>
        <v>tRNA-Arg-TCT-1-1|56</v>
      </c>
      <c r="B562" s="4" t="s">
        <v>44</v>
      </c>
      <c r="C562" s="4" t="s">
        <v>177</v>
      </c>
      <c r="D562" s="4">
        <v>58</v>
      </c>
      <c r="E562" s="18" t="s">
        <v>114</v>
      </c>
      <c r="F562" s="19" t="s">
        <v>175</v>
      </c>
    </row>
    <row r="563" spans="1:6">
      <c r="A563" s="4" t="str">
        <f t="shared" si="8"/>
        <v>tRNA-Arg-TCT-1-1|57</v>
      </c>
      <c r="B563" s="4" t="s">
        <v>44</v>
      </c>
      <c r="C563" s="4" t="s">
        <v>178</v>
      </c>
      <c r="D563" s="4">
        <v>59</v>
      </c>
      <c r="E563" s="18" t="s">
        <v>122</v>
      </c>
      <c r="F563" s="19" t="s">
        <v>175</v>
      </c>
    </row>
    <row r="564" spans="1:6">
      <c r="A564" s="4" t="str">
        <f t="shared" si="8"/>
        <v>tRNA-Arg-TCT-1-1|58</v>
      </c>
      <c r="B564" s="4" t="s">
        <v>44</v>
      </c>
      <c r="C564" s="4" t="s">
        <v>179</v>
      </c>
      <c r="D564" s="4">
        <v>60</v>
      </c>
      <c r="E564" s="18" t="s">
        <v>122</v>
      </c>
      <c r="F564" s="19" t="s">
        <v>175</v>
      </c>
    </row>
    <row r="565" spans="1:6">
      <c r="A565" s="4" t="str">
        <f t="shared" si="8"/>
        <v>tRNA-Arg-TCT-1-1|59</v>
      </c>
      <c r="B565" s="4" t="s">
        <v>44</v>
      </c>
      <c r="C565" s="4" t="s">
        <v>180</v>
      </c>
      <c r="D565" s="4">
        <v>61</v>
      </c>
      <c r="E565" s="18" t="s">
        <v>122</v>
      </c>
      <c r="F565" s="19" t="s">
        <v>175</v>
      </c>
    </row>
    <row r="566" spans="1:6">
      <c r="A566" s="4" t="str">
        <f t="shared" si="8"/>
        <v>tRNA-Arg-TCT-1-1|60</v>
      </c>
      <c r="B566" s="4" t="s">
        <v>44</v>
      </c>
      <c r="C566" s="4" t="s">
        <v>181</v>
      </c>
      <c r="D566" s="4">
        <v>62</v>
      </c>
      <c r="E566" s="18" t="s">
        <v>116</v>
      </c>
      <c r="F566" s="19" t="s">
        <v>175</v>
      </c>
    </row>
    <row r="567" spans="1:6">
      <c r="A567" s="4" t="str">
        <f t="shared" si="8"/>
        <v>tRNA-Arg-TCT-1-1|61</v>
      </c>
      <c r="B567" s="4" t="s">
        <v>44</v>
      </c>
      <c r="C567" s="4" t="s">
        <v>182</v>
      </c>
      <c r="D567" s="4">
        <v>63</v>
      </c>
      <c r="E567" s="22" t="s">
        <v>114</v>
      </c>
      <c r="F567" s="10" t="s">
        <v>169</v>
      </c>
    </row>
    <row r="568" spans="1:6">
      <c r="A568" s="4" t="str">
        <f t="shared" si="8"/>
        <v>tRNA-Arg-TCT-1-1|62</v>
      </c>
      <c r="B568" s="4" t="s">
        <v>44</v>
      </c>
      <c r="C568" s="4" t="s">
        <v>183</v>
      </c>
      <c r="D568" s="4">
        <v>64</v>
      </c>
      <c r="E568" s="22" t="s">
        <v>114</v>
      </c>
      <c r="F568" s="10" t="s">
        <v>169</v>
      </c>
    </row>
    <row r="569" spans="1:6">
      <c r="A569" s="4" t="str">
        <f t="shared" si="8"/>
        <v>tRNA-Arg-TCT-1-1|63</v>
      </c>
      <c r="B569" s="4" t="s">
        <v>44</v>
      </c>
      <c r="C569" s="4" t="s">
        <v>184</v>
      </c>
      <c r="D569" s="4">
        <v>65</v>
      </c>
      <c r="E569" s="22" t="s">
        <v>114</v>
      </c>
      <c r="F569" s="10" t="s">
        <v>169</v>
      </c>
    </row>
    <row r="570" spans="1:6">
      <c r="A570" s="4" t="str">
        <f t="shared" si="8"/>
        <v>tRNA-Arg-TCT-1-1|64</v>
      </c>
      <c r="B570" s="4" t="s">
        <v>44</v>
      </c>
      <c r="C570" s="4" t="s">
        <v>185</v>
      </c>
      <c r="D570" s="4">
        <v>66</v>
      </c>
      <c r="E570" s="22" t="s">
        <v>116</v>
      </c>
      <c r="F570" s="10" t="s">
        <v>169</v>
      </c>
    </row>
    <row r="571" spans="1:6">
      <c r="A571" s="4" t="str">
        <f t="shared" si="8"/>
        <v>tRNA-Arg-TCT-1-1|65</v>
      </c>
      <c r="B571" s="4" t="s">
        <v>44</v>
      </c>
      <c r="C571" s="4" t="s">
        <v>186</v>
      </c>
      <c r="D571" s="4">
        <v>67</v>
      </c>
      <c r="E571" s="22" t="s">
        <v>116</v>
      </c>
      <c r="F571" s="10" t="s">
        <v>169</v>
      </c>
    </row>
    <row r="572" spans="1:6">
      <c r="A572" s="4" t="str">
        <f t="shared" si="8"/>
        <v>tRNA-Arg-TCT-1-1|66</v>
      </c>
      <c r="B572" s="4" t="s">
        <v>44</v>
      </c>
      <c r="C572" s="4" t="s">
        <v>187</v>
      </c>
      <c r="D572" s="4">
        <v>68</v>
      </c>
      <c r="E572" s="16" t="s">
        <v>114</v>
      </c>
      <c r="F572" s="17" t="s">
        <v>110</v>
      </c>
    </row>
    <row r="573" spans="1:6">
      <c r="A573" s="4" t="str">
        <f t="shared" si="8"/>
        <v>tRNA-Arg-TCT-1-1|67</v>
      </c>
      <c r="B573" s="4" t="s">
        <v>44</v>
      </c>
      <c r="C573" s="4" t="s">
        <v>188</v>
      </c>
      <c r="D573" s="4">
        <v>69</v>
      </c>
      <c r="E573" s="16" t="s">
        <v>109</v>
      </c>
      <c r="F573" s="17" t="s">
        <v>110</v>
      </c>
    </row>
    <row r="574" spans="1:6">
      <c r="A574" s="4" t="str">
        <f t="shared" si="8"/>
        <v>tRNA-Arg-TCT-1-1|68</v>
      </c>
      <c r="B574" s="4" t="s">
        <v>44</v>
      </c>
      <c r="C574" s="4" t="s">
        <v>189</v>
      </c>
      <c r="D574" s="4">
        <v>70</v>
      </c>
      <c r="E574" s="16" t="s">
        <v>122</v>
      </c>
      <c r="F574" s="17" t="s">
        <v>110</v>
      </c>
    </row>
    <row r="575" spans="1:6">
      <c r="A575" s="4" t="str">
        <f t="shared" si="8"/>
        <v>tRNA-Arg-TCT-1-1|69</v>
      </c>
      <c r="B575" s="4" t="s">
        <v>44</v>
      </c>
      <c r="C575" s="4" t="s">
        <v>190</v>
      </c>
      <c r="D575" s="4">
        <v>71</v>
      </c>
      <c r="E575" s="16" t="s">
        <v>109</v>
      </c>
      <c r="F575" s="17" t="s">
        <v>110</v>
      </c>
    </row>
    <row r="576" spans="1:6">
      <c r="A576" s="4" t="str">
        <f t="shared" si="8"/>
        <v>tRNA-Arg-TCT-1-1|70</v>
      </c>
      <c r="B576" s="4" t="s">
        <v>44</v>
      </c>
      <c r="C576" s="4" t="s">
        <v>191</v>
      </c>
      <c r="D576" s="4">
        <v>72</v>
      </c>
      <c r="E576" s="16" t="s">
        <v>114</v>
      </c>
      <c r="F576" s="17" t="s">
        <v>110</v>
      </c>
    </row>
    <row r="577" spans="1:6">
      <c r="A577" s="4" t="str">
        <f t="shared" si="8"/>
        <v>tRNA-Arg-TCT-1-1|71</v>
      </c>
      <c r="B577" s="4" t="s">
        <v>44</v>
      </c>
      <c r="C577" s="4" t="s">
        <v>192</v>
      </c>
      <c r="D577" s="4">
        <v>73</v>
      </c>
      <c r="E577" s="16" t="s">
        <v>114</v>
      </c>
      <c r="F577" s="17" t="s">
        <v>110</v>
      </c>
    </row>
    <row r="578" spans="1:6">
      <c r="A578" s="4" t="str">
        <f t="shared" ref="A578:A641" si="9">B578&amp;"|"&amp;C578</f>
        <v>tRNA-Arg-TCT-1-1|72</v>
      </c>
      <c r="B578" s="4" t="s">
        <v>44</v>
      </c>
      <c r="C578" s="4" t="s">
        <v>193</v>
      </c>
      <c r="D578" s="4">
        <v>74</v>
      </c>
      <c r="E578" s="16" t="s">
        <v>114</v>
      </c>
      <c r="F578" s="17" t="s">
        <v>110</v>
      </c>
    </row>
    <row r="579" spans="1:6">
      <c r="A579" s="4" t="str">
        <f t="shared" si="9"/>
        <v>tRNA-Asn-GTT-1-1|1</v>
      </c>
      <c r="B579" s="4" t="s">
        <v>45</v>
      </c>
      <c r="C579" s="4" t="s">
        <v>108</v>
      </c>
      <c r="D579" s="4">
        <v>1</v>
      </c>
      <c r="E579" s="16" t="s">
        <v>109</v>
      </c>
      <c r="F579" s="17" t="s">
        <v>110</v>
      </c>
    </row>
    <row r="580" spans="1:6">
      <c r="A580" s="4" t="str">
        <f t="shared" si="9"/>
        <v>tRNA-Asn-GTT-1-1|2</v>
      </c>
      <c r="B580" s="4" t="s">
        <v>45</v>
      </c>
      <c r="C580" s="4" t="s">
        <v>111</v>
      </c>
      <c r="D580" s="4">
        <v>2</v>
      </c>
      <c r="E580" s="16" t="s">
        <v>114</v>
      </c>
      <c r="F580" s="17" t="s">
        <v>110</v>
      </c>
    </row>
    <row r="581" spans="1:6">
      <c r="A581" s="4" t="str">
        <f t="shared" si="9"/>
        <v>tRNA-Asn-GTT-1-1|3</v>
      </c>
      <c r="B581" s="4" t="s">
        <v>45</v>
      </c>
      <c r="C581" s="4" t="s">
        <v>112</v>
      </c>
      <c r="D581" s="4">
        <v>3</v>
      </c>
      <c r="E581" s="16" t="s">
        <v>114</v>
      </c>
      <c r="F581" s="17" t="s">
        <v>110</v>
      </c>
    </row>
    <row r="582" spans="1:6">
      <c r="A582" s="4" t="str">
        <f t="shared" si="9"/>
        <v>tRNA-Asn-GTT-1-1|4</v>
      </c>
      <c r="B582" s="4" t="s">
        <v>45</v>
      </c>
      <c r="C582" s="4" t="s">
        <v>113</v>
      </c>
      <c r="D582" s="4">
        <v>4</v>
      </c>
      <c r="E582" s="16" t="s">
        <v>109</v>
      </c>
      <c r="F582" s="17" t="s">
        <v>110</v>
      </c>
    </row>
    <row r="583" spans="1:6">
      <c r="A583" s="4" t="str">
        <f t="shared" si="9"/>
        <v>tRNA-Asn-GTT-1-1|5</v>
      </c>
      <c r="B583" s="4" t="s">
        <v>45</v>
      </c>
      <c r="C583" s="4" t="s">
        <v>115</v>
      </c>
      <c r="D583" s="4">
        <v>5</v>
      </c>
      <c r="E583" s="16" t="s">
        <v>114</v>
      </c>
      <c r="F583" s="17" t="s">
        <v>110</v>
      </c>
    </row>
    <row r="584" spans="1:6">
      <c r="A584" s="4" t="str">
        <f t="shared" si="9"/>
        <v>tRNA-Asn-GTT-1-1|6</v>
      </c>
      <c r="B584" s="4" t="s">
        <v>45</v>
      </c>
      <c r="C584" s="4" t="s">
        <v>117</v>
      </c>
      <c r="D584" s="4">
        <v>6</v>
      </c>
      <c r="E584" s="16" t="s">
        <v>116</v>
      </c>
      <c r="F584" s="17" t="s">
        <v>110</v>
      </c>
    </row>
    <row r="585" spans="1:6">
      <c r="A585" s="4" t="str">
        <f t="shared" si="9"/>
        <v>tRNA-Asn-GTT-1-1|7</v>
      </c>
      <c r="B585" s="4" t="s">
        <v>45</v>
      </c>
      <c r="C585" s="4" t="s">
        <v>118</v>
      </c>
      <c r="D585" s="4">
        <v>7</v>
      </c>
      <c r="E585" s="16" t="s">
        <v>116</v>
      </c>
      <c r="F585" s="17" t="s">
        <v>110</v>
      </c>
    </row>
    <row r="586" spans="1:6">
      <c r="A586" s="4" t="str">
        <f t="shared" si="9"/>
        <v>tRNA-Asn-GTT-1-1|8</v>
      </c>
      <c r="B586" s="4" t="s">
        <v>45</v>
      </c>
      <c r="C586" s="4" t="s">
        <v>119</v>
      </c>
      <c r="D586" s="4">
        <v>8</v>
      </c>
      <c r="E586" s="3" t="s">
        <v>116</v>
      </c>
      <c r="F586" s="4" t="s">
        <v>120</v>
      </c>
    </row>
    <row r="587" spans="1:6">
      <c r="A587" s="4" t="str">
        <f t="shared" si="9"/>
        <v>tRNA-Asn-GTT-1-1|9</v>
      </c>
      <c r="B587" s="4" t="s">
        <v>45</v>
      </c>
      <c r="C587" s="4" t="s">
        <v>121</v>
      </c>
      <c r="D587" s="4">
        <v>9</v>
      </c>
      <c r="E587" s="3" t="s">
        <v>122</v>
      </c>
      <c r="F587" s="4" t="s">
        <v>123</v>
      </c>
    </row>
    <row r="588" spans="1:6">
      <c r="A588" s="4" t="str">
        <f t="shared" si="9"/>
        <v>tRNA-Asn-GTT-1-1|10</v>
      </c>
      <c r="B588" s="4" t="s">
        <v>45</v>
      </c>
      <c r="C588" s="4" t="s">
        <v>124</v>
      </c>
      <c r="D588" s="4">
        <v>10</v>
      </c>
      <c r="E588" s="8" t="s">
        <v>122</v>
      </c>
      <c r="F588" s="7" t="s">
        <v>125</v>
      </c>
    </row>
    <row r="589" spans="1:6">
      <c r="A589" s="4" t="str">
        <f t="shared" si="9"/>
        <v>tRNA-Asn-GTT-1-1|11</v>
      </c>
      <c r="B589" s="4" t="s">
        <v>45</v>
      </c>
      <c r="C589" s="4" t="s">
        <v>126</v>
      </c>
      <c r="D589" s="4">
        <v>11</v>
      </c>
      <c r="E589" s="8" t="s">
        <v>114</v>
      </c>
      <c r="F589" s="7" t="s">
        <v>125</v>
      </c>
    </row>
    <row r="590" spans="1:6">
      <c r="A590" s="4" t="str">
        <f t="shared" si="9"/>
        <v>tRNA-Asn-GTT-1-1|12</v>
      </c>
      <c r="B590" s="4" t="s">
        <v>45</v>
      </c>
      <c r="C590" s="4" t="s">
        <v>127</v>
      </c>
      <c r="D590" s="4">
        <v>12</v>
      </c>
      <c r="E590" s="8" t="s">
        <v>116</v>
      </c>
      <c r="F590" s="7" t="s">
        <v>125</v>
      </c>
    </row>
    <row r="591" spans="1:6">
      <c r="A591" s="4" t="str">
        <f t="shared" si="9"/>
        <v>tRNA-Asn-GTT-1-1|13</v>
      </c>
      <c r="B591" s="4" t="s">
        <v>45</v>
      </c>
      <c r="C591" s="4" t="s">
        <v>128</v>
      </c>
      <c r="D591" s="4">
        <v>13</v>
      </c>
      <c r="E591" s="8" t="s">
        <v>114</v>
      </c>
      <c r="F591" s="7" t="s">
        <v>125</v>
      </c>
    </row>
    <row r="592" spans="1:6">
      <c r="A592" s="4" t="str">
        <f t="shared" si="9"/>
        <v>tRNA-Asn-GTT-1-1|14</v>
      </c>
      <c r="B592" s="4" t="s">
        <v>45</v>
      </c>
      <c r="C592" s="4" t="s">
        <v>129</v>
      </c>
      <c r="D592" s="4">
        <v>14</v>
      </c>
      <c r="E592" s="18" t="s">
        <v>122</v>
      </c>
      <c r="F592" s="19" t="s">
        <v>130</v>
      </c>
    </row>
    <row r="593" spans="1:6">
      <c r="A593" s="4" t="str">
        <f t="shared" si="9"/>
        <v>tRNA-Asn-GTT-1-1|15</v>
      </c>
      <c r="B593" s="4" t="s">
        <v>45</v>
      </c>
      <c r="C593" s="4" t="s">
        <v>131</v>
      </c>
      <c r="D593" s="4">
        <v>15</v>
      </c>
      <c r="E593" s="18" t="s">
        <v>109</v>
      </c>
      <c r="F593" s="19" t="s">
        <v>130</v>
      </c>
    </row>
    <row r="594" spans="1:6">
      <c r="A594" s="4" t="str">
        <f t="shared" si="9"/>
        <v>tRNA-Asn-GTT-1-1|16</v>
      </c>
      <c r="B594" s="4" t="s">
        <v>45</v>
      </c>
      <c r="C594" s="4" t="s">
        <v>194</v>
      </c>
      <c r="D594" s="4">
        <v>16</v>
      </c>
      <c r="E594" s="18" t="s">
        <v>116</v>
      </c>
      <c r="F594" s="19" t="s">
        <v>130</v>
      </c>
    </row>
    <row r="595" spans="1:6">
      <c r="A595" s="4" t="str">
        <f t="shared" si="9"/>
        <v>tRNA-Asn-GTT-1-1|17</v>
      </c>
      <c r="B595" s="4" t="s">
        <v>45</v>
      </c>
      <c r="C595" s="4" t="s">
        <v>195</v>
      </c>
      <c r="D595" s="4">
        <v>17</v>
      </c>
      <c r="E595" s="18" t="s">
        <v>116</v>
      </c>
      <c r="F595" s="19" t="s">
        <v>130</v>
      </c>
    </row>
    <row r="596" spans="1:6">
      <c r="A596" s="4" t="str">
        <f t="shared" si="9"/>
        <v>tRNA-Asn-GTT-1-1|18</v>
      </c>
      <c r="B596" s="4" t="s">
        <v>45</v>
      </c>
      <c r="C596" s="4" t="s">
        <v>132</v>
      </c>
      <c r="D596" s="4">
        <v>18</v>
      </c>
      <c r="E596" s="18" t="s">
        <v>109</v>
      </c>
      <c r="F596" s="19" t="s">
        <v>130</v>
      </c>
    </row>
    <row r="597" spans="1:6">
      <c r="A597" s="4" t="str">
        <f t="shared" si="9"/>
        <v>tRNA-Asn-GTT-1-1|19</v>
      </c>
      <c r="B597" s="4" t="s">
        <v>45</v>
      </c>
      <c r="C597" s="4" t="s">
        <v>133</v>
      </c>
      <c r="D597" s="4">
        <v>19</v>
      </c>
      <c r="E597" s="18" t="s">
        <v>109</v>
      </c>
      <c r="F597" s="19" t="s">
        <v>130</v>
      </c>
    </row>
    <row r="598" spans="1:6">
      <c r="A598" s="4" t="str">
        <f t="shared" si="9"/>
        <v>tRNA-Asn-GTT-1-1|20</v>
      </c>
      <c r="B598" s="4" t="s">
        <v>45</v>
      </c>
      <c r="C598" s="4" t="s">
        <v>134</v>
      </c>
      <c r="D598" s="4">
        <v>20</v>
      </c>
      <c r="E598" s="18" t="s">
        <v>116</v>
      </c>
      <c r="F598" s="19" t="s">
        <v>130</v>
      </c>
    </row>
    <row r="599" spans="1:6">
      <c r="A599" s="4" t="str">
        <f t="shared" si="9"/>
        <v>tRNA-Asn-GTT-1-1|21</v>
      </c>
      <c r="B599" s="4" t="s">
        <v>45</v>
      </c>
      <c r="C599" s="4" t="s">
        <v>136</v>
      </c>
      <c r="D599" s="4">
        <v>21</v>
      </c>
      <c r="E599" s="18" t="s">
        <v>122</v>
      </c>
      <c r="F599" s="19" t="s">
        <v>130</v>
      </c>
    </row>
    <row r="600" spans="1:6">
      <c r="A600" s="4" t="str">
        <f t="shared" si="9"/>
        <v>tRNA-Asn-GTT-1-1|22</v>
      </c>
      <c r="B600" s="4" t="s">
        <v>45</v>
      </c>
      <c r="C600" s="4" t="s">
        <v>137</v>
      </c>
      <c r="D600" s="4">
        <v>22</v>
      </c>
      <c r="E600" s="8" t="s">
        <v>109</v>
      </c>
      <c r="F600" s="7" t="s">
        <v>125</v>
      </c>
    </row>
    <row r="601" spans="1:6">
      <c r="A601" s="4" t="str">
        <f t="shared" si="9"/>
        <v>tRNA-Asn-GTT-1-1|23</v>
      </c>
      <c r="B601" s="4" t="s">
        <v>45</v>
      </c>
      <c r="C601" s="4" t="s">
        <v>138</v>
      </c>
      <c r="D601" s="4">
        <v>23</v>
      </c>
      <c r="E601" s="8" t="s">
        <v>122</v>
      </c>
      <c r="F601" s="7" t="s">
        <v>125</v>
      </c>
    </row>
    <row r="602" spans="1:6">
      <c r="A602" s="4" t="str">
        <f t="shared" si="9"/>
        <v>tRNA-Asn-GTT-1-1|24</v>
      </c>
      <c r="B602" s="4" t="s">
        <v>45</v>
      </c>
      <c r="C602" s="4" t="s">
        <v>139</v>
      </c>
      <c r="D602" s="4">
        <v>24</v>
      </c>
      <c r="E602" s="8" t="s">
        <v>109</v>
      </c>
      <c r="F602" s="7" t="s">
        <v>125</v>
      </c>
    </row>
    <row r="603" spans="1:6">
      <c r="A603" s="4" t="str">
        <f t="shared" si="9"/>
        <v>tRNA-Asn-GTT-1-1|25</v>
      </c>
      <c r="B603" s="4" t="s">
        <v>45</v>
      </c>
      <c r="C603" s="4" t="s">
        <v>140</v>
      </c>
      <c r="D603" s="4">
        <v>25</v>
      </c>
      <c r="E603" s="8" t="s">
        <v>116</v>
      </c>
      <c r="F603" s="7" t="s">
        <v>125</v>
      </c>
    </row>
    <row r="604" spans="1:6">
      <c r="A604" s="4" t="str">
        <f t="shared" si="9"/>
        <v>tRNA-Asn-GTT-1-1|26</v>
      </c>
      <c r="B604" s="4" t="s">
        <v>45</v>
      </c>
      <c r="C604" s="4" t="s">
        <v>141</v>
      </c>
      <c r="D604" s="4">
        <v>26</v>
      </c>
      <c r="E604" s="3" t="s">
        <v>109</v>
      </c>
      <c r="F604" s="4" t="s">
        <v>142</v>
      </c>
    </row>
    <row r="605" spans="1:6">
      <c r="A605" s="4" t="str">
        <f t="shared" si="9"/>
        <v>tRNA-Asn-GTT-1-1|27</v>
      </c>
      <c r="B605" s="4" t="s">
        <v>45</v>
      </c>
      <c r="C605" s="4" t="s">
        <v>143</v>
      </c>
      <c r="D605" s="4">
        <v>27</v>
      </c>
      <c r="E605" s="20" t="s">
        <v>116</v>
      </c>
      <c r="F605" s="21" t="s">
        <v>144</v>
      </c>
    </row>
    <row r="606" spans="1:6">
      <c r="A606" s="4" t="str">
        <f t="shared" si="9"/>
        <v>tRNA-Asn-GTT-1-1|28</v>
      </c>
      <c r="B606" s="4" t="s">
        <v>45</v>
      </c>
      <c r="C606" s="4" t="s">
        <v>145</v>
      </c>
      <c r="D606" s="4">
        <v>28</v>
      </c>
      <c r="E606" s="20" t="s">
        <v>114</v>
      </c>
      <c r="F606" s="21" t="s">
        <v>144</v>
      </c>
    </row>
    <row r="607" spans="1:6">
      <c r="A607" s="4" t="str">
        <f t="shared" si="9"/>
        <v>tRNA-Asn-GTT-1-1|29</v>
      </c>
      <c r="B607" s="4" t="s">
        <v>45</v>
      </c>
      <c r="C607" s="4" t="s">
        <v>146</v>
      </c>
      <c r="D607" s="4">
        <v>29</v>
      </c>
      <c r="E607" s="20" t="s">
        <v>116</v>
      </c>
      <c r="F607" s="21" t="s">
        <v>144</v>
      </c>
    </row>
    <row r="608" spans="1:6">
      <c r="A608" s="4" t="str">
        <f t="shared" si="9"/>
        <v>tRNA-Asn-GTT-1-1|30</v>
      </c>
      <c r="B608" s="4" t="s">
        <v>45</v>
      </c>
      <c r="C608" s="4" t="s">
        <v>147</v>
      </c>
      <c r="D608" s="4">
        <v>30</v>
      </c>
      <c r="E608" s="20" t="s">
        <v>109</v>
      </c>
      <c r="F608" s="21" t="s">
        <v>144</v>
      </c>
    </row>
    <row r="609" spans="1:6">
      <c r="A609" s="4" t="str">
        <f t="shared" si="9"/>
        <v>tRNA-Asn-GTT-1-1|31</v>
      </c>
      <c r="B609" s="4" t="s">
        <v>45</v>
      </c>
      <c r="C609" s="4" t="s">
        <v>148</v>
      </c>
      <c r="D609" s="4">
        <v>31</v>
      </c>
      <c r="E609" s="20" t="s">
        <v>109</v>
      </c>
      <c r="F609" s="21" t="s">
        <v>144</v>
      </c>
    </row>
    <row r="610" spans="1:6">
      <c r="A610" s="4" t="str">
        <f t="shared" si="9"/>
        <v>tRNA-Asn-GTT-1-1|32</v>
      </c>
      <c r="B610" s="4" t="s">
        <v>45</v>
      </c>
      <c r="C610" s="4" t="s">
        <v>149</v>
      </c>
      <c r="D610" s="4">
        <v>32</v>
      </c>
      <c r="E610" s="18" t="s">
        <v>114</v>
      </c>
      <c r="F610" s="19" t="s">
        <v>150</v>
      </c>
    </row>
    <row r="611" spans="1:6">
      <c r="A611" s="4" t="str">
        <f t="shared" si="9"/>
        <v>tRNA-Asn-GTT-1-1|33</v>
      </c>
      <c r="B611" s="4" t="s">
        <v>45</v>
      </c>
      <c r="C611" s="4" t="s">
        <v>151</v>
      </c>
      <c r="D611" s="4">
        <v>33</v>
      </c>
      <c r="E611" s="18" t="s">
        <v>116</v>
      </c>
      <c r="F611" s="19" t="s">
        <v>150</v>
      </c>
    </row>
    <row r="612" spans="1:6">
      <c r="A612" s="4" t="str">
        <f t="shared" si="9"/>
        <v>tRNA-Asn-GTT-1-1|34</v>
      </c>
      <c r="B612" s="4" t="s">
        <v>45</v>
      </c>
      <c r="C612" s="4" t="s">
        <v>152</v>
      </c>
      <c r="D612" s="4">
        <v>34</v>
      </c>
      <c r="E612" s="18" t="s">
        <v>109</v>
      </c>
      <c r="F612" s="19" t="s">
        <v>150</v>
      </c>
    </row>
    <row r="613" spans="1:6">
      <c r="A613" s="4" t="str">
        <f t="shared" si="9"/>
        <v>tRNA-Asn-GTT-1-1|35</v>
      </c>
      <c r="B613" s="4" t="s">
        <v>45</v>
      </c>
      <c r="C613" s="4" t="s">
        <v>153</v>
      </c>
      <c r="D613" s="4">
        <v>35</v>
      </c>
      <c r="E613" s="18" t="s">
        <v>116</v>
      </c>
      <c r="F613" s="19" t="s">
        <v>150</v>
      </c>
    </row>
    <row r="614" spans="1:6">
      <c r="A614" s="4" t="str">
        <f t="shared" si="9"/>
        <v>tRNA-Asn-GTT-1-1|36</v>
      </c>
      <c r="B614" s="4" t="s">
        <v>45</v>
      </c>
      <c r="C614" s="4" t="s">
        <v>154</v>
      </c>
      <c r="D614" s="4">
        <v>36</v>
      </c>
      <c r="E614" s="18" t="s">
        <v>116</v>
      </c>
      <c r="F614" s="19" t="s">
        <v>150</v>
      </c>
    </row>
    <row r="615" spans="1:6">
      <c r="A615" s="4" t="str">
        <f t="shared" si="9"/>
        <v>tRNA-Asn-GTT-1-1|37</v>
      </c>
      <c r="B615" s="4" t="s">
        <v>45</v>
      </c>
      <c r="C615" s="4" t="s">
        <v>155</v>
      </c>
      <c r="D615" s="4">
        <v>37</v>
      </c>
      <c r="E615" s="18" t="s">
        <v>122</v>
      </c>
      <c r="F615" s="19" t="s">
        <v>150</v>
      </c>
    </row>
    <row r="616" spans="1:6">
      <c r="A616" s="4" t="str">
        <f t="shared" si="9"/>
        <v>tRNA-Asn-GTT-1-1|38</v>
      </c>
      <c r="B616" s="4" t="s">
        <v>45</v>
      </c>
      <c r="C616" s="4" t="s">
        <v>156</v>
      </c>
      <c r="D616" s="4">
        <v>38</v>
      </c>
      <c r="E616" s="18" t="s">
        <v>122</v>
      </c>
      <c r="F616" s="19" t="s">
        <v>150</v>
      </c>
    </row>
    <row r="617" spans="1:6">
      <c r="A617" s="4" t="str">
        <f t="shared" si="9"/>
        <v>tRNA-Asn-GTT-1-1|39</v>
      </c>
      <c r="B617" s="4" t="s">
        <v>45</v>
      </c>
      <c r="C617" s="4" t="s">
        <v>157</v>
      </c>
      <c r="D617" s="4">
        <v>39</v>
      </c>
      <c r="E617" s="20" t="s">
        <v>114</v>
      </c>
      <c r="F617" s="21" t="s">
        <v>144</v>
      </c>
    </row>
    <row r="618" spans="1:6">
      <c r="A618" s="4" t="str">
        <f t="shared" si="9"/>
        <v>tRNA-Asn-GTT-1-1|40</v>
      </c>
      <c r="B618" s="4" t="s">
        <v>45</v>
      </c>
      <c r="C618" s="4" t="s">
        <v>158</v>
      </c>
      <c r="D618" s="4">
        <v>40</v>
      </c>
      <c r="E618" s="20" t="s">
        <v>114</v>
      </c>
      <c r="F618" s="21" t="s">
        <v>144</v>
      </c>
    </row>
    <row r="619" spans="1:6">
      <c r="A619" s="4" t="str">
        <f t="shared" si="9"/>
        <v>tRNA-Asn-GTT-1-1|41</v>
      </c>
      <c r="B619" s="4" t="s">
        <v>45</v>
      </c>
      <c r="C619" s="4" t="s">
        <v>159</v>
      </c>
      <c r="D619" s="4">
        <v>41</v>
      </c>
      <c r="E619" s="20" t="s">
        <v>122</v>
      </c>
      <c r="F619" s="21" t="s">
        <v>144</v>
      </c>
    </row>
    <row r="620" spans="1:6">
      <c r="A620" s="4" t="str">
        <f t="shared" si="9"/>
        <v>tRNA-Asn-GTT-1-1|42</v>
      </c>
      <c r="B620" s="4" t="s">
        <v>45</v>
      </c>
      <c r="C620" s="4" t="s">
        <v>160</v>
      </c>
      <c r="D620" s="4">
        <v>42</v>
      </c>
      <c r="E620" s="20" t="s">
        <v>109</v>
      </c>
      <c r="F620" s="21" t="s">
        <v>144</v>
      </c>
    </row>
    <row r="621" spans="1:6">
      <c r="A621" s="4" t="str">
        <f t="shared" si="9"/>
        <v>tRNA-Asn-GTT-1-1|43</v>
      </c>
      <c r="B621" s="4" t="s">
        <v>45</v>
      </c>
      <c r="C621" s="4" t="s">
        <v>161</v>
      </c>
      <c r="D621" s="4">
        <v>43</v>
      </c>
      <c r="E621" s="20" t="s">
        <v>122</v>
      </c>
      <c r="F621" s="21" t="s">
        <v>144</v>
      </c>
    </row>
    <row r="622" spans="1:6">
      <c r="A622" s="4" t="str">
        <f t="shared" si="9"/>
        <v>tRNA-Asn-GTT-1-1|44</v>
      </c>
      <c r="B622" s="4" t="s">
        <v>45</v>
      </c>
      <c r="C622" s="4" t="s">
        <v>162</v>
      </c>
      <c r="D622" s="4">
        <v>44</v>
      </c>
      <c r="E622" s="18" t="s">
        <v>122</v>
      </c>
      <c r="F622" s="19" t="s">
        <v>163</v>
      </c>
    </row>
    <row r="623" spans="1:6">
      <c r="A623" s="4" t="str">
        <f t="shared" si="9"/>
        <v>tRNA-Asn-GTT-1-1|45</v>
      </c>
      <c r="B623" s="4" t="s">
        <v>45</v>
      </c>
      <c r="C623" s="4" t="s">
        <v>164</v>
      </c>
      <c r="D623" s="4">
        <v>45</v>
      </c>
      <c r="E623" s="18" t="s">
        <v>116</v>
      </c>
      <c r="F623" s="19" t="s">
        <v>163</v>
      </c>
    </row>
    <row r="624" spans="1:6">
      <c r="A624" s="4" t="str">
        <f t="shared" si="9"/>
        <v>tRNA-Asn-GTT-1-1|46</v>
      </c>
      <c r="B624" s="4" t="s">
        <v>45</v>
      </c>
      <c r="C624" s="4" t="s">
        <v>165</v>
      </c>
      <c r="D624" s="4">
        <v>46</v>
      </c>
      <c r="E624" s="18" t="s">
        <v>109</v>
      </c>
      <c r="F624" s="19" t="s">
        <v>163</v>
      </c>
    </row>
    <row r="625" spans="1:6">
      <c r="A625" s="4" t="str">
        <f t="shared" si="9"/>
        <v>tRNA-Asn-GTT-1-1|47</v>
      </c>
      <c r="B625" s="4" t="s">
        <v>45</v>
      </c>
      <c r="C625" s="4" t="s">
        <v>166</v>
      </c>
      <c r="D625" s="4">
        <v>47</v>
      </c>
      <c r="E625" s="18" t="s">
        <v>116</v>
      </c>
      <c r="F625" s="19" t="s">
        <v>163</v>
      </c>
    </row>
    <row r="626" spans="1:6">
      <c r="A626" s="4" t="str">
        <f t="shared" si="9"/>
        <v>tRNA-Asn-GTT-1-1|48</v>
      </c>
      <c r="B626" s="4" t="s">
        <v>45</v>
      </c>
      <c r="C626" s="4" t="s">
        <v>167</v>
      </c>
      <c r="D626" s="4">
        <v>48</v>
      </c>
      <c r="E626" s="18" t="s">
        <v>114</v>
      </c>
      <c r="F626" s="19" t="s">
        <v>163</v>
      </c>
    </row>
    <row r="627" spans="1:6">
      <c r="A627" s="4" t="str">
        <f t="shared" si="9"/>
        <v>tRNA-Asn-GTT-1-1|49</v>
      </c>
      <c r="B627" s="4" t="s">
        <v>45</v>
      </c>
      <c r="C627" s="4" t="s">
        <v>168</v>
      </c>
      <c r="D627" s="4">
        <v>49</v>
      </c>
      <c r="E627" s="22" t="s">
        <v>109</v>
      </c>
      <c r="F627" s="10" t="s">
        <v>169</v>
      </c>
    </row>
    <row r="628" spans="1:6">
      <c r="A628" s="4" t="str">
        <f t="shared" si="9"/>
        <v>tRNA-Asn-GTT-1-1|50</v>
      </c>
      <c r="B628" s="4" t="s">
        <v>45</v>
      </c>
      <c r="C628" s="4" t="s">
        <v>170</v>
      </c>
      <c r="D628" s="4">
        <v>50</v>
      </c>
      <c r="E628" s="22" t="s">
        <v>116</v>
      </c>
      <c r="F628" s="10" t="s">
        <v>169</v>
      </c>
    </row>
    <row r="629" spans="1:6">
      <c r="A629" s="4" t="str">
        <f t="shared" si="9"/>
        <v>tRNA-Asn-GTT-1-1|51</v>
      </c>
      <c r="B629" s="4" t="s">
        <v>45</v>
      </c>
      <c r="C629" s="4" t="s">
        <v>171</v>
      </c>
      <c r="D629" s="4">
        <v>51</v>
      </c>
      <c r="E629" s="22" t="s">
        <v>122</v>
      </c>
      <c r="F629" s="10" t="s">
        <v>169</v>
      </c>
    </row>
    <row r="630" spans="1:6">
      <c r="A630" s="4" t="str">
        <f t="shared" si="9"/>
        <v>tRNA-Asn-GTT-1-1|52</v>
      </c>
      <c r="B630" s="4" t="s">
        <v>45</v>
      </c>
      <c r="C630" s="4" t="s">
        <v>172</v>
      </c>
      <c r="D630" s="4">
        <v>52</v>
      </c>
      <c r="E630" s="22" t="s">
        <v>109</v>
      </c>
      <c r="F630" s="10" t="s">
        <v>169</v>
      </c>
    </row>
    <row r="631" spans="1:6">
      <c r="A631" s="4" t="str">
        <f t="shared" si="9"/>
        <v>tRNA-Asn-GTT-1-1|53</v>
      </c>
      <c r="B631" s="4" t="s">
        <v>45</v>
      </c>
      <c r="C631" s="4" t="s">
        <v>173</v>
      </c>
      <c r="D631" s="4">
        <v>53</v>
      </c>
      <c r="E631" s="22" t="s">
        <v>109</v>
      </c>
      <c r="F631" s="10" t="s">
        <v>169</v>
      </c>
    </row>
    <row r="632" spans="1:6">
      <c r="A632" s="4" t="str">
        <f t="shared" si="9"/>
        <v>tRNA-Asn-GTT-1-1|54</v>
      </c>
      <c r="B632" s="4" t="s">
        <v>45</v>
      </c>
      <c r="C632" s="4" t="s">
        <v>174</v>
      </c>
      <c r="D632" s="4">
        <v>54</v>
      </c>
      <c r="E632" s="18" t="s">
        <v>116</v>
      </c>
      <c r="F632" s="19" t="s">
        <v>175</v>
      </c>
    </row>
    <row r="633" spans="1:6">
      <c r="A633" s="4" t="str">
        <f t="shared" si="9"/>
        <v>tRNA-Asn-GTT-1-1|55</v>
      </c>
      <c r="B633" s="4" t="s">
        <v>45</v>
      </c>
      <c r="C633" s="4" t="s">
        <v>176</v>
      </c>
      <c r="D633" s="4">
        <v>55</v>
      </c>
      <c r="E633" s="18" t="s">
        <v>116</v>
      </c>
      <c r="F633" s="19" t="s">
        <v>175</v>
      </c>
    </row>
    <row r="634" spans="1:6">
      <c r="A634" s="4" t="str">
        <f t="shared" si="9"/>
        <v>tRNA-Asn-GTT-1-1|56</v>
      </c>
      <c r="B634" s="4" t="s">
        <v>45</v>
      </c>
      <c r="C634" s="4" t="s">
        <v>177</v>
      </c>
      <c r="D634" s="4">
        <v>56</v>
      </c>
      <c r="E634" s="18" t="s">
        <v>114</v>
      </c>
      <c r="F634" s="19" t="s">
        <v>175</v>
      </c>
    </row>
    <row r="635" spans="1:6">
      <c r="A635" s="4" t="str">
        <f t="shared" si="9"/>
        <v>tRNA-Asn-GTT-1-1|57</v>
      </c>
      <c r="B635" s="4" t="s">
        <v>45</v>
      </c>
      <c r="C635" s="4" t="s">
        <v>178</v>
      </c>
      <c r="D635" s="4">
        <v>57</v>
      </c>
      <c r="E635" s="18" t="s">
        <v>109</v>
      </c>
      <c r="F635" s="19" t="s">
        <v>175</v>
      </c>
    </row>
    <row r="636" spans="1:6">
      <c r="A636" s="4" t="str">
        <f t="shared" si="9"/>
        <v>tRNA-Asn-GTT-1-1|58</v>
      </c>
      <c r="B636" s="4" t="s">
        <v>45</v>
      </c>
      <c r="C636" s="4" t="s">
        <v>179</v>
      </c>
      <c r="D636" s="4">
        <v>58</v>
      </c>
      <c r="E636" s="18" t="s">
        <v>122</v>
      </c>
      <c r="F636" s="19" t="s">
        <v>175</v>
      </c>
    </row>
    <row r="637" spans="1:6">
      <c r="A637" s="4" t="str">
        <f t="shared" si="9"/>
        <v>tRNA-Asn-GTT-1-1|59</v>
      </c>
      <c r="B637" s="4" t="s">
        <v>45</v>
      </c>
      <c r="C637" s="4" t="s">
        <v>180</v>
      </c>
      <c r="D637" s="4">
        <v>59</v>
      </c>
      <c r="E637" s="18" t="s">
        <v>109</v>
      </c>
      <c r="F637" s="19" t="s">
        <v>175</v>
      </c>
    </row>
    <row r="638" spans="1:6">
      <c r="A638" s="4" t="str">
        <f t="shared" si="9"/>
        <v>tRNA-Asn-GTT-1-1|60</v>
      </c>
      <c r="B638" s="4" t="s">
        <v>45</v>
      </c>
      <c r="C638" s="4" t="s">
        <v>181</v>
      </c>
      <c r="D638" s="4">
        <v>60</v>
      </c>
      <c r="E638" s="18" t="s">
        <v>114</v>
      </c>
      <c r="F638" s="19" t="s">
        <v>175</v>
      </c>
    </row>
    <row r="639" spans="1:6">
      <c r="A639" s="4" t="str">
        <f t="shared" si="9"/>
        <v>tRNA-Asn-GTT-1-1|61</v>
      </c>
      <c r="B639" s="4" t="s">
        <v>45</v>
      </c>
      <c r="C639" s="4" t="s">
        <v>182</v>
      </c>
      <c r="D639" s="4">
        <v>61</v>
      </c>
      <c r="E639" s="22" t="s">
        <v>114</v>
      </c>
      <c r="F639" s="10" t="s">
        <v>169</v>
      </c>
    </row>
    <row r="640" spans="1:6">
      <c r="A640" s="4" t="str">
        <f t="shared" si="9"/>
        <v>tRNA-Asn-GTT-1-1|62</v>
      </c>
      <c r="B640" s="4" t="s">
        <v>45</v>
      </c>
      <c r="C640" s="4" t="s">
        <v>183</v>
      </c>
      <c r="D640" s="4">
        <v>62</v>
      </c>
      <c r="E640" s="22" t="s">
        <v>114</v>
      </c>
      <c r="F640" s="10" t="s">
        <v>169</v>
      </c>
    </row>
    <row r="641" spans="1:6">
      <c r="A641" s="4" t="str">
        <f t="shared" si="9"/>
        <v>tRNA-Asn-GTT-1-1|63</v>
      </c>
      <c r="B641" s="4" t="s">
        <v>45</v>
      </c>
      <c r="C641" s="4" t="s">
        <v>184</v>
      </c>
      <c r="D641" s="4">
        <v>63</v>
      </c>
      <c r="E641" s="22" t="s">
        <v>116</v>
      </c>
      <c r="F641" s="10" t="s">
        <v>169</v>
      </c>
    </row>
    <row r="642" spans="1:6">
      <c r="A642" s="4" t="str">
        <f t="shared" ref="A642:A705" si="10">B642&amp;"|"&amp;C642</f>
        <v>tRNA-Asn-GTT-1-1|64</v>
      </c>
      <c r="B642" s="4" t="s">
        <v>45</v>
      </c>
      <c r="C642" s="4" t="s">
        <v>185</v>
      </c>
      <c r="D642" s="4">
        <v>64</v>
      </c>
      <c r="E642" s="22" t="s">
        <v>109</v>
      </c>
      <c r="F642" s="10" t="s">
        <v>169</v>
      </c>
    </row>
    <row r="643" spans="1:6">
      <c r="A643" s="4" t="str">
        <f t="shared" si="10"/>
        <v>tRNA-Asn-GTT-1-1|65</v>
      </c>
      <c r="B643" s="4" t="s">
        <v>45</v>
      </c>
      <c r="C643" s="4" t="s">
        <v>186</v>
      </c>
      <c r="D643" s="4">
        <v>65</v>
      </c>
      <c r="E643" s="22" t="s">
        <v>114</v>
      </c>
      <c r="F643" s="10" t="s">
        <v>169</v>
      </c>
    </row>
    <row r="644" spans="1:6">
      <c r="A644" s="4" t="str">
        <f t="shared" si="10"/>
        <v>tRNA-Asn-GTT-1-1|66</v>
      </c>
      <c r="B644" s="4" t="s">
        <v>45</v>
      </c>
      <c r="C644" s="4" t="s">
        <v>187</v>
      </c>
      <c r="D644" s="4">
        <v>66</v>
      </c>
      <c r="E644" s="16" t="s">
        <v>122</v>
      </c>
      <c r="F644" s="17" t="s">
        <v>110</v>
      </c>
    </row>
    <row r="645" spans="1:6">
      <c r="A645" s="4" t="str">
        <f t="shared" si="10"/>
        <v>tRNA-Asn-GTT-1-1|67</v>
      </c>
      <c r="B645" s="4" t="s">
        <v>45</v>
      </c>
      <c r="C645" s="4" t="s">
        <v>188</v>
      </c>
      <c r="D645" s="4">
        <v>67</v>
      </c>
      <c r="E645" s="16" t="s">
        <v>122</v>
      </c>
      <c r="F645" s="17" t="s">
        <v>110</v>
      </c>
    </row>
    <row r="646" spans="1:6">
      <c r="A646" s="4" t="str">
        <f t="shared" si="10"/>
        <v>tRNA-Asn-GTT-1-1|68</v>
      </c>
      <c r="B646" s="4" t="s">
        <v>45</v>
      </c>
      <c r="C646" s="4" t="s">
        <v>189</v>
      </c>
      <c r="D646" s="4">
        <v>68</v>
      </c>
      <c r="E646" s="16" t="s">
        <v>109</v>
      </c>
      <c r="F646" s="17" t="s">
        <v>110</v>
      </c>
    </row>
    <row r="647" spans="1:6">
      <c r="A647" s="4" t="str">
        <f t="shared" si="10"/>
        <v>tRNA-Asn-GTT-1-1|69</v>
      </c>
      <c r="B647" s="4" t="s">
        <v>45</v>
      </c>
      <c r="C647" s="4" t="s">
        <v>190</v>
      </c>
      <c r="D647" s="4">
        <v>69</v>
      </c>
      <c r="E647" s="16" t="s">
        <v>114</v>
      </c>
      <c r="F647" s="17" t="s">
        <v>110</v>
      </c>
    </row>
    <row r="648" spans="1:6">
      <c r="A648" s="4" t="str">
        <f t="shared" si="10"/>
        <v>tRNA-Asn-GTT-1-1|70</v>
      </c>
      <c r="B648" s="4" t="s">
        <v>45</v>
      </c>
      <c r="C648" s="4" t="s">
        <v>191</v>
      </c>
      <c r="D648" s="4">
        <v>70</v>
      </c>
      <c r="E648" s="16" t="s">
        <v>109</v>
      </c>
      <c r="F648" s="17" t="s">
        <v>110</v>
      </c>
    </row>
    <row r="649" spans="1:6">
      <c r="A649" s="4" t="str">
        <f t="shared" si="10"/>
        <v>tRNA-Asn-GTT-1-1|71</v>
      </c>
      <c r="B649" s="4" t="s">
        <v>45</v>
      </c>
      <c r="C649" s="4" t="s">
        <v>192</v>
      </c>
      <c r="D649" s="4">
        <v>71</v>
      </c>
      <c r="E649" s="16" t="s">
        <v>109</v>
      </c>
      <c r="F649" s="17" t="s">
        <v>110</v>
      </c>
    </row>
    <row r="650" spans="1:6">
      <c r="A650" s="4" t="str">
        <f t="shared" si="10"/>
        <v>tRNA-Asn-GTT-1-1|72</v>
      </c>
      <c r="B650" s="4" t="s">
        <v>45</v>
      </c>
      <c r="C650" s="4" t="s">
        <v>193</v>
      </c>
      <c r="D650" s="4">
        <v>72</v>
      </c>
      <c r="E650" s="16" t="s">
        <v>114</v>
      </c>
      <c r="F650" s="17" t="s">
        <v>110</v>
      </c>
    </row>
    <row r="651" spans="1:6">
      <c r="A651" s="4" t="str">
        <f t="shared" si="10"/>
        <v>tRNA-Asn-GTT-1-2|1</v>
      </c>
      <c r="B651" s="4" t="s">
        <v>46</v>
      </c>
      <c r="C651" s="4" t="s">
        <v>108</v>
      </c>
      <c r="D651" s="4">
        <v>1</v>
      </c>
      <c r="E651" s="16" t="s">
        <v>109</v>
      </c>
      <c r="F651" s="17" t="s">
        <v>110</v>
      </c>
    </row>
    <row r="652" spans="1:6">
      <c r="A652" s="4" t="str">
        <f t="shared" si="10"/>
        <v>tRNA-Asn-GTT-1-2|2</v>
      </c>
      <c r="B652" s="4" t="s">
        <v>46</v>
      </c>
      <c r="C652" s="4" t="s">
        <v>111</v>
      </c>
      <c r="D652" s="4">
        <v>2</v>
      </c>
      <c r="E652" s="16" t="s">
        <v>114</v>
      </c>
      <c r="F652" s="17" t="s">
        <v>110</v>
      </c>
    </row>
    <row r="653" spans="1:6">
      <c r="A653" s="4" t="str">
        <f t="shared" si="10"/>
        <v>tRNA-Asn-GTT-1-2|3</v>
      </c>
      <c r="B653" s="4" t="s">
        <v>46</v>
      </c>
      <c r="C653" s="4" t="s">
        <v>112</v>
      </c>
      <c r="D653" s="4">
        <v>3</v>
      </c>
      <c r="E653" s="16" t="s">
        <v>114</v>
      </c>
      <c r="F653" s="17" t="s">
        <v>110</v>
      </c>
    </row>
    <row r="654" spans="1:6">
      <c r="A654" s="4" t="str">
        <f t="shared" si="10"/>
        <v>tRNA-Asn-GTT-1-2|4</v>
      </c>
      <c r="B654" s="4" t="s">
        <v>46</v>
      </c>
      <c r="C654" s="4" t="s">
        <v>113</v>
      </c>
      <c r="D654" s="4">
        <v>4</v>
      </c>
      <c r="E654" s="16" t="s">
        <v>109</v>
      </c>
      <c r="F654" s="17" t="s">
        <v>110</v>
      </c>
    </row>
    <row r="655" spans="1:6">
      <c r="A655" s="4" t="str">
        <f t="shared" si="10"/>
        <v>tRNA-Asn-GTT-1-2|5</v>
      </c>
      <c r="B655" s="4" t="s">
        <v>46</v>
      </c>
      <c r="C655" s="4" t="s">
        <v>115</v>
      </c>
      <c r="D655" s="4">
        <v>5</v>
      </c>
      <c r="E655" s="16" t="s">
        <v>114</v>
      </c>
      <c r="F655" s="17" t="s">
        <v>110</v>
      </c>
    </row>
    <row r="656" spans="1:6">
      <c r="A656" s="4" t="str">
        <f t="shared" si="10"/>
        <v>tRNA-Asn-GTT-1-2|6</v>
      </c>
      <c r="B656" s="4" t="s">
        <v>46</v>
      </c>
      <c r="C656" s="4" t="s">
        <v>117</v>
      </c>
      <c r="D656" s="4">
        <v>6</v>
      </c>
      <c r="E656" s="16" t="s">
        <v>116</v>
      </c>
      <c r="F656" s="17" t="s">
        <v>110</v>
      </c>
    </row>
    <row r="657" spans="1:6">
      <c r="A657" s="4" t="str">
        <f t="shared" si="10"/>
        <v>tRNA-Asn-GTT-1-2|7</v>
      </c>
      <c r="B657" s="4" t="s">
        <v>46</v>
      </c>
      <c r="C657" s="4" t="s">
        <v>118</v>
      </c>
      <c r="D657" s="4">
        <v>7</v>
      </c>
      <c r="E657" s="16" t="s">
        <v>116</v>
      </c>
      <c r="F657" s="17" t="s">
        <v>110</v>
      </c>
    </row>
    <row r="658" spans="1:6">
      <c r="A658" s="4" t="str">
        <f t="shared" si="10"/>
        <v>tRNA-Asn-GTT-1-2|8</v>
      </c>
      <c r="B658" s="4" t="s">
        <v>46</v>
      </c>
      <c r="C658" s="4" t="s">
        <v>119</v>
      </c>
      <c r="D658" s="4">
        <v>8</v>
      </c>
      <c r="E658" s="3" t="s">
        <v>116</v>
      </c>
      <c r="F658" s="4" t="s">
        <v>120</v>
      </c>
    </row>
    <row r="659" spans="1:6">
      <c r="A659" s="4" t="str">
        <f t="shared" si="10"/>
        <v>tRNA-Asn-GTT-1-2|9</v>
      </c>
      <c r="B659" s="4" t="s">
        <v>46</v>
      </c>
      <c r="C659" s="4" t="s">
        <v>121</v>
      </c>
      <c r="D659" s="4">
        <v>9</v>
      </c>
      <c r="E659" s="3" t="s">
        <v>122</v>
      </c>
      <c r="F659" s="4" t="s">
        <v>123</v>
      </c>
    </row>
    <row r="660" spans="1:6">
      <c r="A660" s="4" t="str">
        <f t="shared" si="10"/>
        <v>tRNA-Asn-GTT-1-2|10</v>
      </c>
      <c r="B660" s="4" t="s">
        <v>46</v>
      </c>
      <c r="C660" s="4" t="s">
        <v>124</v>
      </c>
      <c r="D660" s="4">
        <v>10</v>
      </c>
      <c r="E660" s="8" t="s">
        <v>122</v>
      </c>
      <c r="F660" s="7" t="s">
        <v>125</v>
      </c>
    </row>
    <row r="661" spans="1:6">
      <c r="A661" s="4" t="str">
        <f t="shared" si="10"/>
        <v>tRNA-Asn-GTT-1-2|11</v>
      </c>
      <c r="B661" s="4" t="s">
        <v>46</v>
      </c>
      <c r="C661" s="4" t="s">
        <v>126</v>
      </c>
      <c r="D661" s="4">
        <v>11</v>
      </c>
      <c r="E661" s="8" t="s">
        <v>114</v>
      </c>
      <c r="F661" s="7" t="s">
        <v>125</v>
      </c>
    </row>
    <row r="662" spans="1:6">
      <c r="A662" s="4" t="str">
        <f t="shared" si="10"/>
        <v>tRNA-Asn-GTT-1-2|12</v>
      </c>
      <c r="B662" s="4" t="s">
        <v>46</v>
      </c>
      <c r="C662" s="4" t="s">
        <v>127</v>
      </c>
      <c r="D662" s="4">
        <v>12</v>
      </c>
      <c r="E662" s="8" t="s">
        <v>116</v>
      </c>
      <c r="F662" s="7" t="s">
        <v>125</v>
      </c>
    </row>
    <row r="663" spans="1:6">
      <c r="A663" s="4" t="str">
        <f t="shared" si="10"/>
        <v>tRNA-Asn-GTT-1-2|13</v>
      </c>
      <c r="B663" s="4" t="s">
        <v>46</v>
      </c>
      <c r="C663" s="4" t="s">
        <v>128</v>
      </c>
      <c r="D663" s="4">
        <v>13</v>
      </c>
      <c r="E663" s="8" t="s">
        <v>114</v>
      </c>
      <c r="F663" s="7" t="s">
        <v>125</v>
      </c>
    </row>
    <row r="664" spans="1:6">
      <c r="A664" s="4" t="str">
        <f t="shared" si="10"/>
        <v>tRNA-Asn-GTT-1-2|14</v>
      </c>
      <c r="B664" s="4" t="s">
        <v>46</v>
      </c>
      <c r="C664" s="4" t="s">
        <v>129</v>
      </c>
      <c r="D664" s="4">
        <v>14</v>
      </c>
      <c r="E664" s="18" t="s">
        <v>122</v>
      </c>
      <c r="F664" s="19" t="s">
        <v>130</v>
      </c>
    </row>
    <row r="665" spans="1:6">
      <c r="A665" s="4" t="str">
        <f t="shared" si="10"/>
        <v>tRNA-Asn-GTT-1-2|15</v>
      </c>
      <c r="B665" s="4" t="s">
        <v>46</v>
      </c>
      <c r="C665" s="4" t="s">
        <v>131</v>
      </c>
      <c r="D665" s="4">
        <v>15</v>
      </c>
      <c r="E665" s="18" t="s">
        <v>109</v>
      </c>
      <c r="F665" s="19" t="s">
        <v>130</v>
      </c>
    </row>
    <row r="666" spans="1:6">
      <c r="A666" s="4" t="str">
        <f t="shared" si="10"/>
        <v>tRNA-Asn-GTT-1-2|16</v>
      </c>
      <c r="B666" s="4" t="s">
        <v>46</v>
      </c>
      <c r="C666" s="4" t="s">
        <v>194</v>
      </c>
      <c r="D666" s="4">
        <v>16</v>
      </c>
      <c r="E666" s="18" t="s">
        <v>116</v>
      </c>
      <c r="F666" s="19" t="s">
        <v>130</v>
      </c>
    </row>
    <row r="667" spans="1:6">
      <c r="A667" s="4" t="str">
        <f t="shared" si="10"/>
        <v>tRNA-Asn-GTT-1-2|17</v>
      </c>
      <c r="B667" s="4" t="s">
        <v>46</v>
      </c>
      <c r="C667" s="4" t="s">
        <v>195</v>
      </c>
      <c r="D667" s="4">
        <v>17</v>
      </c>
      <c r="E667" s="18" t="s">
        <v>116</v>
      </c>
      <c r="F667" s="19" t="s">
        <v>130</v>
      </c>
    </row>
    <row r="668" spans="1:6">
      <c r="A668" s="4" t="str">
        <f t="shared" si="10"/>
        <v>tRNA-Asn-GTT-1-2|18</v>
      </c>
      <c r="B668" s="4" t="s">
        <v>46</v>
      </c>
      <c r="C668" s="4" t="s">
        <v>132</v>
      </c>
      <c r="D668" s="4">
        <v>18</v>
      </c>
      <c r="E668" s="18" t="s">
        <v>109</v>
      </c>
      <c r="F668" s="19" t="s">
        <v>130</v>
      </c>
    </row>
    <row r="669" spans="1:6">
      <c r="A669" s="4" t="str">
        <f t="shared" si="10"/>
        <v>tRNA-Asn-GTT-1-2|19</v>
      </c>
      <c r="B669" s="4" t="s">
        <v>46</v>
      </c>
      <c r="C669" s="4" t="s">
        <v>133</v>
      </c>
      <c r="D669" s="4">
        <v>19</v>
      </c>
      <c r="E669" s="18" t="s">
        <v>109</v>
      </c>
      <c r="F669" s="19" t="s">
        <v>130</v>
      </c>
    </row>
    <row r="670" spans="1:6">
      <c r="A670" s="4" t="str">
        <f t="shared" si="10"/>
        <v>tRNA-Asn-GTT-1-2|20</v>
      </c>
      <c r="B670" s="4" t="s">
        <v>46</v>
      </c>
      <c r="C670" s="4" t="s">
        <v>134</v>
      </c>
      <c r="D670" s="4">
        <v>20</v>
      </c>
      <c r="E670" s="18" t="s">
        <v>116</v>
      </c>
      <c r="F670" s="19" t="s">
        <v>130</v>
      </c>
    </row>
    <row r="671" spans="1:6">
      <c r="A671" s="4" t="str">
        <f t="shared" si="10"/>
        <v>tRNA-Asn-GTT-1-2|21</v>
      </c>
      <c r="B671" s="4" t="s">
        <v>46</v>
      </c>
      <c r="C671" s="4" t="s">
        <v>136</v>
      </c>
      <c r="D671" s="4">
        <v>21</v>
      </c>
      <c r="E671" s="18" t="s">
        <v>122</v>
      </c>
      <c r="F671" s="19" t="s">
        <v>130</v>
      </c>
    </row>
    <row r="672" spans="1:6">
      <c r="A672" s="4" t="str">
        <f t="shared" si="10"/>
        <v>tRNA-Asn-GTT-1-2|22</v>
      </c>
      <c r="B672" s="4" t="s">
        <v>46</v>
      </c>
      <c r="C672" s="4" t="s">
        <v>137</v>
      </c>
      <c r="D672" s="4">
        <v>22</v>
      </c>
      <c r="E672" s="8" t="s">
        <v>109</v>
      </c>
      <c r="F672" s="7" t="s">
        <v>125</v>
      </c>
    </row>
    <row r="673" spans="1:6">
      <c r="A673" s="4" t="str">
        <f t="shared" si="10"/>
        <v>tRNA-Asn-GTT-1-2|23</v>
      </c>
      <c r="B673" s="4" t="s">
        <v>46</v>
      </c>
      <c r="C673" s="4" t="s">
        <v>138</v>
      </c>
      <c r="D673" s="4">
        <v>23</v>
      </c>
      <c r="E673" s="8" t="s">
        <v>122</v>
      </c>
      <c r="F673" s="7" t="s">
        <v>125</v>
      </c>
    </row>
    <row r="674" spans="1:6">
      <c r="A674" s="4" t="str">
        <f t="shared" si="10"/>
        <v>tRNA-Asn-GTT-1-2|24</v>
      </c>
      <c r="B674" s="4" t="s">
        <v>46</v>
      </c>
      <c r="C674" s="4" t="s">
        <v>139</v>
      </c>
      <c r="D674" s="4">
        <v>24</v>
      </c>
      <c r="E674" s="8" t="s">
        <v>109</v>
      </c>
      <c r="F674" s="7" t="s">
        <v>125</v>
      </c>
    </row>
    <row r="675" spans="1:6">
      <c r="A675" s="4" t="str">
        <f t="shared" si="10"/>
        <v>tRNA-Asn-GTT-1-2|25</v>
      </c>
      <c r="B675" s="4" t="s">
        <v>46</v>
      </c>
      <c r="C675" s="4" t="s">
        <v>140</v>
      </c>
      <c r="D675" s="4">
        <v>25</v>
      </c>
      <c r="E675" s="8" t="s">
        <v>116</v>
      </c>
      <c r="F675" s="7" t="s">
        <v>125</v>
      </c>
    </row>
    <row r="676" spans="1:6">
      <c r="A676" s="4" t="str">
        <f t="shared" si="10"/>
        <v>tRNA-Asn-GTT-1-2|26</v>
      </c>
      <c r="B676" s="4" t="s">
        <v>46</v>
      </c>
      <c r="C676" s="4" t="s">
        <v>141</v>
      </c>
      <c r="D676" s="4">
        <v>26</v>
      </c>
      <c r="E676" s="3" t="s">
        <v>109</v>
      </c>
      <c r="F676" s="4" t="s">
        <v>142</v>
      </c>
    </row>
    <row r="677" spans="1:6">
      <c r="A677" s="4" t="str">
        <f t="shared" si="10"/>
        <v>tRNA-Asn-GTT-1-2|27</v>
      </c>
      <c r="B677" s="4" t="s">
        <v>46</v>
      </c>
      <c r="C677" s="4" t="s">
        <v>143</v>
      </c>
      <c r="D677" s="4">
        <v>27</v>
      </c>
      <c r="E677" s="20" t="s">
        <v>116</v>
      </c>
      <c r="F677" s="21" t="s">
        <v>144</v>
      </c>
    </row>
    <row r="678" spans="1:6">
      <c r="A678" s="4" t="str">
        <f t="shared" si="10"/>
        <v>tRNA-Asn-GTT-1-2|28</v>
      </c>
      <c r="B678" s="4" t="s">
        <v>46</v>
      </c>
      <c r="C678" s="4" t="s">
        <v>145</v>
      </c>
      <c r="D678" s="4">
        <v>28</v>
      </c>
      <c r="E678" s="20" t="s">
        <v>114</v>
      </c>
      <c r="F678" s="21" t="s">
        <v>144</v>
      </c>
    </row>
    <row r="679" spans="1:6">
      <c r="A679" s="4" t="str">
        <f t="shared" si="10"/>
        <v>tRNA-Asn-GTT-1-2|29</v>
      </c>
      <c r="B679" s="4" t="s">
        <v>46</v>
      </c>
      <c r="C679" s="4" t="s">
        <v>146</v>
      </c>
      <c r="D679" s="4">
        <v>29</v>
      </c>
      <c r="E679" s="20" t="s">
        <v>116</v>
      </c>
      <c r="F679" s="21" t="s">
        <v>144</v>
      </c>
    </row>
    <row r="680" spans="1:6">
      <c r="A680" s="4" t="str">
        <f t="shared" si="10"/>
        <v>tRNA-Asn-GTT-1-2|30</v>
      </c>
      <c r="B680" s="4" t="s">
        <v>46</v>
      </c>
      <c r="C680" s="4" t="s">
        <v>147</v>
      </c>
      <c r="D680" s="4">
        <v>30</v>
      </c>
      <c r="E680" s="20" t="s">
        <v>109</v>
      </c>
      <c r="F680" s="21" t="s">
        <v>144</v>
      </c>
    </row>
    <row r="681" spans="1:6">
      <c r="A681" s="4" t="str">
        <f t="shared" si="10"/>
        <v>tRNA-Asn-GTT-1-2|31</v>
      </c>
      <c r="B681" s="4" t="s">
        <v>46</v>
      </c>
      <c r="C681" s="4" t="s">
        <v>148</v>
      </c>
      <c r="D681" s="4">
        <v>31</v>
      </c>
      <c r="E681" s="20" t="s">
        <v>109</v>
      </c>
      <c r="F681" s="21" t="s">
        <v>144</v>
      </c>
    </row>
    <row r="682" spans="1:6">
      <c r="A682" s="4" t="str">
        <f t="shared" si="10"/>
        <v>tRNA-Asn-GTT-1-2|32</v>
      </c>
      <c r="B682" s="4" t="s">
        <v>46</v>
      </c>
      <c r="C682" s="4" t="s">
        <v>149</v>
      </c>
      <c r="D682" s="4">
        <v>32</v>
      </c>
      <c r="E682" s="18" t="s">
        <v>114</v>
      </c>
      <c r="F682" s="19" t="s">
        <v>150</v>
      </c>
    </row>
    <row r="683" spans="1:6">
      <c r="A683" s="4" t="str">
        <f t="shared" si="10"/>
        <v>tRNA-Asn-GTT-1-2|33</v>
      </c>
      <c r="B683" s="4" t="s">
        <v>46</v>
      </c>
      <c r="C683" s="4" t="s">
        <v>151</v>
      </c>
      <c r="D683" s="4">
        <v>33</v>
      </c>
      <c r="E683" s="18" t="s">
        <v>116</v>
      </c>
      <c r="F683" s="19" t="s">
        <v>150</v>
      </c>
    </row>
    <row r="684" spans="1:6">
      <c r="A684" s="4" t="str">
        <f t="shared" si="10"/>
        <v>tRNA-Asn-GTT-1-2|34</v>
      </c>
      <c r="B684" s="4" t="s">
        <v>46</v>
      </c>
      <c r="C684" s="4" t="s">
        <v>152</v>
      </c>
      <c r="D684" s="4">
        <v>34</v>
      </c>
      <c r="E684" s="18" t="s">
        <v>109</v>
      </c>
      <c r="F684" s="19" t="s">
        <v>150</v>
      </c>
    </row>
    <row r="685" spans="1:6">
      <c r="A685" s="4" t="str">
        <f t="shared" si="10"/>
        <v>tRNA-Asn-GTT-1-2|35</v>
      </c>
      <c r="B685" s="4" t="s">
        <v>46</v>
      </c>
      <c r="C685" s="4" t="s">
        <v>153</v>
      </c>
      <c r="D685" s="4">
        <v>35</v>
      </c>
      <c r="E685" s="18" t="s">
        <v>116</v>
      </c>
      <c r="F685" s="19" t="s">
        <v>150</v>
      </c>
    </row>
    <row r="686" spans="1:6">
      <c r="A686" s="4" t="str">
        <f t="shared" si="10"/>
        <v>tRNA-Asn-GTT-1-2|36</v>
      </c>
      <c r="B686" s="4" t="s">
        <v>46</v>
      </c>
      <c r="C686" s="4" t="s">
        <v>154</v>
      </c>
      <c r="D686" s="4">
        <v>36</v>
      </c>
      <c r="E686" s="18" t="s">
        <v>116</v>
      </c>
      <c r="F686" s="19" t="s">
        <v>150</v>
      </c>
    </row>
    <row r="687" spans="1:6">
      <c r="A687" s="4" t="str">
        <f t="shared" si="10"/>
        <v>tRNA-Asn-GTT-1-2|37</v>
      </c>
      <c r="B687" s="4" t="s">
        <v>46</v>
      </c>
      <c r="C687" s="4" t="s">
        <v>155</v>
      </c>
      <c r="D687" s="4">
        <v>37</v>
      </c>
      <c r="E687" s="18" t="s">
        <v>122</v>
      </c>
      <c r="F687" s="19" t="s">
        <v>150</v>
      </c>
    </row>
    <row r="688" spans="1:6">
      <c r="A688" s="4" t="str">
        <f t="shared" si="10"/>
        <v>tRNA-Asn-GTT-1-2|38</v>
      </c>
      <c r="B688" s="4" t="s">
        <v>46</v>
      </c>
      <c r="C688" s="4" t="s">
        <v>156</v>
      </c>
      <c r="D688" s="4">
        <v>38</v>
      </c>
      <c r="E688" s="18" t="s">
        <v>122</v>
      </c>
      <c r="F688" s="19" t="s">
        <v>150</v>
      </c>
    </row>
    <row r="689" spans="1:6">
      <c r="A689" s="4" t="str">
        <f t="shared" si="10"/>
        <v>tRNA-Asn-GTT-1-2|39</v>
      </c>
      <c r="B689" s="4" t="s">
        <v>46</v>
      </c>
      <c r="C689" s="4" t="s">
        <v>157</v>
      </c>
      <c r="D689" s="4">
        <v>39</v>
      </c>
      <c r="E689" s="20" t="s">
        <v>114</v>
      </c>
      <c r="F689" s="21" t="s">
        <v>144</v>
      </c>
    </row>
    <row r="690" spans="1:6">
      <c r="A690" s="4" t="str">
        <f t="shared" si="10"/>
        <v>tRNA-Asn-GTT-1-2|40</v>
      </c>
      <c r="B690" s="4" t="s">
        <v>46</v>
      </c>
      <c r="C690" s="4" t="s">
        <v>158</v>
      </c>
      <c r="D690" s="4">
        <v>40</v>
      </c>
      <c r="E690" s="20" t="s">
        <v>114</v>
      </c>
      <c r="F690" s="21" t="s">
        <v>144</v>
      </c>
    </row>
    <row r="691" spans="1:6">
      <c r="A691" s="4" t="str">
        <f t="shared" si="10"/>
        <v>tRNA-Asn-GTT-1-2|41</v>
      </c>
      <c r="B691" s="4" t="s">
        <v>46</v>
      </c>
      <c r="C691" s="4" t="s">
        <v>159</v>
      </c>
      <c r="D691" s="4">
        <v>41</v>
      </c>
      <c r="E691" s="20" t="s">
        <v>122</v>
      </c>
      <c r="F691" s="21" t="s">
        <v>144</v>
      </c>
    </row>
    <row r="692" spans="1:6">
      <c r="A692" s="4" t="str">
        <f t="shared" si="10"/>
        <v>tRNA-Asn-GTT-1-2|42</v>
      </c>
      <c r="B692" s="4" t="s">
        <v>46</v>
      </c>
      <c r="C692" s="4" t="s">
        <v>160</v>
      </c>
      <c r="D692" s="4">
        <v>42</v>
      </c>
      <c r="E692" s="20" t="s">
        <v>109</v>
      </c>
      <c r="F692" s="21" t="s">
        <v>144</v>
      </c>
    </row>
    <row r="693" spans="1:6">
      <c r="A693" s="4" t="str">
        <f t="shared" si="10"/>
        <v>tRNA-Asn-GTT-1-2|43</v>
      </c>
      <c r="B693" s="4" t="s">
        <v>46</v>
      </c>
      <c r="C693" s="4" t="s">
        <v>161</v>
      </c>
      <c r="D693" s="4">
        <v>43</v>
      </c>
      <c r="E693" s="20" t="s">
        <v>122</v>
      </c>
      <c r="F693" s="21" t="s">
        <v>144</v>
      </c>
    </row>
    <row r="694" spans="1:6">
      <c r="A694" s="4" t="str">
        <f t="shared" si="10"/>
        <v>tRNA-Asn-GTT-1-2|44</v>
      </c>
      <c r="B694" s="4" t="s">
        <v>46</v>
      </c>
      <c r="C694" s="4" t="s">
        <v>162</v>
      </c>
      <c r="D694" s="4">
        <v>44</v>
      </c>
      <c r="E694" s="18" t="s">
        <v>122</v>
      </c>
      <c r="F694" s="19" t="s">
        <v>163</v>
      </c>
    </row>
    <row r="695" spans="1:6">
      <c r="A695" s="4" t="str">
        <f t="shared" si="10"/>
        <v>tRNA-Asn-GTT-1-2|45</v>
      </c>
      <c r="B695" s="4" t="s">
        <v>46</v>
      </c>
      <c r="C695" s="4" t="s">
        <v>164</v>
      </c>
      <c r="D695" s="4">
        <v>45</v>
      </c>
      <c r="E695" s="18" t="s">
        <v>116</v>
      </c>
      <c r="F695" s="19" t="s">
        <v>163</v>
      </c>
    </row>
    <row r="696" spans="1:6">
      <c r="A696" s="4" t="str">
        <f t="shared" si="10"/>
        <v>tRNA-Asn-GTT-1-2|46</v>
      </c>
      <c r="B696" s="4" t="s">
        <v>46</v>
      </c>
      <c r="C696" s="4" t="s">
        <v>165</v>
      </c>
      <c r="D696" s="4">
        <v>46</v>
      </c>
      <c r="E696" s="18" t="s">
        <v>109</v>
      </c>
      <c r="F696" s="19" t="s">
        <v>163</v>
      </c>
    </row>
    <row r="697" spans="1:6">
      <c r="A697" s="4" t="str">
        <f t="shared" si="10"/>
        <v>tRNA-Asn-GTT-1-2|47</v>
      </c>
      <c r="B697" s="4" t="s">
        <v>46</v>
      </c>
      <c r="C697" s="4" t="s">
        <v>166</v>
      </c>
      <c r="D697" s="4">
        <v>47</v>
      </c>
      <c r="E697" s="18" t="s">
        <v>116</v>
      </c>
      <c r="F697" s="19" t="s">
        <v>163</v>
      </c>
    </row>
    <row r="698" spans="1:6">
      <c r="A698" s="4" t="str">
        <f t="shared" si="10"/>
        <v>tRNA-Asn-GTT-1-2|48</v>
      </c>
      <c r="B698" s="4" t="s">
        <v>46</v>
      </c>
      <c r="C698" s="4" t="s">
        <v>167</v>
      </c>
      <c r="D698" s="4">
        <v>48</v>
      </c>
      <c r="E698" s="18" t="s">
        <v>114</v>
      </c>
      <c r="F698" s="19" t="s">
        <v>163</v>
      </c>
    </row>
    <row r="699" spans="1:6">
      <c r="A699" s="4" t="str">
        <f t="shared" si="10"/>
        <v>tRNA-Asn-GTT-1-2|49</v>
      </c>
      <c r="B699" s="4" t="s">
        <v>46</v>
      </c>
      <c r="C699" s="4" t="s">
        <v>168</v>
      </c>
      <c r="D699" s="4">
        <v>49</v>
      </c>
      <c r="E699" s="22" t="s">
        <v>109</v>
      </c>
      <c r="F699" s="10" t="s">
        <v>169</v>
      </c>
    </row>
    <row r="700" spans="1:6">
      <c r="A700" s="4" t="str">
        <f t="shared" si="10"/>
        <v>tRNA-Asn-GTT-1-2|50</v>
      </c>
      <c r="B700" s="4" t="s">
        <v>46</v>
      </c>
      <c r="C700" s="4" t="s">
        <v>170</v>
      </c>
      <c r="D700" s="4">
        <v>50</v>
      </c>
      <c r="E700" s="22" t="s">
        <v>116</v>
      </c>
      <c r="F700" s="10" t="s">
        <v>169</v>
      </c>
    </row>
    <row r="701" spans="1:6">
      <c r="A701" s="4" t="str">
        <f t="shared" si="10"/>
        <v>tRNA-Asn-GTT-1-2|51</v>
      </c>
      <c r="B701" s="4" t="s">
        <v>46</v>
      </c>
      <c r="C701" s="4" t="s">
        <v>171</v>
      </c>
      <c r="D701" s="4">
        <v>51</v>
      </c>
      <c r="E701" s="22" t="s">
        <v>122</v>
      </c>
      <c r="F701" s="10" t="s">
        <v>169</v>
      </c>
    </row>
    <row r="702" spans="1:6">
      <c r="A702" s="4" t="str">
        <f t="shared" si="10"/>
        <v>tRNA-Asn-GTT-1-2|52</v>
      </c>
      <c r="B702" s="4" t="s">
        <v>46</v>
      </c>
      <c r="C702" s="4" t="s">
        <v>172</v>
      </c>
      <c r="D702" s="4">
        <v>52</v>
      </c>
      <c r="E702" s="22" t="s">
        <v>109</v>
      </c>
      <c r="F702" s="10" t="s">
        <v>169</v>
      </c>
    </row>
    <row r="703" spans="1:6">
      <c r="A703" s="4" t="str">
        <f t="shared" si="10"/>
        <v>tRNA-Asn-GTT-1-2|53</v>
      </c>
      <c r="B703" s="4" t="s">
        <v>46</v>
      </c>
      <c r="C703" s="4" t="s">
        <v>173</v>
      </c>
      <c r="D703" s="4">
        <v>53</v>
      </c>
      <c r="E703" s="22" t="s">
        <v>109</v>
      </c>
      <c r="F703" s="10" t="s">
        <v>169</v>
      </c>
    </row>
    <row r="704" spans="1:6">
      <c r="A704" s="4" t="str">
        <f t="shared" si="10"/>
        <v>tRNA-Asn-GTT-1-2|54</v>
      </c>
      <c r="B704" s="4" t="s">
        <v>46</v>
      </c>
      <c r="C704" s="4" t="s">
        <v>174</v>
      </c>
      <c r="D704" s="4">
        <v>54</v>
      </c>
      <c r="E704" s="18" t="s">
        <v>116</v>
      </c>
      <c r="F704" s="19" t="s">
        <v>175</v>
      </c>
    </row>
    <row r="705" spans="1:6">
      <c r="A705" s="4" t="str">
        <f t="shared" si="10"/>
        <v>tRNA-Asn-GTT-1-2|55</v>
      </c>
      <c r="B705" s="4" t="s">
        <v>46</v>
      </c>
      <c r="C705" s="4" t="s">
        <v>176</v>
      </c>
      <c r="D705" s="4">
        <v>55</v>
      </c>
      <c r="E705" s="18" t="s">
        <v>116</v>
      </c>
      <c r="F705" s="19" t="s">
        <v>175</v>
      </c>
    </row>
    <row r="706" spans="1:6">
      <c r="A706" s="4" t="str">
        <f t="shared" ref="A706:A769" si="11">B706&amp;"|"&amp;C706</f>
        <v>tRNA-Asn-GTT-1-2|56</v>
      </c>
      <c r="B706" s="4" t="s">
        <v>46</v>
      </c>
      <c r="C706" s="4" t="s">
        <v>177</v>
      </c>
      <c r="D706" s="4">
        <v>56</v>
      </c>
      <c r="E706" s="18" t="s">
        <v>114</v>
      </c>
      <c r="F706" s="19" t="s">
        <v>175</v>
      </c>
    </row>
    <row r="707" spans="1:6">
      <c r="A707" s="4" t="str">
        <f t="shared" si="11"/>
        <v>tRNA-Asn-GTT-1-2|57</v>
      </c>
      <c r="B707" s="4" t="s">
        <v>46</v>
      </c>
      <c r="C707" s="4" t="s">
        <v>178</v>
      </c>
      <c r="D707" s="4">
        <v>57</v>
      </c>
      <c r="E707" s="18" t="s">
        <v>109</v>
      </c>
      <c r="F707" s="19" t="s">
        <v>175</v>
      </c>
    </row>
    <row r="708" spans="1:6">
      <c r="A708" s="4" t="str">
        <f t="shared" si="11"/>
        <v>tRNA-Asn-GTT-1-2|58</v>
      </c>
      <c r="B708" s="4" t="s">
        <v>46</v>
      </c>
      <c r="C708" s="4" t="s">
        <v>179</v>
      </c>
      <c r="D708" s="4">
        <v>58</v>
      </c>
      <c r="E708" s="18" t="s">
        <v>122</v>
      </c>
      <c r="F708" s="19" t="s">
        <v>175</v>
      </c>
    </row>
    <row r="709" spans="1:6">
      <c r="A709" s="4" t="str">
        <f t="shared" si="11"/>
        <v>tRNA-Asn-GTT-1-2|59</v>
      </c>
      <c r="B709" s="4" t="s">
        <v>46</v>
      </c>
      <c r="C709" s="4" t="s">
        <v>180</v>
      </c>
      <c r="D709" s="4">
        <v>59</v>
      </c>
      <c r="E709" s="18" t="s">
        <v>109</v>
      </c>
      <c r="F709" s="19" t="s">
        <v>175</v>
      </c>
    </row>
    <row r="710" spans="1:6">
      <c r="A710" s="4" t="str">
        <f t="shared" si="11"/>
        <v>tRNA-Asn-GTT-1-2|60</v>
      </c>
      <c r="B710" s="4" t="s">
        <v>46</v>
      </c>
      <c r="C710" s="4" t="s">
        <v>181</v>
      </c>
      <c r="D710" s="4">
        <v>60</v>
      </c>
      <c r="E710" s="18" t="s">
        <v>114</v>
      </c>
      <c r="F710" s="19" t="s">
        <v>175</v>
      </c>
    </row>
    <row r="711" spans="1:6">
      <c r="A711" s="4" t="str">
        <f t="shared" si="11"/>
        <v>tRNA-Asn-GTT-1-2|61</v>
      </c>
      <c r="B711" s="4" t="s">
        <v>46</v>
      </c>
      <c r="C711" s="4" t="s">
        <v>182</v>
      </c>
      <c r="D711" s="4">
        <v>61</v>
      </c>
      <c r="E711" s="22" t="s">
        <v>114</v>
      </c>
      <c r="F711" s="10" t="s">
        <v>169</v>
      </c>
    </row>
    <row r="712" spans="1:6">
      <c r="A712" s="4" t="str">
        <f t="shared" si="11"/>
        <v>tRNA-Asn-GTT-1-2|62</v>
      </c>
      <c r="B712" s="4" t="s">
        <v>46</v>
      </c>
      <c r="C712" s="4" t="s">
        <v>183</v>
      </c>
      <c r="D712" s="4">
        <v>62</v>
      </c>
      <c r="E712" s="22" t="s">
        <v>114</v>
      </c>
      <c r="F712" s="10" t="s">
        <v>169</v>
      </c>
    </row>
    <row r="713" spans="1:6">
      <c r="A713" s="4" t="str">
        <f t="shared" si="11"/>
        <v>tRNA-Asn-GTT-1-2|63</v>
      </c>
      <c r="B713" s="4" t="s">
        <v>46</v>
      </c>
      <c r="C713" s="4" t="s">
        <v>184</v>
      </c>
      <c r="D713" s="4">
        <v>63</v>
      </c>
      <c r="E713" s="22" t="s">
        <v>116</v>
      </c>
      <c r="F713" s="10" t="s">
        <v>169</v>
      </c>
    </row>
    <row r="714" spans="1:6">
      <c r="A714" s="4" t="str">
        <f t="shared" si="11"/>
        <v>tRNA-Asn-GTT-1-2|64</v>
      </c>
      <c r="B714" s="4" t="s">
        <v>46</v>
      </c>
      <c r="C714" s="4" t="s">
        <v>185</v>
      </c>
      <c r="D714" s="4">
        <v>64</v>
      </c>
      <c r="E714" s="22" t="s">
        <v>109</v>
      </c>
      <c r="F714" s="10" t="s">
        <v>169</v>
      </c>
    </row>
    <row r="715" spans="1:6">
      <c r="A715" s="4" t="str">
        <f t="shared" si="11"/>
        <v>tRNA-Asn-GTT-1-2|65</v>
      </c>
      <c r="B715" s="4" t="s">
        <v>46</v>
      </c>
      <c r="C715" s="4" t="s">
        <v>186</v>
      </c>
      <c r="D715" s="4">
        <v>65</v>
      </c>
      <c r="E715" s="22" t="s">
        <v>114</v>
      </c>
      <c r="F715" s="10" t="s">
        <v>169</v>
      </c>
    </row>
    <row r="716" spans="1:6">
      <c r="A716" s="4" t="str">
        <f t="shared" si="11"/>
        <v>tRNA-Asn-GTT-1-2|66</v>
      </c>
      <c r="B716" s="4" t="s">
        <v>46</v>
      </c>
      <c r="C716" s="4" t="s">
        <v>187</v>
      </c>
      <c r="D716" s="4">
        <v>66</v>
      </c>
      <c r="E716" s="16" t="s">
        <v>122</v>
      </c>
      <c r="F716" s="17" t="s">
        <v>110</v>
      </c>
    </row>
    <row r="717" spans="1:6">
      <c r="A717" s="4" t="str">
        <f t="shared" si="11"/>
        <v>tRNA-Asn-GTT-1-2|67</v>
      </c>
      <c r="B717" s="4" t="s">
        <v>46</v>
      </c>
      <c r="C717" s="4" t="s">
        <v>188</v>
      </c>
      <c r="D717" s="4">
        <v>67</v>
      </c>
      <c r="E717" s="16" t="s">
        <v>122</v>
      </c>
      <c r="F717" s="17" t="s">
        <v>110</v>
      </c>
    </row>
    <row r="718" spans="1:6">
      <c r="A718" s="4" t="str">
        <f t="shared" si="11"/>
        <v>tRNA-Asn-GTT-1-2|68</v>
      </c>
      <c r="B718" s="4" t="s">
        <v>46</v>
      </c>
      <c r="C718" s="4" t="s">
        <v>189</v>
      </c>
      <c r="D718" s="4">
        <v>68</v>
      </c>
      <c r="E718" s="16" t="s">
        <v>109</v>
      </c>
      <c r="F718" s="17" t="s">
        <v>110</v>
      </c>
    </row>
    <row r="719" spans="1:6">
      <c r="A719" s="4" t="str">
        <f t="shared" si="11"/>
        <v>tRNA-Asn-GTT-1-2|69</v>
      </c>
      <c r="B719" s="4" t="s">
        <v>46</v>
      </c>
      <c r="C719" s="4" t="s">
        <v>190</v>
      </c>
      <c r="D719" s="4">
        <v>69</v>
      </c>
      <c r="E719" s="16" t="s">
        <v>114</v>
      </c>
      <c r="F719" s="17" t="s">
        <v>110</v>
      </c>
    </row>
    <row r="720" spans="1:6">
      <c r="A720" s="4" t="str">
        <f t="shared" si="11"/>
        <v>tRNA-Asn-GTT-1-2|70</v>
      </c>
      <c r="B720" s="4" t="s">
        <v>46</v>
      </c>
      <c r="C720" s="4" t="s">
        <v>191</v>
      </c>
      <c r="D720" s="4">
        <v>70</v>
      </c>
      <c r="E720" s="16" t="s">
        <v>109</v>
      </c>
      <c r="F720" s="17" t="s">
        <v>110</v>
      </c>
    </row>
    <row r="721" spans="1:6">
      <c r="A721" s="4" t="str">
        <f t="shared" si="11"/>
        <v>tRNA-Asn-GTT-1-2|71</v>
      </c>
      <c r="B721" s="4" t="s">
        <v>46</v>
      </c>
      <c r="C721" s="4" t="s">
        <v>192</v>
      </c>
      <c r="D721" s="4">
        <v>71</v>
      </c>
      <c r="E721" s="16" t="s">
        <v>109</v>
      </c>
      <c r="F721" s="17" t="s">
        <v>110</v>
      </c>
    </row>
    <row r="722" spans="1:6">
      <c r="A722" s="4" t="str">
        <f t="shared" si="11"/>
        <v>tRNA-Asn-GTT-1-2|72</v>
      </c>
      <c r="B722" s="4" t="s">
        <v>46</v>
      </c>
      <c r="C722" s="4" t="s">
        <v>193</v>
      </c>
      <c r="D722" s="4">
        <v>72</v>
      </c>
      <c r="E722" s="16" t="s">
        <v>114</v>
      </c>
      <c r="F722" s="17" t="s">
        <v>110</v>
      </c>
    </row>
    <row r="723" spans="1:6">
      <c r="A723" s="4" t="str">
        <f t="shared" si="11"/>
        <v>tRNA-Asp-GTC-1-1|1</v>
      </c>
      <c r="B723" s="4" t="s">
        <v>47</v>
      </c>
      <c r="C723" s="4" t="s">
        <v>108</v>
      </c>
      <c r="D723" s="4">
        <v>1</v>
      </c>
      <c r="E723" s="16" t="s">
        <v>109</v>
      </c>
      <c r="F723" s="17" t="s">
        <v>110</v>
      </c>
    </row>
    <row r="724" spans="1:6">
      <c r="A724" s="4" t="str">
        <f t="shared" si="11"/>
        <v>tRNA-Asp-GTC-1-1|2</v>
      </c>
      <c r="B724" s="4" t="s">
        <v>47</v>
      </c>
      <c r="C724" s="4" t="s">
        <v>111</v>
      </c>
      <c r="D724" s="4">
        <v>2</v>
      </c>
      <c r="E724" s="16" t="s">
        <v>116</v>
      </c>
      <c r="F724" s="17" t="s">
        <v>110</v>
      </c>
    </row>
    <row r="725" spans="1:6">
      <c r="A725" s="4" t="str">
        <f t="shared" si="11"/>
        <v>tRNA-Asp-GTC-1-1|3</v>
      </c>
      <c r="B725" s="4" t="s">
        <v>47</v>
      </c>
      <c r="C725" s="4" t="s">
        <v>112</v>
      </c>
      <c r="D725" s="4">
        <v>3</v>
      </c>
      <c r="E725" s="16" t="s">
        <v>114</v>
      </c>
      <c r="F725" s="17" t="s">
        <v>110</v>
      </c>
    </row>
    <row r="726" spans="1:6">
      <c r="A726" s="4" t="str">
        <f t="shared" si="11"/>
        <v>tRNA-Asp-GTC-1-1|4</v>
      </c>
      <c r="B726" s="4" t="s">
        <v>47</v>
      </c>
      <c r="C726" s="4" t="s">
        <v>113</v>
      </c>
      <c r="D726" s="4">
        <v>4</v>
      </c>
      <c r="E726" s="16" t="s">
        <v>114</v>
      </c>
      <c r="F726" s="17" t="s">
        <v>110</v>
      </c>
    </row>
    <row r="727" spans="1:6">
      <c r="A727" s="4" t="str">
        <f t="shared" si="11"/>
        <v>tRNA-Asp-GTC-1-1|5</v>
      </c>
      <c r="B727" s="4" t="s">
        <v>47</v>
      </c>
      <c r="C727" s="4" t="s">
        <v>115</v>
      </c>
      <c r="D727" s="4">
        <v>5</v>
      </c>
      <c r="E727" s="16" t="s">
        <v>109</v>
      </c>
      <c r="F727" s="17" t="s">
        <v>110</v>
      </c>
    </row>
    <row r="728" spans="1:6">
      <c r="A728" s="4" t="str">
        <f t="shared" si="11"/>
        <v>tRNA-Asp-GTC-1-1|6</v>
      </c>
      <c r="B728" s="4" t="s">
        <v>47</v>
      </c>
      <c r="C728" s="4" t="s">
        <v>117</v>
      </c>
      <c r="D728" s="4">
        <v>6</v>
      </c>
      <c r="E728" s="16" t="s">
        <v>109</v>
      </c>
      <c r="F728" s="17" t="s">
        <v>110</v>
      </c>
    </row>
    <row r="729" spans="1:6">
      <c r="A729" s="4" t="str">
        <f t="shared" si="11"/>
        <v>tRNA-Asp-GTC-1-1|7</v>
      </c>
      <c r="B729" s="4" t="s">
        <v>47</v>
      </c>
      <c r="C729" s="4" t="s">
        <v>118</v>
      </c>
      <c r="D729" s="4">
        <v>7</v>
      </c>
      <c r="E729" s="16" t="s">
        <v>122</v>
      </c>
      <c r="F729" s="17" t="s">
        <v>110</v>
      </c>
    </row>
    <row r="730" spans="1:6">
      <c r="A730" s="4" t="str">
        <f t="shared" si="11"/>
        <v>tRNA-Asp-GTC-1-1|8</v>
      </c>
      <c r="B730" s="4" t="s">
        <v>47</v>
      </c>
      <c r="C730" s="4" t="s">
        <v>119</v>
      </c>
      <c r="D730" s="4">
        <v>8</v>
      </c>
      <c r="E730" s="3" t="s">
        <v>116</v>
      </c>
      <c r="F730" s="4" t="s">
        <v>120</v>
      </c>
    </row>
    <row r="731" spans="1:6">
      <c r="A731" s="4" t="str">
        <f t="shared" si="11"/>
        <v>tRNA-Asp-GTC-1-1|9</v>
      </c>
      <c r="B731" s="4" t="s">
        <v>47</v>
      </c>
      <c r="C731" s="4" t="s">
        <v>121</v>
      </c>
      <c r="D731" s="4">
        <v>9</v>
      </c>
      <c r="E731" s="3" t="s">
        <v>122</v>
      </c>
      <c r="F731" s="4" t="s">
        <v>123</v>
      </c>
    </row>
    <row r="732" spans="1:6">
      <c r="A732" s="4" t="str">
        <f t="shared" si="11"/>
        <v>tRNA-Asp-GTC-1-1|10</v>
      </c>
      <c r="B732" s="4" t="s">
        <v>47</v>
      </c>
      <c r="C732" s="4" t="s">
        <v>124</v>
      </c>
      <c r="D732" s="4">
        <v>10</v>
      </c>
      <c r="E732" s="8" t="s">
        <v>109</v>
      </c>
      <c r="F732" s="7" t="s">
        <v>125</v>
      </c>
    </row>
    <row r="733" spans="1:6">
      <c r="A733" s="4" t="str">
        <f t="shared" si="11"/>
        <v>tRNA-Asp-GTC-1-1|11</v>
      </c>
      <c r="B733" s="4" t="s">
        <v>47</v>
      </c>
      <c r="C733" s="4" t="s">
        <v>126</v>
      </c>
      <c r="D733" s="4">
        <v>11</v>
      </c>
      <c r="E733" s="8" t="s">
        <v>116</v>
      </c>
      <c r="F733" s="7" t="s">
        <v>125</v>
      </c>
    </row>
    <row r="734" spans="1:6">
      <c r="A734" s="4" t="str">
        <f t="shared" si="11"/>
        <v>tRNA-Asp-GTC-1-1|12</v>
      </c>
      <c r="B734" s="4" t="s">
        <v>47</v>
      </c>
      <c r="C734" s="4" t="s">
        <v>127</v>
      </c>
      <c r="D734" s="4">
        <v>12</v>
      </c>
      <c r="E734" s="8" t="s">
        <v>109</v>
      </c>
      <c r="F734" s="7" t="s">
        <v>125</v>
      </c>
    </row>
    <row r="735" spans="1:6">
      <c r="A735" s="4" t="str">
        <f t="shared" si="11"/>
        <v>tRNA-Asp-GTC-1-1|13</v>
      </c>
      <c r="B735" s="4" t="s">
        <v>47</v>
      </c>
      <c r="C735" s="4" t="s">
        <v>128</v>
      </c>
      <c r="D735" s="4">
        <v>13</v>
      </c>
      <c r="E735" s="8" t="s">
        <v>116</v>
      </c>
      <c r="F735" s="7" t="s">
        <v>125</v>
      </c>
    </row>
    <row r="736" spans="1:6">
      <c r="A736" s="4" t="str">
        <f t="shared" si="11"/>
        <v>tRNA-Asp-GTC-1-1|14</v>
      </c>
      <c r="B736" s="4" t="s">
        <v>47</v>
      </c>
      <c r="C736" s="4" t="s">
        <v>129</v>
      </c>
      <c r="D736" s="4">
        <v>14</v>
      </c>
      <c r="E736" s="18" t="s">
        <v>122</v>
      </c>
      <c r="F736" s="19" t="s">
        <v>130</v>
      </c>
    </row>
    <row r="737" spans="1:6">
      <c r="A737" s="4" t="str">
        <f t="shared" si="11"/>
        <v>tRNA-Asp-GTC-1-1|15</v>
      </c>
      <c r="B737" s="4" t="s">
        <v>47</v>
      </c>
      <c r="C737" s="4" t="s">
        <v>131</v>
      </c>
      <c r="D737" s="4">
        <v>15</v>
      </c>
      <c r="E737" s="18" t="s">
        <v>109</v>
      </c>
      <c r="F737" s="19" t="s">
        <v>130</v>
      </c>
    </row>
    <row r="738" spans="1:6">
      <c r="A738" s="4" t="str">
        <f t="shared" si="11"/>
        <v>tRNA-Asp-GTC-1-1|16</v>
      </c>
      <c r="B738" s="4" t="s">
        <v>47</v>
      </c>
      <c r="C738" s="4" t="s">
        <v>194</v>
      </c>
      <c r="D738" s="4">
        <v>16</v>
      </c>
      <c r="E738" s="18" t="s">
        <v>122</v>
      </c>
      <c r="F738" s="19" t="s">
        <v>130</v>
      </c>
    </row>
    <row r="739" spans="1:6">
      <c r="A739" s="4" t="str">
        <f t="shared" si="11"/>
        <v>tRNA-Asp-GTC-1-1|18</v>
      </c>
      <c r="B739" s="4" t="s">
        <v>47</v>
      </c>
      <c r="C739" s="4" t="s">
        <v>132</v>
      </c>
      <c r="D739" s="4">
        <v>17</v>
      </c>
      <c r="E739" s="18" t="s">
        <v>109</v>
      </c>
      <c r="F739" s="19" t="s">
        <v>130</v>
      </c>
    </row>
    <row r="740" spans="1:6">
      <c r="A740" s="4" t="str">
        <f t="shared" si="11"/>
        <v>tRNA-Asp-GTC-1-1|19</v>
      </c>
      <c r="B740" s="4" t="s">
        <v>47</v>
      </c>
      <c r="C740" s="4" t="s">
        <v>133</v>
      </c>
      <c r="D740" s="4">
        <v>18</v>
      </c>
      <c r="E740" s="18" t="s">
        <v>109</v>
      </c>
      <c r="F740" s="19" t="s">
        <v>130</v>
      </c>
    </row>
    <row r="741" spans="1:6">
      <c r="A741" s="4" t="str">
        <f t="shared" si="11"/>
        <v>tRNA-Asp-GTC-1-1|20</v>
      </c>
      <c r="B741" s="4" t="s">
        <v>47</v>
      </c>
      <c r="C741" s="4" t="s">
        <v>134</v>
      </c>
      <c r="D741" s="4">
        <v>19</v>
      </c>
      <c r="E741" s="18" t="s">
        <v>114</v>
      </c>
      <c r="F741" s="19" t="s">
        <v>130</v>
      </c>
    </row>
    <row r="742" spans="1:6">
      <c r="A742" s="4" t="str">
        <f t="shared" si="11"/>
        <v>tRNA-Asp-GTC-1-1|20a</v>
      </c>
      <c r="B742" s="4" t="s">
        <v>47</v>
      </c>
      <c r="C742" s="4" t="s">
        <v>135</v>
      </c>
      <c r="D742" s="4">
        <v>20</v>
      </c>
      <c r="E742" s="18" t="s">
        <v>114</v>
      </c>
      <c r="F742" s="19" t="s">
        <v>130</v>
      </c>
    </row>
    <row r="743" spans="1:6">
      <c r="A743" s="4" t="str">
        <f t="shared" si="11"/>
        <v>tRNA-Asp-GTC-1-1|20b</v>
      </c>
      <c r="B743" s="4" t="s">
        <v>47</v>
      </c>
      <c r="C743" s="4" t="s">
        <v>197</v>
      </c>
      <c r="D743" s="4">
        <v>21</v>
      </c>
      <c r="E743" s="18" t="s">
        <v>116</v>
      </c>
      <c r="F743" s="19" t="s">
        <v>130</v>
      </c>
    </row>
    <row r="744" spans="1:6">
      <c r="A744" s="4" t="str">
        <f t="shared" si="11"/>
        <v>tRNA-Asp-GTC-1-1|21</v>
      </c>
      <c r="B744" s="4" t="s">
        <v>47</v>
      </c>
      <c r="C744" s="4" t="s">
        <v>136</v>
      </c>
      <c r="D744" s="4">
        <v>22</v>
      </c>
      <c r="E744" s="18" t="s">
        <v>122</v>
      </c>
      <c r="F744" s="19" t="s">
        <v>130</v>
      </c>
    </row>
    <row r="745" spans="1:6">
      <c r="A745" s="4" t="str">
        <f t="shared" si="11"/>
        <v>tRNA-Asp-GTC-1-1|22</v>
      </c>
      <c r="B745" s="4" t="s">
        <v>47</v>
      </c>
      <c r="C745" s="4" t="s">
        <v>137</v>
      </c>
      <c r="D745" s="4">
        <v>23</v>
      </c>
      <c r="E745" s="8" t="s">
        <v>116</v>
      </c>
      <c r="F745" s="7" t="s">
        <v>125</v>
      </c>
    </row>
    <row r="746" spans="1:6">
      <c r="A746" s="4" t="str">
        <f t="shared" si="11"/>
        <v>tRNA-Asp-GTC-1-1|23</v>
      </c>
      <c r="B746" s="4" t="s">
        <v>47</v>
      </c>
      <c r="C746" s="4" t="s">
        <v>138</v>
      </c>
      <c r="D746" s="4">
        <v>24</v>
      </c>
      <c r="E746" s="8" t="s">
        <v>114</v>
      </c>
      <c r="F746" s="7" t="s">
        <v>125</v>
      </c>
    </row>
    <row r="747" spans="1:6">
      <c r="A747" s="4" t="str">
        <f t="shared" si="11"/>
        <v>tRNA-Asp-GTC-1-1|24</v>
      </c>
      <c r="B747" s="4" t="s">
        <v>47</v>
      </c>
      <c r="C747" s="4" t="s">
        <v>139</v>
      </c>
      <c r="D747" s="4">
        <v>25</v>
      </c>
      <c r="E747" s="8" t="s">
        <v>122</v>
      </c>
      <c r="F747" s="7" t="s">
        <v>125</v>
      </c>
    </row>
    <row r="748" spans="1:6">
      <c r="A748" s="4" t="str">
        <f t="shared" si="11"/>
        <v>tRNA-Asp-GTC-1-1|25</v>
      </c>
      <c r="B748" s="4" t="s">
        <v>47</v>
      </c>
      <c r="C748" s="4" t="s">
        <v>140</v>
      </c>
      <c r="D748" s="4">
        <v>26</v>
      </c>
      <c r="E748" s="8" t="s">
        <v>116</v>
      </c>
      <c r="F748" s="7" t="s">
        <v>125</v>
      </c>
    </row>
    <row r="749" spans="1:6">
      <c r="A749" s="4" t="str">
        <f t="shared" si="11"/>
        <v>tRNA-Asp-GTC-1-1|26</v>
      </c>
      <c r="B749" s="4" t="s">
        <v>47</v>
      </c>
      <c r="C749" s="4" t="s">
        <v>141</v>
      </c>
      <c r="D749" s="4">
        <v>27</v>
      </c>
      <c r="E749" s="3" t="s">
        <v>109</v>
      </c>
      <c r="F749" s="4" t="s">
        <v>142</v>
      </c>
    </row>
    <row r="750" spans="1:6">
      <c r="A750" s="4" t="str">
        <f t="shared" si="11"/>
        <v>tRNA-Asp-GTC-1-1|27</v>
      </c>
      <c r="B750" s="4" t="s">
        <v>47</v>
      </c>
      <c r="C750" s="4" t="s">
        <v>143</v>
      </c>
      <c r="D750" s="4">
        <v>28</v>
      </c>
      <c r="E750" s="20" t="s">
        <v>109</v>
      </c>
      <c r="F750" s="21" t="s">
        <v>144</v>
      </c>
    </row>
    <row r="751" spans="1:6">
      <c r="A751" s="4" t="str">
        <f t="shared" si="11"/>
        <v>tRNA-Asp-GTC-1-1|28</v>
      </c>
      <c r="B751" s="4" t="s">
        <v>47</v>
      </c>
      <c r="C751" s="4" t="s">
        <v>145</v>
      </c>
      <c r="D751" s="4">
        <v>29</v>
      </c>
      <c r="E751" s="20" t="s">
        <v>122</v>
      </c>
      <c r="F751" s="21" t="s">
        <v>144</v>
      </c>
    </row>
    <row r="752" spans="1:6">
      <c r="A752" s="4" t="str">
        <f t="shared" si="11"/>
        <v>tRNA-Asp-GTC-1-1|29</v>
      </c>
      <c r="B752" s="4" t="s">
        <v>47</v>
      </c>
      <c r="C752" s="4" t="s">
        <v>146</v>
      </c>
      <c r="D752" s="4">
        <v>30</v>
      </c>
      <c r="E752" s="20" t="s">
        <v>109</v>
      </c>
      <c r="F752" s="21" t="s">
        <v>144</v>
      </c>
    </row>
    <row r="753" spans="1:6">
      <c r="A753" s="4" t="str">
        <f t="shared" si="11"/>
        <v>tRNA-Asp-GTC-1-1|30</v>
      </c>
      <c r="B753" s="4" t="s">
        <v>47</v>
      </c>
      <c r="C753" s="4" t="s">
        <v>147</v>
      </c>
      <c r="D753" s="4">
        <v>31</v>
      </c>
      <c r="E753" s="20" t="s">
        <v>114</v>
      </c>
      <c r="F753" s="21" t="s">
        <v>144</v>
      </c>
    </row>
    <row r="754" spans="1:6">
      <c r="A754" s="4" t="str">
        <f t="shared" si="11"/>
        <v>tRNA-Asp-GTC-1-1|31</v>
      </c>
      <c r="B754" s="4" t="s">
        <v>47</v>
      </c>
      <c r="C754" s="4" t="s">
        <v>148</v>
      </c>
      <c r="D754" s="4">
        <v>32</v>
      </c>
      <c r="E754" s="20" t="s">
        <v>114</v>
      </c>
      <c r="F754" s="21" t="s">
        <v>144</v>
      </c>
    </row>
    <row r="755" spans="1:6">
      <c r="A755" s="4" t="str">
        <f t="shared" si="11"/>
        <v>tRNA-Asp-GTC-1-1|32</v>
      </c>
      <c r="B755" s="4" t="s">
        <v>47</v>
      </c>
      <c r="C755" s="4" t="s">
        <v>149</v>
      </c>
      <c r="D755" s="4">
        <v>33</v>
      </c>
      <c r="E755" s="18" t="s">
        <v>114</v>
      </c>
      <c r="F755" s="19" t="s">
        <v>150</v>
      </c>
    </row>
    <row r="756" spans="1:6">
      <c r="A756" s="4" t="str">
        <f t="shared" si="11"/>
        <v>tRNA-Asp-GTC-1-1|33</v>
      </c>
      <c r="B756" s="4" t="s">
        <v>47</v>
      </c>
      <c r="C756" s="4" t="s">
        <v>151</v>
      </c>
      <c r="D756" s="4">
        <v>34</v>
      </c>
      <c r="E756" s="18" t="s">
        <v>116</v>
      </c>
      <c r="F756" s="19" t="s">
        <v>150</v>
      </c>
    </row>
    <row r="757" spans="1:6">
      <c r="A757" s="4" t="str">
        <f t="shared" si="11"/>
        <v>tRNA-Asp-GTC-1-1|34</v>
      </c>
      <c r="B757" s="4" t="s">
        <v>47</v>
      </c>
      <c r="C757" s="4" t="s">
        <v>152</v>
      </c>
      <c r="D757" s="4">
        <v>35</v>
      </c>
      <c r="E757" s="18" t="s">
        <v>109</v>
      </c>
      <c r="F757" s="19" t="s">
        <v>150</v>
      </c>
    </row>
    <row r="758" spans="1:6">
      <c r="A758" s="4" t="str">
        <f t="shared" si="11"/>
        <v>tRNA-Asp-GTC-1-1|35</v>
      </c>
      <c r="B758" s="4" t="s">
        <v>47</v>
      </c>
      <c r="C758" s="4" t="s">
        <v>153</v>
      </c>
      <c r="D758" s="4">
        <v>36</v>
      </c>
      <c r="E758" s="18" t="s">
        <v>116</v>
      </c>
      <c r="F758" s="19" t="s">
        <v>150</v>
      </c>
    </row>
    <row r="759" spans="1:6">
      <c r="A759" s="4" t="str">
        <f t="shared" si="11"/>
        <v>tRNA-Asp-GTC-1-1|36</v>
      </c>
      <c r="B759" s="4" t="s">
        <v>47</v>
      </c>
      <c r="C759" s="4" t="s">
        <v>154</v>
      </c>
      <c r="D759" s="4">
        <v>37</v>
      </c>
      <c r="E759" s="18" t="s">
        <v>114</v>
      </c>
      <c r="F759" s="19" t="s">
        <v>150</v>
      </c>
    </row>
    <row r="760" spans="1:6">
      <c r="A760" s="4" t="str">
        <f t="shared" si="11"/>
        <v>tRNA-Asp-GTC-1-1|37</v>
      </c>
      <c r="B760" s="4" t="s">
        <v>47</v>
      </c>
      <c r="C760" s="4" t="s">
        <v>155</v>
      </c>
      <c r="D760" s="4">
        <v>38</v>
      </c>
      <c r="E760" s="18" t="s">
        <v>109</v>
      </c>
      <c r="F760" s="19" t="s">
        <v>150</v>
      </c>
    </row>
    <row r="761" spans="1:6">
      <c r="A761" s="4" t="str">
        <f t="shared" si="11"/>
        <v>tRNA-Asp-GTC-1-1|38</v>
      </c>
      <c r="B761" s="4" t="s">
        <v>47</v>
      </c>
      <c r="C761" s="4" t="s">
        <v>156</v>
      </c>
      <c r="D761" s="4">
        <v>39</v>
      </c>
      <c r="E761" s="18" t="s">
        <v>122</v>
      </c>
      <c r="F761" s="19" t="s">
        <v>150</v>
      </c>
    </row>
    <row r="762" spans="1:6">
      <c r="A762" s="4" t="str">
        <f t="shared" si="11"/>
        <v>tRNA-Asp-GTC-1-1|39</v>
      </c>
      <c r="B762" s="4" t="s">
        <v>47</v>
      </c>
      <c r="C762" s="4" t="s">
        <v>157</v>
      </c>
      <c r="D762" s="4">
        <v>40</v>
      </c>
      <c r="E762" s="20" t="s">
        <v>109</v>
      </c>
      <c r="F762" s="21" t="s">
        <v>144</v>
      </c>
    </row>
    <row r="763" spans="1:6">
      <c r="A763" s="4" t="str">
        <f t="shared" si="11"/>
        <v>tRNA-Asp-GTC-1-1|40</v>
      </c>
      <c r="B763" s="4" t="s">
        <v>47</v>
      </c>
      <c r="C763" s="4" t="s">
        <v>158</v>
      </c>
      <c r="D763" s="4">
        <v>41</v>
      </c>
      <c r="E763" s="20" t="s">
        <v>109</v>
      </c>
      <c r="F763" s="21" t="s">
        <v>144</v>
      </c>
    </row>
    <row r="764" spans="1:6">
      <c r="A764" s="4" t="str">
        <f t="shared" si="11"/>
        <v>tRNA-Asp-GTC-1-1|41</v>
      </c>
      <c r="B764" s="4" t="s">
        <v>47</v>
      </c>
      <c r="C764" s="4" t="s">
        <v>159</v>
      </c>
      <c r="D764" s="4">
        <v>42</v>
      </c>
      <c r="E764" s="20" t="s">
        <v>114</v>
      </c>
      <c r="F764" s="21" t="s">
        <v>144</v>
      </c>
    </row>
    <row r="765" spans="1:6">
      <c r="A765" s="4" t="str">
        <f t="shared" si="11"/>
        <v>tRNA-Asp-GTC-1-1|42</v>
      </c>
      <c r="B765" s="4" t="s">
        <v>47</v>
      </c>
      <c r="C765" s="4" t="s">
        <v>160</v>
      </c>
      <c r="D765" s="4">
        <v>43</v>
      </c>
      <c r="E765" s="20" t="s">
        <v>116</v>
      </c>
      <c r="F765" s="21" t="s">
        <v>144</v>
      </c>
    </row>
    <row r="766" spans="1:6">
      <c r="A766" s="4" t="str">
        <f t="shared" si="11"/>
        <v>tRNA-Asp-GTC-1-1|43</v>
      </c>
      <c r="B766" s="4" t="s">
        <v>47</v>
      </c>
      <c r="C766" s="4" t="s">
        <v>161</v>
      </c>
      <c r="D766" s="4">
        <v>44</v>
      </c>
      <c r="E766" s="20" t="s">
        <v>114</v>
      </c>
      <c r="F766" s="21" t="s">
        <v>144</v>
      </c>
    </row>
    <row r="767" spans="1:6">
      <c r="A767" s="4" t="str">
        <f t="shared" si="11"/>
        <v>tRNA-Asp-GTC-1-1|44</v>
      </c>
      <c r="B767" s="4" t="s">
        <v>47</v>
      </c>
      <c r="C767" s="4" t="s">
        <v>162</v>
      </c>
      <c r="D767" s="4">
        <v>45</v>
      </c>
      <c r="E767" s="18" t="s">
        <v>114</v>
      </c>
      <c r="F767" s="19" t="s">
        <v>163</v>
      </c>
    </row>
    <row r="768" spans="1:6">
      <c r="A768" s="4" t="str">
        <f t="shared" si="11"/>
        <v>tRNA-Asp-GTC-1-1|45</v>
      </c>
      <c r="B768" s="4" t="s">
        <v>47</v>
      </c>
      <c r="C768" s="4" t="s">
        <v>164</v>
      </c>
      <c r="D768" s="4">
        <v>46</v>
      </c>
      <c r="E768" s="18" t="s">
        <v>109</v>
      </c>
      <c r="F768" s="19" t="s">
        <v>163</v>
      </c>
    </row>
    <row r="769" spans="1:6">
      <c r="A769" s="4" t="str">
        <f t="shared" si="11"/>
        <v>tRNA-Asp-GTC-1-1|46</v>
      </c>
      <c r="B769" s="4" t="s">
        <v>47</v>
      </c>
      <c r="C769" s="4" t="s">
        <v>165</v>
      </c>
      <c r="D769" s="4">
        <v>47</v>
      </c>
      <c r="E769" s="18" t="s">
        <v>122</v>
      </c>
      <c r="F769" s="19" t="s">
        <v>163</v>
      </c>
    </row>
    <row r="770" spans="1:6">
      <c r="A770" s="4" t="str">
        <f t="shared" ref="A770:A833" si="12">B770&amp;"|"&amp;C770</f>
        <v>tRNA-Asp-GTC-1-1|48</v>
      </c>
      <c r="B770" s="4" t="s">
        <v>47</v>
      </c>
      <c r="C770" s="4" t="s">
        <v>167</v>
      </c>
      <c r="D770" s="4">
        <v>48</v>
      </c>
      <c r="E770" s="18" t="s">
        <v>114</v>
      </c>
      <c r="F770" s="19" t="s">
        <v>163</v>
      </c>
    </row>
    <row r="771" spans="1:6">
      <c r="A771" s="4" t="str">
        <f t="shared" si="12"/>
        <v>tRNA-Asp-GTC-1-1|49</v>
      </c>
      <c r="B771" s="4" t="s">
        <v>47</v>
      </c>
      <c r="C771" s="4" t="s">
        <v>168</v>
      </c>
      <c r="D771" s="4">
        <v>49</v>
      </c>
      <c r="E771" s="22" t="s">
        <v>116</v>
      </c>
      <c r="F771" s="10" t="s">
        <v>169</v>
      </c>
    </row>
    <row r="772" spans="1:6">
      <c r="A772" s="4" t="str">
        <f t="shared" si="12"/>
        <v>tRNA-Asp-GTC-1-1|50</v>
      </c>
      <c r="B772" s="4" t="s">
        <v>47</v>
      </c>
      <c r="C772" s="4" t="s">
        <v>170</v>
      </c>
      <c r="D772" s="4">
        <v>50</v>
      </c>
      <c r="E772" s="22" t="s">
        <v>114</v>
      </c>
      <c r="F772" s="10" t="s">
        <v>169</v>
      </c>
    </row>
    <row r="773" spans="1:6">
      <c r="A773" s="4" t="str">
        <f t="shared" si="12"/>
        <v>tRNA-Asp-GTC-1-1|51</v>
      </c>
      <c r="B773" s="4" t="s">
        <v>47</v>
      </c>
      <c r="C773" s="4" t="s">
        <v>171</v>
      </c>
      <c r="D773" s="4">
        <v>51</v>
      </c>
      <c r="E773" s="22" t="s">
        <v>109</v>
      </c>
      <c r="F773" s="10" t="s">
        <v>169</v>
      </c>
    </row>
    <row r="774" spans="1:6">
      <c r="A774" s="4" t="str">
        <f t="shared" si="12"/>
        <v>tRNA-Asp-GTC-1-1|52</v>
      </c>
      <c r="B774" s="4" t="s">
        <v>47</v>
      </c>
      <c r="C774" s="4" t="s">
        <v>172</v>
      </c>
      <c r="D774" s="4">
        <v>52</v>
      </c>
      <c r="E774" s="22" t="s">
        <v>109</v>
      </c>
      <c r="F774" s="10" t="s">
        <v>169</v>
      </c>
    </row>
    <row r="775" spans="1:6">
      <c r="A775" s="4" t="str">
        <f t="shared" si="12"/>
        <v>tRNA-Asp-GTC-1-1|53</v>
      </c>
      <c r="B775" s="4" t="s">
        <v>47</v>
      </c>
      <c r="C775" s="4" t="s">
        <v>173</v>
      </c>
      <c r="D775" s="4">
        <v>53</v>
      </c>
      <c r="E775" s="22" t="s">
        <v>109</v>
      </c>
      <c r="F775" s="10" t="s">
        <v>169</v>
      </c>
    </row>
    <row r="776" spans="1:6">
      <c r="A776" s="4" t="str">
        <f t="shared" si="12"/>
        <v>tRNA-Asp-GTC-1-1|54</v>
      </c>
      <c r="B776" s="4" t="s">
        <v>47</v>
      </c>
      <c r="C776" s="4" t="s">
        <v>174</v>
      </c>
      <c r="D776" s="4">
        <v>54</v>
      </c>
      <c r="E776" s="18" t="s">
        <v>116</v>
      </c>
      <c r="F776" s="19" t="s">
        <v>175</v>
      </c>
    </row>
    <row r="777" spans="1:6">
      <c r="A777" s="4" t="str">
        <f t="shared" si="12"/>
        <v>tRNA-Asp-GTC-1-1|55</v>
      </c>
      <c r="B777" s="4" t="s">
        <v>47</v>
      </c>
      <c r="C777" s="4" t="s">
        <v>176</v>
      </c>
      <c r="D777" s="4">
        <v>55</v>
      </c>
      <c r="E777" s="18" t="s">
        <v>116</v>
      </c>
      <c r="F777" s="19" t="s">
        <v>175</v>
      </c>
    </row>
    <row r="778" spans="1:6">
      <c r="A778" s="4" t="str">
        <f t="shared" si="12"/>
        <v>tRNA-Asp-GTC-1-1|56</v>
      </c>
      <c r="B778" s="4" t="s">
        <v>47</v>
      </c>
      <c r="C778" s="4" t="s">
        <v>177</v>
      </c>
      <c r="D778" s="4">
        <v>56</v>
      </c>
      <c r="E778" s="18" t="s">
        <v>114</v>
      </c>
      <c r="F778" s="19" t="s">
        <v>175</v>
      </c>
    </row>
    <row r="779" spans="1:6">
      <c r="A779" s="4" t="str">
        <f t="shared" si="12"/>
        <v>tRNA-Asp-GTC-1-1|57</v>
      </c>
      <c r="B779" s="4" t="s">
        <v>47</v>
      </c>
      <c r="C779" s="4" t="s">
        <v>178</v>
      </c>
      <c r="D779" s="4">
        <v>57</v>
      </c>
      <c r="E779" s="18" t="s">
        <v>109</v>
      </c>
      <c r="F779" s="19" t="s">
        <v>175</v>
      </c>
    </row>
    <row r="780" spans="1:6">
      <c r="A780" s="4" t="str">
        <f t="shared" si="12"/>
        <v>tRNA-Asp-GTC-1-1|58</v>
      </c>
      <c r="B780" s="4" t="s">
        <v>47</v>
      </c>
      <c r="C780" s="4" t="s">
        <v>179</v>
      </c>
      <c r="D780" s="4">
        <v>58</v>
      </c>
      <c r="E780" s="18" t="s">
        <v>122</v>
      </c>
      <c r="F780" s="19" t="s">
        <v>175</v>
      </c>
    </row>
    <row r="781" spans="1:6">
      <c r="A781" s="4" t="str">
        <f t="shared" si="12"/>
        <v>tRNA-Asp-GTC-1-1|59</v>
      </c>
      <c r="B781" s="4" t="s">
        <v>47</v>
      </c>
      <c r="C781" s="4" t="s">
        <v>180</v>
      </c>
      <c r="D781" s="4">
        <v>59</v>
      </c>
      <c r="E781" s="18" t="s">
        <v>122</v>
      </c>
      <c r="F781" s="19" t="s">
        <v>175</v>
      </c>
    </row>
    <row r="782" spans="1:6">
      <c r="A782" s="4" t="str">
        <f t="shared" si="12"/>
        <v>tRNA-Asp-GTC-1-1|60</v>
      </c>
      <c r="B782" s="4" t="s">
        <v>47</v>
      </c>
      <c r="C782" s="4" t="s">
        <v>181</v>
      </c>
      <c r="D782" s="4">
        <v>60</v>
      </c>
      <c r="E782" s="18" t="s">
        <v>116</v>
      </c>
      <c r="F782" s="19" t="s">
        <v>175</v>
      </c>
    </row>
    <row r="783" spans="1:6">
      <c r="A783" s="4" t="str">
        <f t="shared" si="12"/>
        <v>tRNA-Asp-GTC-1-1|61</v>
      </c>
      <c r="B783" s="4" t="s">
        <v>47</v>
      </c>
      <c r="C783" s="4" t="s">
        <v>182</v>
      </c>
      <c r="D783" s="4">
        <v>61</v>
      </c>
      <c r="E783" s="22" t="s">
        <v>114</v>
      </c>
      <c r="F783" s="10" t="s">
        <v>169</v>
      </c>
    </row>
    <row r="784" spans="1:6">
      <c r="A784" s="4" t="str">
        <f t="shared" si="12"/>
        <v>tRNA-Asp-GTC-1-1|62</v>
      </c>
      <c r="B784" s="4" t="s">
        <v>47</v>
      </c>
      <c r="C784" s="4" t="s">
        <v>183</v>
      </c>
      <c r="D784" s="4">
        <v>62</v>
      </c>
      <c r="E784" s="22" t="s">
        <v>114</v>
      </c>
      <c r="F784" s="10" t="s">
        <v>169</v>
      </c>
    </row>
    <row r="785" spans="1:6">
      <c r="A785" s="4" t="str">
        <f t="shared" si="12"/>
        <v>tRNA-Asp-GTC-1-1|63</v>
      </c>
      <c r="B785" s="4" t="s">
        <v>47</v>
      </c>
      <c r="C785" s="4" t="s">
        <v>184</v>
      </c>
      <c r="D785" s="4">
        <v>63</v>
      </c>
      <c r="E785" s="22" t="s">
        <v>114</v>
      </c>
      <c r="F785" s="10" t="s">
        <v>169</v>
      </c>
    </row>
    <row r="786" spans="1:6">
      <c r="A786" s="4" t="str">
        <f t="shared" si="12"/>
        <v>tRNA-Asp-GTC-1-1|64</v>
      </c>
      <c r="B786" s="4" t="s">
        <v>47</v>
      </c>
      <c r="C786" s="4" t="s">
        <v>185</v>
      </c>
      <c r="D786" s="4">
        <v>64</v>
      </c>
      <c r="E786" s="22" t="s">
        <v>109</v>
      </c>
      <c r="F786" s="10" t="s">
        <v>169</v>
      </c>
    </row>
    <row r="787" spans="1:6">
      <c r="A787" s="4" t="str">
        <f t="shared" si="12"/>
        <v>tRNA-Asp-GTC-1-1|65</v>
      </c>
      <c r="B787" s="4" t="s">
        <v>47</v>
      </c>
      <c r="C787" s="4" t="s">
        <v>186</v>
      </c>
      <c r="D787" s="4">
        <v>65</v>
      </c>
      <c r="E787" s="22" t="s">
        <v>109</v>
      </c>
      <c r="F787" s="10" t="s">
        <v>169</v>
      </c>
    </row>
    <row r="788" spans="1:6">
      <c r="A788" s="4" t="str">
        <f t="shared" si="12"/>
        <v>tRNA-Asp-GTC-1-1|66</v>
      </c>
      <c r="B788" s="4" t="s">
        <v>47</v>
      </c>
      <c r="C788" s="4" t="s">
        <v>187</v>
      </c>
      <c r="D788" s="4">
        <v>66</v>
      </c>
      <c r="E788" s="16" t="s">
        <v>116</v>
      </c>
      <c r="F788" s="17" t="s">
        <v>110</v>
      </c>
    </row>
    <row r="789" spans="1:6">
      <c r="A789" s="4" t="str">
        <f t="shared" si="12"/>
        <v>tRNA-Asp-GTC-1-1|67</v>
      </c>
      <c r="B789" s="4" t="s">
        <v>47</v>
      </c>
      <c r="C789" s="4" t="s">
        <v>188</v>
      </c>
      <c r="D789" s="4">
        <v>67</v>
      </c>
      <c r="E789" s="16" t="s">
        <v>114</v>
      </c>
      <c r="F789" s="17" t="s">
        <v>110</v>
      </c>
    </row>
    <row r="790" spans="1:6">
      <c r="A790" s="4" t="str">
        <f t="shared" si="12"/>
        <v>tRNA-Asp-GTC-1-1|68</v>
      </c>
      <c r="B790" s="4" t="s">
        <v>47</v>
      </c>
      <c r="C790" s="4" t="s">
        <v>189</v>
      </c>
      <c r="D790" s="4">
        <v>68</v>
      </c>
      <c r="E790" s="16" t="s">
        <v>114</v>
      </c>
      <c r="F790" s="17" t="s">
        <v>110</v>
      </c>
    </row>
    <row r="791" spans="1:6">
      <c r="A791" s="4" t="str">
        <f t="shared" si="12"/>
        <v>tRNA-Asp-GTC-1-1|69</v>
      </c>
      <c r="B791" s="4" t="s">
        <v>47</v>
      </c>
      <c r="C791" s="4" t="s">
        <v>190</v>
      </c>
      <c r="D791" s="4">
        <v>69</v>
      </c>
      <c r="E791" s="16" t="s">
        <v>109</v>
      </c>
      <c r="F791" s="17" t="s">
        <v>110</v>
      </c>
    </row>
    <row r="792" spans="1:6">
      <c r="A792" s="4" t="str">
        <f t="shared" si="12"/>
        <v>tRNA-Asp-GTC-1-1|70</v>
      </c>
      <c r="B792" s="4" t="s">
        <v>47</v>
      </c>
      <c r="C792" s="4" t="s">
        <v>191</v>
      </c>
      <c r="D792" s="4">
        <v>70</v>
      </c>
      <c r="E792" s="16" t="s">
        <v>109</v>
      </c>
      <c r="F792" s="17" t="s">
        <v>110</v>
      </c>
    </row>
    <row r="793" spans="1:6">
      <c r="A793" s="4" t="str">
        <f t="shared" si="12"/>
        <v>tRNA-Asp-GTC-1-1|71</v>
      </c>
      <c r="B793" s="4" t="s">
        <v>47</v>
      </c>
      <c r="C793" s="4" t="s">
        <v>192</v>
      </c>
      <c r="D793" s="4">
        <v>71</v>
      </c>
      <c r="E793" s="16" t="s">
        <v>109</v>
      </c>
      <c r="F793" s="17" t="s">
        <v>110</v>
      </c>
    </row>
    <row r="794" spans="1:6">
      <c r="A794" s="4" t="str">
        <f t="shared" si="12"/>
        <v>tRNA-Asp-GTC-1-1|72</v>
      </c>
      <c r="B794" s="4" t="s">
        <v>47</v>
      </c>
      <c r="C794" s="4" t="s">
        <v>193</v>
      </c>
      <c r="D794" s="4">
        <v>72</v>
      </c>
      <c r="E794" s="16" t="s">
        <v>114</v>
      </c>
      <c r="F794" s="17" t="s">
        <v>110</v>
      </c>
    </row>
    <row r="795" spans="1:6">
      <c r="A795" s="4" t="str">
        <f t="shared" si="12"/>
        <v>tRNA-Cys-GCA-1-1|1</v>
      </c>
      <c r="B795" s="4" t="s">
        <v>48</v>
      </c>
      <c r="C795" s="4" t="s">
        <v>108</v>
      </c>
      <c r="D795" s="4">
        <v>1</v>
      </c>
      <c r="E795" s="16" t="s">
        <v>109</v>
      </c>
      <c r="F795" s="17" t="s">
        <v>110</v>
      </c>
    </row>
    <row r="796" spans="1:6">
      <c r="A796" s="4" t="str">
        <f t="shared" si="12"/>
        <v>tRNA-Cys-GCA-1-1|2</v>
      </c>
      <c r="B796" s="4" t="s">
        <v>48</v>
      </c>
      <c r="C796" s="4" t="s">
        <v>111</v>
      </c>
      <c r="D796" s="4">
        <v>2</v>
      </c>
      <c r="E796" s="16" t="s">
        <v>114</v>
      </c>
      <c r="F796" s="17" t="s">
        <v>110</v>
      </c>
    </row>
    <row r="797" spans="1:6">
      <c r="A797" s="4" t="str">
        <f t="shared" si="12"/>
        <v>tRNA-Cys-GCA-1-1|3</v>
      </c>
      <c r="B797" s="4" t="s">
        <v>48</v>
      </c>
      <c r="C797" s="4" t="s">
        <v>112</v>
      </c>
      <c r="D797" s="4">
        <v>3</v>
      </c>
      <c r="E797" s="16" t="s">
        <v>114</v>
      </c>
      <c r="F797" s="17" t="s">
        <v>110</v>
      </c>
    </row>
    <row r="798" spans="1:6">
      <c r="A798" s="4" t="str">
        <f t="shared" si="12"/>
        <v>tRNA-Cys-GCA-1-1|4</v>
      </c>
      <c r="B798" s="4" t="s">
        <v>48</v>
      </c>
      <c r="C798" s="4" t="s">
        <v>113</v>
      </c>
      <c r="D798" s="4">
        <v>4</v>
      </c>
      <c r="E798" s="16" t="s">
        <v>122</v>
      </c>
      <c r="F798" s="17" t="s">
        <v>110</v>
      </c>
    </row>
    <row r="799" spans="1:6">
      <c r="A799" s="4" t="str">
        <f t="shared" si="12"/>
        <v>tRNA-Cys-GCA-1-1|5</v>
      </c>
      <c r="B799" s="4" t="s">
        <v>48</v>
      </c>
      <c r="C799" s="4" t="s">
        <v>115</v>
      </c>
      <c r="D799" s="4">
        <v>5</v>
      </c>
      <c r="E799" s="16" t="s">
        <v>122</v>
      </c>
      <c r="F799" s="17" t="s">
        <v>110</v>
      </c>
    </row>
    <row r="800" spans="1:6">
      <c r="A800" s="4" t="str">
        <f t="shared" si="12"/>
        <v>tRNA-Cys-GCA-1-1|6</v>
      </c>
      <c r="B800" s="4" t="s">
        <v>48</v>
      </c>
      <c r="C800" s="4" t="s">
        <v>117</v>
      </c>
      <c r="D800" s="4">
        <v>6</v>
      </c>
      <c r="E800" s="16" t="s">
        <v>109</v>
      </c>
      <c r="F800" s="17" t="s">
        <v>110</v>
      </c>
    </row>
    <row r="801" spans="1:6">
      <c r="A801" s="4" t="str">
        <f t="shared" si="12"/>
        <v>tRNA-Cys-GCA-1-1|7</v>
      </c>
      <c r="B801" s="4" t="s">
        <v>48</v>
      </c>
      <c r="C801" s="4" t="s">
        <v>118</v>
      </c>
      <c r="D801" s="4">
        <v>7</v>
      </c>
      <c r="E801" s="16" t="s">
        <v>122</v>
      </c>
      <c r="F801" s="17" t="s">
        <v>110</v>
      </c>
    </row>
    <row r="802" spans="1:6">
      <c r="A802" s="4" t="str">
        <f t="shared" si="12"/>
        <v>tRNA-Cys-GCA-1-1|8</v>
      </c>
      <c r="B802" s="4" t="s">
        <v>48</v>
      </c>
      <c r="C802" s="4" t="s">
        <v>119</v>
      </c>
      <c r="D802" s="4">
        <v>8</v>
      </c>
      <c r="E802" s="3" t="s">
        <v>116</v>
      </c>
      <c r="F802" s="4" t="s">
        <v>120</v>
      </c>
    </row>
    <row r="803" spans="1:6">
      <c r="A803" s="4" t="str">
        <f t="shared" si="12"/>
        <v>tRNA-Cys-GCA-1-1|9</v>
      </c>
      <c r="B803" s="4" t="s">
        <v>48</v>
      </c>
      <c r="C803" s="4" t="s">
        <v>121</v>
      </c>
      <c r="D803" s="4">
        <v>9</v>
      </c>
      <c r="E803" s="3" t="s">
        <v>109</v>
      </c>
      <c r="F803" s="4" t="s">
        <v>123</v>
      </c>
    </row>
    <row r="804" spans="1:6">
      <c r="A804" s="4" t="str">
        <f t="shared" si="12"/>
        <v>tRNA-Cys-GCA-1-1|10</v>
      </c>
      <c r="B804" s="4" t="s">
        <v>48</v>
      </c>
      <c r="C804" s="4" t="s">
        <v>124</v>
      </c>
      <c r="D804" s="4">
        <v>10</v>
      </c>
      <c r="E804" s="8" t="s">
        <v>109</v>
      </c>
      <c r="F804" s="7" t="s">
        <v>125</v>
      </c>
    </row>
    <row r="805" spans="1:6">
      <c r="A805" s="4" t="str">
        <f t="shared" si="12"/>
        <v>tRNA-Cys-GCA-1-1|11</v>
      </c>
      <c r="B805" s="4" t="s">
        <v>48</v>
      </c>
      <c r="C805" s="4" t="s">
        <v>126</v>
      </c>
      <c r="D805" s="4">
        <v>11</v>
      </c>
      <c r="E805" s="8" t="s">
        <v>114</v>
      </c>
      <c r="F805" s="7" t="s">
        <v>125</v>
      </c>
    </row>
    <row r="806" spans="1:6">
      <c r="A806" s="4" t="str">
        <f t="shared" si="12"/>
        <v>tRNA-Cys-GCA-1-1|12</v>
      </c>
      <c r="B806" s="4" t="s">
        <v>48</v>
      </c>
      <c r="C806" s="4" t="s">
        <v>127</v>
      </c>
      <c r="D806" s="4">
        <v>12</v>
      </c>
      <c r="E806" s="8" t="s">
        <v>109</v>
      </c>
      <c r="F806" s="7" t="s">
        <v>125</v>
      </c>
    </row>
    <row r="807" spans="1:6">
      <c r="A807" s="4" t="str">
        <f t="shared" si="12"/>
        <v>tRNA-Cys-GCA-1-1|13</v>
      </c>
      <c r="B807" s="4" t="s">
        <v>48</v>
      </c>
      <c r="C807" s="4" t="s">
        <v>128</v>
      </c>
      <c r="D807" s="4">
        <v>13</v>
      </c>
      <c r="E807" s="8" t="s">
        <v>109</v>
      </c>
      <c r="F807" s="7" t="s">
        <v>125</v>
      </c>
    </row>
    <row r="808" spans="1:6">
      <c r="A808" s="4" t="str">
        <f t="shared" si="12"/>
        <v>tRNA-Cys-GCA-1-1|14</v>
      </c>
      <c r="B808" s="4" t="s">
        <v>48</v>
      </c>
      <c r="C808" s="4" t="s">
        <v>129</v>
      </c>
      <c r="D808" s="4">
        <v>14</v>
      </c>
      <c r="E808" s="18" t="s">
        <v>122</v>
      </c>
      <c r="F808" s="19" t="s">
        <v>130</v>
      </c>
    </row>
    <row r="809" spans="1:6">
      <c r="A809" s="4" t="str">
        <f t="shared" si="12"/>
        <v>tRNA-Cys-GCA-1-1|15</v>
      </c>
      <c r="B809" s="4" t="s">
        <v>48</v>
      </c>
      <c r="C809" s="4" t="s">
        <v>131</v>
      </c>
      <c r="D809" s="4">
        <v>15</v>
      </c>
      <c r="E809" s="18" t="s">
        <v>109</v>
      </c>
      <c r="F809" s="19" t="s">
        <v>130</v>
      </c>
    </row>
    <row r="810" spans="1:6">
      <c r="A810" s="4" t="str">
        <f t="shared" si="12"/>
        <v>tRNA-Cys-GCA-1-1|16</v>
      </c>
      <c r="B810" s="4" t="s">
        <v>48</v>
      </c>
      <c r="C810" s="4" t="s">
        <v>194</v>
      </c>
      <c r="D810" s="4">
        <v>16</v>
      </c>
      <c r="E810" s="18" t="s">
        <v>114</v>
      </c>
      <c r="F810" s="19" t="s">
        <v>130</v>
      </c>
    </row>
    <row r="811" spans="1:6">
      <c r="A811" s="4" t="str">
        <f t="shared" si="12"/>
        <v>tRNA-Cys-GCA-1-1|18</v>
      </c>
      <c r="B811" s="4" t="s">
        <v>48</v>
      </c>
      <c r="C811" s="4" t="s">
        <v>132</v>
      </c>
      <c r="D811" s="4">
        <v>17</v>
      </c>
      <c r="E811" s="18" t="s">
        <v>109</v>
      </c>
      <c r="F811" s="19" t="s">
        <v>130</v>
      </c>
    </row>
    <row r="812" spans="1:6">
      <c r="A812" s="4" t="str">
        <f t="shared" si="12"/>
        <v>tRNA-Cys-GCA-1-1|19</v>
      </c>
      <c r="B812" s="4" t="s">
        <v>48</v>
      </c>
      <c r="C812" s="4" t="s">
        <v>133</v>
      </c>
      <c r="D812" s="4">
        <v>18</v>
      </c>
      <c r="E812" s="18" t="s">
        <v>109</v>
      </c>
      <c r="F812" s="19" t="s">
        <v>130</v>
      </c>
    </row>
    <row r="813" spans="1:6">
      <c r="A813" s="4" t="str">
        <f t="shared" si="12"/>
        <v>tRNA-Cys-GCA-1-1|20</v>
      </c>
      <c r="B813" s="4" t="s">
        <v>48</v>
      </c>
      <c r="C813" s="4" t="s">
        <v>134</v>
      </c>
      <c r="D813" s="4">
        <v>19</v>
      </c>
      <c r="E813" s="18" t="s">
        <v>114</v>
      </c>
      <c r="F813" s="19" t="s">
        <v>130</v>
      </c>
    </row>
    <row r="814" spans="1:6">
      <c r="A814" s="4" t="str">
        <f t="shared" si="12"/>
        <v>tRNA-Cys-GCA-1-1|21</v>
      </c>
      <c r="B814" s="4" t="s">
        <v>48</v>
      </c>
      <c r="C814" s="4" t="s">
        <v>136</v>
      </c>
      <c r="D814" s="4">
        <v>20</v>
      </c>
      <c r="E814" s="18" t="s">
        <v>116</v>
      </c>
      <c r="F814" s="19" t="s">
        <v>130</v>
      </c>
    </row>
    <row r="815" spans="1:6">
      <c r="A815" s="4" t="str">
        <f t="shared" si="12"/>
        <v>tRNA-Cys-GCA-1-1|22</v>
      </c>
      <c r="B815" s="4" t="s">
        <v>48</v>
      </c>
      <c r="C815" s="4" t="s">
        <v>137</v>
      </c>
      <c r="D815" s="4">
        <v>21</v>
      </c>
      <c r="E815" s="8" t="s">
        <v>122</v>
      </c>
      <c r="F815" s="7" t="s">
        <v>125</v>
      </c>
    </row>
    <row r="816" spans="1:6">
      <c r="A816" s="4" t="str">
        <f t="shared" si="12"/>
        <v>tRNA-Cys-GCA-1-1|23</v>
      </c>
      <c r="B816" s="4" t="s">
        <v>48</v>
      </c>
      <c r="C816" s="4" t="s">
        <v>138</v>
      </c>
      <c r="D816" s="4">
        <v>22</v>
      </c>
      <c r="E816" s="8" t="s">
        <v>114</v>
      </c>
      <c r="F816" s="7" t="s">
        <v>125</v>
      </c>
    </row>
    <row r="817" spans="1:6">
      <c r="A817" s="4" t="str">
        <f t="shared" si="12"/>
        <v>tRNA-Cys-GCA-1-1|24</v>
      </c>
      <c r="B817" s="4" t="s">
        <v>48</v>
      </c>
      <c r="C817" s="4" t="s">
        <v>139</v>
      </c>
      <c r="D817" s="4">
        <v>23</v>
      </c>
      <c r="E817" s="8" t="s">
        <v>109</v>
      </c>
      <c r="F817" s="7" t="s">
        <v>125</v>
      </c>
    </row>
    <row r="818" spans="1:6">
      <c r="A818" s="4" t="str">
        <f t="shared" si="12"/>
        <v>tRNA-Cys-GCA-1-1|25</v>
      </c>
      <c r="B818" s="4" t="s">
        <v>48</v>
      </c>
      <c r="C818" s="4" t="s">
        <v>140</v>
      </c>
      <c r="D818" s="4">
        <v>24</v>
      </c>
      <c r="E818" s="8" t="s">
        <v>114</v>
      </c>
      <c r="F818" s="7" t="s">
        <v>125</v>
      </c>
    </row>
    <row r="819" spans="1:6">
      <c r="A819" s="4" t="str">
        <f t="shared" si="12"/>
        <v>tRNA-Cys-GCA-1-1|26</v>
      </c>
      <c r="B819" s="4" t="s">
        <v>48</v>
      </c>
      <c r="C819" s="4" t="s">
        <v>141</v>
      </c>
      <c r="D819" s="4">
        <v>25</v>
      </c>
      <c r="E819" s="3" t="s">
        <v>122</v>
      </c>
      <c r="F819" s="4" t="s">
        <v>142</v>
      </c>
    </row>
    <row r="820" spans="1:6">
      <c r="A820" s="4" t="str">
        <f t="shared" si="12"/>
        <v>tRNA-Cys-GCA-1-1|27</v>
      </c>
      <c r="B820" s="4" t="s">
        <v>48</v>
      </c>
      <c r="C820" s="4" t="s">
        <v>143</v>
      </c>
      <c r="D820" s="4">
        <v>26</v>
      </c>
      <c r="E820" s="20" t="s">
        <v>122</v>
      </c>
      <c r="F820" s="21" t="s">
        <v>144</v>
      </c>
    </row>
    <row r="821" spans="1:6">
      <c r="A821" s="4" t="str">
        <f t="shared" si="12"/>
        <v>tRNA-Cys-GCA-1-1|28</v>
      </c>
      <c r="B821" s="4" t="s">
        <v>48</v>
      </c>
      <c r="C821" s="4" t="s">
        <v>145</v>
      </c>
      <c r="D821" s="4">
        <v>27</v>
      </c>
      <c r="E821" s="20" t="s">
        <v>116</v>
      </c>
      <c r="F821" s="21" t="s">
        <v>144</v>
      </c>
    </row>
    <row r="822" spans="1:6">
      <c r="A822" s="4" t="str">
        <f t="shared" si="12"/>
        <v>tRNA-Cys-GCA-1-1|29</v>
      </c>
      <c r="B822" s="4" t="s">
        <v>48</v>
      </c>
      <c r="C822" s="4" t="s">
        <v>146</v>
      </c>
      <c r="D822" s="4">
        <v>28</v>
      </c>
      <c r="E822" s="20" t="s">
        <v>114</v>
      </c>
      <c r="F822" s="21" t="s">
        <v>144</v>
      </c>
    </row>
    <row r="823" spans="1:6">
      <c r="A823" s="4" t="str">
        <f t="shared" si="12"/>
        <v>tRNA-Cys-GCA-1-1|30</v>
      </c>
      <c r="B823" s="4" t="s">
        <v>48</v>
      </c>
      <c r="C823" s="4" t="s">
        <v>147</v>
      </c>
      <c r="D823" s="4">
        <v>29</v>
      </c>
      <c r="E823" s="20" t="s">
        <v>109</v>
      </c>
      <c r="F823" s="21" t="s">
        <v>144</v>
      </c>
    </row>
    <row r="824" spans="1:6">
      <c r="A824" s="4" t="str">
        <f t="shared" si="12"/>
        <v>tRNA-Cys-GCA-1-1|31</v>
      </c>
      <c r="B824" s="4" t="s">
        <v>48</v>
      </c>
      <c r="C824" s="4" t="s">
        <v>148</v>
      </c>
      <c r="D824" s="4">
        <v>30</v>
      </c>
      <c r="E824" s="20" t="s">
        <v>114</v>
      </c>
      <c r="F824" s="21" t="s">
        <v>144</v>
      </c>
    </row>
    <row r="825" spans="1:6">
      <c r="A825" s="4" t="str">
        <f t="shared" si="12"/>
        <v>tRNA-Cys-GCA-1-1|32</v>
      </c>
      <c r="B825" s="4" t="s">
        <v>48</v>
      </c>
      <c r="C825" s="4" t="s">
        <v>149</v>
      </c>
      <c r="D825" s="4">
        <v>31</v>
      </c>
      <c r="E825" s="18" t="s">
        <v>114</v>
      </c>
      <c r="F825" s="19" t="s">
        <v>150</v>
      </c>
    </row>
    <row r="826" spans="1:6">
      <c r="A826" s="4" t="str">
        <f t="shared" si="12"/>
        <v>tRNA-Cys-GCA-1-1|33</v>
      </c>
      <c r="B826" s="4" t="s">
        <v>48</v>
      </c>
      <c r="C826" s="4" t="s">
        <v>151</v>
      </c>
      <c r="D826" s="4">
        <v>32</v>
      </c>
      <c r="E826" s="18" t="s">
        <v>116</v>
      </c>
      <c r="F826" s="19" t="s">
        <v>150</v>
      </c>
    </row>
    <row r="827" spans="1:6">
      <c r="A827" s="4" t="str">
        <f t="shared" si="12"/>
        <v>tRNA-Cys-GCA-1-1|34</v>
      </c>
      <c r="B827" s="4" t="s">
        <v>48</v>
      </c>
      <c r="C827" s="4" t="s">
        <v>152</v>
      </c>
      <c r="D827" s="4">
        <v>33</v>
      </c>
      <c r="E827" s="18" t="s">
        <v>109</v>
      </c>
      <c r="F827" s="19" t="s">
        <v>150</v>
      </c>
    </row>
    <row r="828" spans="1:6">
      <c r="A828" s="4" t="str">
        <f t="shared" si="12"/>
        <v>tRNA-Cys-GCA-1-1|35</v>
      </c>
      <c r="B828" s="4" t="s">
        <v>48</v>
      </c>
      <c r="C828" s="4" t="s">
        <v>153</v>
      </c>
      <c r="D828" s="4">
        <v>34</v>
      </c>
      <c r="E828" s="18" t="s">
        <v>114</v>
      </c>
      <c r="F828" s="19" t="s">
        <v>150</v>
      </c>
    </row>
    <row r="829" spans="1:6">
      <c r="A829" s="4" t="str">
        <f t="shared" si="12"/>
        <v>tRNA-Cys-GCA-1-1|36</v>
      </c>
      <c r="B829" s="4" t="s">
        <v>48</v>
      </c>
      <c r="C829" s="4" t="s">
        <v>154</v>
      </c>
      <c r="D829" s="4">
        <v>35</v>
      </c>
      <c r="E829" s="18" t="s">
        <v>122</v>
      </c>
      <c r="F829" s="19" t="s">
        <v>150</v>
      </c>
    </row>
    <row r="830" spans="1:6">
      <c r="A830" s="4" t="str">
        <f t="shared" si="12"/>
        <v>tRNA-Cys-GCA-1-1|37</v>
      </c>
      <c r="B830" s="4" t="s">
        <v>48</v>
      </c>
      <c r="C830" s="4" t="s">
        <v>155</v>
      </c>
      <c r="D830" s="4">
        <v>36</v>
      </c>
      <c r="E830" s="18" t="s">
        <v>109</v>
      </c>
      <c r="F830" s="19" t="s">
        <v>150</v>
      </c>
    </row>
    <row r="831" spans="1:6">
      <c r="A831" s="4" t="str">
        <f t="shared" si="12"/>
        <v>tRNA-Cys-GCA-1-1|38</v>
      </c>
      <c r="B831" s="4" t="s">
        <v>48</v>
      </c>
      <c r="C831" s="4" t="s">
        <v>156</v>
      </c>
      <c r="D831" s="4">
        <v>37</v>
      </c>
      <c r="E831" s="18" t="s">
        <v>122</v>
      </c>
      <c r="F831" s="19" t="s">
        <v>150</v>
      </c>
    </row>
    <row r="832" spans="1:6">
      <c r="A832" s="4" t="str">
        <f t="shared" si="12"/>
        <v>tRNA-Cys-GCA-1-1|39</v>
      </c>
      <c r="B832" s="4" t="s">
        <v>48</v>
      </c>
      <c r="C832" s="4" t="s">
        <v>157</v>
      </c>
      <c r="D832" s="4">
        <v>38</v>
      </c>
      <c r="E832" s="20" t="s">
        <v>109</v>
      </c>
      <c r="F832" s="21" t="s">
        <v>144</v>
      </c>
    </row>
    <row r="833" spans="1:6">
      <c r="A833" s="4" t="str">
        <f t="shared" si="12"/>
        <v>tRNA-Cys-GCA-1-1|40</v>
      </c>
      <c r="B833" s="4" t="s">
        <v>48</v>
      </c>
      <c r="C833" s="4" t="s">
        <v>158</v>
      </c>
      <c r="D833" s="4">
        <v>39</v>
      </c>
      <c r="E833" s="20" t="s">
        <v>114</v>
      </c>
      <c r="F833" s="21" t="s">
        <v>144</v>
      </c>
    </row>
    <row r="834" spans="1:6">
      <c r="A834" s="4" t="str">
        <f t="shared" ref="A834:A897" si="13">B834&amp;"|"&amp;C834</f>
        <v>tRNA-Cys-GCA-1-1|41</v>
      </c>
      <c r="B834" s="4" t="s">
        <v>48</v>
      </c>
      <c r="C834" s="4" t="s">
        <v>159</v>
      </c>
      <c r="D834" s="4">
        <v>40</v>
      </c>
      <c r="E834" s="20" t="s">
        <v>109</v>
      </c>
      <c r="F834" s="21" t="s">
        <v>144</v>
      </c>
    </row>
    <row r="835" spans="1:6">
      <c r="A835" s="4" t="str">
        <f t="shared" si="13"/>
        <v>tRNA-Cys-GCA-1-1|42</v>
      </c>
      <c r="B835" s="4" t="s">
        <v>48</v>
      </c>
      <c r="C835" s="4" t="s">
        <v>160</v>
      </c>
      <c r="D835" s="4">
        <v>41</v>
      </c>
      <c r="E835" s="20" t="s">
        <v>122</v>
      </c>
      <c r="F835" s="21" t="s">
        <v>144</v>
      </c>
    </row>
    <row r="836" spans="1:6">
      <c r="A836" s="4" t="str">
        <f t="shared" si="13"/>
        <v>tRNA-Cys-GCA-1-1|43</v>
      </c>
      <c r="B836" s="4" t="s">
        <v>48</v>
      </c>
      <c r="C836" s="4" t="s">
        <v>161</v>
      </c>
      <c r="D836" s="4">
        <v>42</v>
      </c>
      <c r="E836" s="20" t="s">
        <v>116</v>
      </c>
      <c r="F836" s="21" t="s">
        <v>144</v>
      </c>
    </row>
    <row r="837" spans="1:6">
      <c r="A837" s="4" t="str">
        <f t="shared" si="13"/>
        <v>tRNA-Cys-GCA-1-1|44</v>
      </c>
      <c r="B837" s="4" t="s">
        <v>48</v>
      </c>
      <c r="C837" s="4" t="s">
        <v>162</v>
      </c>
      <c r="D837" s="4">
        <v>43</v>
      </c>
      <c r="E837" s="18" t="s">
        <v>116</v>
      </c>
      <c r="F837" s="19" t="s">
        <v>163</v>
      </c>
    </row>
    <row r="838" spans="1:6">
      <c r="A838" s="4" t="str">
        <f t="shared" si="13"/>
        <v>tRNA-Cys-GCA-1-1|45</v>
      </c>
      <c r="B838" s="4" t="s">
        <v>48</v>
      </c>
      <c r="C838" s="4" t="s">
        <v>164</v>
      </c>
      <c r="D838" s="4">
        <v>44</v>
      </c>
      <c r="E838" s="18" t="s">
        <v>114</v>
      </c>
      <c r="F838" s="19" t="s">
        <v>163</v>
      </c>
    </row>
    <row r="839" spans="1:6">
      <c r="A839" s="4" t="str">
        <f t="shared" si="13"/>
        <v>tRNA-Cys-GCA-1-1|46</v>
      </c>
      <c r="B839" s="4" t="s">
        <v>48</v>
      </c>
      <c r="C839" s="4" t="s">
        <v>165</v>
      </c>
      <c r="D839" s="4">
        <v>45</v>
      </c>
      <c r="E839" s="18" t="s">
        <v>114</v>
      </c>
      <c r="F839" s="19" t="s">
        <v>163</v>
      </c>
    </row>
    <row r="840" spans="1:6">
      <c r="A840" s="4" t="str">
        <f t="shared" si="13"/>
        <v>tRNA-Cys-GCA-1-1|47</v>
      </c>
      <c r="B840" s="4" t="s">
        <v>48</v>
      </c>
      <c r="C840" s="4" t="s">
        <v>166</v>
      </c>
      <c r="D840" s="4">
        <v>46</v>
      </c>
      <c r="E840" s="18" t="s">
        <v>122</v>
      </c>
      <c r="F840" s="19" t="s">
        <v>163</v>
      </c>
    </row>
    <row r="841" spans="1:6">
      <c r="A841" s="4" t="str">
        <f t="shared" si="13"/>
        <v>tRNA-Cys-GCA-1-1|48</v>
      </c>
      <c r="B841" s="4" t="s">
        <v>48</v>
      </c>
      <c r="C841" s="4" t="s">
        <v>167</v>
      </c>
      <c r="D841" s="4">
        <v>47</v>
      </c>
      <c r="E841" s="18" t="s">
        <v>116</v>
      </c>
      <c r="F841" s="19" t="s">
        <v>163</v>
      </c>
    </row>
    <row r="842" spans="1:6">
      <c r="A842" s="4" t="str">
        <f t="shared" si="13"/>
        <v>tRNA-Cys-GCA-1-1|49</v>
      </c>
      <c r="B842" s="4" t="s">
        <v>48</v>
      </c>
      <c r="C842" s="4" t="s">
        <v>168</v>
      </c>
      <c r="D842" s="4">
        <v>48</v>
      </c>
      <c r="E842" s="22" t="s">
        <v>116</v>
      </c>
      <c r="F842" s="10" t="s">
        <v>169</v>
      </c>
    </row>
    <row r="843" spans="1:6">
      <c r="A843" s="4" t="str">
        <f t="shared" si="13"/>
        <v>tRNA-Cys-GCA-1-1|50</v>
      </c>
      <c r="B843" s="4" t="s">
        <v>48</v>
      </c>
      <c r="C843" s="4" t="s">
        <v>170</v>
      </c>
      <c r="D843" s="4">
        <v>49</v>
      </c>
      <c r="E843" s="22" t="s">
        <v>114</v>
      </c>
      <c r="F843" s="10" t="s">
        <v>169</v>
      </c>
    </row>
    <row r="844" spans="1:6">
      <c r="A844" s="4" t="str">
        <f t="shared" si="13"/>
        <v>tRNA-Cys-GCA-1-1|51</v>
      </c>
      <c r="B844" s="4" t="s">
        <v>48</v>
      </c>
      <c r="C844" s="4" t="s">
        <v>171</v>
      </c>
      <c r="D844" s="4">
        <v>50</v>
      </c>
      <c r="E844" s="22" t="s">
        <v>114</v>
      </c>
      <c r="F844" s="10" t="s">
        <v>169</v>
      </c>
    </row>
    <row r="845" spans="1:6">
      <c r="A845" s="4" t="str">
        <f t="shared" si="13"/>
        <v>tRNA-Cys-GCA-1-1|52</v>
      </c>
      <c r="B845" s="4" t="s">
        <v>48</v>
      </c>
      <c r="C845" s="4" t="s">
        <v>172</v>
      </c>
      <c r="D845" s="4">
        <v>51</v>
      </c>
      <c r="E845" s="22" t="s">
        <v>109</v>
      </c>
      <c r="F845" s="10" t="s">
        <v>169</v>
      </c>
    </row>
    <row r="846" spans="1:6">
      <c r="A846" s="4" t="str">
        <f t="shared" si="13"/>
        <v>tRNA-Cys-GCA-1-1|53</v>
      </c>
      <c r="B846" s="4" t="s">
        <v>48</v>
      </c>
      <c r="C846" s="4" t="s">
        <v>173</v>
      </c>
      <c r="D846" s="4">
        <v>52</v>
      </c>
      <c r="E846" s="22" t="s">
        <v>109</v>
      </c>
      <c r="F846" s="10" t="s">
        <v>169</v>
      </c>
    </row>
    <row r="847" spans="1:6">
      <c r="A847" s="4" t="str">
        <f t="shared" si="13"/>
        <v>tRNA-Cys-GCA-1-1|54</v>
      </c>
      <c r="B847" s="4" t="s">
        <v>48</v>
      </c>
      <c r="C847" s="4" t="s">
        <v>174</v>
      </c>
      <c r="D847" s="4">
        <v>53</v>
      </c>
      <c r="E847" s="18" t="s">
        <v>116</v>
      </c>
      <c r="F847" s="19" t="s">
        <v>175</v>
      </c>
    </row>
    <row r="848" spans="1:6">
      <c r="A848" s="4" t="str">
        <f t="shared" si="13"/>
        <v>tRNA-Cys-GCA-1-1|55</v>
      </c>
      <c r="B848" s="4" t="s">
        <v>48</v>
      </c>
      <c r="C848" s="4" t="s">
        <v>176</v>
      </c>
      <c r="D848" s="4">
        <v>54</v>
      </c>
      <c r="E848" s="18" t="s">
        <v>116</v>
      </c>
      <c r="F848" s="19" t="s">
        <v>175</v>
      </c>
    </row>
    <row r="849" spans="1:6">
      <c r="A849" s="4" t="str">
        <f t="shared" si="13"/>
        <v>tRNA-Cys-GCA-1-1|56</v>
      </c>
      <c r="B849" s="4" t="s">
        <v>48</v>
      </c>
      <c r="C849" s="4" t="s">
        <v>177</v>
      </c>
      <c r="D849" s="4">
        <v>55</v>
      </c>
      <c r="E849" s="18" t="s">
        <v>114</v>
      </c>
      <c r="F849" s="19" t="s">
        <v>175</v>
      </c>
    </row>
    <row r="850" spans="1:6">
      <c r="A850" s="4" t="str">
        <f t="shared" si="13"/>
        <v>tRNA-Cys-GCA-1-1|57</v>
      </c>
      <c r="B850" s="4" t="s">
        <v>48</v>
      </c>
      <c r="C850" s="4" t="s">
        <v>178</v>
      </c>
      <c r="D850" s="4">
        <v>56</v>
      </c>
      <c r="E850" s="18" t="s">
        <v>109</v>
      </c>
      <c r="F850" s="19" t="s">
        <v>175</v>
      </c>
    </row>
    <row r="851" spans="1:6">
      <c r="A851" s="4" t="str">
        <f t="shared" si="13"/>
        <v>tRNA-Cys-GCA-1-1|58</v>
      </c>
      <c r="B851" s="4" t="s">
        <v>48</v>
      </c>
      <c r="C851" s="4" t="s">
        <v>179</v>
      </c>
      <c r="D851" s="4">
        <v>57</v>
      </c>
      <c r="E851" s="18" t="s">
        <v>122</v>
      </c>
      <c r="F851" s="19" t="s">
        <v>175</v>
      </c>
    </row>
    <row r="852" spans="1:6">
      <c r="A852" s="4" t="str">
        <f t="shared" si="13"/>
        <v>tRNA-Cys-GCA-1-1|59</v>
      </c>
      <c r="B852" s="4" t="s">
        <v>48</v>
      </c>
      <c r="C852" s="4" t="s">
        <v>180</v>
      </c>
      <c r="D852" s="4">
        <v>58</v>
      </c>
      <c r="E852" s="18" t="s">
        <v>122</v>
      </c>
      <c r="F852" s="19" t="s">
        <v>175</v>
      </c>
    </row>
    <row r="853" spans="1:6">
      <c r="A853" s="4" t="str">
        <f t="shared" si="13"/>
        <v>tRNA-Cys-GCA-1-1|60</v>
      </c>
      <c r="B853" s="4" t="s">
        <v>48</v>
      </c>
      <c r="C853" s="4" t="s">
        <v>181</v>
      </c>
      <c r="D853" s="4">
        <v>59</v>
      </c>
      <c r="E853" s="18" t="s">
        <v>116</v>
      </c>
      <c r="F853" s="19" t="s">
        <v>175</v>
      </c>
    </row>
    <row r="854" spans="1:6">
      <c r="A854" s="4" t="str">
        <f t="shared" si="13"/>
        <v>tRNA-Cys-GCA-1-1|61</v>
      </c>
      <c r="B854" s="4" t="s">
        <v>48</v>
      </c>
      <c r="C854" s="4" t="s">
        <v>182</v>
      </c>
      <c r="D854" s="4">
        <v>60</v>
      </c>
      <c r="E854" s="22" t="s">
        <v>114</v>
      </c>
      <c r="F854" s="10" t="s">
        <v>169</v>
      </c>
    </row>
    <row r="855" spans="1:6">
      <c r="A855" s="4" t="str">
        <f t="shared" si="13"/>
        <v>tRNA-Cys-GCA-1-1|62</v>
      </c>
      <c r="B855" s="4" t="s">
        <v>48</v>
      </c>
      <c r="C855" s="4" t="s">
        <v>183</v>
      </c>
      <c r="D855" s="4">
        <v>61</v>
      </c>
      <c r="E855" s="22" t="s">
        <v>114</v>
      </c>
      <c r="F855" s="10" t="s">
        <v>169</v>
      </c>
    </row>
    <row r="856" spans="1:6">
      <c r="A856" s="4" t="str">
        <f t="shared" si="13"/>
        <v>tRNA-Cys-GCA-1-1|63</v>
      </c>
      <c r="B856" s="4" t="s">
        <v>48</v>
      </c>
      <c r="C856" s="4" t="s">
        <v>184</v>
      </c>
      <c r="D856" s="4">
        <v>62</v>
      </c>
      <c r="E856" s="22" t="s">
        <v>109</v>
      </c>
      <c r="F856" s="10" t="s">
        <v>169</v>
      </c>
    </row>
    <row r="857" spans="1:6">
      <c r="A857" s="4" t="str">
        <f t="shared" si="13"/>
        <v>tRNA-Cys-GCA-1-1|64</v>
      </c>
      <c r="B857" s="4" t="s">
        <v>48</v>
      </c>
      <c r="C857" s="4" t="s">
        <v>185</v>
      </c>
      <c r="D857" s="4">
        <v>63</v>
      </c>
      <c r="E857" s="22" t="s">
        <v>109</v>
      </c>
      <c r="F857" s="10" t="s">
        <v>169</v>
      </c>
    </row>
    <row r="858" spans="1:6">
      <c r="A858" s="4" t="str">
        <f t="shared" si="13"/>
        <v>tRNA-Cys-GCA-1-1|65</v>
      </c>
      <c r="B858" s="4" t="s">
        <v>48</v>
      </c>
      <c r="C858" s="4" t="s">
        <v>186</v>
      </c>
      <c r="D858" s="4">
        <v>64</v>
      </c>
      <c r="E858" s="22" t="s">
        <v>122</v>
      </c>
      <c r="F858" s="10" t="s">
        <v>169</v>
      </c>
    </row>
    <row r="859" spans="1:6">
      <c r="A859" s="4" t="str">
        <f t="shared" si="13"/>
        <v>tRNA-Cys-GCA-1-1|66</v>
      </c>
      <c r="B859" s="4" t="s">
        <v>48</v>
      </c>
      <c r="C859" s="4" t="s">
        <v>187</v>
      </c>
      <c r="D859" s="4">
        <v>65</v>
      </c>
      <c r="E859" s="16" t="s">
        <v>116</v>
      </c>
      <c r="F859" s="17" t="s">
        <v>110</v>
      </c>
    </row>
    <row r="860" spans="1:6">
      <c r="A860" s="4" t="str">
        <f t="shared" si="13"/>
        <v>tRNA-Cys-GCA-1-1|67</v>
      </c>
      <c r="B860" s="4" t="s">
        <v>48</v>
      </c>
      <c r="C860" s="4" t="s">
        <v>188</v>
      </c>
      <c r="D860" s="4">
        <v>66</v>
      </c>
      <c r="E860" s="16" t="s">
        <v>114</v>
      </c>
      <c r="F860" s="17" t="s">
        <v>110</v>
      </c>
    </row>
    <row r="861" spans="1:6">
      <c r="A861" s="4" t="str">
        <f t="shared" si="13"/>
        <v>tRNA-Cys-GCA-1-1|68</v>
      </c>
      <c r="B861" s="4" t="s">
        <v>48</v>
      </c>
      <c r="C861" s="4" t="s">
        <v>189</v>
      </c>
      <c r="D861" s="4">
        <v>67</v>
      </c>
      <c r="E861" s="16" t="s">
        <v>116</v>
      </c>
      <c r="F861" s="17" t="s">
        <v>110</v>
      </c>
    </row>
    <row r="862" spans="1:6">
      <c r="A862" s="4" t="str">
        <f t="shared" si="13"/>
        <v>tRNA-Cys-GCA-1-1|69</v>
      </c>
      <c r="B862" s="4" t="s">
        <v>48</v>
      </c>
      <c r="C862" s="4" t="s">
        <v>190</v>
      </c>
      <c r="D862" s="4">
        <v>68</v>
      </c>
      <c r="E862" s="16" t="s">
        <v>116</v>
      </c>
      <c r="F862" s="17" t="s">
        <v>110</v>
      </c>
    </row>
    <row r="863" spans="1:6">
      <c r="A863" s="4" t="str">
        <f t="shared" si="13"/>
        <v>tRNA-Cys-GCA-1-1|70</v>
      </c>
      <c r="B863" s="4" t="s">
        <v>48</v>
      </c>
      <c r="C863" s="4" t="s">
        <v>191</v>
      </c>
      <c r="D863" s="4">
        <v>69</v>
      </c>
      <c r="E863" s="16" t="s">
        <v>109</v>
      </c>
      <c r="F863" s="17" t="s">
        <v>110</v>
      </c>
    </row>
    <row r="864" spans="1:6">
      <c r="A864" s="4" t="str">
        <f t="shared" si="13"/>
        <v>tRNA-Cys-GCA-1-1|71</v>
      </c>
      <c r="B864" s="4" t="s">
        <v>48</v>
      </c>
      <c r="C864" s="4" t="s">
        <v>192</v>
      </c>
      <c r="D864" s="4">
        <v>70</v>
      </c>
      <c r="E864" s="16" t="s">
        <v>109</v>
      </c>
      <c r="F864" s="17" t="s">
        <v>110</v>
      </c>
    </row>
    <row r="865" spans="1:6">
      <c r="A865" s="4" t="str">
        <f t="shared" si="13"/>
        <v>tRNA-Cys-GCA-1-1|72</v>
      </c>
      <c r="B865" s="4" t="s">
        <v>48</v>
      </c>
      <c r="C865" s="4" t="s">
        <v>193</v>
      </c>
      <c r="D865" s="4">
        <v>71</v>
      </c>
      <c r="E865" s="16" t="s">
        <v>114</v>
      </c>
      <c r="F865" s="17" t="s">
        <v>110</v>
      </c>
    </row>
    <row r="866" spans="1:6">
      <c r="A866" s="4" t="str">
        <f t="shared" si="13"/>
        <v>tRNA-Cys-GCA-1-2|1</v>
      </c>
      <c r="B866" s="4" t="s">
        <v>49</v>
      </c>
      <c r="C866" s="4" t="s">
        <v>108</v>
      </c>
      <c r="D866" s="4">
        <v>1</v>
      </c>
      <c r="E866" s="16" t="s">
        <v>109</v>
      </c>
      <c r="F866" s="17" t="s">
        <v>110</v>
      </c>
    </row>
    <row r="867" spans="1:6">
      <c r="A867" s="4" t="str">
        <f t="shared" si="13"/>
        <v>tRNA-Cys-GCA-1-2|2</v>
      </c>
      <c r="B867" s="4" t="s">
        <v>49</v>
      </c>
      <c r="C867" s="4" t="s">
        <v>111</v>
      </c>
      <c r="D867" s="4">
        <v>2</v>
      </c>
      <c r="E867" s="16" t="s">
        <v>114</v>
      </c>
      <c r="F867" s="17" t="s">
        <v>110</v>
      </c>
    </row>
    <row r="868" spans="1:6">
      <c r="A868" s="4" t="str">
        <f t="shared" si="13"/>
        <v>tRNA-Cys-GCA-1-2|3</v>
      </c>
      <c r="B868" s="4" t="s">
        <v>49</v>
      </c>
      <c r="C868" s="4" t="s">
        <v>112</v>
      </c>
      <c r="D868" s="4">
        <v>3</v>
      </c>
      <c r="E868" s="16" t="s">
        <v>114</v>
      </c>
      <c r="F868" s="17" t="s">
        <v>110</v>
      </c>
    </row>
    <row r="869" spans="1:6">
      <c r="A869" s="4" t="str">
        <f t="shared" si="13"/>
        <v>tRNA-Cys-GCA-1-2|4</v>
      </c>
      <c r="B869" s="4" t="s">
        <v>49</v>
      </c>
      <c r="C869" s="4" t="s">
        <v>113</v>
      </c>
      <c r="D869" s="4">
        <v>4</v>
      </c>
      <c r="E869" s="16" t="s">
        <v>122</v>
      </c>
      <c r="F869" s="17" t="s">
        <v>110</v>
      </c>
    </row>
    <row r="870" spans="1:6">
      <c r="A870" s="4" t="str">
        <f t="shared" si="13"/>
        <v>tRNA-Cys-GCA-1-2|5</v>
      </c>
      <c r="B870" s="4" t="s">
        <v>49</v>
      </c>
      <c r="C870" s="4" t="s">
        <v>115</v>
      </c>
      <c r="D870" s="4">
        <v>5</v>
      </c>
      <c r="E870" s="16" t="s">
        <v>122</v>
      </c>
      <c r="F870" s="17" t="s">
        <v>110</v>
      </c>
    </row>
    <row r="871" spans="1:6">
      <c r="A871" s="4" t="str">
        <f t="shared" si="13"/>
        <v>tRNA-Cys-GCA-1-2|6</v>
      </c>
      <c r="B871" s="4" t="s">
        <v>49</v>
      </c>
      <c r="C871" s="4" t="s">
        <v>117</v>
      </c>
      <c r="D871" s="4">
        <v>6</v>
      </c>
      <c r="E871" s="16" t="s">
        <v>109</v>
      </c>
      <c r="F871" s="17" t="s">
        <v>110</v>
      </c>
    </row>
    <row r="872" spans="1:6">
      <c r="A872" s="4" t="str">
        <f t="shared" si="13"/>
        <v>tRNA-Cys-GCA-1-2|7</v>
      </c>
      <c r="B872" s="4" t="s">
        <v>49</v>
      </c>
      <c r="C872" s="4" t="s">
        <v>118</v>
      </c>
      <c r="D872" s="4">
        <v>7</v>
      </c>
      <c r="E872" s="16" t="s">
        <v>122</v>
      </c>
      <c r="F872" s="17" t="s">
        <v>110</v>
      </c>
    </row>
    <row r="873" spans="1:6">
      <c r="A873" s="4" t="str">
        <f t="shared" si="13"/>
        <v>tRNA-Cys-GCA-1-2|8</v>
      </c>
      <c r="B873" s="4" t="s">
        <v>49</v>
      </c>
      <c r="C873" s="4" t="s">
        <v>119</v>
      </c>
      <c r="D873" s="4">
        <v>8</v>
      </c>
      <c r="E873" s="3" t="s">
        <v>116</v>
      </c>
      <c r="F873" s="4" t="s">
        <v>120</v>
      </c>
    </row>
    <row r="874" spans="1:6">
      <c r="A874" s="4" t="str">
        <f t="shared" si="13"/>
        <v>tRNA-Cys-GCA-1-2|9</v>
      </c>
      <c r="B874" s="4" t="s">
        <v>49</v>
      </c>
      <c r="C874" s="4" t="s">
        <v>121</v>
      </c>
      <c r="D874" s="4">
        <v>9</v>
      </c>
      <c r="E874" s="3" t="s">
        <v>109</v>
      </c>
      <c r="F874" s="4" t="s">
        <v>123</v>
      </c>
    </row>
    <row r="875" spans="1:6">
      <c r="A875" s="4" t="str">
        <f t="shared" si="13"/>
        <v>tRNA-Cys-GCA-1-2|10</v>
      </c>
      <c r="B875" s="4" t="s">
        <v>49</v>
      </c>
      <c r="C875" s="4" t="s">
        <v>124</v>
      </c>
      <c r="D875" s="4">
        <v>10</v>
      </c>
      <c r="E875" s="8" t="s">
        <v>109</v>
      </c>
      <c r="F875" s="7" t="s">
        <v>125</v>
      </c>
    </row>
    <row r="876" spans="1:6">
      <c r="A876" s="4" t="str">
        <f t="shared" si="13"/>
        <v>tRNA-Cys-GCA-1-2|11</v>
      </c>
      <c r="B876" s="4" t="s">
        <v>49</v>
      </c>
      <c r="C876" s="4" t="s">
        <v>126</v>
      </c>
      <c r="D876" s="4">
        <v>11</v>
      </c>
      <c r="E876" s="8" t="s">
        <v>114</v>
      </c>
      <c r="F876" s="7" t="s">
        <v>125</v>
      </c>
    </row>
    <row r="877" spans="1:6">
      <c r="A877" s="4" t="str">
        <f t="shared" si="13"/>
        <v>tRNA-Cys-GCA-1-2|12</v>
      </c>
      <c r="B877" s="4" t="s">
        <v>49</v>
      </c>
      <c r="C877" s="4" t="s">
        <v>127</v>
      </c>
      <c r="D877" s="4">
        <v>12</v>
      </c>
      <c r="E877" s="8" t="s">
        <v>109</v>
      </c>
      <c r="F877" s="7" t="s">
        <v>125</v>
      </c>
    </row>
    <row r="878" spans="1:6">
      <c r="A878" s="4" t="str">
        <f t="shared" si="13"/>
        <v>tRNA-Cys-GCA-1-2|13</v>
      </c>
      <c r="B878" s="4" t="s">
        <v>49</v>
      </c>
      <c r="C878" s="4" t="s">
        <v>128</v>
      </c>
      <c r="D878" s="4">
        <v>13</v>
      </c>
      <c r="E878" s="8" t="s">
        <v>109</v>
      </c>
      <c r="F878" s="7" t="s">
        <v>125</v>
      </c>
    </row>
    <row r="879" spans="1:6">
      <c r="A879" s="4" t="str">
        <f t="shared" si="13"/>
        <v>tRNA-Cys-GCA-1-2|14</v>
      </c>
      <c r="B879" s="4" t="s">
        <v>49</v>
      </c>
      <c r="C879" s="4" t="s">
        <v>129</v>
      </c>
      <c r="D879" s="4">
        <v>14</v>
      </c>
      <c r="E879" s="18" t="s">
        <v>122</v>
      </c>
      <c r="F879" s="19" t="s">
        <v>130</v>
      </c>
    </row>
    <row r="880" spans="1:6">
      <c r="A880" s="4" t="str">
        <f t="shared" si="13"/>
        <v>tRNA-Cys-GCA-1-2|15</v>
      </c>
      <c r="B880" s="4" t="s">
        <v>49</v>
      </c>
      <c r="C880" s="4" t="s">
        <v>131</v>
      </c>
      <c r="D880" s="4">
        <v>15</v>
      </c>
      <c r="E880" s="18" t="s">
        <v>109</v>
      </c>
      <c r="F880" s="19" t="s">
        <v>130</v>
      </c>
    </row>
    <row r="881" spans="1:6">
      <c r="A881" s="4" t="str">
        <f t="shared" si="13"/>
        <v>tRNA-Cys-GCA-1-2|16</v>
      </c>
      <c r="B881" s="4" t="s">
        <v>49</v>
      </c>
      <c r="C881" s="4" t="s">
        <v>194</v>
      </c>
      <c r="D881" s="4">
        <v>16</v>
      </c>
      <c r="E881" s="18" t="s">
        <v>114</v>
      </c>
      <c r="F881" s="19" t="s">
        <v>130</v>
      </c>
    </row>
    <row r="882" spans="1:6">
      <c r="A882" s="4" t="str">
        <f t="shared" si="13"/>
        <v>tRNA-Cys-GCA-1-2|18</v>
      </c>
      <c r="B882" s="4" t="s">
        <v>49</v>
      </c>
      <c r="C882" s="4" t="s">
        <v>132</v>
      </c>
      <c r="D882" s="4">
        <v>17</v>
      </c>
      <c r="E882" s="18" t="s">
        <v>109</v>
      </c>
      <c r="F882" s="19" t="s">
        <v>130</v>
      </c>
    </row>
    <row r="883" spans="1:6">
      <c r="A883" s="4" t="str">
        <f t="shared" si="13"/>
        <v>tRNA-Cys-GCA-1-2|19</v>
      </c>
      <c r="B883" s="4" t="s">
        <v>49</v>
      </c>
      <c r="C883" s="4" t="s">
        <v>133</v>
      </c>
      <c r="D883" s="4">
        <v>18</v>
      </c>
      <c r="E883" s="18" t="s">
        <v>109</v>
      </c>
      <c r="F883" s="19" t="s">
        <v>130</v>
      </c>
    </row>
    <row r="884" spans="1:6">
      <c r="A884" s="4" t="str">
        <f t="shared" si="13"/>
        <v>tRNA-Cys-GCA-1-2|20</v>
      </c>
      <c r="B884" s="4" t="s">
        <v>49</v>
      </c>
      <c r="C884" s="4" t="s">
        <v>134</v>
      </c>
      <c r="D884" s="4">
        <v>19</v>
      </c>
      <c r="E884" s="18" t="s">
        <v>114</v>
      </c>
      <c r="F884" s="19" t="s">
        <v>130</v>
      </c>
    </row>
    <row r="885" spans="1:6">
      <c r="A885" s="4" t="str">
        <f t="shared" si="13"/>
        <v>tRNA-Cys-GCA-1-2|21</v>
      </c>
      <c r="B885" s="4" t="s">
        <v>49</v>
      </c>
      <c r="C885" s="4" t="s">
        <v>136</v>
      </c>
      <c r="D885" s="4">
        <v>20</v>
      </c>
      <c r="E885" s="18" t="s">
        <v>116</v>
      </c>
      <c r="F885" s="19" t="s">
        <v>130</v>
      </c>
    </row>
    <row r="886" spans="1:6">
      <c r="A886" s="4" t="str">
        <f t="shared" si="13"/>
        <v>tRNA-Cys-GCA-1-2|22</v>
      </c>
      <c r="B886" s="4" t="s">
        <v>49</v>
      </c>
      <c r="C886" s="4" t="s">
        <v>137</v>
      </c>
      <c r="D886" s="4">
        <v>21</v>
      </c>
      <c r="E886" s="8" t="s">
        <v>122</v>
      </c>
      <c r="F886" s="7" t="s">
        <v>125</v>
      </c>
    </row>
    <row r="887" spans="1:6">
      <c r="A887" s="4" t="str">
        <f t="shared" si="13"/>
        <v>tRNA-Cys-GCA-1-2|23</v>
      </c>
      <c r="B887" s="4" t="s">
        <v>49</v>
      </c>
      <c r="C887" s="4" t="s">
        <v>138</v>
      </c>
      <c r="D887" s="4">
        <v>22</v>
      </c>
      <c r="E887" s="8" t="s">
        <v>114</v>
      </c>
      <c r="F887" s="7" t="s">
        <v>125</v>
      </c>
    </row>
    <row r="888" spans="1:6">
      <c r="A888" s="4" t="str">
        <f t="shared" si="13"/>
        <v>tRNA-Cys-GCA-1-2|24</v>
      </c>
      <c r="B888" s="4" t="s">
        <v>49</v>
      </c>
      <c r="C888" s="4" t="s">
        <v>139</v>
      </c>
      <c r="D888" s="4">
        <v>23</v>
      </c>
      <c r="E888" s="8" t="s">
        <v>109</v>
      </c>
      <c r="F888" s="7" t="s">
        <v>125</v>
      </c>
    </row>
    <row r="889" spans="1:6">
      <c r="A889" s="4" t="str">
        <f t="shared" si="13"/>
        <v>tRNA-Cys-GCA-1-2|25</v>
      </c>
      <c r="B889" s="4" t="s">
        <v>49</v>
      </c>
      <c r="C889" s="4" t="s">
        <v>140</v>
      </c>
      <c r="D889" s="4">
        <v>24</v>
      </c>
      <c r="E889" s="8" t="s">
        <v>114</v>
      </c>
      <c r="F889" s="7" t="s">
        <v>125</v>
      </c>
    </row>
    <row r="890" spans="1:6">
      <c r="A890" s="4" t="str">
        <f t="shared" si="13"/>
        <v>tRNA-Cys-GCA-1-2|26</v>
      </c>
      <c r="B890" s="4" t="s">
        <v>49</v>
      </c>
      <c r="C890" s="4" t="s">
        <v>141</v>
      </c>
      <c r="D890" s="4">
        <v>25</v>
      </c>
      <c r="E890" s="3" t="s">
        <v>122</v>
      </c>
      <c r="F890" s="4" t="s">
        <v>142</v>
      </c>
    </row>
    <row r="891" spans="1:6">
      <c r="A891" s="4" t="str">
        <f t="shared" si="13"/>
        <v>tRNA-Cys-GCA-1-2|27</v>
      </c>
      <c r="B891" s="4" t="s">
        <v>49</v>
      </c>
      <c r="C891" s="4" t="s">
        <v>143</v>
      </c>
      <c r="D891" s="4">
        <v>26</v>
      </c>
      <c r="E891" s="20" t="s">
        <v>122</v>
      </c>
      <c r="F891" s="21" t="s">
        <v>144</v>
      </c>
    </row>
    <row r="892" spans="1:6">
      <c r="A892" s="4" t="str">
        <f t="shared" si="13"/>
        <v>tRNA-Cys-GCA-1-2|28</v>
      </c>
      <c r="B892" s="4" t="s">
        <v>49</v>
      </c>
      <c r="C892" s="4" t="s">
        <v>145</v>
      </c>
      <c r="D892" s="4">
        <v>27</v>
      </c>
      <c r="E892" s="20" t="s">
        <v>116</v>
      </c>
      <c r="F892" s="21" t="s">
        <v>144</v>
      </c>
    </row>
    <row r="893" spans="1:6">
      <c r="A893" s="4" t="str">
        <f t="shared" si="13"/>
        <v>tRNA-Cys-GCA-1-2|29</v>
      </c>
      <c r="B893" s="4" t="s">
        <v>49</v>
      </c>
      <c r="C893" s="4" t="s">
        <v>146</v>
      </c>
      <c r="D893" s="4">
        <v>28</v>
      </c>
      <c r="E893" s="20" t="s">
        <v>114</v>
      </c>
      <c r="F893" s="21" t="s">
        <v>144</v>
      </c>
    </row>
    <row r="894" spans="1:6">
      <c r="A894" s="4" t="str">
        <f t="shared" si="13"/>
        <v>tRNA-Cys-GCA-1-2|30</v>
      </c>
      <c r="B894" s="4" t="s">
        <v>49</v>
      </c>
      <c r="C894" s="4" t="s">
        <v>147</v>
      </c>
      <c r="D894" s="4">
        <v>29</v>
      </c>
      <c r="E894" s="20" t="s">
        <v>109</v>
      </c>
      <c r="F894" s="21" t="s">
        <v>144</v>
      </c>
    </row>
    <row r="895" spans="1:6">
      <c r="A895" s="4" t="str">
        <f t="shared" si="13"/>
        <v>tRNA-Cys-GCA-1-2|31</v>
      </c>
      <c r="B895" s="4" t="s">
        <v>49</v>
      </c>
      <c r="C895" s="4" t="s">
        <v>148</v>
      </c>
      <c r="D895" s="4">
        <v>30</v>
      </c>
      <c r="E895" s="20" t="s">
        <v>114</v>
      </c>
      <c r="F895" s="21" t="s">
        <v>144</v>
      </c>
    </row>
    <row r="896" spans="1:6">
      <c r="A896" s="4" t="str">
        <f t="shared" si="13"/>
        <v>tRNA-Cys-GCA-1-2|32</v>
      </c>
      <c r="B896" s="4" t="s">
        <v>49</v>
      </c>
      <c r="C896" s="4" t="s">
        <v>149</v>
      </c>
      <c r="D896" s="4">
        <v>31</v>
      </c>
      <c r="E896" s="18" t="s">
        <v>114</v>
      </c>
      <c r="F896" s="19" t="s">
        <v>150</v>
      </c>
    </row>
    <row r="897" spans="1:6">
      <c r="A897" s="4" t="str">
        <f t="shared" si="13"/>
        <v>tRNA-Cys-GCA-1-2|33</v>
      </c>
      <c r="B897" s="4" t="s">
        <v>49</v>
      </c>
      <c r="C897" s="4" t="s">
        <v>151</v>
      </c>
      <c r="D897" s="4">
        <v>32</v>
      </c>
      <c r="E897" s="18" t="s">
        <v>116</v>
      </c>
      <c r="F897" s="19" t="s">
        <v>150</v>
      </c>
    </row>
    <row r="898" spans="1:6">
      <c r="A898" s="4" t="str">
        <f t="shared" ref="A898:A961" si="14">B898&amp;"|"&amp;C898</f>
        <v>tRNA-Cys-GCA-1-2|34</v>
      </c>
      <c r="B898" s="4" t="s">
        <v>49</v>
      </c>
      <c r="C898" s="4" t="s">
        <v>152</v>
      </c>
      <c r="D898" s="4">
        <v>33</v>
      </c>
      <c r="E898" s="18" t="s">
        <v>109</v>
      </c>
      <c r="F898" s="19" t="s">
        <v>150</v>
      </c>
    </row>
    <row r="899" spans="1:6">
      <c r="A899" s="4" t="str">
        <f t="shared" si="14"/>
        <v>tRNA-Cys-GCA-1-2|35</v>
      </c>
      <c r="B899" s="4" t="s">
        <v>49</v>
      </c>
      <c r="C899" s="4" t="s">
        <v>153</v>
      </c>
      <c r="D899" s="4">
        <v>34</v>
      </c>
      <c r="E899" s="18" t="s">
        <v>114</v>
      </c>
      <c r="F899" s="19" t="s">
        <v>150</v>
      </c>
    </row>
    <row r="900" spans="1:6">
      <c r="A900" s="4" t="str">
        <f t="shared" si="14"/>
        <v>tRNA-Cys-GCA-1-2|36</v>
      </c>
      <c r="B900" s="4" t="s">
        <v>49</v>
      </c>
      <c r="C900" s="4" t="s">
        <v>154</v>
      </c>
      <c r="D900" s="4">
        <v>35</v>
      </c>
      <c r="E900" s="18" t="s">
        <v>122</v>
      </c>
      <c r="F900" s="19" t="s">
        <v>150</v>
      </c>
    </row>
    <row r="901" spans="1:6">
      <c r="A901" s="4" t="str">
        <f t="shared" si="14"/>
        <v>tRNA-Cys-GCA-1-2|37</v>
      </c>
      <c r="B901" s="4" t="s">
        <v>49</v>
      </c>
      <c r="C901" s="4" t="s">
        <v>155</v>
      </c>
      <c r="D901" s="4">
        <v>36</v>
      </c>
      <c r="E901" s="18" t="s">
        <v>109</v>
      </c>
      <c r="F901" s="19" t="s">
        <v>150</v>
      </c>
    </row>
    <row r="902" spans="1:6">
      <c r="A902" s="4" t="str">
        <f t="shared" si="14"/>
        <v>tRNA-Cys-GCA-1-2|38</v>
      </c>
      <c r="B902" s="4" t="s">
        <v>49</v>
      </c>
      <c r="C902" s="4" t="s">
        <v>156</v>
      </c>
      <c r="D902" s="4">
        <v>37</v>
      </c>
      <c r="E902" s="18" t="s">
        <v>122</v>
      </c>
      <c r="F902" s="19" t="s">
        <v>150</v>
      </c>
    </row>
    <row r="903" spans="1:6">
      <c r="A903" s="4" t="str">
        <f t="shared" si="14"/>
        <v>tRNA-Cys-GCA-1-2|39</v>
      </c>
      <c r="B903" s="4" t="s">
        <v>49</v>
      </c>
      <c r="C903" s="4" t="s">
        <v>157</v>
      </c>
      <c r="D903" s="4">
        <v>38</v>
      </c>
      <c r="E903" s="20" t="s">
        <v>109</v>
      </c>
      <c r="F903" s="21" t="s">
        <v>144</v>
      </c>
    </row>
    <row r="904" spans="1:6">
      <c r="A904" s="4" t="str">
        <f t="shared" si="14"/>
        <v>tRNA-Cys-GCA-1-2|40</v>
      </c>
      <c r="B904" s="4" t="s">
        <v>49</v>
      </c>
      <c r="C904" s="4" t="s">
        <v>158</v>
      </c>
      <c r="D904" s="4">
        <v>39</v>
      </c>
      <c r="E904" s="20" t="s">
        <v>114</v>
      </c>
      <c r="F904" s="21" t="s">
        <v>144</v>
      </c>
    </row>
    <row r="905" spans="1:6">
      <c r="A905" s="4" t="str">
        <f t="shared" si="14"/>
        <v>tRNA-Cys-GCA-1-2|41</v>
      </c>
      <c r="B905" s="4" t="s">
        <v>49</v>
      </c>
      <c r="C905" s="4" t="s">
        <v>159</v>
      </c>
      <c r="D905" s="4">
        <v>40</v>
      </c>
      <c r="E905" s="20" t="s">
        <v>109</v>
      </c>
      <c r="F905" s="21" t="s">
        <v>144</v>
      </c>
    </row>
    <row r="906" spans="1:6">
      <c r="A906" s="4" t="str">
        <f t="shared" si="14"/>
        <v>tRNA-Cys-GCA-1-2|42</v>
      </c>
      <c r="B906" s="4" t="s">
        <v>49</v>
      </c>
      <c r="C906" s="4" t="s">
        <v>160</v>
      </c>
      <c r="D906" s="4">
        <v>41</v>
      </c>
      <c r="E906" s="20" t="s">
        <v>122</v>
      </c>
      <c r="F906" s="21" t="s">
        <v>144</v>
      </c>
    </row>
    <row r="907" spans="1:6">
      <c r="A907" s="4" t="str">
        <f t="shared" si="14"/>
        <v>tRNA-Cys-GCA-1-2|43</v>
      </c>
      <c r="B907" s="4" t="s">
        <v>49</v>
      </c>
      <c r="C907" s="4" t="s">
        <v>161</v>
      </c>
      <c r="D907" s="4">
        <v>42</v>
      </c>
      <c r="E907" s="20" t="s">
        <v>116</v>
      </c>
      <c r="F907" s="21" t="s">
        <v>144</v>
      </c>
    </row>
    <row r="908" spans="1:6">
      <c r="A908" s="4" t="str">
        <f t="shared" si="14"/>
        <v>tRNA-Cys-GCA-1-2|44</v>
      </c>
      <c r="B908" s="4" t="s">
        <v>49</v>
      </c>
      <c r="C908" s="4" t="s">
        <v>162</v>
      </c>
      <c r="D908" s="4">
        <v>43</v>
      </c>
      <c r="E908" s="18" t="s">
        <v>116</v>
      </c>
      <c r="F908" s="19" t="s">
        <v>163</v>
      </c>
    </row>
    <row r="909" spans="1:6">
      <c r="A909" s="4" t="str">
        <f t="shared" si="14"/>
        <v>tRNA-Cys-GCA-1-2|45</v>
      </c>
      <c r="B909" s="4" t="s">
        <v>49</v>
      </c>
      <c r="C909" s="4" t="s">
        <v>164</v>
      </c>
      <c r="D909" s="4">
        <v>44</v>
      </c>
      <c r="E909" s="18" t="s">
        <v>114</v>
      </c>
      <c r="F909" s="19" t="s">
        <v>163</v>
      </c>
    </row>
    <row r="910" spans="1:6">
      <c r="A910" s="4" t="str">
        <f t="shared" si="14"/>
        <v>tRNA-Cys-GCA-1-2|46</v>
      </c>
      <c r="B910" s="4" t="s">
        <v>49</v>
      </c>
      <c r="C910" s="4" t="s">
        <v>165</v>
      </c>
      <c r="D910" s="4">
        <v>45</v>
      </c>
      <c r="E910" s="18" t="s">
        <v>114</v>
      </c>
      <c r="F910" s="19" t="s">
        <v>163</v>
      </c>
    </row>
    <row r="911" spans="1:6">
      <c r="A911" s="4" t="str">
        <f t="shared" si="14"/>
        <v>tRNA-Cys-GCA-1-2|47</v>
      </c>
      <c r="B911" s="4" t="s">
        <v>49</v>
      </c>
      <c r="C911" s="4" t="s">
        <v>166</v>
      </c>
      <c r="D911" s="4">
        <v>46</v>
      </c>
      <c r="E911" s="18" t="s">
        <v>122</v>
      </c>
      <c r="F911" s="19" t="s">
        <v>163</v>
      </c>
    </row>
    <row r="912" spans="1:6">
      <c r="A912" s="4" t="str">
        <f t="shared" si="14"/>
        <v>tRNA-Cys-GCA-1-2|48</v>
      </c>
      <c r="B912" s="4" t="s">
        <v>49</v>
      </c>
      <c r="C912" s="4" t="s">
        <v>167</v>
      </c>
      <c r="D912" s="4">
        <v>47</v>
      </c>
      <c r="E912" s="18" t="s">
        <v>116</v>
      </c>
      <c r="F912" s="19" t="s">
        <v>163</v>
      </c>
    </row>
    <row r="913" spans="1:6">
      <c r="A913" s="4" t="str">
        <f t="shared" si="14"/>
        <v>tRNA-Cys-GCA-1-2|49</v>
      </c>
      <c r="B913" s="4" t="s">
        <v>49</v>
      </c>
      <c r="C913" s="4" t="s">
        <v>168</v>
      </c>
      <c r="D913" s="4">
        <v>48</v>
      </c>
      <c r="E913" s="22" t="s">
        <v>116</v>
      </c>
      <c r="F913" s="10" t="s">
        <v>169</v>
      </c>
    </row>
    <row r="914" spans="1:6">
      <c r="A914" s="4" t="str">
        <f t="shared" si="14"/>
        <v>tRNA-Cys-GCA-1-2|50</v>
      </c>
      <c r="B914" s="4" t="s">
        <v>49</v>
      </c>
      <c r="C914" s="4" t="s">
        <v>170</v>
      </c>
      <c r="D914" s="4">
        <v>49</v>
      </c>
      <c r="E914" s="22" t="s">
        <v>114</v>
      </c>
      <c r="F914" s="10" t="s">
        <v>169</v>
      </c>
    </row>
    <row r="915" spans="1:6">
      <c r="A915" s="4" t="str">
        <f t="shared" si="14"/>
        <v>tRNA-Cys-GCA-1-2|51</v>
      </c>
      <c r="B915" s="4" t="s">
        <v>49</v>
      </c>
      <c r="C915" s="4" t="s">
        <v>171</v>
      </c>
      <c r="D915" s="4">
        <v>50</v>
      </c>
      <c r="E915" s="22" t="s">
        <v>114</v>
      </c>
      <c r="F915" s="10" t="s">
        <v>169</v>
      </c>
    </row>
    <row r="916" spans="1:6">
      <c r="A916" s="4" t="str">
        <f t="shared" si="14"/>
        <v>tRNA-Cys-GCA-1-2|52</v>
      </c>
      <c r="B916" s="4" t="s">
        <v>49</v>
      </c>
      <c r="C916" s="4" t="s">
        <v>172</v>
      </c>
      <c r="D916" s="4">
        <v>51</v>
      </c>
      <c r="E916" s="22" t="s">
        <v>109</v>
      </c>
      <c r="F916" s="10" t="s">
        <v>169</v>
      </c>
    </row>
    <row r="917" spans="1:6">
      <c r="A917" s="4" t="str">
        <f t="shared" si="14"/>
        <v>tRNA-Cys-GCA-1-2|53</v>
      </c>
      <c r="B917" s="4" t="s">
        <v>49</v>
      </c>
      <c r="C917" s="4" t="s">
        <v>173</v>
      </c>
      <c r="D917" s="4">
        <v>52</v>
      </c>
      <c r="E917" s="22" t="s">
        <v>109</v>
      </c>
      <c r="F917" s="10" t="s">
        <v>169</v>
      </c>
    </row>
    <row r="918" spans="1:6">
      <c r="A918" s="4" t="str">
        <f t="shared" si="14"/>
        <v>tRNA-Cys-GCA-1-2|54</v>
      </c>
      <c r="B918" s="4" t="s">
        <v>49</v>
      </c>
      <c r="C918" s="4" t="s">
        <v>174</v>
      </c>
      <c r="D918" s="4">
        <v>53</v>
      </c>
      <c r="E918" s="18" t="s">
        <v>116</v>
      </c>
      <c r="F918" s="19" t="s">
        <v>175</v>
      </c>
    </row>
    <row r="919" spans="1:6">
      <c r="A919" s="4" t="str">
        <f t="shared" si="14"/>
        <v>tRNA-Cys-GCA-1-2|55</v>
      </c>
      <c r="B919" s="4" t="s">
        <v>49</v>
      </c>
      <c r="C919" s="4" t="s">
        <v>176</v>
      </c>
      <c r="D919" s="4">
        <v>54</v>
      </c>
      <c r="E919" s="18" t="s">
        <v>116</v>
      </c>
      <c r="F919" s="19" t="s">
        <v>175</v>
      </c>
    </row>
    <row r="920" spans="1:6">
      <c r="A920" s="4" t="str">
        <f t="shared" si="14"/>
        <v>tRNA-Cys-GCA-1-2|56</v>
      </c>
      <c r="B920" s="4" t="s">
        <v>49</v>
      </c>
      <c r="C920" s="4" t="s">
        <v>177</v>
      </c>
      <c r="D920" s="4">
        <v>55</v>
      </c>
      <c r="E920" s="18" t="s">
        <v>114</v>
      </c>
      <c r="F920" s="19" t="s">
        <v>175</v>
      </c>
    </row>
    <row r="921" spans="1:6">
      <c r="A921" s="4" t="str">
        <f t="shared" si="14"/>
        <v>tRNA-Cys-GCA-1-2|57</v>
      </c>
      <c r="B921" s="4" t="s">
        <v>49</v>
      </c>
      <c r="C921" s="4" t="s">
        <v>178</v>
      </c>
      <c r="D921" s="4">
        <v>56</v>
      </c>
      <c r="E921" s="18" t="s">
        <v>109</v>
      </c>
      <c r="F921" s="19" t="s">
        <v>175</v>
      </c>
    </row>
    <row r="922" spans="1:6">
      <c r="A922" s="4" t="str">
        <f t="shared" si="14"/>
        <v>tRNA-Cys-GCA-1-2|58</v>
      </c>
      <c r="B922" s="4" t="s">
        <v>49</v>
      </c>
      <c r="C922" s="4" t="s">
        <v>179</v>
      </c>
      <c r="D922" s="4">
        <v>57</v>
      </c>
      <c r="E922" s="18" t="s">
        <v>122</v>
      </c>
      <c r="F922" s="19" t="s">
        <v>175</v>
      </c>
    </row>
    <row r="923" spans="1:6">
      <c r="A923" s="4" t="str">
        <f t="shared" si="14"/>
        <v>tRNA-Cys-GCA-1-2|59</v>
      </c>
      <c r="B923" s="4" t="s">
        <v>49</v>
      </c>
      <c r="C923" s="4" t="s">
        <v>180</v>
      </c>
      <c r="D923" s="4">
        <v>58</v>
      </c>
      <c r="E923" s="18" t="s">
        <v>122</v>
      </c>
      <c r="F923" s="19" t="s">
        <v>175</v>
      </c>
    </row>
    <row r="924" spans="1:6">
      <c r="A924" s="4" t="str">
        <f t="shared" si="14"/>
        <v>tRNA-Cys-GCA-1-2|60</v>
      </c>
      <c r="B924" s="4" t="s">
        <v>49</v>
      </c>
      <c r="C924" s="4" t="s">
        <v>181</v>
      </c>
      <c r="D924" s="4">
        <v>59</v>
      </c>
      <c r="E924" s="18" t="s">
        <v>116</v>
      </c>
      <c r="F924" s="19" t="s">
        <v>175</v>
      </c>
    </row>
    <row r="925" spans="1:6">
      <c r="A925" s="4" t="str">
        <f t="shared" si="14"/>
        <v>tRNA-Cys-GCA-1-2|61</v>
      </c>
      <c r="B925" s="4" t="s">
        <v>49</v>
      </c>
      <c r="C925" s="4" t="s">
        <v>182</v>
      </c>
      <c r="D925" s="4">
        <v>60</v>
      </c>
      <c r="E925" s="22" t="s">
        <v>114</v>
      </c>
      <c r="F925" s="10" t="s">
        <v>169</v>
      </c>
    </row>
    <row r="926" spans="1:6">
      <c r="A926" s="4" t="str">
        <f t="shared" si="14"/>
        <v>tRNA-Cys-GCA-1-2|62</v>
      </c>
      <c r="B926" s="4" t="s">
        <v>49</v>
      </c>
      <c r="C926" s="4" t="s">
        <v>183</v>
      </c>
      <c r="D926" s="4">
        <v>61</v>
      </c>
      <c r="E926" s="22" t="s">
        <v>114</v>
      </c>
      <c r="F926" s="10" t="s">
        <v>169</v>
      </c>
    </row>
    <row r="927" spans="1:6">
      <c r="A927" s="4" t="str">
        <f t="shared" si="14"/>
        <v>tRNA-Cys-GCA-1-2|63</v>
      </c>
      <c r="B927" s="4" t="s">
        <v>49</v>
      </c>
      <c r="C927" s="4" t="s">
        <v>184</v>
      </c>
      <c r="D927" s="4">
        <v>62</v>
      </c>
      <c r="E927" s="22" t="s">
        <v>109</v>
      </c>
      <c r="F927" s="10" t="s">
        <v>169</v>
      </c>
    </row>
    <row r="928" spans="1:6">
      <c r="A928" s="4" t="str">
        <f t="shared" si="14"/>
        <v>tRNA-Cys-GCA-1-2|64</v>
      </c>
      <c r="B928" s="4" t="s">
        <v>49</v>
      </c>
      <c r="C928" s="4" t="s">
        <v>185</v>
      </c>
      <c r="D928" s="4">
        <v>63</v>
      </c>
      <c r="E928" s="22" t="s">
        <v>109</v>
      </c>
      <c r="F928" s="10" t="s">
        <v>169</v>
      </c>
    </row>
    <row r="929" spans="1:6">
      <c r="A929" s="4" t="str">
        <f t="shared" si="14"/>
        <v>tRNA-Cys-GCA-1-2|65</v>
      </c>
      <c r="B929" s="4" t="s">
        <v>49</v>
      </c>
      <c r="C929" s="4" t="s">
        <v>186</v>
      </c>
      <c r="D929" s="4">
        <v>64</v>
      </c>
      <c r="E929" s="22" t="s">
        <v>122</v>
      </c>
      <c r="F929" s="10" t="s">
        <v>169</v>
      </c>
    </row>
    <row r="930" spans="1:6">
      <c r="A930" s="4" t="str">
        <f t="shared" si="14"/>
        <v>tRNA-Cys-GCA-1-2|66</v>
      </c>
      <c r="B930" s="4" t="s">
        <v>49</v>
      </c>
      <c r="C930" s="4" t="s">
        <v>187</v>
      </c>
      <c r="D930" s="4">
        <v>65</v>
      </c>
      <c r="E930" s="16" t="s">
        <v>116</v>
      </c>
      <c r="F930" s="17" t="s">
        <v>110</v>
      </c>
    </row>
    <row r="931" spans="1:6">
      <c r="A931" s="4" t="str">
        <f t="shared" si="14"/>
        <v>tRNA-Cys-GCA-1-2|67</v>
      </c>
      <c r="B931" s="4" t="s">
        <v>49</v>
      </c>
      <c r="C931" s="4" t="s">
        <v>188</v>
      </c>
      <c r="D931" s="4">
        <v>66</v>
      </c>
      <c r="E931" s="16" t="s">
        <v>114</v>
      </c>
      <c r="F931" s="17" t="s">
        <v>110</v>
      </c>
    </row>
    <row r="932" spans="1:6">
      <c r="A932" s="4" t="str">
        <f t="shared" si="14"/>
        <v>tRNA-Cys-GCA-1-2|68</v>
      </c>
      <c r="B932" s="4" t="s">
        <v>49</v>
      </c>
      <c r="C932" s="4" t="s">
        <v>189</v>
      </c>
      <c r="D932" s="4">
        <v>67</v>
      </c>
      <c r="E932" s="16" t="s">
        <v>116</v>
      </c>
      <c r="F932" s="17" t="s">
        <v>110</v>
      </c>
    </row>
    <row r="933" spans="1:6">
      <c r="A933" s="4" t="str">
        <f t="shared" si="14"/>
        <v>tRNA-Cys-GCA-1-2|69</v>
      </c>
      <c r="B933" s="4" t="s">
        <v>49</v>
      </c>
      <c r="C933" s="4" t="s">
        <v>190</v>
      </c>
      <c r="D933" s="4">
        <v>68</v>
      </c>
      <c r="E933" s="16" t="s">
        <v>116</v>
      </c>
      <c r="F933" s="17" t="s">
        <v>110</v>
      </c>
    </row>
    <row r="934" spans="1:6">
      <c r="A934" s="4" t="str">
        <f t="shared" si="14"/>
        <v>tRNA-Cys-GCA-1-2|70</v>
      </c>
      <c r="B934" s="4" t="s">
        <v>49</v>
      </c>
      <c r="C934" s="4" t="s">
        <v>191</v>
      </c>
      <c r="D934" s="4">
        <v>69</v>
      </c>
      <c r="E934" s="16" t="s">
        <v>109</v>
      </c>
      <c r="F934" s="17" t="s">
        <v>110</v>
      </c>
    </row>
    <row r="935" spans="1:6">
      <c r="A935" s="4" t="str">
        <f t="shared" si="14"/>
        <v>tRNA-Cys-GCA-1-2|71</v>
      </c>
      <c r="B935" s="4" t="s">
        <v>49</v>
      </c>
      <c r="C935" s="4" t="s">
        <v>192</v>
      </c>
      <c r="D935" s="4">
        <v>70</v>
      </c>
      <c r="E935" s="16" t="s">
        <v>109</v>
      </c>
      <c r="F935" s="17" t="s">
        <v>110</v>
      </c>
    </row>
    <row r="936" spans="1:6">
      <c r="A936" s="4" t="str">
        <f t="shared" si="14"/>
        <v>tRNA-Cys-GCA-1-2|72</v>
      </c>
      <c r="B936" s="4" t="s">
        <v>49</v>
      </c>
      <c r="C936" s="4" t="s">
        <v>193</v>
      </c>
      <c r="D936" s="4">
        <v>71</v>
      </c>
      <c r="E936" s="16" t="s">
        <v>114</v>
      </c>
      <c r="F936" s="17" t="s">
        <v>110</v>
      </c>
    </row>
    <row r="937" spans="1:6">
      <c r="A937" s="4" t="str">
        <f t="shared" si="14"/>
        <v>tRNA-Cys-GCA-2-1|1</v>
      </c>
      <c r="B937" s="4" t="s">
        <v>50</v>
      </c>
      <c r="C937" s="4" t="s">
        <v>108</v>
      </c>
      <c r="D937" s="4">
        <v>1</v>
      </c>
      <c r="E937" s="16" t="s">
        <v>109</v>
      </c>
      <c r="F937" s="17" t="s">
        <v>110</v>
      </c>
    </row>
    <row r="938" spans="1:6">
      <c r="A938" s="4" t="str">
        <f t="shared" si="14"/>
        <v>tRNA-Cys-GCA-2-1|2</v>
      </c>
      <c r="B938" s="4" t="s">
        <v>50</v>
      </c>
      <c r="C938" s="4" t="s">
        <v>111</v>
      </c>
      <c r="D938" s="4">
        <v>2</v>
      </c>
      <c r="E938" s="16" t="s">
        <v>114</v>
      </c>
      <c r="F938" s="17" t="s">
        <v>110</v>
      </c>
    </row>
    <row r="939" spans="1:6">
      <c r="A939" s="4" t="str">
        <f t="shared" si="14"/>
        <v>tRNA-Cys-GCA-2-1|3</v>
      </c>
      <c r="B939" s="4" t="s">
        <v>50</v>
      </c>
      <c r="C939" s="4" t="s">
        <v>112</v>
      </c>
      <c r="D939" s="4">
        <v>3</v>
      </c>
      <c r="E939" s="16" t="s">
        <v>114</v>
      </c>
      <c r="F939" s="17" t="s">
        <v>110</v>
      </c>
    </row>
    <row r="940" spans="1:6">
      <c r="A940" s="4" t="str">
        <f t="shared" si="14"/>
        <v>tRNA-Cys-GCA-2-1|4</v>
      </c>
      <c r="B940" s="4" t="s">
        <v>50</v>
      </c>
      <c r="C940" s="4" t="s">
        <v>113</v>
      </c>
      <c r="D940" s="4">
        <v>4</v>
      </c>
      <c r="E940" s="16" t="s">
        <v>122</v>
      </c>
      <c r="F940" s="17" t="s">
        <v>110</v>
      </c>
    </row>
    <row r="941" spans="1:6">
      <c r="A941" s="4" t="str">
        <f t="shared" si="14"/>
        <v>tRNA-Cys-GCA-2-1|5</v>
      </c>
      <c r="B941" s="4" t="s">
        <v>50</v>
      </c>
      <c r="C941" s="4" t="s">
        <v>115</v>
      </c>
      <c r="D941" s="4">
        <v>5</v>
      </c>
      <c r="E941" s="16" t="s">
        <v>122</v>
      </c>
      <c r="F941" s="17" t="s">
        <v>110</v>
      </c>
    </row>
    <row r="942" spans="1:6">
      <c r="A942" s="4" t="str">
        <f t="shared" si="14"/>
        <v>tRNA-Cys-GCA-2-1|6</v>
      </c>
      <c r="B942" s="4" t="s">
        <v>50</v>
      </c>
      <c r="C942" s="4" t="s">
        <v>117</v>
      </c>
      <c r="D942" s="4">
        <v>6</v>
      </c>
      <c r="E942" s="16" t="s">
        <v>109</v>
      </c>
      <c r="F942" s="17" t="s">
        <v>110</v>
      </c>
    </row>
    <row r="943" spans="1:6">
      <c r="A943" s="4" t="str">
        <f t="shared" si="14"/>
        <v>tRNA-Cys-GCA-2-1|7</v>
      </c>
      <c r="B943" s="4" t="s">
        <v>50</v>
      </c>
      <c r="C943" s="4" t="s">
        <v>118</v>
      </c>
      <c r="D943" s="4">
        <v>7</v>
      </c>
      <c r="E943" s="16" t="s">
        <v>109</v>
      </c>
      <c r="F943" s="17" t="s">
        <v>110</v>
      </c>
    </row>
    <row r="944" spans="1:6">
      <c r="A944" s="4" t="str">
        <f t="shared" si="14"/>
        <v>tRNA-Cys-GCA-2-1|8</v>
      </c>
      <c r="B944" s="4" t="s">
        <v>50</v>
      </c>
      <c r="C944" s="4" t="s">
        <v>119</v>
      </c>
      <c r="D944" s="4">
        <v>8</v>
      </c>
      <c r="E944" s="3" t="s">
        <v>116</v>
      </c>
      <c r="F944" s="4" t="s">
        <v>120</v>
      </c>
    </row>
    <row r="945" spans="1:6">
      <c r="A945" s="4" t="str">
        <f t="shared" si="14"/>
        <v>tRNA-Cys-GCA-2-1|9</v>
      </c>
      <c r="B945" s="4" t="s">
        <v>50</v>
      </c>
      <c r="C945" s="4" t="s">
        <v>121</v>
      </c>
      <c r="D945" s="4">
        <v>9</v>
      </c>
      <c r="E945" s="3" t="s">
        <v>109</v>
      </c>
      <c r="F945" s="4" t="s">
        <v>123</v>
      </c>
    </row>
    <row r="946" spans="1:6">
      <c r="A946" s="4" t="str">
        <f t="shared" si="14"/>
        <v>tRNA-Cys-GCA-2-1|10</v>
      </c>
      <c r="B946" s="4" t="s">
        <v>50</v>
      </c>
      <c r="C946" s="4" t="s">
        <v>124</v>
      </c>
      <c r="D946" s="4">
        <v>10</v>
      </c>
      <c r="E946" s="8" t="s">
        <v>109</v>
      </c>
      <c r="F946" s="7" t="s">
        <v>125</v>
      </c>
    </row>
    <row r="947" spans="1:6">
      <c r="A947" s="4" t="str">
        <f t="shared" si="14"/>
        <v>tRNA-Cys-GCA-2-1|11</v>
      </c>
      <c r="B947" s="4" t="s">
        <v>50</v>
      </c>
      <c r="C947" s="4" t="s">
        <v>126</v>
      </c>
      <c r="D947" s="4">
        <v>11</v>
      </c>
      <c r="E947" s="8" t="s">
        <v>114</v>
      </c>
      <c r="F947" s="7" t="s">
        <v>125</v>
      </c>
    </row>
    <row r="948" spans="1:6">
      <c r="A948" s="4" t="str">
        <f t="shared" si="14"/>
        <v>tRNA-Cys-GCA-2-1|12</v>
      </c>
      <c r="B948" s="4" t="s">
        <v>50</v>
      </c>
      <c r="C948" s="4" t="s">
        <v>127</v>
      </c>
      <c r="D948" s="4">
        <v>12</v>
      </c>
      <c r="E948" s="8" t="s">
        <v>122</v>
      </c>
      <c r="F948" s="7" t="s">
        <v>125</v>
      </c>
    </row>
    <row r="949" spans="1:6">
      <c r="A949" s="4" t="str">
        <f t="shared" si="14"/>
        <v>tRNA-Cys-GCA-2-1|13</v>
      </c>
      <c r="B949" s="4" t="s">
        <v>50</v>
      </c>
      <c r="C949" s="4" t="s">
        <v>128</v>
      </c>
      <c r="D949" s="4">
        <v>13</v>
      </c>
      <c r="E949" s="8" t="s">
        <v>109</v>
      </c>
      <c r="F949" s="7" t="s">
        <v>125</v>
      </c>
    </row>
    <row r="950" spans="1:6">
      <c r="A950" s="4" t="str">
        <f t="shared" si="14"/>
        <v>tRNA-Cys-GCA-2-1|14</v>
      </c>
      <c r="B950" s="4" t="s">
        <v>50</v>
      </c>
      <c r="C950" s="4" t="s">
        <v>129</v>
      </c>
      <c r="D950" s="4">
        <v>14</v>
      </c>
      <c r="E950" s="18" t="s">
        <v>122</v>
      </c>
      <c r="F950" s="19" t="s">
        <v>130</v>
      </c>
    </row>
    <row r="951" spans="1:6">
      <c r="A951" s="4" t="str">
        <f t="shared" si="14"/>
        <v>tRNA-Cys-GCA-2-1|15</v>
      </c>
      <c r="B951" s="4" t="s">
        <v>50</v>
      </c>
      <c r="C951" s="4" t="s">
        <v>131</v>
      </c>
      <c r="D951" s="4">
        <v>15</v>
      </c>
      <c r="E951" s="18" t="s">
        <v>109</v>
      </c>
      <c r="F951" s="19" t="s">
        <v>130</v>
      </c>
    </row>
    <row r="952" spans="1:6">
      <c r="A952" s="4" t="str">
        <f t="shared" si="14"/>
        <v>tRNA-Cys-GCA-2-1|16</v>
      </c>
      <c r="B952" s="4" t="s">
        <v>50</v>
      </c>
      <c r="C952" s="4" t="s">
        <v>194</v>
      </c>
      <c r="D952" s="4">
        <v>16</v>
      </c>
      <c r="E952" s="18" t="s">
        <v>114</v>
      </c>
      <c r="F952" s="19" t="s">
        <v>130</v>
      </c>
    </row>
    <row r="953" spans="1:6">
      <c r="A953" s="4" t="str">
        <f t="shared" si="14"/>
        <v>tRNA-Cys-GCA-2-1|18</v>
      </c>
      <c r="B953" s="4" t="s">
        <v>50</v>
      </c>
      <c r="C953" s="4" t="s">
        <v>132</v>
      </c>
      <c r="D953" s="4">
        <v>17</v>
      </c>
      <c r="E953" s="18" t="s">
        <v>109</v>
      </c>
      <c r="F953" s="19" t="s">
        <v>130</v>
      </c>
    </row>
    <row r="954" spans="1:6">
      <c r="A954" s="4" t="str">
        <f t="shared" si="14"/>
        <v>tRNA-Cys-GCA-2-1|19</v>
      </c>
      <c r="B954" s="4" t="s">
        <v>50</v>
      </c>
      <c r="C954" s="4" t="s">
        <v>133</v>
      </c>
      <c r="D954" s="4">
        <v>18</v>
      </c>
      <c r="E954" s="18" t="s">
        <v>109</v>
      </c>
      <c r="F954" s="19" t="s">
        <v>130</v>
      </c>
    </row>
    <row r="955" spans="1:6">
      <c r="A955" s="4" t="str">
        <f t="shared" si="14"/>
        <v>tRNA-Cys-GCA-2-1|20</v>
      </c>
      <c r="B955" s="4" t="s">
        <v>50</v>
      </c>
      <c r="C955" s="4" t="s">
        <v>134</v>
      </c>
      <c r="D955" s="4">
        <v>19</v>
      </c>
      <c r="E955" s="18" t="s">
        <v>116</v>
      </c>
      <c r="F955" s="19" t="s">
        <v>130</v>
      </c>
    </row>
    <row r="956" spans="1:6">
      <c r="A956" s="4" t="str">
        <f t="shared" si="14"/>
        <v>tRNA-Cys-GCA-2-1|21</v>
      </c>
      <c r="B956" s="4" t="s">
        <v>50</v>
      </c>
      <c r="C956" s="4" t="s">
        <v>136</v>
      </c>
      <c r="D956" s="4">
        <v>20</v>
      </c>
      <c r="E956" s="18" t="s">
        <v>116</v>
      </c>
      <c r="F956" s="19" t="s">
        <v>130</v>
      </c>
    </row>
    <row r="957" spans="1:6">
      <c r="A957" s="4" t="str">
        <f t="shared" si="14"/>
        <v>tRNA-Cys-GCA-2-1|22</v>
      </c>
      <c r="B957" s="4" t="s">
        <v>50</v>
      </c>
      <c r="C957" s="4" t="s">
        <v>137</v>
      </c>
      <c r="D957" s="4">
        <v>21</v>
      </c>
      <c r="E957" s="8" t="s">
        <v>122</v>
      </c>
      <c r="F957" s="7" t="s">
        <v>125</v>
      </c>
    </row>
    <row r="958" spans="1:6">
      <c r="A958" s="4" t="str">
        <f t="shared" si="14"/>
        <v>tRNA-Cys-GCA-2-1|23</v>
      </c>
      <c r="B958" s="4" t="s">
        <v>50</v>
      </c>
      <c r="C958" s="4" t="s">
        <v>138</v>
      </c>
      <c r="D958" s="4">
        <v>22</v>
      </c>
      <c r="E958" s="8" t="s">
        <v>114</v>
      </c>
      <c r="F958" s="7" t="s">
        <v>125</v>
      </c>
    </row>
    <row r="959" spans="1:6">
      <c r="A959" s="4" t="str">
        <f t="shared" si="14"/>
        <v>tRNA-Cys-GCA-2-1|24</v>
      </c>
      <c r="B959" s="4" t="s">
        <v>50</v>
      </c>
      <c r="C959" s="4" t="s">
        <v>139</v>
      </c>
      <c r="D959" s="4">
        <v>23</v>
      </c>
      <c r="E959" s="8" t="s">
        <v>109</v>
      </c>
      <c r="F959" s="7" t="s">
        <v>125</v>
      </c>
    </row>
    <row r="960" spans="1:6">
      <c r="A960" s="4" t="str">
        <f t="shared" si="14"/>
        <v>tRNA-Cys-GCA-2-1|25</v>
      </c>
      <c r="B960" s="4" t="s">
        <v>50</v>
      </c>
      <c r="C960" s="4" t="s">
        <v>140</v>
      </c>
      <c r="D960" s="4">
        <v>24</v>
      </c>
      <c r="E960" s="8" t="s">
        <v>114</v>
      </c>
      <c r="F960" s="7" t="s">
        <v>125</v>
      </c>
    </row>
    <row r="961" spans="1:6">
      <c r="A961" s="4" t="str">
        <f t="shared" si="14"/>
        <v>tRNA-Cys-GCA-2-1|26</v>
      </c>
      <c r="B961" s="4" t="s">
        <v>50</v>
      </c>
      <c r="C961" s="4" t="s">
        <v>141</v>
      </c>
      <c r="D961" s="4">
        <v>25</v>
      </c>
      <c r="E961" s="3" t="s">
        <v>122</v>
      </c>
      <c r="F961" s="4" t="s">
        <v>142</v>
      </c>
    </row>
    <row r="962" spans="1:6">
      <c r="A962" s="4" t="str">
        <f t="shared" ref="A962:A1025" si="15">B962&amp;"|"&amp;C962</f>
        <v>tRNA-Cys-GCA-2-1|27</v>
      </c>
      <c r="B962" s="4" t="s">
        <v>50</v>
      </c>
      <c r="C962" s="4" t="s">
        <v>143</v>
      </c>
      <c r="D962" s="4">
        <v>26</v>
      </c>
      <c r="E962" s="20" t="s">
        <v>122</v>
      </c>
      <c r="F962" s="21" t="s">
        <v>144</v>
      </c>
    </row>
    <row r="963" spans="1:6">
      <c r="A963" s="4" t="str">
        <f t="shared" si="15"/>
        <v>tRNA-Cys-GCA-2-1|28</v>
      </c>
      <c r="B963" s="4" t="s">
        <v>50</v>
      </c>
      <c r="C963" s="4" t="s">
        <v>145</v>
      </c>
      <c r="D963" s="4">
        <v>27</v>
      </c>
      <c r="E963" s="20" t="s">
        <v>116</v>
      </c>
      <c r="F963" s="21" t="s">
        <v>144</v>
      </c>
    </row>
    <row r="964" spans="1:6">
      <c r="A964" s="4" t="str">
        <f t="shared" si="15"/>
        <v>tRNA-Cys-GCA-2-1|29</v>
      </c>
      <c r="B964" s="4" t="s">
        <v>50</v>
      </c>
      <c r="C964" s="4" t="s">
        <v>146</v>
      </c>
      <c r="D964" s="4">
        <v>28</v>
      </c>
      <c r="E964" s="20" t="s">
        <v>114</v>
      </c>
      <c r="F964" s="21" t="s">
        <v>144</v>
      </c>
    </row>
    <row r="965" spans="1:6">
      <c r="A965" s="4" t="str">
        <f t="shared" si="15"/>
        <v>tRNA-Cys-GCA-2-1|30</v>
      </c>
      <c r="B965" s="4" t="s">
        <v>50</v>
      </c>
      <c r="C965" s="4" t="s">
        <v>147</v>
      </c>
      <c r="D965" s="4">
        <v>29</v>
      </c>
      <c r="E965" s="20" t="s">
        <v>109</v>
      </c>
      <c r="F965" s="21" t="s">
        <v>144</v>
      </c>
    </row>
    <row r="966" spans="1:6">
      <c r="A966" s="4" t="str">
        <f t="shared" si="15"/>
        <v>tRNA-Cys-GCA-2-1|31</v>
      </c>
      <c r="B966" s="4" t="s">
        <v>50</v>
      </c>
      <c r="C966" s="4" t="s">
        <v>148</v>
      </c>
      <c r="D966" s="4">
        <v>30</v>
      </c>
      <c r="E966" s="20" t="s">
        <v>114</v>
      </c>
      <c r="F966" s="21" t="s">
        <v>144</v>
      </c>
    </row>
    <row r="967" spans="1:6">
      <c r="A967" s="4" t="str">
        <f t="shared" si="15"/>
        <v>tRNA-Cys-GCA-2-1|32</v>
      </c>
      <c r="B967" s="4" t="s">
        <v>50</v>
      </c>
      <c r="C967" s="4" t="s">
        <v>149</v>
      </c>
      <c r="D967" s="4">
        <v>31</v>
      </c>
      <c r="E967" s="18" t="s">
        <v>114</v>
      </c>
      <c r="F967" s="19" t="s">
        <v>150</v>
      </c>
    </row>
    <row r="968" spans="1:6">
      <c r="A968" s="4" t="str">
        <f t="shared" si="15"/>
        <v>tRNA-Cys-GCA-2-1|33</v>
      </c>
      <c r="B968" s="4" t="s">
        <v>50</v>
      </c>
      <c r="C968" s="4" t="s">
        <v>151</v>
      </c>
      <c r="D968" s="4">
        <v>32</v>
      </c>
      <c r="E968" s="18" t="s">
        <v>122</v>
      </c>
      <c r="F968" s="19" t="s">
        <v>150</v>
      </c>
    </row>
    <row r="969" spans="1:6">
      <c r="A969" s="4" t="str">
        <f t="shared" si="15"/>
        <v>tRNA-Cys-GCA-2-1|34</v>
      </c>
      <c r="B969" s="4" t="s">
        <v>50</v>
      </c>
      <c r="C969" s="4" t="s">
        <v>152</v>
      </c>
      <c r="D969" s="4">
        <v>33</v>
      </c>
      <c r="E969" s="18" t="s">
        <v>109</v>
      </c>
      <c r="F969" s="19" t="s">
        <v>150</v>
      </c>
    </row>
    <row r="970" spans="1:6">
      <c r="A970" s="4" t="str">
        <f t="shared" si="15"/>
        <v>tRNA-Cys-GCA-2-1|35</v>
      </c>
      <c r="B970" s="4" t="s">
        <v>50</v>
      </c>
      <c r="C970" s="4" t="s">
        <v>153</v>
      </c>
      <c r="D970" s="4">
        <v>34</v>
      </c>
      <c r="E970" s="18" t="s">
        <v>114</v>
      </c>
      <c r="F970" s="19" t="s">
        <v>150</v>
      </c>
    </row>
    <row r="971" spans="1:6">
      <c r="A971" s="4" t="str">
        <f t="shared" si="15"/>
        <v>tRNA-Cys-GCA-2-1|36</v>
      </c>
      <c r="B971" s="4" t="s">
        <v>50</v>
      </c>
      <c r="C971" s="4" t="s">
        <v>154</v>
      </c>
      <c r="D971" s="4">
        <v>35</v>
      </c>
      <c r="E971" s="18" t="s">
        <v>122</v>
      </c>
      <c r="F971" s="19" t="s">
        <v>150</v>
      </c>
    </row>
    <row r="972" spans="1:6">
      <c r="A972" s="4" t="str">
        <f t="shared" si="15"/>
        <v>tRNA-Cys-GCA-2-1|37</v>
      </c>
      <c r="B972" s="4" t="s">
        <v>50</v>
      </c>
      <c r="C972" s="4" t="s">
        <v>155</v>
      </c>
      <c r="D972" s="4">
        <v>36</v>
      </c>
      <c r="E972" s="18" t="s">
        <v>109</v>
      </c>
      <c r="F972" s="19" t="s">
        <v>150</v>
      </c>
    </row>
    <row r="973" spans="1:6">
      <c r="A973" s="4" t="str">
        <f t="shared" si="15"/>
        <v>tRNA-Cys-GCA-2-1|38</v>
      </c>
      <c r="B973" s="4" t="s">
        <v>50</v>
      </c>
      <c r="C973" s="4" t="s">
        <v>156</v>
      </c>
      <c r="D973" s="4">
        <v>37</v>
      </c>
      <c r="E973" s="18" t="s">
        <v>122</v>
      </c>
      <c r="F973" s="19" t="s">
        <v>150</v>
      </c>
    </row>
    <row r="974" spans="1:6">
      <c r="A974" s="4" t="str">
        <f t="shared" si="15"/>
        <v>tRNA-Cys-GCA-2-1|39</v>
      </c>
      <c r="B974" s="4" t="s">
        <v>50</v>
      </c>
      <c r="C974" s="4" t="s">
        <v>157</v>
      </c>
      <c r="D974" s="4">
        <v>38</v>
      </c>
      <c r="E974" s="20" t="s">
        <v>109</v>
      </c>
      <c r="F974" s="21" t="s">
        <v>144</v>
      </c>
    </row>
    <row r="975" spans="1:6">
      <c r="A975" s="4" t="str">
        <f t="shared" si="15"/>
        <v>tRNA-Cys-GCA-2-1|40</v>
      </c>
      <c r="B975" s="4" t="s">
        <v>50</v>
      </c>
      <c r="C975" s="4" t="s">
        <v>158</v>
      </c>
      <c r="D975" s="4">
        <v>39</v>
      </c>
      <c r="E975" s="20" t="s">
        <v>114</v>
      </c>
      <c r="F975" s="21" t="s">
        <v>144</v>
      </c>
    </row>
    <row r="976" spans="1:6">
      <c r="A976" s="4" t="str">
        <f t="shared" si="15"/>
        <v>tRNA-Cys-GCA-2-1|41</v>
      </c>
      <c r="B976" s="4" t="s">
        <v>50</v>
      </c>
      <c r="C976" s="4" t="s">
        <v>159</v>
      </c>
      <c r="D976" s="4">
        <v>40</v>
      </c>
      <c r="E976" s="20" t="s">
        <v>109</v>
      </c>
      <c r="F976" s="21" t="s">
        <v>144</v>
      </c>
    </row>
    <row r="977" spans="1:6">
      <c r="A977" s="4" t="str">
        <f t="shared" si="15"/>
        <v>tRNA-Cys-GCA-2-1|42</v>
      </c>
      <c r="B977" s="4" t="s">
        <v>50</v>
      </c>
      <c r="C977" s="4" t="s">
        <v>160</v>
      </c>
      <c r="D977" s="4">
        <v>41</v>
      </c>
      <c r="E977" s="20" t="s">
        <v>122</v>
      </c>
      <c r="F977" s="21" t="s">
        <v>144</v>
      </c>
    </row>
    <row r="978" spans="1:6">
      <c r="A978" s="4" t="str">
        <f t="shared" si="15"/>
        <v>tRNA-Cys-GCA-2-1|43</v>
      </c>
      <c r="B978" s="4" t="s">
        <v>50</v>
      </c>
      <c r="C978" s="4" t="s">
        <v>161</v>
      </c>
      <c r="D978" s="4">
        <v>42</v>
      </c>
      <c r="E978" s="20" t="s">
        <v>116</v>
      </c>
      <c r="F978" s="21" t="s">
        <v>144</v>
      </c>
    </row>
    <row r="979" spans="1:6">
      <c r="A979" s="4" t="str">
        <f t="shared" si="15"/>
        <v>tRNA-Cys-GCA-2-1|44</v>
      </c>
      <c r="B979" s="4" t="s">
        <v>50</v>
      </c>
      <c r="C979" s="4" t="s">
        <v>162</v>
      </c>
      <c r="D979" s="4">
        <v>43</v>
      </c>
      <c r="E979" s="18" t="s">
        <v>116</v>
      </c>
      <c r="F979" s="19" t="s">
        <v>163</v>
      </c>
    </row>
    <row r="980" spans="1:6">
      <c r="A980" s="4" t="str">
        <f t="shared" si="15"/>
        <v>tRNA-Cys-GCA-2-1|45</v>
      </c>
      <c r="B980" s="4" t="s">
        <v>50</v>
      </c>
      <c r="C980" s="4" t="s">
        <v>164</v>
      </c>
      <c r="D980" s="4">
        <v>44</v>
      </c>
      <c r="E980" s="18" t="s">
        <v>114</v>
      </c>
      <c r="F980" s="19" t="s">
        <v>163</v>
      </c>
    </row>
    <row r="981" spans="1:6">
      <c r="A981" s="4" t="str">
        <f t="shared" si="15"/>
        <v>tRNA-Cys-GCA-2-1|46</v>
      </c>
      <c r="B981" s="4" t="s">
        <v>50</v>
      </c>
      <c r="C981" s="4" t="s">
        <v>165</v>
      </c>
      <c r="D981" s="4">
        <v>45</v>
      </c>
      <c r="E981" s="18" t="s">
        <v>122</v>
      </c>
      <c r="F981" s="19" t="s">
        <v>163</v>
      </c>
    </row>
    <row r="982" spans="1:6">
      <c r="A982" s="4" t="str">
        <f t="shared" si="15"/>
        <v>tRNA-Cys-GCA-2-1|47</v>
      </c>
      <c r="B982" s="4" t="s">
        <v>50</v>
      </c>
      <c r="C982" s="4" t="s">
        <v>166</v>
      </c>
      <c r="D982" s="4">
        <v>46</v>
      </c>
      <c r="E982" s="18" t="s">
        <v>114</v>
      </c>
      <c r="F982" s="19" t="s">
        <v>163</v>
      </c>
    </row>
    <row r="983" spans="1:6">
      <c r="A983" s="4" t="str">
        <f t="shared" si="15"/>
        <v>tRNA-Cys-GCA-2-1|48</v>
      </c>
      <c r="B983" s="4" t="s">
        <v>50</v>
      </c>
      <c r="C983" s="4" t="s">
        <v>167</v>
      </c>
      <c r="D983" s="4">
        <v>47</v>
      </c>
      <c r="E983" s="18" t="s">
        <v>116</v>
      </c>
      <c r="F983" s="19" t="s">
        <v>163</v>
      </c>
    </row>
    <row r="984" spans="1:6">
      <c r="A984" s="4" t="str">
        <f t="shared" si="15"/>
        <v>tRNA-Cys-GCA-2-1|49</v>
      </c>
      <c r="B984" s="4" t="s">
        <v>50</v>
      </c>
      <c r="C984" s="4" t="s">
        <v>168</v>
      </c>
      <c r="D984" s="4">
        <v>48</v>
      </c>
      <c r="E984" s="22" t="s">
        <v>114</v>
      </c>
      <c r="F984" s="10" t="s">
        <v>169</v>
      </c>
    </row>
    <row r="985" spans="1:6">
      <c r="A985" s="4" t="str">
        <f t="shared" si="15"/>
        <v>tRNA-Cys-GCA-2-1|50</v>
      </c>
      <c r="B985" s="4" t="s">
        <v>50</v>
      </c>
      <c r="C985" s="4" t="s">
        <v>170</v>
      </c>
      <c r="D985" s="4">
        <v>49</v>
      </c>
      <c r="E985" s="22" t="s">
        <v>114</v>
      </c>
      <c r="F985" s="10" t="s">
        <v>169</v>
      </c>
    </row>
    <row r="986" spans="1:6">
      <c r="A986" s="4" t="str">
        <f t="shared" si="15"/>
        <v>tRNA-Cys-GCA-2-1|51</v>
      </c>
      <c r="B986" s="4" t="s">
        <v>50</v>
      </c>
      <c r="C986" s="4" t="s">
        <v>171</v>
      </c>
      <c r="D986" s="4">
        <v>50</v>
      </c>
      <c r="E986" s="22" t="s">
        <v>116</v>
      </c>
      <c r="F986" s="10" t="s">
        <v>169</v>
      </c>
    </row>
    <row r="987" spans="1:6">
      <c r="A987" s="4" t="str">
        <f t="shared" si="15"/>
        <v>tRNA-Cys-GCA-2-1|52</v>
      </c>
      <c r="B987" s="4" t="s">
        <v>50</v>
      </c>
      <c r="C987" s="4" t="s">
        <v>172</v>
      </c>
      <c r="D987" s="4">
        <v>51</v>
      </c>
      <c r="E987" s="22" t="s">
        <v>109</v>
      </c>
      <c r="F987" s="10" t="s">
        <v>169</v>
      </c>
    </row>
    <row r="988" spans="1:6">
      <c r="A988" s="4" t="str">
        <f t="shared" si="15"/>
        <v>tRNA-Cys-GCA-2-1|53</v>
      </c>
      <c r="B988" s="4" t="s">
        <v>50</v>
      </c>
      <c r="C988" s="4" t="s">
        <v>173</v>
      </c>
      <c r="D988" s="4">
        <v>52</v>
      </c>
      <c r="E988" s="22" t="s">
        <v>109</v>
      </c>
      <c r="F988" s="10" t="s">
        <v>169</v>
      </c>
    </row>
    <row r="989" spans="1:6">
      <c r="A989" s="4" t="str">
        <f t="shared" si="15"/>
        <v>tRNA-Cys-GCA-2-1|54</v>
      </c>
      <c r="B989" s="4" t="s">
        <v>50</v>
      </c>
      <c r="C989" s="4" t="s">
        <v>174</v>
      </c>
      <c r="D989" s="4">
        <v>53</v>
      </c>
      <c r="E989" s="18" t="s">
        <v>116</v>
      </c>
      <c r="F989" s="19" t="s">
        <v>175</v>
      </c>
    </row>
    <row r="990" spans="1:6">
      <c r="A990" s="4" t="str">
        <f t="shared" si="15"/>
        <v>tRNA-Cys-GCA-2-1|55</v>
      </c>
      <c r="B990" s="4" t="s">
        <v>50</v>
      </c>
      <c r="C990" s="4" t="s">
        <v>176</v>
      </c>
      <c r="D990" s="4">
        <v>54</v>
      </c>
      <c r="E990" s="18" t="s">
        <v>116</v>
      </c>
      <c r="F990" s="19" t="s">
        <v>175</v>
      </c>
    </row>
    <row r="991" spans="1:6">
      <c r="A991" s="4" t="str">
        <f t="shared" si="15"/>
        <v>tRNA-Cys-GCA-2-1|56</v>
      </c>
      <c r="B991" s="4" t="s">
        <v>50</v>
      </c>
      <c r="C991" s="4" t="s">
        <v>177</v>
      </c>
      <c r="D991" s="4">
        <v>55</v>
      </c>
      <c r="E991" s="18" t="s">
        <v>114</v>
      </c>
      <c r="F991" s="19" t="s">
        <v>175</v>
      </c>
    </row>
    <row r="992" spans="1:6">
      <c r="A992" s="4" t="str">
        <f t="shared" si="15"/>
        <v>tRNA-Cys-GCA-2-1|57</v>
      </c>
      <c r="B992" s="4" t="s">
        <v>50</v>
      </c>
      <c r="C992" s="4" t="s">
        <v>178</v>
      </c>
      <c r="D992" s="4">
        <v>56</v>
      </c>
      <c r="E992" s="18" t="s">
        <v>122</v>
      </c>
      <c r="F992" s="19" t="s">
        <v>175</v>
      </c>
    </row>
    <row r="993" spans="1:6">
      <c r="A993" s="4" t="str">
        <f t="shared" si="15"/>
        <v>tRNA-Cys-GCA-2-1|58</v>
      </c>
      <c r="B993" s="4" t="s">
        <v>50</v>
      </c>
      <c r="C993" s="4" t="s">
        <v>179</v>
      </c>
      <c r="D993" s="4">
        <v>57</v>
      </c>
      <c r="E993" s="18" t="s">
        <v>122</v>
      </c>
      <c r="F993" s="19" t="s">
        <v>175</v>
      </c>
    </row>
    <row r="994" spans="1:6">
      <c r="A994" s="4" t="str">
        <f t="shared" si="15"/>
        <v>tRNA-Cys-GCA-2-1|59</v>
      </c>
      <c r="B994" s="4" t="s">
        <v>50</v>
      </c>
      <c r="C994" s="4" t="s">
        <v>180</v>
      </c>
      <c r="D994" s="4">
        <v>58</v>
      </c>
      <c r="E994" s="18" t="s">
        <v>122</v>
      </c>
      <c r="F994" s="19" t="s">
        <v>175</v>
      </c>
    </row>
    <row r="995" spans="1:6">
      <c r="A995" s="4" t="str">
        <f t="shared" si="15"/>
        <v>tRNA-Cys-GCA-2-1|60</v>
      </c>
      <c r="B995" s="4" t="s">
        <v>50</v>
      </c>
      <c r="C995" s="4" t="s">
        <v>181</v>
      </c>
      <c r="D995" s="4">
        <v>59</v>
      </c>
      <c r="E995" s="18" t="s">
        <v>116</v>
      </c>
      <c r="F995" s="19" t="s">
        <v>175</v>
      </c>
    </row>
    <row r="996" spans="1:6">
      <c r="A996" s="4" t="str">
        <f t="shared" si="15"/>
        <v>tRNA-Cys-GCA-2-1|61</v>
      </c>
      <c r="B996" s="4" t="s">
        <v>50</v>
      </c>
      <c r="C996" s="4" t="s">
        <v>182</v>
      </c>
      <c r="D996" s="4">
        <v>60</v>
      </c>
      <c r="E996" s="22" t="s">
        <v>114</v>
      </c>
      <c r="F996" s="10" t="s">
        <v>169</v>
      </c>
    </row>
    <row r="997" spans="1:6">
      <c r="A997" s="4" t="str">
        <f t="shared" si="15"/>
        <v>tRNA-Cys-GCA-2-1|62</v>
      </c>
      <c r="B997" s="4" t="s">
        <v>50</v>
      </c>
      <c r="C997" s="4" t="s">
        <v>183</v>
      </c>
      <c r="D997" s="4">
        <v>61</v>
      </c>
      <c r="E997" s="22" t="s">
        <v>114</v>
      </c>
      <c r="F997" s="10" t="s">
        <v>169</v>
      </c>
    </row>
    <row r="998" spans="1:6">
      <c r="A998" s="4" t="str">
        <f t="shared" si="15"/>
        <v>tRNA-Cys-GCA-2-1|63</v>
      </c>
      <c r="B998" s="4" t="s">
        <v>50</v>
      </c>
      <c r="C998" s="4" t="s">
        <v>184</v>
      </c>
      <c r="D998" s="4">
        <v>62</v>
      </c>
      <c r="E998" s="22" t="s">
        <v>109</v>
      </c>
      <c r="F998" s="10" t="s">
        <v>169</v>
      </c>
    </row>
    <row r="999" spans="1:6">
      <c r="A999" s="4" t="str">
        <f t="shared" si="15"/>
        <v>tRNA-Cys-GCA-2-1|64</v>
      </c>
      <c r="B999" s="4" t="s">
        <v>50</v>
      </c>
      <c r="C999" s="4" t="s">
        <v>185</v>
      </c>
      <c r="D999" s="4">
        <v>63</v>
      </c>
      <c r="E999" s="22" t="s">
        <v>109</v>
      </c>
      <c r="F999" s="10" t="s">
        <v>169</v>
      </c>
    </row>
    <row r="1000" spans="1:6">
      <c r="A1000" s="4" t="str">
        <f t="shared" si="15"/>
        <v>tRNA-Cys-GCA-2-1|65</v>
      </c>
      <c r="B1000" s="4" t="s">
        <v>50</v>
      </c>
      <c r="C1000" s="4" t="s">
        <v>186</v>
      </c>
      <c r="D1000" s="4">
        <v>64</v>
      </c>
      <c r="E1000" s="22" t="s">
        <v>122</v>
      </c>
      <c r="F1000" s="10" t="s">
        <v>169</v>
      </c>
    </row>
    <row r="1001" spans="1:6">
      <c r="A1001" s="4" t="str">
        <f t="shared" si="15"/>
        <v>tRNA-Cys-GCA-2-1|66</v>
      </c>
      <c r="B1001" s="4" t="s">
        <v>50</v>
      </c>
      <c r="C1001" s="4" t="s">
        <v>187</v>
      </c>
      <c r="D1001" s="4">
        <v>65</v>
      </c>
      <c r="E1001" s="16" t="s">
        <v>114</v>
      </c>
      <c r="F1001" s="17" t="s">
        <v>110</v>
      </c>
    </row>
    <row r="1002" spans="1:6">
      <c r="A1002" s="4" t="str">
        <f t="shared" si="15"/>
        <v>tRNA-Cys-GCA-2-1|67</v>
      </c>
      <c r="B1002" s="4" t="s">
        <v>50</v>
      </c>
      <c r="C1002" s="4" t="s">
        <v>188</v>
      </c>
      <c r="D1002" s="4">
        <v>66</v>
      </c>
      <c r="E1002" s="16" t="s">
        <v>114</v>
      </c>
      <c r="F1002" s="17" t="s">
        <v>110</v>
      </c>
    </row>
    <row r="1003" spans="1:6">
      <c r="A1003" s="4" t="str">
        <f t="shared" si="15"/>
        <v>tRNA-Cys-GCA-2-1|68</v>
      </c>
      <c r="B1003" s="4" t="s">
        <v>50</v>
      </c>
      <c r="C1003" s="4" t="s">
        <v>189</v>
      </c>
      <c r="D1003" s="4">
        <v>67</v>
      </c>
      <c r="E1003" s="16" t="s">
        <v>116</v>
      </c>
      <c r="F1003" s="17" t="s">
        <v>110</v>
      </c>
    </row>
    <row r="1004" spans="1:6">
      <c r="A1004" s="4" t="str">
        <f t="shared" si="15"/>
        <v>tRNA-Cys-GCA-2-1|69</v>
      </c>
      <c r="B1004" s="4" t="s">
        <v>50</v>
      </c>
      <c r="C1004" s="4" t="s">
        <v>190</v>
      </c>
      <c r="D1004" s="4">
        <v>68</v>
      </c>
      <c r="E1004" s="16" t="s">
        <v>116</v>
      </c>
      <c r="F1004" s="17" t="s">
        <v>110</v>
      </c>
    </row>
    <row r="1005" spans="1:6">
      <c r="A1005" s="4" t="str">
        <f t="shared" si="15"/>
        <v>tRNA-Cys-GCA-2-1|70</v>
      </c>
      <c r="B1005" s="4" t="s">
        <v>50</v>
      </c>
      <c r="C1005" s="4" t="s">
        <v>191</v>
      </c>
      <c r="D1005" s="4">
        <v>69</v>
      </c>
      <c r="E1005" s="16" t="s">
        <v>109</v>
      </c>
      <c r="F1005" s="17" t="s">
        <v>110</v>
      </c>
    </row>
    <row r="1006" spans="1:6">
      <c r="A1006" s="4" t="str">
        <f t="shared" si="15"/>
        <v>tRNA-Cys-GCA-2-1|71</v>
      </c>
      <c r="B1006" s="4" t="s">
        <v>50</v>
      </c>
      <c r="C1006" s="4" t="s">
        <v>192</v>
      </c>
      <c r="D1006" s="4">
        <v>70</v>
      </c>
      <c r="E1006" s="16" t="s">
        <v>109</v>
      </c>
      <c r="F1006" s="17" t="s">
        <v>110</v>
      </c>
    </row>
    <row r="1007" spans="1:6">
      <c r="A1007" s="4" t="str">
        <f t="shared" si="15"/>
        <v>tRNA-Cys-GCA-2-1|72</v>
      </c>
      <c r="B1007" s="4" t="s">
        <v>50</v>
      </c>
      <c r="C1007" s="4" t="s">
        <v>193</v>
      </c>
      <c r="D1007" s="4">
        <v>71</v>
      </c>
      <c r="E1007" s="16" t="s">
        <v>114</v>
      </c>
      <c r="F1007" s="17" t="s">
        <v>110</v>
      </c>
    </row>
    <row r="1008" spans="1:6">
      <c r="A1008" s="4" t="str">
        <f t="shared" si="15"/>
        <v>tRNA-Cys-GCA-3-1|1</v>
      </c>
      <c r="B1008" s="4" t="s">
        <v>51</v>
      </c>
      <c r="C1008" s="4" t="s">
        <v>108</v>
      </c>
      <c r="D1008" s="4">
        <v>1</v>
      </c>
      <c r="E1008" s="16" t="s">
        <v>109</v>
      </c>
      <c r="F1008" s="17" t="s">
        <v>110</v>
      </c>
    </row>
    <row r="1009" spans="1:6">
      <c r="A1009" s="4" t="str">
        <f t="shared" si="15"/>
        <v>tRNA-Cys-GCA-3-1|2</v>
      </c>
      <c r="B1009" s="4" t="s">
        <v>51</v>
      </c>
      <c r="C1009" s="4" t="s">
        <v>111</v>
      </c>
      <c r="D1009" s="4">
        <v>2</v>
      </c>
      <c r="E1009" s="16" t="s">
        <v>116</v>
      </c>
      <c r="F1009" s="17" t="s">
        <v>110</v>
      </c>
    </row>
    <row r="1010" spans="1:6">
      <c r="A1010" s="4" t="str">
        <f t="shared" si="15"/>
        <v>tRNA-Cys-GCA-3-1|3</v>
      </c>
      <c r="B1010" s="4" t="s">
        <v>51</v>
      </c>
      <c r="C1010" s="4" t="s">
        <v>112</v>
      </c>
      <c r="D1010" s="4">
        <v>3</v>
      </c>
      <c r="E1010" s="16" t="s">
        <v>114</v>
      </c>
      <c r="F1010" s="17" t="s">
        <v>110</v>
      </c>
    </row>
    <row r="1011" spans="1:6">
      <c r="A1011" s="4" t="str">
        <f t="shared" si="15"/>
        <v>tRNA-Cys-GCA-3-1|4</v>
      </c>
      <c r="B1011" s="4" t="s">
        <v>51</v>
      </c>
      <c r="C1011" s="4" t="s">
        <v>113</v>
      </c>
      <c r="D1011" s="4">
        <v>4</v>
      </c>
      <c r="E1011" s="16" t="s">
        <v>122</v>
      </c>
      <c r="F1011" s="17" t="s">
        <v>110</v>
      </c>
    </row>
    <row r="1012" spans="1:6">
      <c r="A1012" s="4" t="str">
        <f t="shared" si="15"/>
        <v>tRNA-Cys-GCA-3-1|5</v>
      </c>
      <c r="B1012" s="4" t="s">
        <v>51</v>
      </c>
      <c r="C1012" s="4" t="s">
        <v>115</v>
      </c>
      <c r="D1012" s="4">
        <v>5</v>
      </c>
      <c r="E1012" s="16" t="s">
        <v>109</v>
      </c>
      <c r="F1012" s="17" t="s">
        <v>110</v>
      </c>
    </row>
    <row r="1013" spans="1:6">
      <c r="A1013" s="4" t="str">
        <f t="shared" si="15"/>
        <v>tRNA-Cys-GCA-3-1|6</v>
      </c>
      <c r="B1013" s="4" t="s">
        <v>51</v>
      </c>
      <c r="C1013" s="4" t="s">
        <v>117</v>
      </c>
      <c r="D1013" s="4">
        <v>6</v>
      </c>
      <c r="E1013" s="16" t="s">
        <v>109</v>
      </c>
      <c r="F1013" s="17" t="s">
        <v>110</v>
      </c>
    </row>
    <row r="1014" spans="1:6">
      <c r="A1014" s="4" t="str">
        <f t="shared" si="15"/>
        <v>tRNA-Cys-GCA-3-1|7</v>
      </c>
      <c r="B1014" s="4" t="s">
        <v>51</v>
      </c>
      <c r="C1014" s="4" t="s">
        <v>118</v>
      </c>
      <c r="D1014" s="4">
        <v>7</v>
      </c>
      <c r="E1014" s="16" t="s">
        <v>122</v>
      </c>
      <c r="F1014" s="17" t="s">
        <v>110</v>
      </c>
    </row>
    <row r="1015" spans="1:6">
      <c r="A1015" s="4" t="str">
        <f t="shared" si="15"/>
        <v>tRNA-Cys-GCA-3-1|8</v>
      </c>
      <c r="B1015" s="4" t="s">
        <v>51</v>
      </c>
      <c r="C1015" s="4" t="s">
        <v>119</v>
      </c>
      <c r="D1015" s="4">
        <v>8</v>
      </c>
      <c r="E1015" s="3" t="s">
        <v>116</v>
      </c>
      <c r="F1015" s="4" t="s">
        <v>120</v>
      </c>
    </row>
    <row r="1016" spans="1:6">
      <c r="A1016" s="4" t="str">
        <f t="shared" si="15"/>
        <v>tRNA-Cys-GCA-3-1|9</v>
      </c>
      <c r="B1016" s="4" t="s">
        <v>51</v>
      </c>
      <c r="C1016" s="4" t="s">
        <v>121</v>
      </c>
      <c r="D1016" s="4">
        <v>9</v>
      </c>
      <c r="E1016" s="3" t="s">
        <v>109</v>
      </c>
      <c r="F1016" s="4" t="s">
        <v>123</v>
      </c>
    </row>
    <row r="1017" spans="1:6">
      <c r="A1017" s="4" t="str">
        <f t="shared" si="15"/>
        <v>tRNA-Cys-GCA-3-1|10</v>
      </c>
      <c r="B1017" s="4" t="s">
        <v>51</v>
      </c>
      <c r="C1017" s="4" t="s">
        <v>124</v>
      </c>
      <c r="D1017" s="4">
        <v>10</v>
      </c>
      <c r="E1017" s="8" t="s">
        <v>109</v>
      </c>
      <c r="F1017" s="7" t="s">
        <v>125</v>
      </c>
    </row>
    <row r="1018" spans="1:6">
      <c r="A1018" s="4" t="str">
        <f t="shared" si="15"/>
        <v>tRNA-Cys-GCA-3-1|11</v>
      </c>
      <c r="B1018" s="4" t="s">
        <v>51</v>
      </c>
      <c r="C1018" s="4" t="s">
        <v>126</v>
      </c>
      <c r="D1018" s="4">
        <v>11</v>
      </c>
      <c r="E1018" s="8" t="s">
        <v>114</v>
      </c>
      <c r="F1018" s="7" t="s">
        <v>125</v>
      </c>
    </row>
    <row r="1019" spans="1:6">
      <c r="A1019" s="4" t="str">
        <f t="shared" si="15"/>
        <v>tRNA-Cys-GCA-3-1|12</v>
      </c>
      <c r="B1019" s="4" t="s">
        <v>51</v>
      </c>
      <c r="C1019" s="4" t="s">
        <v>127</v>
      </c>
      <c r="D1019" s="4">
        <v>12</v>
      </c>
      <c r="E1019" s="8" t="s">
        <v>122</v>
      </c>
      <c r="F1019" s="7" t="s">
        <v>125</v>
      </c>
    </row>
    <row r="1020" spans="1:6">
      <c r="A1020" s="4" t="str">
        <f t="shared" si="15"/>
        <v>tRNA-Cys-GCA-3-1|13</v>
      </c>
      <c r="B1020" s="4" t="s">
        <v>51</v>
      </c>
      <c r="C1020" s="4" t="s">
        <v>128</v>
      </c>
      <c r="D1020" s="4">
        <v>13</v>
      </c>
      <c r="E1020" s="8" t="s">
        <v>109</v>
      </c>
      <c r="F1020" s="7" t="s">
        <v>125</v>
      </c>
    </row>
    <row r="1021" spans="1:6">
      <c r="A1021" s="4" t="str">
        <f t="shared" si="15"/>
        <v>tRNA-Cys-GCA-3-1|14</v>
      </c>
      <c r="B1021" s="4" t="s">
        <v>51</v>
      </c>
      <c r="C1021" s="4" t="s">
        <v>129</v>
      </c>
      <c r="D1021" s="4">
        <v>14</v>
      </c>
      <c r="E1021" s="18" t="s">
        <v>122</v>
      </c>
      <c r="F1021" s="19" t="s">
        <v>130</v>
      </c>
    </row>
    <row r="1022" spans="1:6">
      <c r="A1022" s="4" t="str">
        <f t="shared" si="15"/>
        <v>tRNA-Cys-GCA-3-1|15</v>
      </c>
      <c r="B1022" s="4" t="s">
        <v>51</v>
      </c>
      <c r="C1022" s="4" t="s">
        <v>131</v>
      </c>
      <c r="D1022" s="4">
        <v>15</v>
      </c>
      <c r="E1022" s="18" t="s">
        <v>109</v>
      </c>
      <c r="F1022" s="19" t="s">
        <v>130</v>
      </c>
    </row>
    <row r="1023" spans="1:6">
      <c r="A1023" s="4" t="str">
        <f t="shared" si="15"/>
        <v>tRNA-Cys-GCA-3-1|16</v>
      </c>
      <c r="B1023" s="4" t="s">
        <v>51</v>
      </c>
      <c r="C1023" s="4" t="s">
        <v>194</v>
      </c>
      <c r="D1023" s="4">
        <v>16</v>
      </c>
      <c r="E1023" s="18" t="s">
        <v>116</v>
      </c>
      <c r="F1023" s="19" t="s">
        <v>130</v>
      </c>
    </row>
    <row r="1024" spans="1:6">
      <c r="A1024" s="4" t="str">
        <f t="shared" si="15"/>
        <v>tRNA-Cys-GCA-3-1|18</v>
      </c>
      <c r="B1024" s="4" t="s">
        <v>51</v>
      </c>
      <c r="C1024" s="4" t="s">
        <v>132</v>
      </c>
      <c r="D1024" s="4">
        <v>17</v>
      </c>
      <c r="E1024" s="18" t="s">
        <v>109</v>
      </c>
      <c r="F1024" s="19" t="s">
        <v>130</v>
      </c>
    </row>
    <row r="1025" spans="1:6">
      <c r="A1025" s="4" t="str">
        <f t="shared" si="15"/>
        <v>tRNA-Cys-GCA-3-1|19</v>
      </c>
      <c r="B1025" s="4" t="s">
        <v>51</v>
      </c>
      <c r="C1025" s="4" t="s">
        <v>133</v>
      </c>
      <c r="D1025" s="4">
        <v>18</v>
      </c>
      <c r="E1025" s="18" t="s">
        <v>109</v>
      </c>
      <c r="F1025" s="19" t="s">
        <v>130</v>
      </c>
    </row>
    <row r="1026" spans="1:6">
      <c r="A1026" s="4" t="str">
        <f t="shared" ref="A1026:A1089" si="16">B1026&amp;"|"&amp;C1026</f>
        <v>tRNA-Cys-GCA-3-1|20</v>
      </c>
      <c r="B1026" s="4" t="s">
        <v>51</v>
      </c>
      <c r="C1026" s="4" t="s">
        <v>134</v>
      </c>
      <c r="D1026" s="4">
        <v>19</v>
      </c>
      <c r="E1026" s="18" t="s">
        <v>116</v>
      </c>
      <c r="F1026" s="19" t="s">
        <v>130</v>
      </c>
    </row>
    <row r="1027" spans="1:6">
      <c r="A1027" s="4" t="str">
        <f t="shared" si="16"/>
        <v>tRNA-Cys-GCA-3-1|21</v>
      </c>
      <c r="B1027" s="4" t="s">
        <v>51</v>
      </c>
      <c r="C1027" s="4" t="s">
        <v>136</v>
      </c>
      <c r="D1027" s="4">
        <v>20</v>
      </c>
      <c r="E1027" s="18" t="s">
        <v>109</v>
      </c>
      <c r="F1027" s="19" t="s">
        <v>130</v>
      </c>
    </row>
    <row r="1028" spans="1:6">
      <c r="A1028" s="4" t="str">
        <f t="shared" si="16"/>
        <v>tRNA-Cys-GCA-3-1|22</v>
      </c>
      <c r="B1028" s="4" t="s">
        <v>51</v>
      </c>
      <c r="C1028" s="4" t="s">
        <v>137</v>
      </c>
      <c r="D1028" s="4">
        <v>21</v>
      </c>
      <c r="E1028" s="8" t="s">
        <v>122</v>
      </c>
      <c r="F1028" s="7" t="s">
        <v>125</v>
      </c>
    </row>
    <row r="1029" spans="1:6">
      <c r="A1029" s="4" t="str">
        <f t="shared" si="16"/>
        <v>tRNA-Cys-GCA-3-1|23</v>
      </c>
      <c r="B1029" s="4" t="s">
        <v>51</v>
      </c>
      <c r="C1029" s="4" t="s">
        <v>138</v>
      </c>
      <c r="D1029" s="4">
        <v>22</v>
      </c>
      <c r="E1029" s="8" t="s">
        <v>116</v>
      </c>
      <c r="F1029" s="7" t="s">
        <v>125</v>
      </c>
    </row>
    <row r="1030" spans="1:6">
      <c r="A1030" s="4" t="str">
        <f t="shared" si="16"/>
        <v>tRNA-Cys-GCA-3-1|24</v>
      </c>
      <c r="B1030" s="4" t="s">
        <v>51</v>
      </c>
      <c r="C1030" s="4" t="s">
        <v>139</v>
      </c>
      <c r="D1030" s="4">
        <v>23</v>
      </c>
      <c r="E1030" s="8" t="s">
        <v>109</v>
      </c>
      <c r="F1030" s="7" t="s">
        <v>125</v>
      </c>
    </row>
    <row r="1031" spans="1:6">
      <c r="A1031" s="4" t="str">
        <f t="shared" si="16"/>
        <v>tRNA-Cys-GCA-3-1|25</v>
      </c>
      <c r="B1031" s="4" t="s">
        <v>51</v>
      </c>
      <c r="C1031" s="4" t="s">
        <v>140</v>
      </c>
      <c r="D1031" s="4">
        <v>24</v>
      </c>
      <c r="E1031" s="8" t="s">
        <v>114</v>
      </c>
      <c r="F1031" s="7" t="s">
        <v>125</v>
      </c>
    </row>
    <row r="1032" spans="1:6">
      <c r="A1032" s="4" t="str">
        <f t="shared" si="16"/>
        <v>tRNA-Cys-GCA-3-1|26</v>
      </c>
      <c r="B1032" s="4" t="s">
        <v>51</v>
      </c>
      <c r="C1032" s="4" t="s">
        <v>141</v>
      </c>
      <c r="D1032" s="4">
        <v>25</v>
      </c>
      <c r="E1032" s="3" t="s">
        <v>116</v>
      </c>
      <c r="F1032" s="4" t="s">
        <v>142</v>
      </c>
    </row>
    <row r="1033" spans="1:6">
      <c r="A1033" s="4" t="str">
        <f t="shared" si="16"/>
        <v>tRNA-Cys-GCA-3-1|27</v>
      </c>
      <c r="B1033" s="4" t="s">
        <v>51</v>
      </c>
      <c r="C1033" s="4" t="s">
        <v>143</v>
      </c>
      <c r="D1033" s="4">
        <v>26</v>
      </c>
      <c r="E1033" s="20" t="s">
        <v>116</v>
      </c>
      <c r="F1033" s="21" t="s">
        <v>144</v>
      </c>
    </row>
    <row r="1034" spans="1:6">
      <c r="A1034" s="4" t="str">
        <f t="shared" si="16"/>
        <v>tRNA-Cys-GCA-3-1|28</v>
      </c>
      <c r="B1034" s="4" t="s">
        <v>51</v>
      </c>
      <c r="C1034" s="4" t="s">
        <v>145</v>
      </c>
      <c r="D1034" s="4">
        <v>27</v>
      </c>
      <c r="E1034" s="20" t="s">
        <v>114</v>
      </c>
      <c r="F1034" s="21" t="s">
        <v>144</v>
      </c>
    </row>
    <row r="1035" spans="1:6">
      <c r="A1035" s="4" t="str">
        <f t="shared" si="16"/>
        <v>tRNA-Cys-GCA-3-1|29</v>
      </c>
      <c r="B1035" s="4" t="s">
        <v>51</v>
      </c>
      <c r="C1035" s="4" t="s">
        <v>146</v>
      </c>
      <c r="D1035" s="4">
        <v>28</v>
      </c>
      <c r="E1035" s="20" t="s">
        <v>114</v>
      </c>
      <c r="F1035" s="21" t="s">
        <v>144</v>
      </c>
    </row>
    <row r="1036" spans="1:6">
      <c r="A1036" s="4" t="str">
        <f t="shared" si="16"/>
        <v>tRNA-Cys-GCA-3-1|30</v>
      </c>
      <c r="B1036" s="4" t="s">
        <v>51</v>
      </c>
      <c r="C1036" s="4" t="s">
        <v>147</v>
      </c>
      <c r="D1036" s="4">
        <v>29</v>
      </c>
      <c r="E1036" s="20" t="s">
        <v>109</v>
      </c>
      <c r="F1036" s="21" t="s">
        <v>144</v>
      </c>
    </row>
    <row r="1037" spans="1:6">
      <c r="A1037" s="4" t="str">
        <f t="shared" si="16"/>
        <v>tRNA-Cys-GCA-3-1|31</v>
      </c>
      <c r="B1037" s="4" t="s">
        <v>51</v>
      </c>
      <c r="C1037" s="4" t="s">
        <v>148</v>
      </c>
      <c r="D1037" s="4">
        <v>30</v>
      </c>
      <c r="E1037" s="20" t="s">
        <v>109</v>
      </c>
      <c r="F1037" s="21" t="s">
        <v>144</v>
      </c>
    </row>
    <row r="1038" spans="1:6">
      <c r="A1038" s="4" t="str">
        <f t="shared" si="16"/>
        <v>tRNA-Cys-GCA-3-1|32</v>
      </c>
      <c r="B1038" s="4" t="s">
        <v>51</v>
      </c>
      <c r="C1038" s="4" t="s">
        <v>149</v>
      </c>
      <c r="D1038" s="4">
        <v>31</v>
      </c>
      <c r="E1038" s="18" t="s">
        <v>114</v>
      </c>
      <c r="F1038" s="19" t="s">
        <v>150</v>
      </c>
    </row>
    <row r="1039" spans="1:6">
      <c r="A1039" s="4" t="str">
        <f t="shared" si="16"/>
        <v>tRNA-Cys-GCA-3-1|33</v>
      </c>
      <c r="B1039" s="4" t="s">
        <v>51</v>
      </c>
      <c r="C1039" s="4" t="s">
        <v>151</v>
      </c>
      <c r="D1039" s="4">
        <v>32</v>
      </c>
      <c r="E1039" s="18" t="s">
        <v>116</v>
      </c>
      <c r="F1039" s="19" t="s">
        <v>150</v>
      </c>
    </row>
    <row r="1040" spans="1:6">
      <c r="A1040" s="4" t="str">
        <f t="shared" si="16"/>
        <v>tRNA-Cys-GCA-3-1|34</v>
      </c>
      <c r="B1040" s="4" t="s">
        <v>51</v>
      </c>
      <c r="C1040" s="4" t="s">
        <v>152</v>
      </c>
      <c r="D1040" s="4">
        <v>33</v>
      </c>
      <c r="E1040" s="18" t="s">
        <v>109</v>
      </c>
      <c r="F1040" s="19" t="s">
        <v>150</v>
      </c>
    </row>
    <row r="1041" spans="1:6">
      <c r="A1041" s="4" t="str">
        <f t="shared" si="16"/>
        <v>tRNA-Cys-GCA-3-1|35</v>
      </c>
      <c r="B1041" s="4" t="s">
        <v>51</v>
      </c>
      <c r="C1041" s="4" t="s">
        <v>153</v>
      </c>
      <c r="D1041" s="4">
        <v>34</v>
      </c>
      <c r="E1041" s="18" t="s">
        <v>114</v>
      </c>
      <c r="F1041" s="19" t="s">
        <v>150</v>
      </c>
    </row>
    <row r="1042" spans="1:6">
      <c r="A1042" s="4" t="str">
        <f t="shared" si="16"/>
        <v>tRNA-Cys-GCA-3-1|36</v>
      </c>
      <c r="B1042" s="4" t="s">
        <v>51</v>
      </c>
      <c r="C1042" s="4" t="s">
        <v>154</v>
      </c>
      <c r="D1042" s="4">
        <v>35</v>
      </c>
      <c r="E1042" s="18" t="s">
        <v>122</v>
      </c>
      <c r="F1042" s="19" t="s">
        <v>150</v>
      </c>
    </row>
    <row r="1043" spans="1:6">
      <c r="A1043" s="4" t="str">
        <f t="shared" si="16"/>
        <v>tRNA-Cys-GCA-3-1|37</v>
      </c>
      <c r="B1043" s="4" t="s">
        <v>51</v>
      </c>
      <c r="C1043" s="4" t="s">
        <v>155</v>
      </c>
      <c r="D1043" s="4">
        <v>36</v>
      </c>
      <c r="E1043" s="18" t="s">
        <v>122</v>
      </c>
      <c r="F1043" s="19" t="s">
        <v>150</v>
      </c>
    </row>
    <row r="1044" spans="1:6">
      <c r="A1044" s="4" t="str">
        <f t="shared" si="16"/>
        <v>tRNA-Cys-GCA-3-1|38</v>
      </c>
      <c r="B1044" s="4" t="s">
        <v>51</v>
      </c>
      <c r="C1044" s="4" t="s">
        <v>156</v>
      </c>
      <c r="D1044" s="4">
        <v>37</v>
      </c>
      <c r="E1044" s="18" t="s">
        <v>114</v>
      </c>
      <c r="F1044" s="19" t="s">
        <v>150</v>
      </c>
    </row>
    <row r="1045" spans="1:6">
      <c r="A1045" s="4" t="str">
        <f t="shared" si="16"/>
        <v>tRNA-Cys-GCA-3-1|39</v>
      </c>
      <c r="B1045" s="4" t="s">
        <v>51</v>
      </c>
      <c r="C1045" s="4" t="s">
        <v>157</v>
      </c>
      <c r="D1045" s="4">
        <v>38</v>
      </c>
      <c r="E1045" s="20" t="s">
        <v>114</v>
      </c>
      <c r="F1045" s="21" t="s">
        <v>144</v>
      </c>
    </row>
    <row r="1046" spans="1:6">
      <c r="A1046" s="4" t="str">
        <f t="shared" si="16"/>
        <v>tRNA-Cys-GCA-3-1|40</v>
      </c>
      <c r="B1046" s="4" t="s">
        <v>51</v>
      </c>
      <c r="C1046" s="4" t="s">
        <v>158</v>
      </c>
      <c r="D1046" s="4">
        <v>39</v>
      </c>
      <c r="E1046" s="20" t="s">
        <v>114</v>
      </c>
      <c r="F1046" s="21" t="s">
        <v>144</v>
      </c>
    </row>
    <row r="1047" spans="1:6">
      <c r="A1047" s="4" t="str">
        <f t="shared" si="16"/>
        <v>tRNA-Cys-GCA-3-1|41</v>
      </c>
      <c r="B1047" s="4" t="s">
        <v>51</v>
      </c>
      <c r="C1047" s="4" t="s">
        <v>159</v>
      </c>
      <c r="D1047" s="4">
        <v>40</v>
      </c>
      <c r="E1047" s="20" t="s">
        <v>109</v>
      </c>
      <c r="F1047" s="21" t="s">
        <v>144</v>
      </c>
    </row>
    <row r="1048" spans="1:6">
      <c r="A1048" s="4" t="str">
        <f t="shared" si="16"/>
        <v>tRNA-Cys-GCA-3-1|42</v>
      </c>
      <c r="B1048" s="4" t="s">
        <v>51</v>
      </c>
      <c r="C1048" s="4" t="s">
        <v>160</v>
      </c>
      <c r="D1048" s="4">
        <v>41</v>
      </c>
      <c r="E1048" s="20" t="s">
        <v>109</v>
      </c>
      <c r="F1048" s="21" t="s">
        <v>144</v>
      </c>
    </row>
    <row r="1049" spans="1:6">
      <c r="A1049" s="4" t="str">
        <f t="shared" si="16"/>
        <v>tRNA-Cys-GCA-3-1|43</v>
      </c>
      <c r="B1049" s="4" t="s">
        <v>51</v>
      </c>
      <c r="C1049" s="4" t="s">
        <v>161</v>
      </c>
      <c r="D1049" s="4">
        <v>42</v>
      </c>
      <c r="E1049" s="20" t="s">
        <v>122</v>
      </c>
      <c r="F1049" s="21" t="s">
        <v>144</v>
      </c>
    </row>
    <row r="1050" spans="1:6">
      <c r="A1050" s="4" t="str">
        <f t="shared" si="16"/>
        <v>tRNA-Cys-GCA-3-1|44</v>
      </c>
      <c r="B1050" s="4" t="s">
        <v>51</v>
      </c>
      <c r="C1050" s="4" t="s">
        <v>162</v>
      </c>
      <c r="D1050" s="4">
        <v>43</v>
      </c>
      <c r="E1050" s="18" t="s">
        <v>122</v>
      </c>
      <c r="F1050" s="19" t="s">
        <v>163</v>
      </c>
    </row>
    <row r="1051" spans="1:6">
      <c r="A1051" s="4" t="str">
        <f t="shared" si="16"/>
        <v>tRNA-Cys-GCA-3-1|45</v>
      </c>
      <c r="B1051" s="4" t="s">
        <v>51</v>
      </c>
      <c r="C1051" s="4" t="s">
        <v>164</v>
      </c>
      <c r="D1051" s="4">
        <v>44</v>
      </c>
      <c r="E1051" s="18" t="s">
        <v>116</v>
      </c>
      <c r="F1051" s="19" t="s">
        <v>163</v>
      </c>
    </row>
    <row r="1052" spans="1:6">
      <c r="A1052" s="4" t="str">
        <f t="shared" si="16"/>
        <v>tRNA-Cys-GCA-3-1|46</v>
      </c>
      <c r="B1052" s="4" t="s">
        <v>51</v>
      </c>
      <c r="C1052" s="4" t="s">
        <v>165</v>
      </c>
      <c r="D1052" s="4">
        <v>45</v>
      </c>
      <c r="E1052" s="18" t="s">
        <v>116</v>
      </c>
      <c r="F1052" s="19" t="s">
        <v>163</v>
      </c>
    </row>
    <row r="1053" spans="1:6">
      <c r="A1053" s="4" t="str">
        <f t="shared" si="16"/>
        <v>tRNA-Cys-GCA-3-1|47</v>
      </c>
      <c r="B1053" s="4" t="s">
        <v>51</v>
      </c>
      <c r="C1053" s="4" t="s">
        <v>166</v>
      </c>
      <c r="D1053" s="4">
        <v>46</v>
      </c>
      <c r="E1053" s="18" t="s">
        <v>122</v>
      </c>
      <c r="F1053" s="19" t="s">
        <v>163</v>
      </c>
    </row>
    <row r="1054" spans="1:6">
      <c r="A1054" s="4" t="str">
        <f t="shared" si="16"/>
        <v>tRNA-Cys-GCA-3-1|48</v>
      </c>
      <c r="B1054" s="4" t="s">
        <v>51</v>
      </c>
      <c r="C1054" s="4" t="s">
        <v>167</v>
      </c>
      <c r="D1054" s="4">
        <v>47</v>
      </c>
      <c r="E1054" s="18" t="s">
        <v>116</v>
      </c>
      <c r="F1054" s="19" t="s">
        <v>163</v>
      </c>
    </row>
    <row r="1055" spans="1:6">
      <c r="A1055" s="4" t="str">
        <f t="shared" si="16"/>
        <v>tRNA-Cys-GCA-3-1|49</v>
      </c>
      <c r="B1055" s="4" t="s">
        <v>51</v>
      </c>
      <c r="C1055" s="4" t="s">
        <v>168</v>
      </c>
      <c r="D1055" s="4">
        <v>48</v>
      </c>
      <c r="E1055" s="22" t="s">
        <v>109</v>
      </c>
      <c r="F1055" s="10" t="s">
        <v>169</v>
      </c>
    </row>
    <row r="1056" spans="1:6">
      <c r="A1056" s="4" t="str">
        <f t="shared" si="16"/>
        <v>tRNA-Cys-GCA-3-1|50</v>
      </c>
      <c r="B1056" s="4" t="s">
        <v>51</v>
      </c>
      <c r="C1056" s="4" t="s">
        <v>170</v>
      </c>
      <c r="D1056" s="4">
        <v>49</v>
      </c>
      <c r="E1056" s="22" t="s">
        <v>116</v>
      </c>
      <c r="F1056" s="10" t="s">
        <v>169</v>
      </c>
    </row>
    <row r="1057" spans="1:6">
      <c r="A1057" s="4" t="str">
        <f t="shared" si="16"/>
        <v>tRNA-Cys-GCA-3-1|51</v>
      </c>
      <c r="B1057" s="4" t="s">
        <v>51</v>
      </c>
      <c r="C1057" s="4" t="s">
        <v>171</v>
      </c>
      <c r="D1057" s="4">
        <v>50</v>
      </c>
      <c r="E1057" s="22" t="s">
        <v>109</v>
      </c>
      <c r="F1057" s="10" t="s">
        <v>169</v>
      </c>
    </row>
    <row r="1058" spans="1:6">
      <c r="A1058" s="4" t="str">
        <f t="shared" si="16"/>
        <v>tRNA-Cys-GCA-3-1|52</v>
      </c>
      <c r="B1058" s="4" t="s">
        <v>51</v>
      </c>
      <c r="C1058" s="4" t="s">
        <v>172</v>
      </c>
      <c r="D1058" s="4">
        <v>51</v>
      </c>
      <c r="E1058" s="22" t="s">
        <v>122</v>
      </c>
      <c r="F1058" s="10" t="s">
        <v>169</v>
      </c>
    </row>
    <row r="1059" spans="1:6">
      <c r="A1059" s="4" t="str">
        <f t="shared" si="16"/>
        <v>tRNA-Cys-GCA-3-1|53</v>
      </c>
      <c r="B1059" s="4" t="s">
        <v>51</v>
      </c>
      <c r="C1059" s="4" t="s">
        <v>173</v>
      </c>
      <c r="D1059" s="4">
        <v>52</v>
      </c>
      <c r="E1059" s="22" t="s">
        <v>109</v>
      </c>
      <c r="F1059" s="10" t="s">
        <v>169</v>
      </c>
    </row>
    <row r="1060" spans="1:6">
      <c r="A1060" s="4" t="str">
        <f t="shared" si="16"/>
        <v>tRNA-Cys-GCA-3-1|54</v>
      </c>
      <c r="B1060" s="4" t="s">
        <v>51</v>
      </c>
      <c r="C1060" s="4" t="s">
        <v>174</v>
      </c>
      <c r="D1060" s="4">
        <v>53</v>
      </c>
      <c r="E1060" s="18" t="s">
        <v>116</v>
      </c>
      <c r="F1060" s="19" t="s">
        <v>175</v>
      </c>
    </row>
    <row r="1061" spans="1:6">
      <c r="A1061" s="4" t="str">
        <f t="shared" si="16"/>
        <v>tRNA-Cys-GCA-3-1|55</v>
      </c>
      <c r="B1061" s="4" t="s">
        <v>51</v>
      </c>
      <c r="C1061" s="4" t="s">
        <v>176</v>
      </c>
      <c r="D1061" s="4">
        <v>54</v>
      </c>
      <c r="E1061" s="18" t="s">
        <v>116</v>
      </c>
      <c r="F1061" s="19" t="s">
        <v>175</v>
      </c>
    </row>
    <row r="1062" spans="1:6">
      <c r="A1062" s="4" t="str">
        <f t="shared" si="16"/>
        <v>tRNA-Cys-GCA-3-1|56</v>
      </c>
      <c r="B1062" s="4" t="s">
        <v>51</v>
      </c>
      <c r="C1062" s="4" t="s">
        <v>177</v>
      </c>
      <c r="D1062" s="4">
        <v>55</v>
      </c>
      <c r="E1062" s="18" t="s">
        <v>114</v>
      </c>
      <c r="F1062" s="19" t="s">
        <v>175</v>
      </c>
    </row>
    <row r="1063" spans="1:6">
      <c r="A1063" s="4" t="str">
        <f t="shared" si="16"/>
        <v>tRNA-Cys-GCA-3-1|57</v>
      </c>
      <c r="B1063" s="4" t="s">
        <v>51</v>
      </c>
      <c r="C1063" s="4" t="s">
        <v>178</v>
      </c>
      <c r="D1063" s="4">
        <v>56</v>
      </c>
      <c r="E1063" s="18" t="s">
        <v>109</v>
      </c>
      <c r="F1063" s="19" t="s">
        <v>175</v>
      </c>
    </row>
    <row r="1064" spans="1:6">
      <c r="A1064" s="4" t="str">
        <f t="shared" si="16"/>
        <v>tRNA-Cys-GCA-3-1|58</v>
      </c>
      <c r="B1064" s="4" t="s">
        <v>51</v>
      </c>
      <c r="C1064" s="4" t="s">
        <v>179</v>
      </c>
      <c r="D1064" s="4">
        <v>57</v>
      </c>
      <c r="E1064" s="18" t="s">
        <v>122</v>
      </c>
      <c r="F1064" s="19" t="s">
        <v>175</v>
      </c>
    </row>
    <row r="1065" spans="1:6">
      <c r="A1065" s="4" t="str">
        <f t="shared" si="16"/>
        <v>tRNA-Cys-GCA-3-1|59</v>
      </c>
      <c r="B1065" s="4" t="s">
        <v>51</v>
      </c>
      <c r="C1065" s="4" t="s">
        <v>180</v>
      </c>
      <c r="D1065" s="4">
        <v>58</v>
      </c>
      <c r="E1065" s="18" t="s">
        <v>116</v>
      </c>
      <c r="F1065" s="19" t="s">
        <v>175</v>
      </c>
    </row>
    <row r="1066" spans="1:6">
      <c r="A1066" s="4" t="str">
        <f t="shared" si="16"/>
        <v>tRNA-Cys-GCA-3-1|60</v>
      </c>
      <c r="B1066" s="4" t="s">
        <v>51</v>
      </c>
      <c r="C1066" s="4" t="s">
        <v>181</v>
      </c>
      <c r="D1066" s="4">
        <v>59</v>
      </c>
      <c r="E1066" s="18" t="s">
        <v>116</v>
      </c>
      <c r="F1066" s="19" t="s">
        <v>175</v>
      </c>
    </row>
    <row r="1067" spans="1:6">
      <c r="A1067" s="4" t="str">
        <f t="shared" si="16"/>
        <v>tRNA-Cys-GCA-3-1|61</v>
      </c>
      <c r="B1067" s="4" t="s">
        <v>51</v>
      </c>
      <c r="C1067" s="4" t="s">
        <v>182</v>
      </c>
      <c r="D1067" s="4">
        <v>60</v>
      </c>
      <c r="E1067" s="22" t="s">
        <v>114</v>
      </c>
      <c r="F1067" s="10" t="s">
        <v>169</v>
      </c>
    </row>
    <row r="1068" spans="1:6">
      <c r="A1068" s="4" t="str">
        <f t="shared" si="16"/>
        <v>tRNA-Cys-GCA-3-1|62</v>
      </c>
      <c r="B1068" s="4" t="s">
        <v>51</v>
      </c>
      <c r="C1068" s="4" t="s">
        <v>183</v>
      </c>
      <c r="D1068" s="4">
        <v>61</v>
      </c>
      <c r="E1068" s="22" t="s">
        <v>116</v>
      </c>
      <c r="F1068" s="10" t="s">
        <v>169</v>
      </c>
    </row>
    <row r="1069" spans="1:6">
      <c r="A1069" s="4" t="str">
        <f t="shared" si="16"/>
        <v>tRNA-Cys-GCA-3-1|63</v>
      </c>
      <c r="B1069" s="4" t="s">
        <v>51</v>
      </c>
      <c r="C1069" s="4" t="s">
        <v>184</v>
      </c>
      <c r="D1069" s="4">
        <v>62</v>
      </c>
      <c r="E1069" s="22" t="s">
        <v>114</v>
      </c>
      <c r="F1069" s="10" t="s">
        <v>169</v>
      </c>
    </row>
    <row r="1070" spans="1:6">
      <c r="A1070" s="4" t="str">
        <f t="shared" si="16"/>
        <v>tRNA-Cys-GCA-3-1|64</v>
      </c>
      <c r="B1070" s="4" t="s">
        <v>51</v>
      </c>
      <c r="C1070" s="4" t="s">
        <v>185</v>
      </c>
      <c r="D1070" s="4">
        <v>63</v>
      </c>
      <c r="E1070" s="22" t="s">
        <v>122</v>
      </c>
      <c r="F1070" s="10" t="s">
        <v>169</v>
      </c>
    </row>
    <row r="1071" spans="1:6">
      <c r="A1071" s="4" t="str">
        <f t="shared" si="16"/>
        <v>tRNA-Cys-GCA-3-1|65</v>
      </c>
      <c r="B1071" s="4" t="s">
        <v>51</v>
      </c>
      <c r="C1071" s="4" t="s">
        <v>186</v>
      </c>
      <c r="D1071" s="4">
        <v>64</v>
      </c>
      <c r="E1071" s="22" t="s">
        <v>114</v>
      </c>
      <c r="F1071" s="10" t="s">
        <v>169</v>
      </c>
    </row>
    <row r="1072" spans="1:6">
      <c r="A1072" s="4" t="str">
        <f t="shared" si="16"/>
        <v>tRNA-Cys-GCA-3-1|66</v>
      </c>
      <c r="B1072" s="4" t="s">
        <v>51</v>
      </c>
      <c r="C1072" s="4" t="s">
        <v>187</v>
      </c>
      <c r="D1072" s="4">
        <v>65</v>
      </c>
      <c r="E1072" s="16" t="s">
        <v>116</v>
      </c>
      <c r="F1072" s="17" t="s">
        <v>110</v>
      </c>
    </row>
    <row r="1073" spans="1:6">
      <c r="A1073" s="4" t="str">
        <f t="shared" si="16"/>
        <v>tRNA-Cys-GCA-3-1|67</v>
      </c>
      <c r="B1073" s="4" t="s">
        <v>51</v>
      </c>
      <c r="C1073" s="4" t="s">
        <v>188</v>
      </c>
      <c r="D1073" s="4">
        <v>66</v>
      </c>
      <c r="E1073" s="16" t="s">
        <v>114</v>
      </c>
      <c r="F1073" s="17" t="s">
        <v>110</v>
      </c>
    </row>
    <row r="1074" spans="1:6">
      <c r="A1074" s="4" t="str">
        <f t="shared" si="16"/>
        <v>tRNA-Cys-GCA-3-1|68</v>
      </c>
      <c r="B1074" s="4" t="s">
        <v>51</v>
      </c>
      <c r="C1074" s="4" t="s">
        <v>189</v>
      </c>
      <c r="D1074" s="4">
        <v>67</v>
      </c>
      <c r="E1074" s="16" t="s">
        <v>114</v>
      </c>
      <c r="F1074" s="17" t="s">
        <v>110</v>
      </c>
    </row>
    <row r="1075" spans="1:6">
      <c r="A1075" s="4" t="str">
        <f t="shared" si="16"/>
        <v>tRNA-Cys-GCA-3-1|69</v>
      </c>
      <c r="B1075" s="4" t="s">
        <v>51</v>
      </c>
      <c r="C1075" s="4" t="s">
        <v>190</v>
      </c>
      <c r="D1075" s="4">
        <v>68</v>
      </c>
      <c r="E1075" s="16" t="s">
        <v>116</v>
      </c>
      <c r="F1075" s="17" t="s">
        <v>110</v>
      </c>
    </row>
    <row r="1076" spans="1:6">
      <c r="A1076" s="4" t="str">
        <f t="shared" si="16"/>
        <v>tRNA-Cys-GCA-3-1|70</v>
      </c>
      <c r="B1076" s="4" t="s">
        <v>51</v>
      </c>
      <c r="C1076" s="4" t="s">
        <v>191</v>
      </c>
      <c r="D1076" s="4">
        <v>69</v>
      </c>
      <c r="E1076" s="16" t="s">
        <v>109</v>
      </c>
      <c r="F1076" s="17" t="s">
        <v>110</v>
      </c>
    </row>
    <row r="1077" spans="1:6">
      <c r="A1077" s="4" t="str">
        <f t="shared" si="16"/>
        <v>tRNA-Cys-GCA-3-1|71</v>
      </c>
      <c r="B1077" s="4" t="s">
        <v>51</v>
      </c>
      <c r="C1077" s="4" t="s">
        <v>192</v>
      </c>
      <c r="D1077" s="4">
        <v>70</v>
      </c>
      <c r="E1077" s="16" t="s">
        <v>122</v>
      </c>
      <c r="F1077" s="17" t="s">
        <v>110</v>
      </c>
    </row>
    <row r="1078" spans="1:6">
      <c r="A1078" s="4" t="str">
        <f t="shared" si="16"/>
        <v>tRNA-Cys-GCA-3-1|72</v>
      </c>
      <c r="B1078" s="4" t="s">
        <v>51</v>
      </c>
      <c r="C1078" s="4" t="s">
        <v>193</v>
      </c>
      <c r="D1078" s="4">
        <v>71</v>
      </c>
      <c r="E1078" s="16" t="s">
        <v>114</v>
      </c>
      <c r="F1078" s="17" t="s">
        <v>110</v>
      </c>
    </row>
    <row r="1079" spans="1:6">
      <c r="A1079" s="4" t="str">
        <f t="shared" si="16"/>
        <v>tRNA-Gln-CTG-1-1|1</v>
      </c>
      <c r="B1079" s="4" t="s">
        <v>52</v>
      </c>
      <c r="C1079" s="4" t="s">
        <v>108</v>
      </c>
      <c r="D1079" s="4">
        <v>1</v>
      </c>
      <c r="E1079" s="16" t="s">
        <v>122</v>
      </c>
      <c r="F1079" s="17" t="s">
        <v>110</v>
      </c>
    </row>
    <row r="1080" spans="1:6">
      <c r="A1080" s="4" t="str">
        <f t="shared" si="16"/>
        <v>tRNA-Gln-CTG-1-1|2</v>
      </c>
      <c r="B1080" s="4" t="s">
        <v>52</v>
      </c>
      <c r="C1080" s="4" t="s">
        <v>111</v>
      </c>
      <c r="D1080" s="4">
        <v>2</v>
      </c>
      <c r="E1080" s="16" t="s">
        <v>109</v>
      </c>
      <c r="F1080" s="17" t="s">
        <v>110</v>
      </c>
    </row>
    <row r="1081" spans="1:6">
      <c r="A1081" s="4" t="str">
        <f t="shared" si="16"/>
        <v>tRNA-Gln-CTG-1-1|3</v>
      </c>
      <c r="B1081" s="4" t="s">
        <v>52</v>
      </c>
      <c r="C1081" s="4" t="s">
        <v>112</v>
      </c>
      <c r="D1081" s="4">
        <v>3</v>
      </c>
      <c r="E1081" s="16" t="s">
        <v>114</v>
      </c>
      <c r="F1081" s="17" t="s">
        <v>110</v>
      </c>
    </row>
    <row r="1082" spans="1:6">
      <c r="A1082" s="4" t="str">
        <f t="shared" si="16"/>
        <v>tRNA-Gln-CTG-1-1|4</v>
      </c>
      <c r="B1082" s="4" t="s">
        <v>52</v>
      </c>
      <c r="C1082" s="4" t="s">
        <v>113</v>
      </c>
      <c r="D1082" s="4">
        <v>4</v>
      </c>
      <c r="E1082" s="16" t="s">
        <v>114</v>
      </c>
      <c r="F1082" s="17" t="s">
        <v>110</v>
      </c>
    </row>
    <row r="1083" spans="1:6">
      <c r="A1083" s="4" t="str">
        <f t="shared" si="16"/>
        <v>tRNA-Gln-CTG-1-1|5</v>
      </c>
      <c r="B1083" s="4" t="s">
        <v>52</v>
      </c>
      <c r="C1083" s="4" t="s">
        <v>115</v>
      </c>
      <c r="D1083" s="4">
        <v>5</v>
      </c>
      <c r="E1083" s="16" t="s">
        <v>114</v>
      </c>
      <c r="F1083" s="17" t="s">
        <v>110</v>
      </c>
    </row>
    <row r="1084" spans="1:6">
      <c r="A1084" s="4" t="str">
        <f t="shared" si="16"/>
        <v>tRNA-Gln-CTG-1-1|6</v>
      </c>
      <c r="B1084" s="4" t="s">
        <v>52</v>
      </c>
      <c r="C1084" s="4" t="s">
        <v>117</v>
      </c>
      <c r="D1084" s="4">
        <v>6</v>
      </c>
      <c r="E1084" s="16" t="s">
        <v>109</v>
      </c>
      <c r="F1084" s="17" t="s">
        <v>110</v>
      </c>
    </row>
    <row r="1085" spans="1:6">
      <c r="A1085" s="4" t="str">
        <f t="shared" si="16"/>
        <v>tRNA-Gln-CTG-1-1|7</v>
      </c>
      <c r="B1085" s="4" t="s">
        <v>52</v>
      </c>
      <c r="C1085" s="4" t="s">
        <v>118</v>
      </c>
      <c r="D1085" s="4">
        <v>7</v>
      </c>
      <c r="E1085" s="16" t="s">
        <v>109</v>
      </c>
      <c r="F1085" s="17" t="s">
        <v>110</v>
      </c>
    </row>
    <row r="1086" spans="1:6">
      <c r="A1086" s="4" t="str">
        <f t="shared" si="16"/>
        <v>tRNA-Gln-CTG-1-1|8</v>
      </c>
      <c r="B1086" s="4" t="s">
        <v>52</v>
      </c>
      <c r="C1086" s="4" t="s">
        <v>119</v>
      </c>
      <c r="D1086" s="4">
        <v>8</v>
      </c>
      <c r="E1086" s="3" t="s">
        <v>116</v>
      </c>
      <c r="F1086" s="4" t="s">
        <v>120</v>
      </c>
    </row>
    <row r="1087" spans="1:6">
      <c r="A1087" s="4" t="str">
        <f t="shared" si="16"/>
        <v>tRNA-Gln-CTG-1-1|9</v>
      </c>
      <c r="B1087" s="4" t="s">
        <v>52</v>
      </c>
      <c r="C1087" s="4" t="s">
        <v>121</v>
      </c>
      <c r="D1087" s="4">
        <v>9</v>
      </c>
      <c r="E1087" s="3" t="s">
        <v>122</v>
      </c>
      <c r="F1087" s="4" t="s">
        <v>123</v>
      </c>
    </row>
    <row r="1088" spans="1:6">
      <c r="A1088" s="4" t="str">
        <f t="shared" si="16"/>
        <v>tRNA-Gln-CTG-1-1|10</v>
      </c>
      <c r="B1088" s="4" t="s">
        <v>52</v>
      </c>
      <c r="C1088" s="4" t="s">
        <v>124</v>
      </c>
      <c r="D1088" s="4">
        <v>10</v>
      </c>
      <c r="E1088" s="8" t="s">
        <v>109</v>
      </c>
      <c r="F1088" s="7" t="s">
        <v>125</v>
      </c>
    </row>
    <row r="1089" spans="1:6">
      <c r="A1089" s="4" t="str">
        <f t="shared" si="16"/>
        <v>tRNA-Gln-CTG-1-1|11</v>
      </c>
      <c r="B1089" s="4" t="s">
        <v>52</v>
      </c>
      <c r="C1089" s="4" t="s">
        <v>126</v>
      </c>
      <c r="D1089" s="4">
        <v>11</v>
      </c>
      <c r="E1089" s="8" t="s">
        <v>116</v>
      </c>
      <c r="F1089" s="7" t="s">
        <v>125</v>
      </c>
    </row>
    <row r="1090" spans="1:6">
      <c r="A1090" s="4" t="str">
        <f t="shared" ref="A1090:A1153" si="17">B1090&amp;"|"&amp;C1090</f>
        <v>tRNA-Gln-CTG-1-1|12</v>
      </c>
      <c r="B1090" s="4" t="s">
        <v>52</v>
      </c>
      <c r="C1090" s="4" t="s">
        <v>127</v>
      </c>
      <c r="D1090" s="4">
        <v>12</v>
      </c>
      <c r="E1090" s="8" t="s">
        <v>109</v>
      </c>
      <c r="F1090" s="7" t="s">
        <v>125</v>
      </c>
    </row>
    <row r="1091" spans="1:6">
      <c r="A1091" s="4" t="str">
        <f t="shared" si="17"/>
        <v>tRNA-Gln-CTG-1-1|13</v>
      </c>
      <c r="B1091" s="4" t="s">
        <v>52</v>
      </c>
      <c r="C1091" s="4" t="s">
        <v>128</v>
      </c>
      <c r="D1091" s="4">
        <v>13</v>
      </c>
      <c r="E1091" s="8" t="s">
        <v>116</v>
      </c>
      <c r="F1091" s="7" t="s">
        <v>125</v>
      </c>
    </row>
    <row r="1092" spans="1:6">
      <c r="A1092" s="4" t="str">
        <f t="shared" si="17"/>
        <v>tRNA-Gln-CTG-1-1|14</v>
      </c>
      <c r="B1092" s="4" t="s">
        <v>52</v>
      </c>
      <c r="C1092" s="4" t="s">
        <v>129</v>
      </c>
      <c r="D1092" s="4">
        <v>14</v>
      </c>
      <c r="E1092" s="18" t="s">
        <v>122</v>
      </c>
      <c r="F1092" s="19" t="s">
        <v>130</v>
      </c>
    </row>
    <row r="1093" spans="1:6">
      <c r="A1093" s="4" t="str">
        <f t="shared" si="17"/>
        <v>tRNA-Gln-CTG-1-1|15</v>
      </c>
      <c r="B1093" s="4" t="s">
        <v>52</v>
      </c>
      <c r="C1093" s="4" t="s">
        <v>131</v>
      </c>
      <c r="D1093" s="4">
        <v>15</v>
      </c>
      <c r="E1093" s="18" t="s">
        <v>109</v>
      </c>
      <c r="F1093" s="19" t="s">
        <v>130</v>
      </c>
    </row>
    <row r="1094" spans="1:6">
      <c r="A1094" s="4" t="str">
        <f t="shared" si="17"/>
        <v>tRNA-Gln-CTG-1-1|16</v>
      </c>
      <c r="B1094" s="4" t="s">
        <v>52</v>
      </c>
      <c r="C1094" s="4" t="s">
        <v>194</v>
      </c>
      <c r="D1094" s="4">
        <v>16</v>
      </c>
      <c r="E1094" s="18" t="s">
        <v>116</v>
      </c>
      <c r="F1094" s="19" t="s">
        <v>130</v>
      </c>
    </row>
    <row r="1095" spans="1:6">
      <c r="A1095" s="4" t="str">
        <f t="shared" si="17"/>
        <v>tRNA-Gln-CTG-1-1|18</v>
      </c>
      <c r="B1095" s="4" t="s">
        <v>52</v>
      </c>
      <c r="C1095" s="4" t="s">
        <v>132</v>
      </c>
      <c r="D1095" s="4">
        <v>17</v>
      </c>
      <c r="E1095" s="18" t="s">
        <v>109</v>
      </c>
      <c r="F1095" s="19" t="s">
        <v>130</v>
      </c>
    </row>
    <row r="1096" spans="1:6">
      <c r="A1096" s="4" t="str">
        <f t="shared" si="17"/>
        <v>tRNA-Gln-CTG-1-1|19</v>
      </c>
      <c r="B1096" s="4" t="s">
        <v>52</v>
      </c>
      <c r="C1096" s="4" t="s">
        <v>133</v>
      </c>
      <c r="D1096" s="4">
        <v>18</v>
      </c>
      <c r="E1096" s="18" t="s">
        <v>109</v>
      </c>
      <c r="F1096" s="19" t="s">
        <v>130</v>
      </c>
    </row>
    <row r="1097" spans="1:6">
      <c r="A1097" s="4" t="str">
        <f t="shared" si="17"/>
        <v>tRNA-Gln-CTG-1-1|20</v>
      </c>
      <c r="B1097" s="4" t="s">
        <v>52</v>
      </c>
      <c r="C1097" s="4" t="s">
        <v>134</v>
      </c>
      <c r="D1097" s="4">
        <v>19</v>
      </c>
      <c r="E1097" s="18" t="s">
        <v>116</v>
      </c>
      <c r="F1097" s="19" t="s">
        <v>130</v>
      </c>
    </row>
    <row r="1098" spans="1:6">
      <c r="A1098" s="4" t="str">
        <f t="shared" si="17"/>
        <v>tRNA-Gln-CTG-1-1|20a</v>
      </c>
      <c r="B1098" s="4" t="s">
        <v>52</v>
      </c>
      <c r="C1098" s="4" t="s">
        <v>135</v>
      </c>
      <c r="D1098" s="4">
        <v>20</v>
      </c>
      <c r="E1098" s="18" t="s">
        <v>114</v>
      </c>
      <c r="F1098" s="19" t="s">
        <v>130</v>
      </c>
    </row>
    <row r="1099" spans="1:6">
      <c r="A1099" s="4" t="str">
        <f t="shared" si="17"/>
        <v>tRNA-Gln-CTG-1-1|20b</v>
      </c>
      <c r="B1099" s="4" t="s">
        <v>52</v>
      </c>
      <c r="C1099" s="4" t="s">
        <v>197</v>
      </c>
      <c r="D1099" s="4">
        <v>21</v>
      </c>
      <c r="E1099" s="18" t="s">
        <v>122</v>
      </c>
      <c r="F1099" s="19" t="s">
        <v>130</v>
      </c>
    </row>
    <row r="1100" spans="1:6">
      <c r="A1100" s="4" t="str">
        <f t="shared" si="17"/>
        <v>tRNA-Gln-CTG-1-1|21</v>
      </c>
      <c r="B1100" s="4" t="s">
        <v>52</v>
      </c>
      <c r="C1100" s="4" t="s">
        <v>136</v>
      </c>
      <c r="D1100" s="4">
        <v>22</v>
      </c>
      <c r="E1100" s="18" t="s">
        <v>122</v>
      </c>
      <c r="F1100" s="19" t="s">
        <v>130</v>
      </c>
    </row>
    <row r="1101" spans="1:6">
      <c r="A1101" s="4" t="str">
        <f t="shared" si="17"/>
        <v>tRNA-Gln-CTG-1-1|22</v>
      </c>
      <c r="B1101" s="4" t="s">
        <v>52</v>
      </c>
      <c r="C1101" s="4" t="s">
        <v>137</v>
      </c>
      <c r="D1101" s="4">
        <v>23</v>
      </c>
      <c r="E1101" s="8" t="s">
        <v>116</v>
      </c>
      <c r="F1101" s="7" t="s">
        <v>125</v>
      </c>
    </row>
    <row r="1102" spans="1:6">
      <c r="A1102" s="4" t="str">
        <f t="shared" si="17"/>
        <v>tRNA-Gln-CTG-1-1|23</v>
      </c>
      <c r="B1102" s="4" t="s">
        <v>52</v>
      </c>
      <c r="C1102" s="4" t="s">
        <v>138</v>
      </c>
      <c r="D1102" s="4">
        <v>24</v>
      </c>
      <c r="E1102" s="8" t="s">
        <v>114</v>
      </c>
      <c r="F1102" s="7" t="s">
        <v>125</v>
      </c>
    </row>
    <row r="1103" spans="1:6">
      <c r="A1103" s="4" t="str">
        <f t="shared" si="17"/>
        <v>tRNA-Gln-CTG-1-1|24</v>
      </c>
      <c r="B1103" s="4" t="s">
        <v>52</v>
      </c>
      <c r="C1103" s="4" t="s">
        <v>139</v>
      </c>
      <c r="D1103" s="4">
        <v>25</v>
      </c>
      <c r="E1103" s="8" t="s">
        <v>122</v>
      </c>
      <c r="F1103" s="7" t="s">
        <v>125</v>
      </c>
    </row>
    <row r="1104" spans="1:6">
      <c r="A1104" s="4" t="str">
        <f t="shared" si="17"/>
        <v>tRNA-Gln-CTG-1-1|25</v>
      </c>
      <c r="B1104" s="4" t="s">
        <v>52</v>
      </c>
      <c r="C1104" s="4" t="s">
        <v>140</v>
      </c>
      <c r="D1104" s="4">
        <v>26</v>
      </c>
      <c r="E1104" s="8" t="s">
        <v>116</v>
      </c>
      <c r="F1104" s="7" t="s">
        <v>125</v>
      </c>
    </row>
    <row r="1105" spans="1:6">
      <c r="A1105" s="4" t="str">
        <f t="shared" si="17"/>
        <v>tRNA-Gln-CTG-1-1|26</v>
      </c>
      <c r="B1105" s="4" t="s">
        <v>52</v>
      </c>
      <c r="C1105" s="4" t="s">
        <v>141</v>
      </c>
      <c r="D1105" s="4">
        <v>27</v>
      </c>
      <c r="E1105" s="3" t="s">
        <v>109</v>
      </c>
      <c r="F1105" s="4" t="s">
        <v>142</v>
      </c>
    </row>
    <row r="1106" spans="1:6">
      <c r="A1106" s="4" t="str">
        <f t="shared" si="17"/>
        <v>tRNA-Gln-CTG-1-1|27</v>
      </c>
      <c r="B1106" s="4" t="s">
        <v>52</v>
      </c>
      <c r="C1106" s="4" t="s">
        <v>143</v>
      </c>
      <c r="D1106" s="4">
        <v>28</v>
      </c>
      <c r="E1106" s="20" t="s">
        <v>114</v>
      </c>
      <c r="F1106" s="21" t="s">
        <v>144</v>
      </c>
    </row>
    <row r="1107" spans="1:6">
      <c r="A1107" s="4" t="str">
        <f t="shared" si="17"/>
        <v>tRNA-Gln-CTG-1-1|28</v>
      </c>
      <c r="B1107" s="4" t="s">
        <v>52</v>
      </c>
      <c r="C1107" s="4" t="s">
        <v>145</v>
      </c>
      <c r="D1107" s="4">
        <v>29</v>
      </c>
      <c r="E1107" s="20" t="s">
        <v>109</v>
      </c>
      <c r="F1107" s="21" t="s">
        <v>144</v>
      </c>
    </row>
    <row r="1108" spans="1:6">
      <c r="A1108" s="4" t="str">
        <f t="shared" si="17"/>
        <v>tRNA-Gln-CTG-1-1|29</v>
      </c>
      <c r="B1108" s="4" t="s">
        <v>52</v>
      </c>
      <c r="C1108" s="4" t="s">
        <v>146</v>
      </c>
      <c r="D1108" s="4">
        <v>30</v>
      </c>
      <c r="E1108" s="20" t="s">
        <v>109</v>
      </c>
      <c r="F1108" s="21" t="s">
        <v>144</v>
      </c>
    </row>
    <row r="1109" spans="1:6">
      <c r="A1109" s="4" t="str">
        <f t="shared" si="17"/>
        <v>tRNA-Gln-CTG-1-1|30</v>
      </c>
      <c r="B1109" s="4" t="s">
        <v>52</v>
      </c>
      <c r="C1109" s="4" t="s">
        <v>147</v>
      </c>
      <c r="D1109" s="4">
        <v>31</v>
      </c>
      <c r="E1109" s="20" t="s">
        <v>109</v>
      </c>
      <c r="F1109" s="21" t="s">
        <v>144</v>
      </c>
    </row>
    <row r="1110" spans="1:6">
      <c r="A1110" s="4" t="str">
        <f t="shared" si="17"/>
        <v>tRNA-Gln-CTG-1-1|31</v>
      </c>
      <c r="B1110" s="4" t="s">
        <v>52</v>
      </c>
      <c r="C1110" s="4" t="s">
        <v>148</v>
      </c>
      <c r="D1110" s="4">
        <v>32</v>
      </c>
      <c r="E1110" s="20" t="s">
        <v>122</v>
      </c>
      <c r="F1110" s="21" t="s">
        <v>144</v>
      </c>
    </row>
    <row r="1111" spans="1:6">
      <c r="A1111" s="4" t="str">
        <f t="shared" si="17"/>
        <v>tRNA-Gln-CTG-1-1|32</v>
      </c>
      <c r="B1111" s="4" t="s">
        <v>52</v>
      </c>
      <c r="C1111" s="4" t="s">
        <v>149</v>
      </c>
      <c r="D1111" s="4">
        <v>33</v>
      </c>
      <c r="E1111" s="18" t="s">
        <v>114</v>
      </c>
      <c r="F1111" s="19" t="s">
        <v>150</v>
      </c>
    </row>
    <row r="1112" spans="1:6">
      <c r="A1112" s="4" t="str">
        <f t="shared" si="17"/>
        <v>tRNA-Gln-CTG-1-1|33</v>
      </c>
      <c r="B1112" s="4" t="s">
        <v>52</v>
      </c>
      <c r="C1112" s="4" t="s">
        <v>151</v>
      </c>
      <c r="D1112" s="4">
        <v>34</v>
      </c>
      <c r="E1112" s="18" t="s">
        <v>116</v>
      </c>
      <c r="F1112" s="19" t="s">
        <v>150</v>
      </c>
    </row>
    <row r="1113" spans="1:6">
      <c r="A1113" s="4" t="str">
        <f t="shared" si="17"/>
        <v>tRNA-Gln-CTG-1-1|34</v>
      </c>
      <c r="B1113" s="4" t="s">
        <v>52</v>
      </c>
      <c r="C1113" s="4" t="s">
        <v>152</v>
      </c>
      <c r="D1113" s="4">
        <v>35</v>
      </c>
      <c r="E1113" s="18" t="s">
        <v>114</v>
      </c>
      <c r="F1113" s="19" t="s">
        <v>150</v>
      </c>
    </row>
    <row r="1114" spans="1:6">
      <c r="A1114" s="4" t="str">
        <f t="shared" si="17"/>
        <v>tRNA-Gln-CTG-1-1|35</v>
      </c>
      <c r="B1114" s="4" t="s">
        <v>52</v>
      </c>
      <c r="C1114" s="4" t="s">
        <v>153</v>
      </c>
      <c r="D1114" s="4">
        <v>36</v>
      </c>
      <c r="E1114" s="18" t="s">
        <v>116</v>
      </c>
      <c r="F1114" s="19" t="s">
        <v>150</v>
      </c>
    </row>
    <row r="1115" spans="1:6">
      <c r="A1115" s="4" t="str">
        <f t="shared" si="17"/>
        <v>tRNA-Gln-CTG-1-1|36</v>
      </c>
      <c r="B1115" s="4" t="s">
        <v>52</v>
      </c>
      <c r="C1115" s="4" t="s">
        <v>154</v>
      </c>
      <c r="D1115" s="4">
        <v>37</v>
      </c>
      <c r="E1115" s="18" t="s">
        <v>109</v>
      </c>
      <c r="F1115" s="19" t="s">
        <v>150</v>
      </c>
    </row>
    <row r="1116" spans="1:6">
      <c r="A1116" s="4" t="str">
        <f t="shared" si="17"/>
        <v>tRNA-Gln-CTG-1-1|37</v>
      </c>
      <c r="B1116" s="4" t="s">
        <v>52</v>
      </c>
      <c r="C1116" s="4" t="s">
        <v>155</v>
      </c>
      <c r="D1116" s="4">
        <v>38</v>
      </c>
      <c r="E1116" s="18" t="s">
        <v>109</v>
      </c>
      <c r="F1116" s="19" t="s">
        <v>150</v>
      </c>
    </row>
    <row r="1117" spans="1:6">
      <c r="A1117" s="4" t="str">
        <f t="shared" si="17"/>
        <v>tRNA-Gln-CTG-1-1|38</v>
      </c>
      <c r="B1117" s="4" t="s">
        <v>52</v>
      </c>
      <c r="C1117" s="4" t="s">
        <v>156</v>
      </c>
      <c r="D1117" s="4">
        <v>39</v>
      </c>
      <c r="E1117" s="18" t="s">
        <v>122</v>
      </c>
      <c r="F1117" s="19" t="s">
        <v>150</v>
      </c>
    </row>
    <row r="1118" spans="1:6">
      <c r="A1118" s="4" t="str">
        <f t="shared" si="17"/>
        <v>tRNA-Gln-CTG-1-1|39</v>
      </c>
      <c r="B1118" s="4" t="s">
        <v>52</v>
      </c>
      <c r="C1118" s="4" t="s">
        <v>157</v>
      </c>
      <c r="D1118" s="4">
        <v>40</v>
      </c>
      <c r="E1118" s="20" t="s">
        <v>116</v>
      </c>
      <c r="F1118" s="21" t="s">
        <v>144</v>
      </c>
    </row>
    <row r="1119" spans="1:6">
      <c r="A1119" s="4" t="str">
        <f t="shared" si="17"/>
        <v>tRNA-Gln-CTG-1-1|40</v>
      </c>
      <c r="B1119" s="4" t="s">
        <v>52</v>
      </c>
      <c r="C1119" s="4" t="s">
        <v>158</v>
      </c>
      <c r="D1119" s="4">
        <v>41</v>
      </c>
      <c r="E1119" s="20" t="s">
        <v>114</v>
      </c>
      <c r="F1119" s="21" t="s">
        <v>144</v>
      </c>
    </row>
    <row r="1120" spans="1:6">
      <c r="A1120" s="4" t="str">
        <f t="shared" si="17"/>
        <v>tRNA-Gln-CTG-1-1|41</v>
      </c>
      <c r="B1120" s="4" t="s">
        <v>52</v>
      </c>
      <c r="C1120" s="4" t="s">
        <v>159</v>
      </c>
      <c r="D1120" s="4">
        <v>42</v>
      </c>
      <c r="E1120" s="20" t="s">
        <v>114</v>
      </c>
      <c r="F1120" s="21" t="s">
        <v>144</v>
      </c>
    </row>
    <row r="1121" spans="1:6">
      <c r="A1121" s="4" t="str">
        <f t="shared" si="17"/>
        <v>tRNA-Gln-CTG-1-1|42</v>
      </c>
      <c r="B1121" s="4" t="s">
        <v>52</v>
      </c>
      <c r="C1121" s="4" t="s">
        <v>160</v>
      </c>
      <c r="D1121" s="4">
        <v>43</v>
      </c>
      <c r="E1121" s="20" t="s">
        <v>116</v>
      </c>
      <c r="F1121" s="21" t="s">
        <v>144</v>
      </c>
    </row>
    <row r="1122" spans="1:6">
      <c r="A1122" s="4" t="str">
        <f t="shared" si="17"/>
        <v>tRNA-Gln-CTG-1-1|43</v>
      </c>
      <c r="B1122" s="4" t="s">
        <v>52</v>
      </c>
      <c r="C1122" s="4" t="s">
        <v>161</v>
      </c>
      <c r="D1122" s="4">
        <v>44</v>
      </c>
      <c r="E1122" s="20" t="s">
        <v>109</v>
      </c>
      <c r="F1122" s="21" t="s">
        <v>144</v>
      </c>
    </row>
    <row r="1123" spans="1:6">
      <c r="A1123" s="4" t="str">
        <f t="shared" si="17"/>
        <v>tRNA-Gln-CTG-1-1|44</v>
      </c>
      <c r="B1123" s="4" t="s">
        <v>52</v>
      </c>
      <c r="C1123" s="4" t="s">
        <v>162</v>
      </c>
      <c r="D1123" s="4">
        <v>45</v>
      </c>
      <c r="E1123" s="18" t="s">
        <v>114</v>
      </c>
      <c r="F1123" s="19" t="s">
        <v>163</v>
      </c>
    </row>
    <row r="1124" spans="1:6">
      <c r="A1124" s="4" t="str">
        <f t="shared" si="17"/>
        <v>tRNA-Gln-CTG-1-1|45</v>
      </c>
      <c r="B1124" s="4" t="s">
        <v>52</v>
      </c>
      <c r="C1124" s="4" t="s">
        <v>164</v>
      </c>
      <c r="D1124" s="4">
        <v>46</v>
      </c>
      <c r="E1124" s="18" t="s">
        <v>122</v>
      </c>
      <c r="F1124" s="19" t="s">
        <v>163</v>
      </c>
    </row>
    <row r="1125" spans="1:6">
      <c r="A1125" s="4" t="str">
        <f t="shared" si="17"/>
        <v>tRNA-Gln-CTG-1-1|46</v>
      </c>
      <c r="B1125" s="4" t="s">
        <v>52</v>
      </c>
      <c r="C1125" s="4" t="s">
        <v>165</v>
      </c>
      <c r="D1125" s="4">
        <v>47</v>
      </c>
      <c r="E1125" s="18" t="s">
        <v>122</v>
      </c>
      <c r="F1125" s="19" t="s">
        <v>163</v>
      </c>
    </row>
    <row r="1126" spans="1:6">
      <c r="A1126" s="4" t="str">
        <f t="shared" si="17"/>
        <v>tRNA-Gln-CTG-1-1|48</v>
      </c>
      <c r="B1126" s="4" t="s">
        <v>52</v>
      </c>
      <c r="C1126" s="4" t="s">
        <v>167</v>
      </c>
      <c r="D1126" s="4">
        <v>48</v>
      </c>
      <c r="E1126" s="18" t="s">
        <v>114</v>
      </c>
      <c r="F1126" s="19" t="s">
        <v>163</v>
      </c>
    </row>
    <row r="1127" spans="1:6">
      <c r="A1127" s="4" t="str">
        <f t="shared" si="17"/>
        <v>tRNA-Gln-CTG-1-1|49</v>
      </c>
      <c r="B1127" s="4" t="s">
        <v>52</v>
      </c>
      <c r="C1127" s="4" t="s">
        <v>168</v>
      </c>
      <c r="D1127" s="4">
        <v>49</v>
      </c>
      <c r="E1127" s="22" t="s">
        <v>114</v>
      </c>
      <c r="F1127" s="10" t="s">
        <v>169</v>
      </c>
    </row>
    <row r="1128" spans="1:6">
      <c r="A1128" s="4" t="str">
        <f t="shared" si="17"/>
        <v>tRNA-Gln-CTG-1-1|50</v>
      </c>
      <c r="B1128" s="4" t="s">
        <v>52</v>
      </c>
      <c r="C1128" s="4" t="s">
        <v>170</v>
      </c>
      <c r="D1128" s="4">
        <v>50</v>
      </c>
      <c r="E1128" s="22" t="s">
        <v>116</v>
      </c>
      <c r="F1128" s="10" t="s">
        <v>169</v>
      </c>
    </row>
    <row r="1129" spans="1:6">
      <c r="A1129" s="4" t="str">
        <f t="shared" si="17"/>
        <v>tRNA-Gln-CTG-1-1|51</v>
      </c>
      <c r="B1129" s="4" t="s">
        <v>52</v>
      </c>
      <c r="C1129" s="4" t="s">
        <v>171</v>
      </c>
      <c r="D1129" s="4">
        <v>51</v>
      </c>
      <c r="E1129" s="22" t="s">
        <v>114</v>
      </c>
      <c r="F1129" s="10" t="s">
        <v>169</v>
      </c>
    </row>
    <row r="1130" spans="1:6">
      <c r="A1130" s="4" t="str">
        <f t="shared" si="17"/>
        <v>tRNA-Gln-CTG-1-1|52</v>
      </c>
      <c r="B1130" s="4" t="s">
        <v>52</v>
      </c>
      <c r="C1130" s="4" t="s">
        <v>172</v>
      </c>
      <c r="D1130" s="4">
        <v>52</v>
      </c>
      <c r="E1130" s="22" t="s">
        <v>109</v>
      </c>
      <c r="F1130" s="10" t="s">
        <v>169</v>
      </c>
    </row>
    <row r="1131" spans="1:6">
      <c r="A1131" s="4" t="str">
        <f t="shared" si="17"/>
        <v>tRNA-Gln-CTG-1-1|53</v>
      </c>
      <c r="B1131" s="4" t="s">
        <v>52</v>
      </c>
      <c r="C1131" s="4" t="s">
        <v>173</v>
      </c>
      <c r="D1131" s="4">
        <v>53</v>
      </c>
      <c r="E1131" s="22" t="s">
        <v>109</v>
      </c>
      <c r="F1131" s="10" t="s">
        <v>169</v>
      </c>
    </row>
    <row r="1132" spans="1:6">
      <c r="A1132" s="4" t="str">
        <f t="shared" si="17"/>
        <v>tRNA-Gln-CTG-1-1|54</v>
      </c>
      <c r="B1132" s="4" t="s">
        <v>52</v>
      </c>
      <c r="C1132" s="4" t="s">
        <v>174</v>
      </c>
      <c r="D1132" s="4">
        <v>54</v>
      </c>
      <c r="E1132" s="18" t="s">
        <v>116</v>
      </c>
      <c r="F1132" s="19" t="s">
        <v>175</v>
      </c>
    </row>
    <row r="1133" spans="1:6">
      <c r="A1133" s="4" t="str">
        <f t="shared" si="17"/>
        <v>tRNA-Gln-CTG-1-1|55</v>
      </c>
      <c r="B1133" s="4" t="s">
        <v>52</v>
      </c>
      <c r="C1133" s="4" t="s">
        <v>176</v>
      </c>
      <c r="D1133" s="4">
        <v>55</v>
      </c>
      <c r="E1133" s="18" t="s">
        <v>116</v>
      </c>
      <c r="F1133" s="19" t="s">
        <v>175</v>
      </c>
    </row>
    <row r="1134" spans="1:6">
      <c r="A1134" s="4" t="str">
        <f t="shared" si="17"/>
        <v>tRNA-Gln-CTG-1-1|56</v>
      </c>
      <c r="B1134" s="4" t="s">
        <v>52</v>
      </c>
      <c r="C1134" s="4" t="s">
        <v>177</v>
      </c>
      <c r="D1134" s="4">
        <v>56</v>
      </c>
      <c r="E1134" s="18" t="s">
        <v>114</v>
      </c>
      <c r="F1134" s="19" t="s">
        <v>175</v>
      </c>
    </row>
    <row r="1135" spans="1:6">
      <c r="A1135" s="4" t="str">
        <f t="shared" si="17"/>
        <v>tRNA-Gln-CTG-1-1|57</v>
      </c>
      <c r="B1135" s="4" t="s">
        <v>52</v>
      </c>
      <c r="C1135" s="4" t="s">
        <v>178</v>
      </c>
      <c r="D1135" s="4">
        <v>57</v>
      </c>
      <c r="E1135" s="18" t="s">
        <v>109</v>
      </c>
      <c r="F1135" s="19" t="s">
        <v>175</v>
      </c>
    </row>
    <row r="1136" spans="1:6">
      <c r="A1136" s="4" t="str">
        <f t="shared" si="17"/>
        <v>tRNA-Gln-CTG-1-1|58</v>
      </c>
      <c r="B1136" s="4" t="s">
        <v>52</v>
      </c>
      <c r="C1136" s="4" t="s">
        <v>179</v>
      </c>
      <c r="D1136" s="4">
        <v>58</v>
      </c>
      <c r="E1136" s="18" t="s">
        <v>122</v>
      </c>
      <c r="F1136" s="19" t="s">
        <v>175</v>
      </c>
    </row>
    <row r="1137" spans="1:6">
      <c r="A1137" s="4" t="str">
        <f t="shared" si="17"/>
        <v>tRNA-Gln-CTG-1-1|59</v>
      </c>
      <c r="B1137" s="4" t="s">
        <v>52</v>
      </c>
      <c r="C1137" s="4" t="s">
        <v>180</v>
      </c>
      <c r="D1137" s="4">
        <v>59</v>
      </c>
      <c r="E1137" s="18" t="s">
        <v>122</v>
      </c>
      <c r="F1137" s="19" t="s">
        <v>175</v>
      </c>
    </row>
    <row r="1138" spans="1:6">
      <c r="A1138" s="4" t="str">
        <f t="shared" si="17"/>
        <v>tRNA-Gln-CTG-1-1|60</v>
      </c>
      <c r="B1138" s="4" t="s">
        <v>52</v>
      </c>
      <c r="C1138" s="4" t="s">
        <v>181</v>
      </c>
      <c r="D1138" s="4">
        <v>60</v>
      </c>
      <c r="E1138" s="18" t="s">
        <v>116</v>
      </c>
      <c r="F1138" s="19" t="s">
        <v>175</v>
      </c>
    </row>
    <row r="1139" spans="1:6">
      <c r="A1139" s="4" t="str">
        <f t="shared" si="17"/>
        <v>tRNA-Gln-CTG-1-1|61</v>
      </c>
      <c r="B1139" s="4" t="s">
        <v>52</v>
      </c>
      <c r="C1139" s="4" t="s">
        <v>182</v>
      </c>
      <c r="D1139" s="4">
        <v>61</v>
      </c>
      <c r="E1139" s="22" t="s">
        <v>114</v>
      </c>
      <c r="F1139" s="10" t="s">
        <v>169</v>
      </c>
    </row>
    <row r="1140" spans="1:6">
      <c r="A1140" s="4" t="str">
        <f t="shared" si="17"/>
        <v>tRNA-Gln-CTG-1-1|62</v>
      </c>
      <c r="B1140" s="4" t="s">
        <v>52</v>
      </c>
      <c r="C1140" s="4" t="s">
        <v>183</v>
      </c>
      <c r="D1140" s="4">
        <v>62</v>
      </c>
      <c r="E1140" s="22" t="s">
        <v>114</v>
      </c>
      <c r="F1140" s="10" t="s">
        <v>169</v>
      </c>
    </row>
    <row r="1141" spans="1:6">
      <c r="A1141" s="4" t="str">
        <f t="shared" si="17"/>
        <v>tRNA-Gln-CTG-1-1|63</v>
      </c>
      <c r="B1141" s="4" t="s">
        <v>52</v>
      </c>
      <c r="C1141" s="4" t="s">
        <v>184</v>
      </c>
      <c r="D1141" s="4">
        <v>63</v>
      </c>
      <c r="E1141" s="22" t="s">
        <v>109</v>
      </c>
      <c r="F1141" s="10" t="s">
        <v>169</v>
      </c>
    </row>
    <row r="1142" spans="1:6">
      <c r="A1142" s="4" t="str">
        <f t="shared" si="17"/>
        <v>tRNA-Gln-CTG-1-1|64</v>
      </c>
      <c r="B1142" s="4" t="s">
        <v>52</v>
      </c>
      <c r="C1142" s="4" t="s">
        <v>185</v>
      </c>
      <c r="D1142" s="4">
        <v>64</v>
      </c>
      <c r="E1142" s="22" t="s">
        <v>116</v>
      </c>
      <c r="F1142" s="10" t="s">
        <v>169</v>
      </c>
    </row>
    <row r="1143" spans="1:6">
      <c r="A1143" s="4" t="str">
        <f t="shared" si="17"/>
        <v>tRNA-Gln-CTG-1-1|65</v>
      </c>
      <c r="B1143" s="4" t="s">
        <v>52</v>
      </c>
      <c r="C1143" s="4" t="s">
        <v>186</v>
      </c>
      <c r="D1143" s="4">
        <v>65</v>
      </c>
      <c r="E1143" s="22" t="s">
        <v>109</v>
      </c>
      <c r="F1143" s="10" t="s">
        <v>169</v>
      </c>
    </row>
    <row r="1144" spans="1:6">
      <c r="A1144" s="4" t="str">
        <f t="shared" si="17"/>
        <v>tRNA-Gln-CTG-1-1|66</v>
      </c>
      <c r="B1144" s="4" t="s">
        <v>52</v>
      </c>
      <c r="C1144" s="4" t="s">
        <v>187</v>
      </c>
      <c r="D1144" s="4">
        <v>66</v>
      </c>
      <c r="E1144" s="16" t="s">
        <v>114</v>
      </c>
      <c r="F1144" s="17" t="s">
        <v>110</v>
      </c>
    </row>
    <row r="1145" spans="1:6">
      <c r="A1145" s="4" t="str">
        <f t="shared" si="17"/>
        <v>tRNA-Gln-CTG-1-1|67</v>
      </c>
      <c r="B1145" s="4" t="s">
        <v>52</v>
      </c>
      <c r="C1145" s="4" t="s">
        <v>188</v>
      </c>
      <c r="D1145" s="4">
        <v>67</v>
      </c>
      <c r="E1145" s="16" t="s">
        <v>114</v>
      </c>
      <c r="F1145" s="17" t="s">
        <v>110</v>
      </c>
    </row>
    <row r="1146" spans="1:6">
      <c r="A1146" s="4" t="str">
        <f t="shared" si="17"/>
        <v>tRNA-Gln-CTG-1-1|68</v>
      </c>
      <c r="B1146" s="4" t="s">
        <v>52</v>
      </c>
      <c r="C1146" s="4" t="s">
        <v>189</v>
      </c>
      <c r="D1146" s="4">
        <v>68</v>
      </c>
      <c r="E1146" s="16" t="s">
        <v>109</v>
      </c>
      <c r="F1146" s="17" t="s">
        <v>110</v>
      </c>
    </row>
    <row r="1147" spans="1:6">
      <c r="A1147" s="4" t="str">
        <f t="shared" si="17"/>
        <v>tRNA-Gln-CTG-1-1|69</v>
      </c>
      <c r="B1147" s="4" t="s">
        <v>52</v>
      </c>
      <c r="C1147" s="4" t="s">
        <v>190</v>
      </c>
      <c r="D1147" s="4">
        <v>69</v>
      </c>
      <c r="E1147" s="16" t="s">
        <v>109</v>
      </c>
      <c r="F1147" s="17" t="s">
        <v>110</v>
      </c>
    </row>
    <row r="1148" spans="1:6">
      <c r="A1148" s="4" t="str">
        <f t="shared" si="17"/>
        <v>tRNA-Gln-CTG-1-1|70</v>
      </c>
      <c r="B1148" s="4" t="s">
        <v>52</v>
      </c>
      <c r="C1148" s="4" t="s">
        <v>191</v>
      </c>
      <c r="D1148" s="4">
        <v>70</v>
      </c>
      <c r="E1148" s="16" t="s">
        <v>109</v>
      </c>
      <c r="F1148" s="17" t="s">
        <v>110</v>
      </c>
    </row>
    <row r="1149" spans="1:6">
      <c r="A1149" s="4" t="str">
        <f t="shared" si="17"/>
        <v>tRNA-Gln-CTG-1-1|71</v>
      </c>
      <c r="B1149" s="4" t="s">
        <v>52</v>
      </c>
      <c r="C1149" s="4" t="s">
        <v>192</v>
      </c>
      <c r="D1149" s="4">
        <v>71</v>
      </c>
      <c r="E1149" s="16" t="s">
        <v>114</v>
      </c>
      <c r="F1149" s="17" t="s">
        <v>110</v>
      </c>
    </row>
    <row r="1150" spans="1:6">
      <c r="A1150" s="4" t="str">
        <f t="shared" si="17"/>
        <v>tRNA-Gln-CTG-1-1|72</v>
      </c>
      <c r="B1150" s="4" t="s">
        <v>52</v>
      </c>
      <c r="C1150" s="4" t="s">
        <v>193</v>
      </c>
      <c r="D1150" s="4">
        <v>72</v>
      </c>
      <c r="E1150" s="16" t="s">
        <v>116</v>
      </c>
      <c r="F1150" s="17" t="s">
        <v>110</v>
      </c>
    </row>
    <row r="1151" spans="1:6">
      <c r="A1151" s="4" t="str">
        <f t="shared" si="17"/>
        <v>tRNA-Gln-TTG-1-1|1</v>
      </c>
      <c r="B1151" s="4" t="s">
        <v>53</v>
      </c>
      <c r="C1151" s="4" t="s">
        <v>108</v>
      </c>
      <c r="D1151" s="4">
        <v>1</v>
      </c>
      <c r="E1151" s="16" t="s">
        <v>122</v>
      </c>
      <c r="F1151" s="17" t="s">
        <v>110</v>
      </c>
    </row>
    <row r="1152" spans="1:6">
      <c r="A1152" s="4" t="str">
        <f t="shared" si="17"/>
        <v>tRNA-Gln-TTG-1-1|2</v>
      </c>
      <c r="B1152" s="4" t="s">
        <v>53</v>
      </c>
      <c r="C1152" s="4" t="s">
        <v>111</v>
      </c>
      <c r="D1152" s="4">
        <v>2</v>
      </c>
      <c r="E1152" s="16" t="s">
        <v>109</v>
      </c>
      <c r="F1152" s="17" t="s">
        <v>110</v>
      </c>
    </row>
    <row r="1153" spans="1:6">
      <c r="A1153" s="4" t="str">
        <f t="shared" si="17"/>
        <v>tRNA-Gln-TTG-1-1|3</v>
      </c>
      <c r="B1153" s="4" t="s">
        <v>53</v>
      </c>
      <c r="C1153" s="4" t="s">
        <v>112</v>
      </c>
      <c r="D1153" s="4">
        <v>3</v>
      </c>
      <c r="E1153" s="16" t="s">
        <v>116</v>
      </c>
      <c r="F1153" s="17" t="s">
        <v>110</v>
      </c>
    </row>
    <row r="1154" spans="1:6">
      <c r="A1154" s="4" t="str">
        <f t="shared" ref="A1154:A1217" si="18">B1154&amp;"|"&amp;C1154</f>
        <v>tRNA-Gln-TTG-1-1|4</v>
      </c>
      <c r="B1154" s="4" t="s">
        <v>53</v>
      </c>
      <c r="C1154" s="4" t="s">
        <v>113</v>
      </c>
      <c r="D1154" s="4">
        <v>4</v>
      </c>
      <c r="E1154" s="16" t="s">
        <v>114</v>
      </c>
      <c r="F1154" s="17" t="s">
        <v>110</v>
      </c>
    </row>
    <row r="1155" spans="1:6">
      <c r="A1155" s="4" t="str">
        <f t="shared" si="18"/>
        <v>tRNA-Gln-TTG-1-1|5</v>
      </c>
      <c r="B1155" s="4" t="s">
        <v>53</v>
      </c>
      <c r="C1155" s="4" t="s">
        <v>115</v>
      </c>
      <c r="D1155" s="4">
        <v>5</v>
      </c>
      <c r="E1155" s="16" t="s">
        <v>114</v>
      </c>
      <c r="F1155" s="17" t="s">
        <v>110</v>
      </c>
    </row>
    <row r="1156" spans="1:6">
      <c r="A1156" s="4" t="str">
        <f t="shared" si="18"/>
        <v>tRNA-Gln-TTG-1-1|6</v>
      </c>
      <c r="B1156" s="4" t="s">
        <v>53</v>
      </c>
      <c r="C1156" s="4" t="s">
        <v>117</v>
      </c>
      <c r="D1156" s="4">
        <v>6</v>
      </c>
      <c r="E1156" s="16" t="s">
        <v>116</v>
      </c>
      <c r="F1156" s="17" t="s">
        <v>110</v>
      </c>
    </row>
    <row r="1157" spans="1:6">
      <c r="A1157" s="4" t="str">
        <f t="shared" si="18"/>
        <v>tRNA-Gln-TTG-1-1|7</v>
      </c>
      <c r="B1157" s="4" t="s">
        <v>53</v>
      </c>
      <c r="C1157" s="4" t="s">
        <v>118</v>
      </c>
      <c r="D1157" s="4">
        <v>7</v>
      </c>
      <c r="E1157" s="16" t="s">
        <v>109</v>
      </c>
      <c r="F1157" s="17" t="s">
        <v>110</v>
      </c>
    </row>
    <row r="1158" spans="1:6">
      <c r="A1158" s="4" t="str">
        <f t="shared" si="18"/>
        <v>tRNA-Gln-TTG-1-1|8</v>
      </c>
      <c r="B1158" s="4" t="s">
        <v>53</v>
      </c>
      <c r="C1158" s="4" t="s">
        <v>119</v>
      </c>
      <c r="D1158" s="4">
        <v>8</v>
      </c>
      <c r="E1158" s="3" t="s">
        <v>116</v>
      </c>
      <c r="F1158" s="4" t="s">
        <v>120</v>
      </c>
    </row>
    <row r="1159" spans="1:6">
      <c r="A1159" s="4" t="str">
        <f t="shared" si="18"/>
        <v>tRNA-Gln-TTG-1-1|9</v>
      </c>
      <c r="B1159" s="4" t="s">
        <v>53</v>
      </c>
      <c r="C1159" s="4" t="s">
        <v>121</v>
      </c>
      <c r="D1159" s="4">
        <v>9</v>
      </c>
      <c r="E1159" s="3" t="s">
        <v>122</v>
      </c>
      <c r="F1159" s="4" t="s">
        <v>123</v>
      </c>
    </row>
    <row r="1160" spans="1:6">
      <c r="A1160" s="4" t="str">
        <f t="shared" si="18"/>
        <v>tRNA-Gln-TTG-1-1|10</v>
      </c>
      <c r="B1160" s="4" t="s">
        <v>53</v>
      </c>
      <c r="C1160" s="4" t="s">
        <v>124</v>
      </c>
      <c r="D1160" s="4">
        <v>10</v>
      </c>
      <c r="E1160" s="8" t="s">
        <v>109</v>
      </c>
      <c r="F1160" s="7" t="s">
        <v>125</v>
      </c>
    </row>
    <row r="1161" spans="1:6">
      <c r="A1161" s="4" t="str">
        <f t="shared" si="18"/>
        <v>tRNA-Gln-TTG-1-1|11</v>
      </c>
      <c r="B1161" s="4" t="s">
        <v>53</v>
      </c>
      <c r="C1161" s="4" t="s">
        <v>126</v>
      </c>
      <c r="D1161" s="4">
        <v>11</v>
      </c>
      <c r="E1161" s="8" t="s">
        <v>109</v>
      </c>
      <c r="F1161" s="7" t="s">
        <v>125</v>
      </c>
    </row>
    <row r="1162" spans="1:6">
      <c r="A1162" s="4" t="str">
        <f t="shared" si="18"/>
        <v>tRNA-Gln-TTG-1-1|12</v>
      </c>
      <c r="B1162" s="4" t="s">
        <v>53</v>
      </c>
      <c r="C1162" s="4" t="s">
        <v>127</v>
      </c>
      <c r="D1162" s="4">
        <v>12</v>
      </c>
      <c r="E1162" s="8" t="s">
        <v>109</v>
      </c>
      <c r="F1162" s="7" t="s">
        <v>125</v>
      </c>
    </row>
    <row r="1163" spans="1:6">
      <c r="A1163" s="4" t="str">
        <f t="shared" si="18"/>
        <v>tRNA-Gln-TTG-1-1|13</v>
      </c>
      <c r="B1163" s="4" t="s">
        <v>53</v>
      </c>
      <c r="C1163" s="4" t="s">
        <v>128</v>
      </c>
      <c r="D1163" s="4">
        <v>13</v>
      </c>
      <c r="E1163" s="8" t="s">
        <v>116</v>
      </c>
      <c r="F1163" s="7" t="s">
        <v>125</v>
      </c>
    </row>
    <row r="1164" spans="1:6">
      <c r="A1164" s="4" t="str">
        <f t="shared" si="18"/>
        <v>tRNA-Gln-TTG-1-1|14</v>
      </c>
      <c r="B1164" s="4" t="s">
        <v>53</v>
      </c>
      <c r="C1164" s="4" t="s">
        <v>129</v>
      </c>
      <c r="D1164" s="4">
        <v>14</v>
      </c>
      <c r="E1164" s="18" t="s">
        <v>122</v>
      </c>
      <c r="F1164" s="19" t="s">
        <v>130</v>
      </c>
    </row>
    <row r="1165" spans="1:6">
      <c r="A1165" s="4" t="str">
        <f t="shared" si="18"/>
        <v>tRNA-Gln-TTG-1-1|15</v>
      </c>
      <c r="B1165" s="4" t="s">
        <v>53</v>
      </c>
      <c r="C1165" s="4" t="s">
        <v>131</v>
      </c>
      <c r="D1165" s="4">
        <v>15</v>
      </c>
      <c r="E1165" s="18" t="s">
        <v>109</v>
      </c>
      <c r="F1165" s="19" t="s">
        <v>130</v>
      </c>
    </row>
    <row r="1166" spans="1:6">
      <c r="A1166" s="4" t="str">
        <f t="shared" si="18"/>
        <v>tRNA-Gln-TTG-1-1|16</v>
      </c>
      <c r="B1166" s="4" t="s">
        <v>53</v>
      </c>
      <c r="C1166" s="4" t="s">
        <v>194</v>
      </c>
      <c r="D1166" s="4">
        <v>16</v>
      </c>
      <c r="E1166" s="18" t="s">
        <v>116</v>
      </c>
      <c r="F1166" s="19" t="s">
        <v>130</v>
      </c>
    </row>
    <row r="1167" spans="1:6">
      <c r="A1167" s="4" t="str">
        <f t="shared" si="18"/>
        <v>tRNA-Gln-TTG-1-1|18</v>
      </c>
      <c r="B1167" s="4" t="s">
        <v>53</v>
      </c>
      <c r="C1167" s="4" t="s">
        <v>132</v>
      </c>
      <c r="D1167" s="4">
        <v>17</v>
      </c>
      <c r="E1167" s="18" t="s">
        <v>109</v>
      </c>
      <c r="F1167" s="19" t="s">
        <v>130</v>
      </c>
    </row>
    <row r="1168" spans="1:6">
      <c r="A1168" s="4" t="str">
        <f t="shared" si="18"/>
        <v>tRNA-Gln-TTG-1-1|19</v>
      </c>
      <c r="B1168" s="4" t="s">
        <v>53</v>
      </c>
      <c r="C1168" s="4" t="s">
        <v>133</v>
      </c>
      <c r="D1168" s="4">
        <v>18</v>
      </c>
      <c r="E1168" s="18" t="s">
        <v>109</v>
      </c>
      <c r="F1168" s="19" t="s">
        <v>130</v>
      </c>
    </row>
    <row r="1169" spans="1:6">
      <c r="A1169" s="4" t="str">
        <f t="shared" si="18"/>
        <v>tRNA-Gln-TTG-1-1|20</v>
      </c>
      <c r="B1169" s="4" t="s">
        <v>53</v>
      </c>
      <c r="C1169" s="4" t="s">
        <v>134</v>
      </c>
      <c r="D1169" s="4">
        <v>19</v>
      </c>
      <c r="E1169" s="18" t="s">
        <v>116</v>
      </c>
      <c r="F1169" s="19" t="s">
        <v>130</v>
      </c>
    </row>
    <row r="1170" spans="1:6">
      <c r="A1170" s="4" t="str">
        <f t="shared" si="18"/>
        <v>tRNA-Gln-TTG-1-1|20a</v>
      </c>
      <c r="B1170" s="4" t="s">
        <v>53</v>
      </c>
      <c r="C1170" s="4" t="s">
        <v>135</v>
      </c>
      <c r="D1170" s="4">
        <v>20</v>
      </c>
      <c r="E1170" s="18" t="s">
        <v>114</v>
      </c>
      <c r="F1170" s="19" t="s">
        <v>130</v>
      </c>
    </row>
    <row r="1171" spans="1:6">
      <c r="A1171" s="4" t="str">
        <f t="shared" si="18"/>
        <v>tRNA-Gln-TTG-1-1|20b</v>
      </c>
      <c r="B1171" s="4" t="s">
        <v>53</v>
      </c>
      <c r="C1171" s="4" t="s">
        <v>197</v>
      </c>
      <c r="D1171" s="4">
        <v>21</v>
      </c>
      <c r="E1171" s="18" t="s">
        <v>122</v>
      </c>
      <c r="F1171" s="19" t="s">
        <v>130</v>
      </c>
    </row>
    <row r="1172" spans="1:6">
      <c r="A1172" s="4" t="str">
        <f t="shared" si="18"/>
        <v>tRNA-Gln-TTG-1-1|21</v>
      </c>
      <c r="B1172" s="4" t="s">
        <v>53</v>
      </c>
      <c r="C1172" s="4" t="s">
        <v>136</v>
      </c>
      <c r="D1172" s="4">
        <v>22</v>
      </c>
      <c r="E1172" s="18" t="s">
        <v>122</v>
      </c>
      <c r="F1172" s="19" t="s">
        <v>130</v>
      </c>
    </row>
    <row r="1173" spans="1:6">
      <c r="A1173" s="4" t="str">
        <f t="shared" si="18"/>
        <v>tRNA-Gln-TTG-1-1|22</v>
      </c>
      <c r="B1173" s="4" t="s">
        <v>53</v>
      </c>
      <c r="C1173" s="4" t="s">
        <v>137</v>
      </c>
      <c r="D1173" s="4">
        <v>23</v>
      </c>
      <c r="E1173" s="8" t="s">
        <v>116</v>
      </c>
      <c r="F1173" s="7" t="s">
        <v>125</v>
      </c>
    </row>
    <row r="1174" spans="1:6">
      <c r="A1174" s="4" t="str">
        <f t="shared" si="18"/>
        <v>tRNA-Gln-TTG-1-1|23</v>
      </c>
      <c r="B1174" s="4" t="s">
        <v>53</v>
      </c>
      <c r="C1174" s="4" t="s">
        <v>138</v>
      </c>
      <c r="D1174" s="4">
        <v>24</v>
      </c>
      <c r="E1174" s="8" t="s">
        <v>114</v>
      </c>
      <c r="F1174" s="7" t="s">
        <v>125</v>
      </c>
    </row>
    <row r="1175" spans="1:6">
      <c r="A1175" s="4" t="str">
        <f t="shared" si="18"/>
        <v>tRNA-Gln-TTG-1-1|24</v>
      </c>
      <c r="B1175" s="4" t="s">
        <v>53</v>
      </c>
      <c r="C1175" s="4" t="s">
        <v>139</v>
      </c>
      <c r="D1175" s="4">
        <v>25</v>
      </c>
      <c r="E1175" s="8" t="s">
        <v>114</v>
      </c>
      <c r="F1175" s="7" t="s">
        <v>125</v>
      </c>
    </row>
    <row r="1176" spans="1:6">
      <c r="A1176" s="4" t="str">
        <f t="shared" si="18"/>
        <v>tRNA-Gln-TTG-1-1|25</v>
      </c>
      <c r="B1176" s="4" t="s">
        <v>53</v>
      </c>
      <c r="C1176" s="4" t="s">
        <v>140</v>
      </c>
      <c r="D1176" s="4">
        <v>26</v>
      </c>
      <c r="E1176" s="8" t="s">
        <v>116</v>
      </c>
      <c r="F1176" s="7" t="s">
        <v>125</v>
      </c>
    </row>
    <row r="1177" spans="1:6">
      <c r="A1177" s="4" t="str">
        <f t="shared" si="18"/>
        <v>tRNA-Gln-TTG-1-1|26</v>
      </c>
      <c r="B1177" s="4" t="s">
        <v>53</v>
      </c>
      <c r="C1177" s="4" t="s">
        <v>141</v>
      </c>
      <c r="D1177" s="4">
        <v>27</v>
      </c>
      <c r="E1177" s="3" t="s">
        <v>116</v>
      </c>
      <c r="F1177" s="4" t="s">
        <v>142</v>
      </c>
    </row>
    <row r="1178" spans="1:6">
      <c r="A1178" s="4" t="str">
        <f t="shared" si="18"/>
        <v>tRNA-Gln-TTG-1-1|27</v>
      </c>
      <c r="B1178" s="4" t="s">
        <v>53</v>
      </c>
      <c r="C1178" s="4" t="s">
        <v>143</v>
      </c>
      <c r="D1178" s="4">
        <v>28</v>
      </c>
      <c r="E1178" s="20" t="s">
        <v>114</v>
      </c>
      <c r="F1178" s="21" t="s">
        <v>144</v>
      </c>
    </row>
    <row r="1179" spans="1:6">
      <c r="A1179" s="4" t="str">
        <f t="shared" si="18"/>
        <v>tRNA-Gln-TTG-1-1|28</v>
      </c>
      <c r="B1179" s="4" t="s">
        <v>53</v>
      </c>
      <c r="C1179" s="4" t="s">
        <v>145</v>
      </c>
      <c r="D1179" s="4">
        <v>29</v>
      </c>
      <c r="E1179" s="20" t="s">
        <v>109</v>
      </c>
      <c r="F1179" s="21" t="s">
        <v>144</v>
      </c>
    </row>
    <row r="1180" spans="1:6">
      <c r="A1180" s="4" t="str">
        <f t="shared" si="18"/>
        <v>tRNA-Gln-TTG-1-1|29</v>
      </c>
      <c r="B1180" s="4" t="s">
        <v>53</v>
      </c>
      <c r="C1180" s="4" t="s">
        <v>146</v>
      </c>
      <c r="D1180" s="4">
        <v>30</v>
      </c>
      <c r="E1180" s="20" t="s">
        <v>109</v>
      </c>
      <c r="F1180" s="21" t="s">
        <v>144</v>
      </c>
    </row>
    <row r="1181" spans="1:6">
      <c r="A1181" s="4" t="str">
        <f t="shared" si="18"/>
        <v>tRNA-Gln-TTG-1-1|30</v>
      </c>
      <c r="B1181" s="4" t="s">
        <v>53</v>
      </c>
      <c r="C1181" s="4" t="s">
        <v>147</v>
      </c>
      <c r="D1181" s="4">
        <v>31</v>
      </c>
      <c r="E1181" s="20" t="s">
        <v>109</v>
      </c>
      <c r="F1181" s="21" t="s">
        <v>144</v>
      </c>
    </row>
    <row r="1182" spans="1:6">
      <c r="A1182" s="4" t="str">
        <f t="shared" si="18"/>
        <v>tRNA-Gln-TTG-1-1|31</v>
      </c>
      <c r="B1182" s="4" t="s">
        <v>53</v>
      </c>
      <c r="C1182" s="4" t="s">
        <v>148</v>
      </c>
      <c r="D1182" s="4">
        <v>32</v>
      </c>
      <c r="E1182" s="20" t="s">
        <v>114</v>
      </c>
      <c r="F1182" s="21" t="s">
        <v>144</v>
      </c>
    </row>
    <row r="1183" spans="1:6">
      <c r="A1183" s="4" t="str">
        <f t="shared" si="18"/>
        <v>tRNA-Gln-TTG-1-1|32</v>
      </c>
      <c r="B1183" s="4" t="s">
        <v>53</v>
      </c>
      <c r="C1183" s="4" t="s">
        <v>149</v>
      </c>
      <c r="D1183" s="4">
        <v>33</v>
      </c>
      <c r="E1183" s="18" t="s">
        <v>114</v>
      </c>
      <c r="F1183" s="19" t="s">
        <v>150</v>
      </c>
    </row>
    <row r="1184" spans="1:6">
      <c r="A1184" s="4" t="str">
        <f t="shared" si="18"/>
        <v>tRNA-Gln-TTG-1-1|33</v>
      </c>
      <c r="B1184" s="4" t="s">
        <v>53</v>
      </c>
      <c r="C1184" s="4" t="s">
        <v>151</v>
      </c>
      <c r="D1184" s="4">
        <v>34</v>
      </c>
      <c r="E1184" s="18" t="s">
        <v>116</v>
      </c>
      <c r="F1184" s="19" t="s">
        <v>150</v>
      </c>
    </row>
    <row r="1185" spans="1:6">
      <c r="A1185" s="4" t="str">
        <f t="shared" si="18"/>
        <v>tRNA-Gln-TTG-1-1|34</v>
      </c>
      <c r="B1185" s="4" t="s">
        <v>53</v>
      </c>
      <c r="C1185" s="4" t="s">
        <v>152</v>
      </c>
      <c r="D1185" s="4">
        <v>35</v>
      </c>
      <c r="E1185" s="18" t="s">
        <v>116</v>
      </c>
      <c r="F1185" s="19" t="s">
        <v>150</v>
      </c>
    </row>
    <row r="1186" spans="1:6">
      <c r="A1186" s="4" t="str">
        <f t="shared" si="18"/>
        <v>tRNA-Gln-TTG-1-1|35</v>
      </c>
      <c r="B1186" s="4" t="s">
        <v>53</v>
      </c>
      <c r="C1186" s="4" t="s">
        <v>153</v>
      </c>
      <c r="D1186" s="4">
        <v>36</v>
      </c>
      <c r="E1186" s="18" t="s">
        <v>116</v>
      </c>
      <c r="F1186" s="19" t="s">
        <v>150</v>
      </c>
    </row>
    <row r="1187" spans="1:6">
      <c r="A1187" s="4" t="str">
        <f t="shared" si="18"/>
        <v>tRNA-Gln-TTG-1-1|36</v>
      </c>
      <c r="B1187" s="4" t="s">
        <v>53</v>
      </c>
      <c r="C1187" s="4" t="s">
        <v>154</v>
      </c>
      <c r="D1187" s="4">
        <v>37</v>
      </c>
      <c r="E1187" s="18" t="s">
        <v>109</v>
      </c>
      <c r="F1187" s="19" t="s">
        <v>150</v>
      </c>
    </row>
    <row r="1188" spans="1:6">
      <c r="A1188" s="4" t="str">
        <f t="shared" si="18"/>
        <v>tRNA-Gln-TTG-1-1|37</v>
      </c>
      <c r="B1188" s="4" t="s">
        <v>53</v>
      </c>
      <c r="C1188" s="4" t="s">
        <v>155</v>
      </c>
      <c r="D1188" s="4">
        <v>38</v>
      </c>
      <c r="E1188" s="18" t="s">
        <v>109</v>
      </c>
      <c r="F1188" s="19" t="s">
        <v>150</v>
      </c>
    </row>
    <row r="1189" spans="1:6">
      <c r="A1189" s="4" t="str">
        <f t="shared" si="18"/>
        <v>tRNA-Gln-TTG-1-1|38</v>
      </c>
      <c r="B1189" s="4" t="s">
        <v>53</v>
      </c>
      <c r="C1189" s="4" t="s">
        <v>156</v>
      </c>
      <c r="D1189" s="4">
        <v>39</v>
      </c>
      <c r="E1189" s="18" t="s">
        <v>122</v>
      </c>
      <c r="F1189" s="19" t="s">
        <v>150</v>
      </c>
    </row>
    <row r="1190" spans="1:6">
      <c r="A1190" s="4" t="str">
        <f t="shared" si="18"/>
        <v>tRNA-Gln-TTG-1-1|39</v>
      </c>
      <c r="B1190" s="4" t="s">
        <v>53</v>
      </c>
      <c r="C1190" s="4" t="s">
        <v>157</v>
      </c>
      <c r="D1190" s="4">
        <v>40</v>
      </c>
      <c r="E1190" s="20" t="s">
        <v>109</v>
      </c>
      <c r="F1190" s="21" t="s">
        <v>144</v>
      </c>
    </row>
    <row r="1191" spans="1:6">
      <c r="A1191" s="4" t="str">
        <f t="shared" si="18"/>
        <v>tRNA-Gln-TTG-1-1|40</v>
      </c>
      <c r="B1191" s="4" t="s">
        <v>53</v>
      </c>
      <c r="C1191" s="4" t="s">
        <v>158</v>
      </c>
      <c r="D1191" s="4">
        <v>41</v>
      </c>
      <c r="E1191" s="20" t="s">
        <v>114</v>
      </c>
      <c r="F1191" s="21" t="s">
        <v>144</v>
      </c>
    </row>
    <row r="1192" spans="1:6">
      <c r="A1192" s="4" t="str">
        <f t="shared" si="18"/>
        <v>tRNA-Gln-TTG-1-1|41</v>
      </c>
      <c r="B1192" s="4" t="s">
        <v>53</v>
      </c>
      <c r="C1192" s="4" t="s">
        <v>159</v>
      </c>
      <c r="D1192" s="4">
        <v>42</v>
      </c>
      <c r="E1192" s="20" t="s">
        <v>114</v>
      </c>
      <c r="F1192" s="21" t="s">
        <v>144</v>
      </c>
    </row>
    <row r="1193" spans="1:6">
      <c r="A1193" s="4" t="str">
        <f t="shared" si="18"/>
        <v>tRNA-Gln-TTG-1-1|42</v>
      </c>
      <c r="B1193" s="4" t="s">
        <v>53</v>
      </c>
      <c r="C1193" s="4" t="s">
        <v>160</v>
      </c>
      <c r="D1193" s="4">
        <v>43</v>
      </c>
      <c r="E1193" s="20" t="s">
        <v>114</v>
      </c>
      <c r="F1193" s="21" t="s">
        <v>144</v>
      </c>
    </row>
    <row r="1194" spans="1:6">
      <c r="A1194" s="4" t="str">
        <f t="shared" si="18"/>
        <v>tRNA-Gln-TTG-1-1|43</v>
      </c>
      <c r="B1194" s="4" t="s">
        <v>53</v>
      </c>
      <c r="C1194" s="4" t="s">
        <v>161</v>
      </c>
      <c r="D1194" s="4">
        <v>44</v>
      </c>
      <c r="E1194" s="20" t="s">
        <v>109</v>
      </c>
      <c r="F1194" s="21" t="s">
        <v>144</v>
      </c>
    </row>
    <row r="1195" spans="1:6">
      <c r="A1195" s="4" t="str">
        <f t="shared" si="18"/>
        <v>tRNA-Gln-TTG-1-1|44</v>
      </c>
      <c r="B1195" s="4" t="s">
        <v>53</v>
      </c>
      <c r="C1195" s="4" t="s">
        <v>162</v>
      </c>
      <c r="D1195" s="4">
        <v>45</v>
      </c>
      <c r="E1195" s="18" t="s">
        <v>109</v>
      </c>
      <c r="F1195" s="19" t="s">
        <v>163</v>
      </c>
    </row>
    <row r="1196" spans="1:6">
      <c r="A1196" s="4" t="str">
        <f t="shared" si="18"/>
        <v>tRNA-Gln-TTG-1-1|45</v>
      </c>
      <c r="B1196" s="4" t="s">
        <v>53</v>
      </c>
      <c r="C1196" s="4" t="s">
        <v>164</v>
      </c>
      <c r="D1196" s="4">
        <v>46</v>
      </c>
      <c r="E1196" s="18" t="s">
        <v>109</v>
      </c>
      <c r="F1196" s="19" t="s">
        <v>163</v>
      </c>
    </row>
    <row r="1197" spans="1:6">
      <c r="A1197" s="4" t="str">
        <f t="shared" si="18"/>
        <v>tRNA-Gln-TTG-1-1|46</v>
      </c>
      <c r="B1197" s="4" t="s">
        <v>53</v>
      </c>
      <c r="C1197" s="4" t="s">
        <v>165</v>
      </c>
      <c r="D1197" s="4">
        <v>47</v>
      </c>
      <c r="E1197" s="18" t="s">
        <v>122</v>
      </c>
      <c r="F1197" s="19" t="s">
        <v>163</v>
      </c>
    </row>
    <row r="1198" spans="1:6">
      <c r="A1198" s="4" t="str">
        <f t="shared" si="18"/>
        <v>tRNA-Gln-TTG-1-1|48</v>
      </c>
      <c r="B1198" s="4" t="s">
        <v>53</v>
      </c>
      <c r="C1198" s="4" t="s">
        <v>167</v>
      </c>
      <c r="D1198" s="4">
        <v>48</v>
      </c>
      <c r="E1198" s="18" t="s">
        <v>114</v>
      </c>
      <c r="F1198" s="19" t="s">
        <v>163</v>
      </c>
    </row>
    <row r="1199" spans="1:6">
      <c r="A1199" s="4" t="str">
        <f t="shared" si="18"/>
        <v>tRNA-Gln-TTG-1-1|49</v>
      </c>
      <c r="B1199" s="4" t="s">
        <v>53</v>
      </c>
      <c r="C1199" s="4" t="s">
        <v>168</v>
      </c>
      <c r="D1199" s="4">
        <v>49</v>
      </c>
      <c r="E1199" s="22" t="s">
        <v>122</v>
      </c>
      <c r="F1199" s="10" t="s">
        <v>169</v>
      </c>
    </row>
    <row r="1200" spans="1:6">
      <c r="A1200" s="4" t="str">
        <f t="shared" si="18"/>
        <v>tRNA-Gln-TTG-1-1|50</v>
      </c>
      <c r="B1200" s="4" t="s">
        <v>53</v>
      </c>
      <c r="C1200" s="4" t="s">
        <v>170</v>
      </c>
      <c r="D1200" s="4">
        <v>50</v>
      </c>
      <c r="E1200" s="22" t="s">
        <v>109</v>
      </c>
      <c r="F1200" s="10" t="s">
        <v>169</v>
      </c>
    </row>
    <row r="1201" spans="1:6">
      <c r="A1201" s="4" t="str">
        <f t="shared" si="18"/>
        <v>tRNA-Gln-TTG-1-1|51</v>
      </c>
      <c r="B1201" s="4" t="s">
        <v>53</v>
      </c>
      <c r="C1201" s="4" t="s">
        <v>171</v>
      </c>
      <c r="D1201" s="4">
        <v>51</v>
      </c>
      <c r="E1201" s="22" t="s">
        <v>114</v>
      </c>
      <c r="F1201" s="10" t="s">
        <v>169</v>
      </c>
    </row>
    <row r="1202" spans="1:6">
      <c r="A1202" s="4" t="str">
        <f t="shared" si="18"/>
        <v>tRNA-Gln-TTG-1-1|52</v>
      </c>
      <c r="B1202" s="4" t="s">
        <v>53</v>
      </c>
      <c r="C1202" s="4" t="s">
        <v>172</v>
      </c>
      <c r="D1202" s="4">
        <v>52</v>
      </c>
      <c r="E1202" s="22" t="s">
        <v>109</v>
      </c>
      <c r="F1202" s="10" t="s">
        <v>169</v>
      </c>
    </row>
    <row r="1203" spans="1:6">
      <c r="A1203" s="4" t="str">
        <f t="shared" si="18"/>
        <v>tRNA-Gln-TTG-1-1|53</v>
      </c>
      <c r="B1203" s="4" t="s">
        <v>53</v>
      </c>
      <c r="C1203" s="4" t="s">
        <v>173</v>
      </c>
      <c r="D1203" s="4">
        <v>53</v>
      </c>
      <c r="E1203" s="22" t="s">
        <v>109</v>
      </c>
      <c r="F1203" s="10" t="s">
        <v>169</v>
      </c>
    </row>
    <row r="1204" spans="1:6">
      <c r="A1204" s="4" t="str">
        <f t="shared" si="18"/>
        <v>tRNA-Gln-TTG-1-1|54</v>
      </c>
      <c r="B1204" s="4" t="s">
        <v>53</v>
      </c>
      <c r="C1204" s="4" t="s">
        <v>174</v>
      </c>
      <c r="D1204" s="4">
        <v>54</v>
      </c>
      <c r="E1204" s="18" t="s">
        <v>116</v>
      </c>
      <c r="F1204" s="19" t="s">
        <v>175</v>
      </c>
    </row>
    <row r="1205" spans="1:6">
      <c r="A1205" s="4" t="str">
        <f t="shared" si="18"/>
        <v>tRNA-Gln-TTG-1-1|55</v>
      </c>
      <c r="B1205" s="4" t="s">
        <v>53</v>
      </c>
      <c r="C1205" s="4" t="s">
        <v>176</v>
      </c>
      <c r="D1205" s="4">
        <v>55</v>
      </c>
      <c r="E1205" s="18" t="s">
        <v>116</v>
      </c>
      <c r="F1205" s="19" t="s">
        <v>175</v>
      </c>
    </row>
    <row r="1206" spans="1:6">
      <c r="A1206" s="4" t="str">
        <f t="shared" si="18"/>
        <v>tRNA-Gln-TTG-1-1|56</v>
      </c>
      <c r="B1206" s="4" t="s">
        <v>53</v>
      </c>
      <c r="C1206" s="4" t="s">
        <v>177</v>
      </c>
      <c r="D1206" s="4">
        <v>56</v>
      </c>
      <c r="E1206" s="18" t="s">
        <v>114</v>
      </c>
      <c r="F1206" s="19" t="s">
        <v>175</v>
      </c>
    </row>
    <row r="1207" spans="1:6">
      <c r="A1207" s="4" t="str">
        <f t="shared" si="18"/>
        <v>tRNA-Gln-TTG-1-1|57</v>
      </c>
      <c r="B1207" s="4" t="s">
        <v>53</v>
      </c>
      <c r="C1207" s="4" t="s">
        <v>178</v>
      </c>
      <c r="D1207" s="4">
        <v>57</v>
      </c>
      <c r="E1207" s="18" t="s">
        <v>109</v>
      </c>
      <c r="F1207" s="19" t="s">
        <v>175</v>
      </c>
    </row>
    <row r="1208" spans="1:6">
      <c r="A1208" s="4" t="str">
        <f t="shared" si="18"/>
        <v>tRNA-Gln-TTG-1-1|58</v>
      </c>
      <c r="B1208" s="4" t="s">
        <v>53</v>
      </c>
      <c r="C1208" s="4" t="s">
        <v>179</v>
      </c>
      <c r="D1208" s="4">
        <v>58</v>
      </c>
      <c r="E1208" s="18" t="s">
        <v>122</v>
      </c>
      <c r="F1208" s="19" t="s">
        <v>175</v>
      </c>
    </row>
    <row r="1209" spans="1:6">
      <c r="A1209" s="4" t="str">
        <f t="shared" si="18"/>
        <v>tRNA-Gln-TTG-1-1|59</v>
      </c>
      <c r="B1209" s="4" t="s">
        <v>53</v>
      </c>
      <c r="C1209" s="4" t="s">
        <v>180</v>
      </c>
      <c r="D1209" s="4">
        <v>59</v>
      </c>
      <c r="E1209" s="18" t="s">
        <v>122</v>
      </c>
      <c r="F1209" s="19" t="s">
        <v>175</v>
      </c>
    </row>
    <row r="1210" spans="1:6">
      <c r="A1210" s="4" t="str">
        <f t="shared" si="18"/>
        <v>tRNA-Gln-TTG-1-1|60</v>
      </c>
      <c r="B1210" s="4" t="s">
        <v>53</v>
      </c>
      <c r="C1210" s="4" t="s">
        <v>181</v>
      </c>
      <c r="D1210" s="4">
        <v>60</v>
      </c>
      <c r="E1210" s="18" t="s">
        <v>116</v>
      </c>
      <c r="F1210" s="19" t="s">
        <v>175</v>
      </c>
    </row>
    <row r="1211" spans="1:6">
      <c r="A1211" s="4" t="str">
        <f t="shared" si="18"/>
        <v>tRNA-Gln-TTG-1-1|61</v>
      </c>
      <c r="B1211" s="4" t="s">
        <v>53</v>
      </c>
      <c r="C1211" s="4" t="s">
        <v>182</v>
      </c>
      <c r="D1211" s="4">
        <v>61</v>
      </c>
      <c r="E1211" s="22" t="s">
        <v>114</v>
      </c>
      <c r="F1211" s="10" t="s">
        <v>169</v>
      </c>
    </row>
    <row r="1212" spans="1:6">
      <c r="A1212" s="4" t="str">
        <f t="shared" si="18"/>
        <v>tRNA-Gln-TTG-1-1|62</v>
      </c>
      <c r="B1212" s="4" t="s">
        <v>53</v>
      </c>
      <c r="C1212" s="4" t="s">
        <v>183</v>
      </c>
      <c r="D1212" s="4">
        <v>62</v>
      </c>
      <c r="E1212" s="22" t="s">
        <v>114</v>
      </c>
      <c r="F1212" s="10" t="s">
        <v>169</v>
      </c>
    </row>
    <row r="1213" spans="1:6">
      <c r="A1213" s="4" t="str">
        <f t="shared" si="18"/>
        <v>tRNA-Gln-TTG-1-1|63</v>
      </c>
      <c r="B1213" s="4" t="s">
        <v>53</v>
      </c>
      <c r="C1213" s="4" t="s">
        <v>184</v>
      </c>
      <c r="D1213" s="4">
        <v>63</v>
      </c>
      <c r="E1213" s="22" t="s">
        <v>109</v>
      </c>
      <c r="F1213" s="10" t="s">
        <v>169</v>
      </c>
    </row>
    <row r="1214" spans="1:6">
      <c r="A1214" s="4" t="str">
        <f t="shared" si="18"/>
        <v>tRNA-Gln-TTG-1-1|64</v>
      </c>
      <c r="B1214" s="4" t="s">
        <v>53</v>
      </c>
      <c r="C1214" s="4" t="s">
        <v>185</v>
      </c>
      <c r="D1214" s="4">
        <v>64</v>
      </c>
      <c r="E1214" s="22" t="s">
        <v>114</v>
      </c>
      <c r="F1214" s="10" t="s">
        <v>169</v>
      </c>
    </row>
    <row r="1215" spans="1:6">
      <c r="A1215" s="4" t="str">
        <f t="shared" si="18"/>
        <v>tRNA-Gln-TTG-1-1|65</v>
      </c>
      <c r="B1215" s="4" t="s">
        <v>53</v>
      </c>
      <c r="C1215" s="4" t="s">
        <v>186</v>
      </c>
      <c r="D1215" s="4">
        <v>65</v>
      </c>
      <c r="E1215" s="22" t="s">
        <v>116</v>
      </c>
      <c r="F1215" s="10" t="s">
        <v>169</v>
      </c>
    </row>
    <row r="1216" spans="1:6">
      <c r="A1216" s="4" t="str">
        <f t="shared" si="18"/>
        <v>tRNA-Gln-TTG-1-1|66</v>
      </c>
      <c r="B1216" s="4" t="s">
        <v>53</v>
      </c>
      <c r="C1216" s="4" t="s">
        <v>187</v>
      </c>
      <c r="D1216" s="4">
        <v>66</v>
      </c>
      <c r="E1216" s="16" t="s">
        <v>114</v>
      </c>
      <c r="F1216" s="17" t="s">
        <v>110</v>
      </c>
    </row>
    <row r="1217" spans="1:6">
      <c r="A1217" s="4" t="str">
        <f t="shared" si="18"/>
        <v>tRNA-Gln-TTG-1-1|67</v>
      </c>
      <c r="B1217" s="4" t="s">
        <v>53</v>
      </c>
      <c r="C1217" s="4" t="s">
        <v>188</v>
      </c>
      <c r="D1217" s="4">
        <v>67</v>
      </c>
      <c r="E1217" s="16" t="s">
        <v>122</v>
      </c>
      <c r="F1217" s="17" t="s">
        <v>110</v>
      </c>
    </row>
    <row r="1218" spans="1:6">
      <c r="A1218" s="4" t="str">
        <f t="shared" ref="A1218:A1281" si="19">B1218&amp;"|"&amp;C1218</f>
        <v>tRNA-Gln-TTG-1-1|68</v>
      </c>
      <c r="B1218" s="4" t="s">
        <v>53</v>
      </c>
      <c r="C1218" s="4" t="s">
        <v>189</v>
      </c>
      <c r="D1218" s="4">
        <v>68</v>
      </c>
      <c r="E1218" s="16" t="s">
        <v>109</v>
      </c>
      <c r="F1218" s="17" t="s">
        <v>110</v>
      </c>
    </row>
    <row r="1219" spans="1:6">
      <c r="A1219" s="4" t="str">
        <f t="shared" si="19"/>
        <v>tRNA-Gln-TTG-1-1|69</v>
      </c>
      <c r="B1219" s="4" t="s">
        <v>53</v>
      </c>
      <c r="C1219" s="4" t="s">
        <v>190</v>
      </c>
      <c r="D1219" s="4">
        <v>69</v>
      </c>
      <c r="E1219" s="16" t="s">
        <v>109</v>
      </c>
      <c r="F1219" s="17" t="s">
        <v>110</v>
      </c>
    </row>
    <row r="1220" spans="1:6">
      <c r="A1220" s="4" t="str">
        <f t="shared" si="19"/>
        <v>tRNA-Gln-TTG-1-1|70</v>
      </c>
      <c r="B1220" s="4" t="s">
        <v>53</v>
      </c>
      <c r="C1220" s="4" t="s">
        <v>191</v>
      </c>
      <c r="D1220" s="4">
        <v>70</v>
      </c>
      <c r="E1220" s="16" t="s">
        <v>122</v>
      </c>
      <c r="F1220" s="17" t="s">
        <v>110</v>
      </c>
    </row>
    <row r="1221" spans="1:6">
      <c r="A1221" s="4" t="str">
        <f t="shared" si="19"/>
        <v>tRNA-Gln-TTG-1-1|71</v>
      </c>
      <c r="B1221" s="4" t="s">
        <v>53</v>
      </c>
      <c r="C1221" s="4" t="s">
        <v>192</v>
      </c>
      <c r="D1221" s="4">
        <v>71</v>
      </c>
      <c r="E1221" s="16" t="s">
        <v>114</v>
      </c>
      <c r="F1221" s="17" t="s">
        <v>110</v>
      </c>
    </row>
    <row r="1222" spans="1:6">
      <c r="A1222" s="4" t="str">
        <f t="shared" si="19"/>
        <v>tRNA-Gln-TTG-1-1|72</v>
      </c>
      <c r="B1222" s="4" t="s">
        <v>53</v>
      </c>
      <c r="C1222" s="4" t="s">
        <v>193</v>
      </c>
      <c r="D1222" s="4">
        <v>72</v>
      </c>
      <c r="E1222" s="16" t="s">
        <v>116</v>
      </c>
      <c r="F1222" s="17" t="s">
        <v>110</v>
      </c>
    </row>
    <row r="1223" spans="1:6">
      <c r="A1223" s="4" t="str">
        <f t="shared" si="19"/>
        <v>tRNA-Glu-CTC-1-1|1</v>
      </c>
      <c r="B1223" s="4" t="s">
        <v>54</v>
      </c>
      <c r="C1223" s="4" t="s">
        <v>108</v>
      </c>
      <c r="D1223" s="4">
        <v>1</v>
      </c>
      <c r="E1223" s="16" t="s">
        <v>109</v>
      </c>
      <c r="F1223" s="17" t="s">
        <v>110</v>
      </c>
    </row>
    <row r="1224" spans="1:6">
      <c r="A1224" s="4" t="str">
        <f t="shared" si="19"/>
        <v>tRNA-Glu-CTC-1-1|2</v>
      </c>
      <c r="B1224" s="4" t="s">
        <v>54</v>
      </c>
      <c r="C1224" s="4" t="s">
        <v>111</v>
      </c>
      <c r="D1224" s="4">
        <v>2</v>
      </c>
      <c r="E1224" s="16" t="s">
        <v>114</v>
      </c>
      <c r="F1224" s="17" t="s">
        <v>110</v>
      </c>
    </row>
    <row r="1225" spans="1:6">
      <c r="A1225" s="4" t="str">
        <f t="shared" si="19"/>
        <v>tRNA-Glu-CTC-1-1|3</v>
      </c>
      <c r="B1225" s="4" t="s">
        <v>54</v>
      </c>
      <c r="C1225" s="4" t="s">
        <v>112</v>
      </c>
      <c r="D1225" s="4">
        <v>3</v>
      </c>
      <c r="E1225" s="16" t="s">
        <v>116</v>
      </c>
      <c r="F1225" s="17" t="s">
        <v>110</v>
      </c>
    </row>
    <row r="1226" spans="1:6">
      <c r="A1226" s="4" t="str">
        <f t="shared" si="19"/>
        <v>tRNA-Glu-CTC-1-1|4</v>
      </c>
      <c r="B1226" s="4" t="s">
        <v>54</v>
      </c>
      <c r="C1226" s="4" t="s">
        <v>113</v>
      </c>
      <c r="D1226" s="4">
        <v>4</v>
      </c>
      <c r="E1226" s="16" t="s">
        <v>114</v>
      </c>
      <c r="F1226" s="17" t="s">
        <v>110</v>
      </c>
    </row>
    <row r="1227" spans="1:6">
      <c r="A1227" s="4" t="str">
        <f t="shared" si="19"/>
        <v>tRNA-Glu-CTC-1-1|5</v>
      </c>
      <c r="B1227" s="4" t="s">
        <v>54</v>
      </c>
      <c r="C1227" s="4" t="s">
        <v>115</v>
      </c>
      <c r="D1227" s="4">
        <v>5</v>
      </c>
      <c r="E1227" s="16" t="s">
        <v>114</v>
      </c>
      <c r="F1227" s="17" t="s">
        <v>110</v>
      </c>
    </row>
    <row r="1228" spans="1:6">
      <c r="A1228" s="4" t="str">
        <f t="shared" si="19"/>
        <v>tRNA-Glu-CTC-1-1|6</v>
      </c>
      <c r="B1228" s="4" t="s">
        <v>54</v>
      </c>
      <c r="C1228" s="4" t="s">
        <v>117</v>
      </c>
      <c r="D1228" s="4">
        <v>6</v>
      </c>
      <c r="E1228" s="16" t="s">
        <v>109</v>
      </c>
      <c r="F1228" s="17" t="s">
        <v>110</v>
      </c>
    </row>
    <row r="1229" spans="1:6">
      <c r="A1229" s="4" t="str">
        <f t="shared" si="19"/>
        <v>tRNA-Glu-CTC-1-1|7</v>
      </c>
      <c r="B1229" s="4" t="s">
        <v>54</v>
      </c>
      <c r="C1229" s="4" t="s">
        <v>118</v>
      </c>
      <c r="D1229" s="4">
        <v>7</v>
      </c>
      <c r="E1229" s="16" t="s">
        <v>122</v>
      </c>
      <c r="F1229" s="17" t="s">
        <v>110</v>
      </c>
    </row>
    <row r="1230" spans="1:6">
      <c r="A1230" s="4" t="str">
        <f t="shared" si="19"/>
        <v>tRNA-Glu-CTC-1-1|8</v>
      </c>
      <c r="B1230" s="4" t="s">
        <v>54</v>
      </c>
      <c r="C1230" s="4" t="s">
        <v>119</v>
      </c>
      <c r="D1230" s="4">
        <v>8</v>
      </c>
      <c r="E1230" s="3" t="s">
        <v>116</v>
      </c>
      <c r="F1230" s="4" t="s">
        <v>120</v>
      </c>
    </row>
    <row r="1231" spans="1:6">
      <c r="A1231" s="4" t="str">
        <f t="shared" si="19"/>
        <v>tRNA-Glu-CTC-1-1|9</v>
      </c>
      <c r="B1231" s="4" t="s">
        <v>54</v>
      </c>
      <c r="C1231" s="4" t="s">
        <v>121</v>
      </c>
      <c r="D1231" s="4">
        <v>9</v>
      </c>
      <c r="E1231" s="3" t="s">
        <v>122</v>
      </c>
      <c r="F1231" s="4" t="s">
        <v>123</v>
      </c>
    </row>
    <row r="1232" spans="1:6">
      <c r="A1232" s="4" t="str">
        <f t="shared" si="19"/>
        <v>tRNA-Glu-CTC-1-1|10</v>
      </c>
      <c r="B1232" s="4" t="s">
        <v>54</v>
      </c>
      <c r="C1232" s="4" t="s">
        <v>124</v>
      </c>
      <c r="D1232" s="4">
        <v>10</v>
      </c>
      <c r="E1232" s="8" t="s">
        <v>109</v>
      </c>
      <c r="F1232" s="7" t="s">
        <v>125</v>
      </c>
    </row>
    <row r="1233" spans="1:6">
      <c r="A1233" s="4" t="str">
        <f t="shared" si="19"/>
        <v>tRNA-Glu-CTC-1-1|11</v>
      </c>
      <c r="B1233" s="4" t="s">
        <v>54</v>
      </c>
      <c r="C1233" s="4" t="s">
        <v>126</v>
      </c>
      <c r="D1233" s="4">
        <v>11</v>
      </c>
      <c r="E1233" s="8" t="s">
        <v>116</v>
      </c>
      <c r="F1233" s="7" t="s">
        <v>125</v>
      </c>
    </row>
    <row r="1234" spans="1:6">
      <c r="A1234" s="4" t="str">
        <f t="shared" si="19"/>
        <v>tRNA-Glu-CTC-1-1|12</v>
      </c>
      <c r="B1234" s="4" t="s">
        <v>54</v>
      </c>
      <c r="C1234" s="4" t="s">
        <v>127</v>
      </c>
      <c r="D1234" s="4">
        <v>12</v>
      </c>
      <c r="E1234" s="8" t="s">
        <v>109</v>
      </c>
      <c r="F1234" s="7" t="s">
        <v>125</v>
      </c>
    </row>
    <row r="1235" spans="1:6">
      <c r="A1235" s="4" t="str">
        <f t="shared" si="19"/>
        <v>tRNA-Glu-CTC-1-1|13</v>
      </c>
      <c r="B1235" s="4" t="s">
        <v>54</v>
      </c>
      <c r="C1235" s="4" t="s">
        <v>128</v>
      </c>
      <c r="D1235" s="4">
        <v>13</v>
      </c>
      <c r="E1235" s="8" t="s">
        <v>116</v>
      </c>
      <c r="F1235" s="7" t="s">
        <v>125</v>
      </c>
    </row>
    <row r="1236" spans="1:6">
      <c r="A1236" s="4" t="str">
        <f t="shared" si="19"/>
        <v>tRNA-Glu-CTC-1-1|14</v>
      </c>
      <c r="B1236" s="4" t="s">
        <v>54</v>
      </c>
      <c r="C1236" s="4" t="s">
        <v>129</v>
      </c>
      <c r="D1236" s="4">
        <v>14</v>
      </c>
      <c r="E1236" s="18" t="s">
        <v>122</v>
      </c>
      <c r="F1236" s="19" t="s">
        <v>130</v>
      </c>
    </row>
    <row r="1237" spans="1:6">
      <c r="A1237" s="4" t="str">
        <f t="shared" si="19"/>
        <v>tRNA-Glu-CTC-1-1|15</v>
      </c>
      <c r="B1237" s="4" t="s">
        <v>54</v>
      </c>
      <c r="C1237" s="4" t="s">
        <v>131</v>
      </c>
      <c r="D1237" s="4">
        <v>15</v>
      </c>
      <c r="E1237" s="18" t="s">
        <v>109</v>
      </c>
      <c r="F1237" s="19" t="s">
        <v>130</v>
      </c>
    </row>
    <row r="1238" spans="1:6">
      <c r="A1238" s="4" t="str">
        <f t="shared" si="19"/>
        <v>tRNA-Glu-CTC-1-1|16</v>
      </c>
      <c r="B1238" s="4" t="s">
        <v>54</v>
      </c>
      <c r="C1238" s="4" t="s">
        <v>194</v>
      </c>
      <c r="D1238" s="4">
        <v>16</v>
      </c>
      <c r="E1238" s="18" t="s">
        <v>114</v>
      </c>
      <c r="F1238" s="19" t="s">
        <v>130</v>
      </c>
    </row>
    <row r="1239" spans="1:6">
      <c r="A1239" s="4" t="str">
        <f t="shared" si="19"/>
        <v>tRNA-Glu-CTC-1-1|17</v>
      </c>
      <c r="B1239" s="4" t="s">
        <v>54</v>
      </c>
      <c r="C1239" s="4" t="s">
        <v>195</v>
      </c>
      <c r="D1239" s="4">
        <v>17</v>
      </c>
      <c r="E1239" s="18" t="s">
        <v>116</v>
      </c>
      <c r="F1239" s="19" t="s">
        <v>130</v>
      </c>
    </row>
    <row r="1240" spans="1:6">
      <c r="A1240" s="4" t="str">
        <f t="shared" si="19"/>
        <v>tRNA-Glu-CTC-1-1|17a</v>
      </c>
      <c r="B1240" s="4" t="s">
        <v>54</v>
      </c>
      <c r="C1240" s="4" t="s">
        <v>196</v>
      </c>
      <c r="D1240" s="4">
        <v>18</v>
      </c>
      <c r="E1240" s="18" t="s">
        <v>114</v>
      </c>
      <c r="F1240" s="19" t="s">
        <v>130</v>
      </c>
    </row>
    <row r="1241" spans="1:6">
      <c r="A1241" s="4" t="str">
        <f t="shared" si="19"/>
        <v>tRNA-Glu-CTC-1-1|18</v>
      </c>
      <c r="B1241" s="4" t="s">
        <v>54</v>
      </c>
      <c r="C1241" s="4" t="s">
        <v>132</v>
      </c>
      <c r="D1241" s="4">
        <v>19</v>
      </c>
      <c r="E1241" s="18" t="s">
        <v>109</v>
      </c>
      <c r="F1241" s="19" t="s">
        <v>130</v>
      </c>
    </row>
    <row r="1242" spans="1:6">
      <c r="A1242" s="4" t="str">
        <f t="shared" si="19"/>
        <v>tRNA-Glu-CTC-1-1|19</v>
      </c>
      <c r="B1242" s="4" t="s">
        <v>54</v>
      </c>
      <c r="C1242" s="4" t="s">
        <v>133</v>
      </c>
      <c r="D1242" s="4">
        <v>20</v>
      </c>
      <c r="E1242" s="18" t="s">
        <v>109</v>
      </c>
      <c r="F1242" s="19" t="s">
        <v>130</v>
      </c>
    </row>
    <row r="1243" spans="1:6">
      <c r="A1243" s="4" t="str">
        <f t="shared" si="19"/>
        <v>tRNA-Glu-CTC-1-1|20</v>
      </c>
      <c r="B1243" s="4" t="s">
        <v>54</v>
      </c>
      <c r="C1243" s="4" t="s">
        <v>134</v>
      </c>
      <c r="D1243" s="4">
        <v>21</v>
      </c>
      <c r="E1243" s="18" t="s">
        <v>114</v>
      </c>
      <c r="F1243" s="19" t="s">
        <v>130</v>
      </c>
    </row>
    <row r="1244" spans="1:6">
      <c r="A1244" s="4" t="str">
        <f t="shared" si="19"/>
        <v>tRNA-Glu-CTC-1-1|20a</v>
      </c>
      <c r="B1244" s="4" t="s">
        <v>54</v>
      </c>
      <c r="C1244" s="4" t="s">
        <v>135</v>
      </c>
      <c r="D1244" s="4">
        <v>22</v>
      </c>
      <c r="E1244" s="18" t="s">
        <v>114</v>
      </c>
      <c r="F1244" s="19" t="s">
        <v>130</v>
      </c>
    </row>
    <row r="1245" spans="1:6">
      <c r="A1245" s="4" t="str">
        <f t="shared" si="19"/>
        <v>tRNA-Glu-CTC-1-1|20b</v>
      </c>
      <c r="B1245" s="4" t="s">
        <v>54</v>
      </c>
      <c r="C1245" s="4" t="s">
        <v>197</v>
      </c>
      <c r="D1245" s="4">
        <v>23</v>
      </c>
      <c r="E1245" s="18" t="s">
        <v>122</v>
      </c>
      <c r="F1245" s="19" t="s">
        <v>130</v>
      </c>
    </row>
    <row r="1246" spans="1:6">
      <c r="A1246" s="4" t="str">
        <f t="shared" si="19"/>
        <v>tRNA-Glu-CTC-1-1|21</v>
      </c>
      <c r="B1246" s="4" t="s">
        <v>54</v>
      </c>
      <c r="C1246" s="4" t="s">
        <v>136</v>
      </c>
      <c r="D1246" s="4">
        <v>24</v>
      </c>
      <c r="E1246" s="18" t="s">
        <v>122</v>
      </c>
      <c r="F1246" s="19" t="s">
        <v>130</v>
      </c>
    </row>
    <row r="1247" spans="1:6">
      <c r="A1247" s="4" t="str">
        <f t="shared" si="19"/>
        <v>tRNA-Glu-CTC-1-1|22</v>
      </c>
      <c r="B1247" s="4" t="s">
        <v>54</v>
      </c>
      <c r="C1247" s="4" t="s">
        <v>137</v>
      </c>
      <c r="D1247" s="4">
        <v>25</v>
      </c>
      <c r="E1247" s="8" t="s">
        <v>116</v>
      </c>
      <c r="F1247" s="7" t="s">
        <v>125</v>
      </c>
    </row>
    <row r="1248" spans="1:6">
      <c r="A1248" s="4" t="str">
        <f t="shared" si="19"/>
        <v>tRNA-Glu-CTC-1-1|23</v>
      </c>
      <c r="B1248" s="4" t="s">
        <v>54</v>
      </c>
      <c r="C1248" s="4" t="s">
        <v>138</v>
      </c>
      <c r="D1248" s="4">
        <v>26</v>
      </c>
      <c r="E1248" s="8" t="s">
        <v>114</v>
      </c>
      <c r="F1248" s="7" t="s">
        <v>125</v>
      </c>
    </row>
    <row r="1249" spans="1:6">
      <c r="A1249" s="4" t="str">
        <f t="shared" si="19"/>
        <v>tRNA-Glu-CTC-1-1|24</v>
      </c>
      <c r="B1249" s="4" t="s">
        <v>54</v>
      </c>
      <c r="C1249" s="4" t="s">
        <v>139</v>
      </c>
      <c r="D1249" s="4">
        <v>27</v>
      </c>
      <c r="E1249" s="8" t="s">
        <v>122</v>
      </c>
      <c r="F1249" s="7" t="s">
        <v>125</v>
      </c>
    </row>
    <row r="1250" spans="1:6">
      <c r="A1250" s="4" t="str">
        <f t="shared" si="19"/>
        <v>tRNA-Glu-CTC-1-1|25</v>
      </c>
      <c r="B1250" s="4" t="s">
        <v>54</v>
      </c>
      <c r="C1250" s="4" t="s">
        <v>140</v>
      </c>
      <c r="D1250" s="4">
        <v>28</v>
      </c>
      <c r="E1250" s="8" t="s">
        <v>116</v>
      </c>
      <c r="F1250" s="7" t="s">
        <v>125</v>
      </c>
    </row>
    <row r="1251" spans="1:6">
      <c r="A1251" s="4" t="str">
        <f t="shared" si="19"/>
        <v>tRNA-Glu-CTC-1-1|26</v>
      </c>
      <c r="B1251" s="4" t="s">
        <v>54</v>
      </c>
      <c r="C1251" s="4" t="s">
        <v>141</v>
      </c>
      <c r="D1251" s="4">
        <v>29</v>
      </c>
      <c r="E1251" s="3" t="s">
        <v>116</v>
      </c>
      <c r="F1251" s="4" t="s">
        <v>142</v>
      </c>
    </row>
    <row r="1252" spans="1:6">
      <c r="A1252" s="4" t="str">
        <f t="shared" si="19"/>
        <v>tRNA-Glu-CTC-1-1|27</v>
      </c>
      <c r="B1252" s="4" t="s">
        <v>54</v>
      </c>
      <c r="C1252" s="4" t="s">
        <v>143</v>
      </c>
      <c r="D1252" s="4">
        <v>30</v>
      </c>
      <c r="E1252" s="20" t="s">
        <v>114</v>
      </c>
      <c r="F1252" s="21" t="s">
        <v>144</v>
      </c>
    </row>
    <row r="1253" spans="1:6">
      <c r="A1253" s="4" t="str">
        <f t="shared" si="19"/>
        <v>tRNA-Glu-CTC-1-1|28</v>
      </c>
      <c r="B1253" s="4" t="s">
        <v>54</v>
      </c>
      <c r="C1253" s="4" t="s">
        <v>145</v>
      </c>
      <c r="D1253" s="4">
        <v>31</v>
      </c>
      <c r="E1253" s="20" t="s">
        <v>122</v>
      </c>
      <c r="F1253" s="21" t="s">
        <v>144</v>
      </c>
    </row>
    <row r="1254" spans="1:6">
      <c r="A1254" s="4" t="str">
        <f t="shared" si="19"/>
        <v>tRNA-Glu-CTC-1-1|29</v>
      </c>
      <c r="B1254" s="4" t="s">
        <v>54</v>
      </c>
      <c r="C1254" s="4" t="s">
        <v>146</v>
      </c>
      <c r="D1254" s="4">
        <v>32</v>
      </c>
      <c r="E1254" s="20" t="s">
        <v>109</v>
      </c>
      <c r="F1254" s="21" t="s">
        <v>144</v>
      </c>
    </row>
    <row r="1255" spans="1:6">
      <c r="A1255" s="4" t="str">
        <f t="shared" si="19"/>
        <v>tRNA-Glu-CTC-1-1|30</v>
      </c>
      <c r="B1255" s="4" t="s">
        <v>54</v>
      </c>
      <c r="C1255" s="4" t="s">
        <v>147</v>
      </c>
      <c r="D1255" s="4">
        <v>33</v>
      </c>
      <c r="E1255" s="20" t="s">
        <v>109</v>
      </c>
      <c r="F1255" s="21" t="s">
        <v>144</v>
      </c>
    </row>
    <row r="1256" spans="1:6">
      <c r="A1256" s="4" t="str">
        <f t="shared" si="19"/>
        <v>tRNA-Glu-CTC-1-1|31</v>
      </c>
      <c r="B1256" s="4" t="s">
        <v>54</v>
      </c>
      <c r="C1256" s="4" t="s">
        <v>148</v>
      </c>
      <c r="D1256" s="4">
        <v>34</v>
      </c>
      <c r="E1256" s="20" t="s">
        <v>122</v>
      </c>
      <c r="F1256" s="21" t="s">
        <v>144</v>
      </c>
    </row>
    <row r="1257" spans="1:6">
      <c r="A1257" s="4" t="str">
        <f t="shared" si="19"/>
        <v>tRNA-Glu-CTC-1-1|32</v>
      </c>
      <c r="B1257" s="4" t="s">
        <v>54</v>
      </c>
      <c r="C1257" s="4" t="s">
        <v>149</v>
      </c>
      <c r="D1257" s="4">
        <v>35</v>
      </c>
      <c r="E1257" s="18" t="s">
        <v>114</v>
      </c>
      <c r="F1257" s="19" t="s">
        <v>150</v>
      </c>
    </row>
    <row r="1258" spans="1:6">
      <c r="A1258" s="4" t="str">
        <f t="shared" si="19"/>
        <v>tRNA-Glu-CTC-1-1|33</v>
      </c>
      <c r="B1258" s="4" t="s">
        <v>54</v>
      </c>
      <c r="C1258" s="4" t="s">
        <v>151</v>
      </c>
      <c r="D1258" s="4">
        <v>36</v>
      </c>
      <c r="E1258" s="18" t="s">
        <v>116</v>
      </c>
      <c r="F1258" s="19" t="s">
        <v>150</v>
      </c>
    </row>
    <row r="1259" spans="1:6">
      <c r="A1259" s="4" t="str">
        <f t="shared" si="19"/>
        <v>tRNA-Glu-CTC-1-1|34</v>
      </c>
      <c r="B1259" s="4" t="s">
        <v>54</v>
      </c>
      <c r="C1259" s="4" t="s">
        <v>152</v>
      </c>
      <c r="D1259" s="4">
        <v>37</v>
      </c>
      <c r="E1259" s="18" t="s">
        <v>114</v>
      </c>
      <c r="F1259" s="19" t="s">
        <v>150</v>
      </c>
    </row>
    <row r="1260" spans="1:6">
      <c r="A1260" s="4" t="str">
        <f t="shared" si="19"/>
        <v>tRNA-Glu-CTC-1-1|35</v>
      </c>
      <c r="B1260" s="4" t="s">
        <v>54</v>
      </c>
      <c r="C1260" s="4" t="s">
        <v>153</v>
      </c>
      <c r="D1260" s="4">
        <v>38</v>
      </c>
      <c r="E1260" s="18" t="s">
        <v>116</v>
      </c>
      <c r="F1260" s="19" t="s">
        <v>150</v>
      </c>
    </row>
    <row r="1261" spans="1:6">
      <c r="A1261" s="4" t="str">
        <f t="shared" si="19"/>
        <v>tRNA-Glu-CTC-1-1|36</v>
      </c>
      <c r="B1261" s="4" t="s">
        <v>54</v>
      </c>
      <c r="C1261" s="4" t="s">
        <v>154</v>
      </c>
      <c r="D1261" s="4">
        <v>39</v>
      </c>
      <c r="E1261" s="18" t="s">
        <v>114</v>
      </c>
      <c r="F1261" s="19" t="s">
        <v>150</v>
      </c>
    </row>
    <row r="1262" spans="1:6">
      <c r="A1262" s="4" t="str">
        <f t="shared" si="19"/>
        <v>tRNA-Glu-CTC-1-1|37</v>
      </c>
      <c r="B1262" s="4" t="s">
        <v>54</v>
      </c>
      <c r="C1262" s="4" t="s">
        <v>155</v>
      </c>
      <c r="D1262" s="4">
        <v>40</v>
      </c>
      <c r="E1262" s="18" t="s">
        <v>122</v>
      </c>
      <c r="F1262" s="19" t="s">
        <v>150</v>
      </c>
    </row>
    <row r="1263" spans="1:6">
      <c r="A1263" s="4" t="str">
        <f t="shared" si="19"/>
        <v>tRNA-Glu-CTC-1-1|38</v>
      </c>
      <c r="B1263" s="4" t="s">
        <v>54</v>
      </c>
      <c r="C1263" s="4" t="s">
        <v>156</v>
      </c>
      <c r="D1263" s="4">
        <v>41</v>
      </c>
      <c r="E1263" s="18" t="s">
        <v>114</v>
      </c>
      <c r="F1263" s="19" t="s">
        <v>150</v>
      </c>
    </row>
    <row r="1264" spans="1:6">
      <c r="A1264" s="4" t="str">
        <f t="shared" si="19"/>
        <v>tRNA-Glu-CTC-1-1|39</v>
      </c>
      <c r="B1264" s="4" t="s">
        <v>54</v>
      </c>
      <c r="C1264" s="4" t="s">
        <v>157</v>
      </c>
      <c r="D1264" s="4">
        <v>42</v>
      </c>
      <c r="E1264" s="20" t="s">
        <v>116</v>
      </c>
      <c r="F1264" s="21" t="s">
        <v>144</v>
      </c>
    </row>
    <row r="1265" spans="1:6">
      <c r="A1265" s="4" t="str">
        <f t="shared" si="19"/>
        <v>tRNA-Glu-CTC-1-1|40</v>
      </c>
      <c r="B1265" s="4" t="s">
        <v>54</v>
      </c>
      <c r="C1265" s="4" t="s">
        <v>158</v>
      </c>
      <c r="D1265" s="4">
        <v>43</v>
      </c>
      <c r="E1265" s="20" t="s">
        <v>114</v>
      </c>
      <c r="F1265" s="21" t="s">
        <v>144</v>
      </c>
    </row>
    <row r="1266" spans="1:6">
      <c r="A1266" s="4" t="str">
        <f t="shared" si="19"/>
        <v>tRNA-Glu-CTC-1-1|41</v>
      </c>
      <c r="B1266" s="4" t="s">
        <v>54</v>
      </c>
      <c r="C1266" s="4" t="s">
        <v>159</v>
      </c>
      <c r="D1266" s="4">
        <v>44</v>
      </c>
      <c r="E1266" s="20" t="s">
        <v>114</v>
      </c>
      <c r="F1266" s="21" t="s">
        <v>144</v>
      </c>
    </row>
    <row r="1267" spans="1:6">
      <c r="A1267" s="4" t="str">
        <f t="shared" si="19"/>
        <v>tRNA-Glu-CTC-1-1|42</v>
      </c>
      <c r="B1267" s="4" t="s">
        <v>54</v>
      </c>
      <c r="C1267" s="4" t="s">
        <v>160</v>
      </c>
      <c r="D1267" s="4">
        <v>45</v>
      </c>
      <c r="E1267" s="20" t="s">
        <v>116</v>
      </c>
      <c r="F1267" s="21" t="s">
        <v>144</v>
      </c>
    </row>
    <row r="1268" spans="1:6">
      <c r="A1268" s="4" t="str">
        <f t="shared" si="19"/>
        <v>tRNA-Glu-CTC-1-1|43</v>
      </c>
      <c r="B1268" s="4" t="s">
        <v>54</v>
      </c>
      <c r="C1268" s="4" t="s">
        <v>161</v>
      </c>
      <c r="D1268" s="4">
        <v>46</v>
      </c>
      <c r="E1268" s="20" t="s">
        <v>109</v>
      </c>
      <c r="F1268" s="21" t="s">
        <v>144</v>
      </c>
    </row>
    <row r="1269" spans="1:6">
      <c r="A1269" s="4" t="str">
        <f t="shared" si="19"/>
        <v>tRNA-Glu-CTC-1-1|44</v>
      </c>
      <c r="B1269" s="4" t="s">
        <v>54</v>
      </c>
      <c r="C1269" s="4" t="s">
        <v>162</v>
      </c>
      <c r="D1269" s="4">
        <v>47</v>
      </c>
      <c r="E1269" s="18" t="s">
        <v>114</v>
      </c>
      <c r="F1269" s="19" t="s">
        <v>163</v>
      </c>
    </row>
    <row r="1270" spans="1:6">
      <c r="A1270" s="4" t="str">
        <f t="shared" si="19"/>
        <v>tRNA-Glu-CTC-1-1|45</v>
      </c>
      <c r="B1270" s="4" t="s">
        <v>54</v>
      </c>
      <c r="C1270" s="4" t="s">
        <v>164</v>
      </c>
      <c r="D1270" s="4">
        <v>48</v>
      </c>
      <c r="E1270" s="18" t="s">
        <v>109</v>
      </c>
      <c r="F1270" s="19" t="s">
        <v>163</v>
      </c>
    </row>
    <row r="1271" spans="1:6">
      <c r="A1271" s="4" t="str">
        <f t="shared" si="19"/>
        <v>tRNA-Glu-CTC-1-1|46</v>
      </c>
      <c r="B1271" s="4" t="s">
        <v>54</v>
      </c>
      <c r="C1271" s="4" t="s">
        <v>165</v>
      </c>
      <c r="D1271" s="4">
        <v>49</v>
      </c>
      <c r="E1271" s="18" t="s">
        <v>122</v>
      </c>
      <c r="F1271" s="19" t="s">
        <v>163</v>
      </c>
    </row>
    <row r="1272" spans="1:6">
      <c r="A1272" s="4" t="str">
        <f t="shared" si="19"/>
        <v>tRNA-Glu-CTC-1-1|48</v>
      </c>
      <c r="B1272" s="4" t="s">
        <v>54</v>
      </c>
      <c r="C1272" s="4" t="s">
        <v>167</v>
      </c>
      <c r="D1272" s="4">
        <v>50</v>
      </c>
      <c r="E1272" s="18" t="s">
        <v>114</v>
      </c>
      <c r="F1272" s="19" t="s">
        <v>163</v>
      </c>
    </row>
    <row r="1273" spans="1:6">
      <c r="A1273" s="4" t="str">
        <f t="shared" si="19"/>
        <v>tRNA-Glu-CTC-1-1|49</v>
      </c>
      <c r="B1273" s="4" t="s">
        <v>54</v>
      </c>
      <c r="C1273" s="4" t="s">
        <v>168</v>
      </c>
      <c r="D1273" s="4">
        <v>51</v>
      </c>
      <c r="E1273" s="22" t="s">
        <v>116</v>
      </c>
      <c r="F1273" s="10" t="s">
        <v>169</v>
      </c>
    </row>
    <row r="1274" spans="1:6">
      <c r="A1274" s="4" t="str">
        <f t="shared" si="19"/>
        <v>tRNA-Glu-CTC-1-1|50</v>
      </c>
      <c r="B1274" s="4" t="s">
        <v>54</v>
      </c>
      <c r="C1274" s="4" t="s">
        <v>170</v>
      </c>
      <c r="D1274" s="4">
        <v>52</v>
      </c>
      <c r="E1274" s="22" t="s">
        <v>109</v>
      </c>
      <c r="F1274" s="10" t="s">
        <v>169</v>
      </c>
    </row>
    <row r="1275" spans="1:6">
      <c r="A1275" s="4" t="str">
        <f t="shared" si="19"/>
        <v>tRNA-Glu-CTC-1-1|51</v>
      </c>
      <c r="B1275" s="4" t="s">
        <v>54</v>
      </c>
      <c r="C1275" s="4" t="s">
        <v>171</v>
      </c>
      <c r="D1275" s="4">
        <v>53</v>
      </c>
      <c r="E1275" s="22" t="s">
        <v>109</v>
      </c>
      <c r="F1275" s="10" t="s">
        <v>169</v>
      </c>
    </row>
    <row r="1276" spans="1:6">
      <c r="A1276" s="4" t="str">
        <f t="shared" si="19"/>
        <v>tRNA-Glu-CTC-1-1|52</v>
      </c>
      <c r="B1276" s="4" t="s">
        <v>54</v>
      </c>
      <c r="C1276" s="4" t="s">
        <v>172</v>
      </c>
      <c r="D1276" s="4">
        <v>54</v>
      </c>
      <c r="E1276" s="22" t="s">
        <v>109</v>
      </c>
      <c r="F1276" s="10" t="s">
        <v>169</v>
      </c>
    </row>
    <row r="1277" spans="1:6">
      <c r="A1277" s="4" t="str">
        <f t="shared" si="19"/>
        <v>tRNA-Glu-CTC-1-1|53</v>
      </c>
      <c r="B1277" s="4" t="s">
        <v>54</v>
      </c>
      <c r="C1277" s="4" t="s">
        <v>173</v>
      </c>
      <c r="D1277" s="4">
        <v>55</v>
      </c>
      <c r="E1277" s="22" t="s">
        <v>109</v>
      </c>
      <c r="F1277" s="10" t="s">
        <v>169</v>
      </c>
    </row>
    <row r="1278" spans="1:6">
      <c r="A1278" s="4" t="str">
        <f t="shared" si="19"/>
        <v>tRNA-Glu-CTC-1-1|54</v>
      </c>
      <c r="B1278" s="4" t="s">
        <v>54</v>
      </c>
      <c r="C1278" s="4" t="s">
        <v>174</v>
      </c>
      <c r="D1278" s="4">
        <v>56</v>
      </c>
      <c r="E1278" s="18" t="s">
        <v>116</v>
      </c>
      <c r="F1278" s="19" t="s">
        <v>175</v>
      </c>
    </row>
    <row r="1279" spans="1:6">
      <c r="A1279" s="4" t="str">
        <f t="shared" si="19"/>
        <v>tRNA-Glu-CTC-1-1|55</v>
      </c>
      <c r="B1279" s="4" t="s">
        <v>54</v>
      </c>
      <c r="C1279" s="4" t="s">
        <v>176</v>
      </c>
      <c r="D1279" s="4">
        <v>57</v>
      </c>
      <c r="E1279" s="18" t="s">
        <v>116</v>
      </c>
      <c r="F1279" s="19" t="s">
        <v>175</v>
      </c>
    </row>
    <row r="1280" spans="1:6">
      <c r="A1280" s="4" t="str">
        <f t="shared" si="19"/>
        <v>tRNA-Glu-CTC-1-1|56</v>
      </c>
      <c r="B1280" s="4" t="s">
        <v>54</v>
      </c>
      <c r="C1280" s="4" t="s">
        <v>177</v>
      </c>
      <c r="D1280" s="4">
        <v>58</v>
      </c>
      <c r="E1280" s="18" t="s">
        <v>114</v>
      </c>
      <c r="F1280" s="19" t="s">
        <v>175</v>
      </c>
    </row>
    <row r="1281" spans="1:6">
      <c r="A1281" s="4" t="str">
        <f t="shared" si="19"/>
        <v>tRNA-Glu-CTC-1-1|57</v>
      </c>
      <c r="B1281" s="4" t="s">
        <v>54</v>
      </c>
      <c r="C1281" s="4" t="s">
        <v>178</v>
      </c>
      <c r="D1281" s="4">
        <v>59</v>
      </c>
      <c r="E1281" s="18" t="s">
        <v>122</v>
      </c>
      <c r="F1281" s="19" t="s">
        <v>175</v>
      </c>
    </row>
    <row r="1282" spans="1:6">
      <c r="A1282" s="4" t="str">
        <f t="shared" ref="A1282:A1345" si="20">B1282&amp;"|"&amp;C1282</f>
        <v>tRNA-Glu-CTC-1-1|58</v>
      </c>
      <c r="B1282" s="4" t="s">
        <v>54</v>
      </c>
      <c r="C1282" s="4" t="s">
        <v>179</v>
      </c>
      <c r="D1282" s="4">
        <v>60</v>
      </c>
      <c r="E1282" s="18" t="s">
        <v>122</v>
      </c>
      <c r="F1282" s="19" t="s">
        <v>175</v>
      </c>
    </row>
    <row r="1283" spans="1:6">
      <c r="A1283" s="4" t="str">
        <f t="shared" si="20"/>
        <v>tRNA-Glu-CTC-1-1|59</v>
      </c>
      <c r="B1283" s="4" t="s">
        <v>54</v>
      </c>
      <c r="C1283" s="4" t="s">
        <v>180</v>
      </c>
      <c r="D1283" s="4">
        <v>61</v>
      </c>
      <c r="E1283" s="18" t="s">
        <v>122</v>
      </c>
      <c r="F1283" s="19" t="s">
        <v>175</v>
      </c>
    </row>
    <row r="1284" spans="1:6">
      <c r="A1284" s="4" t="str">
        <f t="shared" si="20"/>
        <v>tRNA-Glu-CTC-1-1|60</v>
      </c>
      <c r="B1284" s="4" t="s">
        <v>54</v>
      </c>
      <c r="C1284" s="4" t="s">
        <v>181</v>
      </c>
      <c r="D1284" s="4">
        <v>62</v>
      </c>
      <c r="E1284" s="18" t="s">
        <v>116</v>
      </c>
      <c r="F1284" s="19" t="s">
        <v>175</v>
      </c>
    </row>
    <row r="1285" spans="1:6">
      <c r="A1285" s="4" t="str">
        <f t="shared" si="20"/>
        <v>tRNA-Glu-CTC-1-1|61</v>
      </c>
      <c r="B1285" s="4" t="s">
        <v>54</v>
      </c>
      <c r="C1285" s="4" t="s">
        <v>182</v>
      </c>
      <c r="D1285" s="4">
        <v>63</v>
      </c>
      <c r="E1285" s="22" t="s">
        <v>114</v>
      </c>
      <c r="F1285" s="10" t="s">
        <v>169</v>
      </c>
    </row>
    <row r="1286" spans="1:6">
      <c r="A1286" s="4" t="str">
        <f t="shared" si="20"/>
        <v>tRNA-Glu-CTC-1-1|62</v>
      </c>
      <c r="B1286" s="4" t="s">
        <v>54</v>
      </c>
      <c r="C1286" s="4" t="s">
        <v>183</v>
      </c>
      <c r="D1286" s="4">
        <v>64</v>
      </c>
      <c r="E1286" s="22" t="s">
        <v>114</v>
      </c>
      <c r="F1286" s="10" t="s">
        <v>169</v>
      </c>
    </row>
    <row r="1287" spans="1:6">
      <c r="A1287" s="4" t="str">
        <f t="shared" si="20"/>
        <v>tRNA-Glu-CTC-1-1|63</v>
      </c>
      <c r="B1287" s="4" t="s">
        <v>54</v>
      </c>
      <c r="C1287" s="4" t="s">
        <v>184</v>
      </c>
      <c r="D1287" s="4">
        <v>65</v>
      </c>
      <c r="E1287" s="22" t="s">
        <v>114</v>
      </c>
      <c r="F1287" s="10" t="s">
        <v>169</v>
      </c>
    </row>
    <row r="1288" spans="1:6">
      <c r="A1288" s="4" t="str">
        <f t="shared" si="20"/>
        <v>tRNA-Glu-CTC-1-1|64</v>
      </c>
      <c r="B1288" s="4" t="s">
        <v>54</v>
      </c>
      <c r="C1288" s="4" t="s">
        <v>185</v>
      </c>
      <c r="D1288" s="4">
        <v>66</v>
      </c>
      <c r="E1288" s="22" t="s">
        <v>114</v>
      </c>
      <c r="F1288" s="10" t="s">
        <v>169</v>
      </c>
    </row>
    <row r="1289" spans="1:6">
      <c r="A1289" s="4" t="str">
        <f t="shared" si="20"/>
        <v>tRNA-Glu-CTC-1-1|65</v>
      </c>
      <c r="B1289" s="4" t="s">
        <v>54</v>
      </c>
      <c r="C1289" s="4" t="s">
        <v>186</v>
      </c>
      <c r="D1289" s="4">
        <v>67</v>
      </c>
      <c r="E1289" s="22" t="s">
        <v>122</v>
      </c>
      <c r="F1289" s="10" t="s">
        <v>169</v>
      </c>
    </row>
    <row r="1290" spans="1:6">
      <c r="A1290" s="4" t="str">
        <f t="shared" si="20"/>
        <v>tRNA-Glu-CTC-1-1|66</v>
      </c>
      <c r="B1290" s="4" t="s">
        <v>54</v>
      </c>
      <c r="C1290" s="4" t="s">
        <v>187</v>
      </c>
      <c r="D1290" s="4">
        <v>68</v>
      </c>
      <c r="E1290" s="16" t="s">
        <v>116</v>
      </c>
      <c r="F1290" s="17" t="s">
        <v>110</v>
      </c>
    </row>
    <row r="1291" spans="1:6">
      <c r="A1291" s="4" t="str">
        <f t="shared" si="20"/>
        <v>tRNA-Glu-CTC-1-1|67</v>
      </c>
      <c r="B1291" s="4" t="s">
        <v>54</v>
      </c>
      <c r="C1291" s="4" t="s">
        <v>188</v>
      </c>
      <c r="D1291" s="4">
        <v>69</v>
      </c>
      <c r="E1291" s="16" t="s">
        <v>114</v>
      </c>
      <c r="F1291" s="17" t="s">
        <v>110</v>
      </c>
    </row>
    <row r="1292" spans="1:6">
      <c r="A1292" s="4" t="str">
        <f t="shared" si="20"/>
        <v>tRNA-Glu-CTC-1-1|68</v>
      </c>
      <c r="B1292" s="4" t="s">
        <v>54</v>
      </c>
      <c r="C1292" s="4" t="s">
        <v>189</v>
      </c>
      <c r="D1292" s="4">
        <v>70</v>
      </c>
      <c r="E1292" s="16" t="s">
        <v>109</v>
      </c>
      <c r="F1292" s="17" t="s">
        <v>110</v>
      </c>
    </row>
    <row r="1293" spans="1:6">
      <c r="A1293" s="4" t="str">
        <f t="shared" si="20"/>
        <v>tRNA-Glu-CTC-1-1|69</v>
      </c>
      <c r="B1293" s="4" t="s">
        <v>54</v>
      </c>
      <c r="C1293" s="4" t="s">
        <v>190</v>
      </c>
      <c r="D1293" s="4">
        <v>71</v>
      </c>
      <c r="E1293" s="16" t="s">
        <v>109</v>
      </c>
      <c r="F1293" s="17" t="s">
        <v>110</v>
      </c>
    </row>
    <row r="1294" spans="1:6">
      <c r="A1294" s="4" t="str">
        <f t="shared" si="20"/>
        <v>tRNA-Glu-CTC-1-1|70</v>
      </c>
      <c r="B1294" s="4" t="s">
        <v>54</v>
      </c>
      <c r="C1294" s="4" t="s">
        <v>191</v>
      </c>
      <c r="D1294" s="4">
        <v>72</v>
      </c>
      <c r="E1294" s="16" t="s">
        <v>122</v>
      </c>
      <c r="F1294" s="17" t="s">
        <v>110</v>
      </c>
    </row>
    <row r="1295" spans="1:6">
      <c r="A1295" s="4" t="str">
        <f t="shared" si="20"/>
        <v>tRNA-Glu-CTC-1-1|71</v>
      </c>
      <c r="B1295" s="4" t="s">
        <v>54</v>
      </c>
      <c r="C1295" s="4" t="s">
        <v>192</v>
      </c>
      <c r="D1295" s="4">
        <v>73</v>
      </c>
      <c r="E1295" s="16" t="s">
        <v>109</v>
      </c>
      <c r="F1295" s="17" t="s">
        <v>110</v>
      </c>
    </row>
    <row r="1296" spans="1:6">
      <c r="A1296" s="4" t="str">
        <f t="shared" si="20"/>
        <v>tRNA-Glu-CTC-1-1|72</v>
      </c>
      <c r="B1296" s="4" t="s">
        <v>54</v>
      </c>
      <c r="C1296" s="4" t="s">
        <v>193</v>
      </c>
      <c r="D1296" s="4">
        <v>74</v>
      </c>
      <c r="E1296" s="16" t="s">
        <v>114</v>
      </c>
      <c r="F1296" s="17" t="s">
        <v>110</v>
      </c>
    </row>
    <row r="1297" spans="1:6">
      <c r="A1297" s="4" t="str">
        <f t="shared" si="20"/>
        <v>tRNA-Glu-TTC-1-1|1</v>
      </c>
      <c r="B1297" s="4" t="s">
        <v>55</v>
      </c>
      <c r="C1297" s="4" t="s">
        <v>108</v>
      </c>
      <c r="D1297" s="4">
        <v>1</v>
      </c>
      <c r="E1297" s="16" t="s">
        <v>109</v>
      </c>
      <c r="F1297" s="17" t="s">
        <v>110</v>
      </c>
    </row>
    <row r="1298" spans="1:6">
      <c r="A1298" s="4" t="str">
        <f t="shared" si="20"/>
        <v>tRNA-Glu-TTC-1-1|2</v>
      </c>
      <c r="B1298" s="4" t="s">
        <v>55</v>
      </c>
      <c r="C1298" s="4" t="s">
        <v>111</v>
      </c>
      <c r="D1298" s="4">
        <v>2</v>
      </c>
      <c r="E1298" s="16" t="s">
        <v>114</v>
      </c>
      <c r="F1298" s="17" t="s">
        <v>110</v>
      </c>
    </row>
    <row r="1299" spans="1:6">
      <c r="A1299" s="4" t="str">
        <f t="shared" si="20"/>
        <v>tRNA-Glu-TTC-1-1|3</v>
      </c>
      <c r="B1299" s="4" t="s">
        <v>55</v>
      </c>
      <c r="C1299" s="4" t="s">
        <v>112</v>
      </c>
      <c r="D1299" s="4">
        <v>3</v>
      </c>
      <c r="E1299" s="16" t="s">
        <v>116</v>
      </c>
      <c r="F1299" s="17" t="s">
        <v>110</v>
      </c>
    </row>
    <row r="1300" spans="1:6">
      <c r="A1300" s="4" t="str">
        <f t="shared" si="20"/>
        <v>tRNA-Glu-TTC-1-1|4</v>
      </c>
      <c r="B1300" s="4" t="s">
        <v>55</v>
      </c>
      <c r="C1300" s="4" t="s">
        <v>113</v>
      </c>
      <c r="D1300" s="4">
        <v>4</v>
      </c>
      <c r="E1300" s="16" t="s">
        <v>114</v>
      </c>
      <c r="F1300" s="17" t="s">
        <v>110</v>
      </c>
    </row>
    <row r="1301" spans="1:6">
      <c r="A1301" s="4" t="str">
        <f t="shared" si="20"/>
        <v>tRNA-Glu-TTC-1-1|5</v>
      </c>
      <c r="B1301" s="4" t="s">
        <v>55</v>
      </c>
      <c r="C1301" s="4" t="s">
        <v>115</v>
      </c>
      <c r="D1301" s="4">
        <v>5</v>
      </c>
      <c r="E1301" s="16" t="s">
        <v>114</v>
      </c>
      <c r="F1301" s="17" t="s">
        <v>110</v>
      </c>
    </row>
    <row r="1302" spans="1:6">
      <c r="A1302" s="4" t="str">
        <f t="shared" si="20"/>
        <v>tRNA-Glu-TTC-1-1|6</v>
      </c>
      <c r="B1302" s="4" t="s">
        <v>55</v>
      </c>
      <c r="C1302" s="4" t="s">
        <v>117</v>
      </c>
      <c r="D1302" s="4">
        <v>6</v>
      </c>
      <c r="E1302" s="16" t="s">
        <v>109</v>
      </c>
      <c r="F1302" s="17" t="s">
        <v>110</v>
      </c>
    </row>
    <row r="1303" spans="1:6">
      <c r="A1303" s="4" t="str">
        <f t="shared" si="20"/>
        <v>tRNA-Glu-TTC-1-1|7</v>
      </c>
      <c r="B1303" s="4" t="s">
        <v>55</v>
      </c>
      <c r="C1303" s="4" t="s">
        <v>118</v>
      </c>
      <c r="D1303" s="4">
        <v>7</v>
      </c>
      <c r="E1303" s="16" t="s">
        <v>109</v>
      </c>
      <c r="F1303" s="17" t="s">
        <v>110</v>
      </c>
    </row>
    <row r="1304" spans="1:6">
      <c r="A1304" s="4" t="str">
        <f t="shared" si="20"/>
        <v>tRNA-Glu-TTC-1-1|8</v>
      </c>
      <c r="B1304" s="4" t="s">
        <v>55</v>
      </c>
      <c r="C1304" s="4" t="s">
        <v>119</v>
      </c>
      <c r="D1304" s="4">
        <v>8</v>
      </c>
      <c r="E1304" s="3" t="s">
        <v>116</v>
      </c>
      <c r="F1304" s="4" t="s">
        <v>120</v>
      </c>
    </row>
    <row r="1305" spans="1:6">
      <c r="A1305" s="4" t="str">
        <f t="shared" si="20"/>
        <v>tRNA-Glu-TTC-1-1|9</v>
      </c>
      <c r="B1305" s="4" t="s">
        <v>55</v>
      </c>
      <c r="C1305" s="4" t="s">
        <v>121</v>
      </c>
      <c r="D1305" s="4">
        <v>9</v>
      </c>
      <c r="E1305" s="3" t="s">
        <v>122</v>
      </c>
      <c r="F1305" s="4" t="s">
        <v>123</v>
      </c>
    </row>
    <row r="1306" spans="1:6">
      <c r="A1306" s="4" t="str">
        <f t="shared" si="20"/>
        <v>tRNA-Glu-TTC-1-1|10</v>
      </c>
      <c r="B1306" s="4" t="s">
        <v>55</v>
      </c>
      <c r="C1306" s="4" t="s">
        <v>124</v>
      </c>
      <c r="D1306" s="4">
        <v>10</v>
      </c>
      <c r="E1306" s="8" t="s">
        <v>109</v>
      </c>
      <c r="F1306" s="7" t="s">
        <v>125</v>
      </c>
    </row>
    <row r="1307" spans="1:6">
      <c r="A1307" s="4" t="str">
        <f t="shared" si="20"/>
        <v>tRNA-Glu-TTC-1-1|11</v>
      </c>
      <c r="B1307" s="4" t="s">
        <v>55</v>
      </c>
      <c r="C1307" s="4" t="s">
        <v>126</v>
      </c>
      <c r="D1307" s="4">
        <v>11</v>
      </c>
      <c r="E1307" s="8" t="s">
        <v>116</v>
      </c>
      <c r="F1307" s="7" t="s">
        <v>125</v>
      </c>
    </row>
    <row r="1308" spans="1:6">
      <c r="A1308" s="4" t="str">
        <f t="shared" si="20"/>
        <v>tRNA-Glu-TTC-1-1|12</v>
      </c>
      <c r="B1308" s="4" t="s">
        <v>55</v>
      </c>
      <c r="C1308" s="4" t="s">
        <v>127</v>
      </c>
      <c r="D1308" s="4">
        <v>12</v>
      </c>
      <c r="E1308" s="8" t="s">
        <v>109</v>
      </c>
      <c r="F1308" s="7" t="s">
        <v>125</v>
      </c>
    </row>
    <row r="1309" spans="1:6">
      <c r="A1309" s="4" t="str">
        <f t="shared" si="20"/>
        <v>tRNA-Glu-TTC-1-1|13</v>
      </c>
      <c r="B1309" s="4" t="s">
        <v>55</v>
      </c>
      <c r="C1309" s="4" t="s">
        <v>128</v>
      </c>
      <c r="D1309" s="4">
        <v>13</v>
      </c>
      <c r="E1309" s="8" t="s">
        <v>116</v>
      </c>
      <c r="F1309" s="7" t="s">
        <v>125</v>
      </c>
    </row>
    <row r="1310" spans="1:6">
      <c r="A1310" s="4" t="str">
        <f t="shared" si="20"/>
        <v>tRNA-Glu-TTC-1-1|14</v>
      </c>
      <c r="B1310" s="4" t="s">
        <v>55</v>
      </c>
      <c r="C1310" s="4" t="s">
        <v>129</v>
      </c>
      <c r="D1310" s="4">
        <v>14</v>
      </c>
      <c r="E1310" s="18" t="s">
        <v>122</v>
      </c>
      <c r="F1310" s="19" t="s">
        <v>130</v>
      </c>
    </row>
    <row r="1311" spans="1:6">
      <c r="A1311" s="4" t="str">
        <f t="shared" si="20"/>
        <v>tRNA-Glu-TTC-1-1|15</v>
      </c>
      <c r="B1311" s="4" t="s">
        <v>55</v>
      </c>
      <c r="C1311" s="4" t="s">
        <v>131</v>
      </c>
      <c r="D1311" s="4">
        <v>15</v>
      </c>
      <c r="E1311" s="18" t="s">
        <v>109</v>
      </c>
      <c r="F1311" s="19" t="s">
        <v>130</v>
      </c>
    </row>
    <row r="1312" spans="1:6">
      <c r="A1312" s="4" t="str">
        <f t="shared" si="20"/>
        <v>tRNA-Glu-TTC-1-1|16</v>
      </c>
      <c r="B1312" s="4" t="s">
        <v>55</v>
      </c>
      <c r="C1312" s="4" t="s">
        <v>194</v>
      </c>
      <c r="D1312" s="4">
        <v>16</v>
      </c>
      <c r="E1312" s="18" t="s">
        <v>116</v>
      </c>
      <c r="F1312" s="19" t="s">
        <v>130</v>
      </c>
    </row>
    <row r="1313" spans="1:6">
      <c r="A1313" s="4" t="str">
        <f t="shared" si="20"/>
        <v>tRNA-Glu-TTC-1-1|17</v>
      </c>
      <c r="B1313" s="4" t="s">
        <v>55</v>
      </c>
      <c r="C1313" s="4" t="s">
        <v>195</v>
      </c>
      <c r="D1313" s="4">
        <v>17</v>
      </c>
      <c r="E1313" s="18" t="s">
        <v>114</v>
      </c>
      <c r="F1313" s="19" t="s">
        <v>130</v>
      </c>
    </row>
    <row r="1314" spans="1:6">
      <c r="A1314" s="4" t="str">
        <f t="shared" si="20"/>
        <v>tRNA-Glu-TTC-1-1|17a</v>
      </c>
      <c r="B1314" s="4" t="s">
        <v>55</v>
      </c>
      <c r="C1314" s="4" t="s">
        <v>196</v>
      </c>
      <c r="D1314" s="4">
        <v>18</v>
      </c>
      <c r="E1314" s="18" t="s">
        <v>114</v>
      </c>
      <c r="F1314" s="19" t="s">
        <v>130</v>
      </c>
    </row>
    <row r="1315" spans="1:6">
      <c r="A1315" s="4" t="str">
        <f t="shared" si="20"/>
        <v>tRNA-Glu-TTC-1-1|18</v>
      </c>
      <c r="B1315" s="4" t="s">
        <v>55</v>
      </c>
      <c r="C1315" s="4" t="s">
        <v>132</v>
      </c>
      <c r="D1315" s="4">
        <v>19</v>
      </c>
      <c r="E1315" s="18" t="s">
        <v>109</v>
      </c>
      <c r="F1315" s="19" t="s">
        <v>130</v>
      </c>
    </row>
    <row r="1316" spans="1:6">
      <c r="A1316" s="4" t="str">
        <f t="shared" si="20"/>
        <v>tRNA-Glu-TTC-1-1|19</v>
      </c>
      <c r="B1316" s="4" t="s">
        <v>55</v>
      </c>
      <c r="C1316" s="4" t="s">
        <v>133</v>
      </c>
      <c r="D1316" s="4">
        <v>20</v>
      </c>
      <c r="E1316" s="18" t="s">
        <v>109</v>
      </c>
      <c r="F1316" s="19" t="s">
        <v>130</v>
      </c>
    </row>
    <row r="1317" spans="1:6">
      <c r="A1317" s="4" t="str">
        <f t="shared" si="20"/>
        <v>tRNA-Glu-TTC-1-1|20</v>
      </c>
      <c r="B1317" s="4" t="s">
        <v>55</v>
      </c>
      <c r="C1317" s="4" t="s">
        <v>134</v>
      </c>
      <c r="D1317" s="4">
        <v>21</v>
      </c>
      <c r="E1317" s="18" t="s">
        <v>114</v>
      </c>
      <c r="F1317" s="19" t="s">
        <v>130</v>
      </c>
    </row>
    <row r="1318" spans="1:6">
      <c r="A1318" s="4" t="str">
        <f t="shared" si="20"/>
        <v>tRNA-Glu-TTC-1-1|20a</v>
      </c>
      <c r="B1318" s="4" t="s">
        <v>55</v>
      </c>
      <c r="C1318" s="4" t="s">
        <v>135</v>
      </c>
      <c r="D1318" s="4">
        <v>22</v>
      </c>
      <c r="E1318" s="18" t="s">
        <v>114</v>
      </c>
      <c r="F1318" s="19" t="s">
        <v>130</v>
      </c>
    </row>
    <row r="1319" spans="1:6">
      <c r="A1319" s="4" t="str">
        <f t="shared" si="20"/>
        <v>tRNA-Glu-TTC-1-1|20b</v>
      </c>
      <c r="B1319" s="4" t="s">
        <v>55</v>
      </c>
      <c r="C1319" s="4" t="s">
        <v>197</v>
      </c>
      <c r="D1319" s="4">
        <v>23</v>
      </c>
      <c r="E1319" s="18" t="s">
        <v>122</v>
      </c>
      <c r="F1319" s="19" t="s">
        <v>130</v>
      </c>
    </row>
    <row r="1320" spans="1:6">
      <c r="A1320" s="4" t="str">
        <f t="shared" si="20"/>
        <v>tRNA-Glu-TTC-1-1|21</v>
      </c>
      <c r="B1320" s="4" t="s">
        <v>55</v>
      </c>
      <c r="C1320" s="4" t="s">
        <v>136</v>
      </c>
      <c r="D1320" s="4">
        <v>24</v>
      </c>
      <c r="E1320" s="18" t="s">
        <v>122</v>
      </c>
      <c r="F1320" s="19" t="s">
        <v>130</v>
      </c>
    </row>
    <row r="1321" spans="1:6">
      <c r="A1321" s="4" t="str">
        <f t="shared" si="20"/>
        <v>tRNA-Glu-TTC-1-1|22</v>
      </c>
      <c r="B1321" s="4" t="s">
        <v>55</v>
      </c>
      <c r="C1321" s="4" t="s">
        <v>137</v>
      </c>
      <c r="D1321" s="4">
        <v>25</v>
      </c>
      <c r="E1321" s="8" t="s">
        <v>116</v>
      </c>
      <c r="F1321" s="7" t="s">
        <v>125</v>
      </c>
    </row>
    <row r="1322" spans="1:6">
      <c r="A1322" s="4" t="str">
        <f t="shared" si="20"/>
        <v>tRNA-Glu-TTC-1-1|23</v>
      </c>
      <c r="B1322" s="4" t="s">
        <v>55</v>
      </c>
      <c r="C1322" s="4" t="s">
        <v>138</v>
      </c>
      <c r="D1322" s="4">
        <v>26</v>
      </c>
      <c r="E1322" s="8" t="s">
        <v>114</v>
      </c>
      <c r="F1322" s="7" t="s">
        <v>125</v>
      </c>
    </row>
    <row r="1323" spans="1:6">
      <c r="A1323" s="4" t="str">
        <f t="shared" si="20"/>
        <v>tRNA-Glu-TTC-1-1|24</v>
      </c>
      <c r="B1323" s="4" t="s">
        <v>55</v>
      </c>
      <c r="C1323" s="4" t="s">
        <v>139</v>
      </c>
      <c r="D1323" s="4">
        <v>27</v>
      </c>
      <c r="E1323" s="8" t="s">
        <v>122</v>
      </c>
      <c r="F1323" s="7" t="s">
        <v>125</v>
      </c>
    </row>
    <row r="1324" spans="1:6">
      <c r="A1324" s="4" t="str">
        <f t="shared" si="20"/>
        <v>tRNA-Glu-TTC-1-1|25</v>
      </c>
      <c r="B1324" s="4" t="s">
        <v>55</v>
      </c>
      <c r="C1324" s="4" t="s">
        <v>140</v>
      </c>
      <c r="D1324" s="4">
        <v>28</v>
      </c>
      <c r="E1324" s="8" t="s">
        <v>116</v>
      </c>
      <c r="F1324" s="7" t="s">
        <v>125</v>
      </c>
    </row>
    <row r="1325" spans="1:6">
      <c r="A1325" s="4" t="str">
        <f t="shared" si="20"/>
        <v>tRNA-Glu-TTC-1-1|26</v>
      </c>
      <c r="B1325" s="4" t="s">
        <v>55</v>
      </c>
      <c r="C1325" s="4" t="s">
        <v>141</v>
      </c>
      <c r="D1325" s="4">
        <v>29</v>
      </c>
      <c r="E1325" s="3" t="s">
        <v>116</v>
      </c>
      <c r="F1325" s="4" t="s">
        <v>142</v>
      </c>
    </row>
    <row r="1326" spans="1:6">
      <c r="A1326" s="4" t="str">
        <f t="shared" si="20"/>
        <v>tRNA-Glu-TTC-1-1|27</v>
      </c>
      <c r="B1326" s="4" t="s">
        <v>55</v>
      </c>
      <c r="C1326" s="4" t="s">
        <v>143</v>
      </c>
      <c r="D1326" s="4">
        <v>30</v>
      </c>
      <c r="E1326" s="20" t="s">
        <v>114</v>
      </c>
      <c r="F1326" s="21" t="s">
        <v>144</v>
      </c>
    </row>
    <row r="1327" spans="1:6">
      <c r="A1327" s="4" t="str">
        <f t="shared" si="20"/>
        <v>tRNA-Glu-TTC-1-1|28</v>
      </c>
      <c r="B1327" s="4" t="s">
        <v>55</v>
      </c>
      <c r="C1327" s="4" t="s">
        <v>145</v>
      </c>
      <c r="D1327" s="4">
        <v>31</v>
      </c>
      <c r="E1327" s="20" t="s">
        <v>114</v>
      </c>
      <c r="F1327" s="21" t="s">
        <v>144</v>
      </c>
    </row>
    <row r="1328" spans="1:6">
      <c r="A1328" s="4" t="str">
        <f t="shared" si="20"/>
        <v>tRNA-Glu-TTC-1-1|29</v>
      </c>
      <c r="B1328" s="4" t="s">
        <v>55</v>
      </c>
      <c r="C1328" s="4" t="s">
        <v>146</v>
      </c>
      <c r="D1328" s="4">
        <v>32</v>
      </c>
      <c r="E1328" s="20" t="s">
        <v>109</v>
      </c>
      <c r="F1328" s="21" t="s">
        <v>144</v>
      </c>
    </row>
    <row r="1329" spans="1:6">
      <c r="A1329" s="4" t="str">
        <f t="shared" si="20"/>
        <v>tRNA-Glu-TTC-1-1|30</v>
      </c>
      <c r="B1329" s="4" t="s">
        <v>55</v>
      </c>
      <c r="C1329" s="4" t="s">
        <v>147</v>
      </c>
      <c r="D1329" s="4">
        <v>33</v>
      </c>
      <c r="E1329" s="20" t="s">
        <v>109</v>
      </c>
      <c r="F1329" s="21" t="s">
        <v>144</v>
      </c>
    </row>
    <row r="1330" spans="1:6">
      <c r="A1330" s="4" t="str">
        <f t="shared" si="20"/>
        <v>tRNA-Glu-TTC-1-1|31</v>
      </c>
      <c r="B1330" s="4" t="s">
        <v>55</v>
      </c>
      <c r="C1330" s="4" t="s">
        <v>148</v>
      </c>
      <c r="D1330" s="4">
        <v>34</v>
      </c>
      <c r="E1330" s="20" t="s">
        <v>114</v>
      </c>
      <c r="F1330" s="21" t="s">
        <v>144</v>
      </c>
    </row>
    <row r="1331" spans="1:6">
      <c r="A1331" s="4" t="str">
        <f t="shared" si="20"/>
        <v>tRNA-Glu-TTC-1-1|32</v>
      </c>
      <c r="B1331" s="4" t="s">
        <v>55</v>
      </c>
      <c r="C1331" s="4" t="s">
        <v>149</v>
      </c>
      <c r="D1331" s="4">
        <v>35</v>
      </c>
      <c r="E1331" s="18" t="s">
        <v>114</v>
      </c>
      <c r="F1331" s="19" t="s">
        <v>150</v>
      </c>
    </row>
    <row r="1332" spans="1:6">
      <c r="A1332" s="4" t="str">
        <f t="shared" si="20"/>
        <v>tRNA-Glu-TTC-1-1|33</v>
      </c>
      <c r="B1332" s="4" t="s">
        <v>55</v>
      </c>
      <c r="C1332" s="4" t="s">
        <v>151</v>
      </c>
      <c r="D1332" s="4">
        <v>36</v>
      </c>
      <c r="E1332" s="18" t="s">
        <v>116</v>
      </c>
      <c r="F1332" s="19" t="s">
        <v>150</v>
      </c>
    </row>
    <row r="1333" spans="1:6">
      <c r="A1333" s="4" t="str">
        <f t="shared" si="20"/>
        <v>tRNA-Glu-TTC-1-1|34</v>
      </c>
      <c r="B1333" s="4" t="s">
        <v>55</v>
      </c>
      <c r="C1333" s="4" t="s">
        <v>152</v>
      </c>
      <c r="D1333" s="4">
        <v>37</v>
      </c>
      <c r="E1333" s="18" t="s">
        <v>116</v>
      </c>
      <c r="F1333" s="19" t="s">
        <v>150</v>
      </c>
    </row>
    <row r="1334" spans="1:6">
      <c r="A1334" s="4" t="str">
        <f t="shared" si="20"/>
        <v>tRNA-Glu-TTC-1-1|35</v>
      </c>
      <c r="B1334" s="4" t="s">
        <v>55</v>
      </c>
      <c r="C1334" s="4" t="s">
        <v>153</v>
      </c>
      <c r="D1334" s="4">
        <v>38</v>
      </c>
      <c r="E1334" s="18" t="s">
        <v>116</v>
      </c>
      <c r="F1334" s="19" t="s">
        <v>150</v>
      </c>
    </row>
    <row r="1335" spans="1:6">
      <c r="A1335" s="4" t="str">
        <f t="shared" si="20"/>
        <v>tRNA-Glu-TTC-1-1|36</v>
      </c>
      <c r="B1335" s="4" t="s">
        <v>55</v>
      </c>
      <c r="C1335" s="4" t="s">
        <v>154</v>
      </c>
      <c r="D1335" s="4">
        <v>39</v>
      </c>
      <c r="E1335" s="18" t="s">
        <v>114</v>
      </c>
      <c r="F1335" s="19" t="s">
        <v>150</v>
      </c>
    </row>
    <row r="1336" spans="1:6">
      <c r="A1336" s="4" t="str">
        <f t="shared" si="20"/>
        <v>tRNA-Glu-TTC-1-1|37</v>
      </c>
      <c r="B1336" s="4" t="s">
        <v>55</v>
      </c>
      <c r="C1336" s="4" t="s">
        <v>155</v>
      </c>
      <c r="D1336" s="4">
        <v>40</v>
      </c>
      <c r="E1336" s="18" t="s">
        <v>109</v>
      </c>
      <c r="F1336" s="19" t="s">
        <v>150</v>
      </c>
    </row>
    <row r="1337" spans="1:6">
      <c r="A1337" s="4" t="str">
        <f t="shared" si="20"/>
        <v>tRNA-Glu-TTC-1-1|38</v>
      </c>
      <c r="B1337" s="4" t="s">
        <v>55</v>
      </c>
      <c r="C1337" s="4" t="s">
        <v>156</v>
      </c>
      <c r="D1337" s="4">
        <v>41</v>
      </c>
      <c r="E1337" s="18" t="s">
        <v>122</v>
      </c>
      <c r="F1337" s="19" t="s">
        <v>150</v>
      </c>
    </row>
    <row r="1338" spans="1:6">
      <c r="A1338" s="4" t="str">
        <f t="shared" si="20"/>
        <v>tRNA-Glu-TTC-1-1|39</v>
      </c>
      <c r="B1338" s="4" t="s">
        <v>55</v>
      </c>
      <c r="C1338" s="4" t="s">
        <v>157</v>
      </c>
      <c r="D1338" s="4">
        <v>42</v>
      </c>
      <c r="E1338" s="20" t="s">
        <v>109</v>
      </c>
      <c r="F1338" s="21" t="s">
        <v>144</v>
      </c>
    </row>
    <row r="1339" spans="1:6">
      <c r="A1339" s="4" t="str">
        <f t="shared" si="20"/>
        <v>tRNA-Glu-TTC-1-1|40</v>
      </c>
      <c r="B1339" s="4" t="s">
        <v>55</v>
      </c>
      <c r="C1339" s="4" t="s">
        <v>158</v>
      </c>
      <c r="D1339" s="4">
        <v>43</v>
      </c>
      <c r="E1339" s="20" t="s">
        <v>114</v>
      </c>
      <c r="F1339" s="21" t="s">
        <v>144</v>
      </c>
    </row>
    <row r="1340" spans="1:6">
      <c r="A1340" s="4" t="str">
        <f t="shared" si="20"/>
        <v>tRNA-Glu-TTC-1-1|41</v>
      </c>
      <c r="B1340" s="4" t="s">
        <v>55</v>
      </c>
      <c r="C1340" s="4" t="s">
        <v>159</v>
      </c>
      <c r="D1340" s="4">
        <v>44</v>
      </c>
      <c r="E1340" s="20" t="s">
        <v>114</v>
      </c>
      <c r="F1340" s="21" t="s">
        <v>144</v>
      </c>
    </row>
    <row r="1341" spans="1:6">
      <c r="A1341" s="4" t="str">
        <f t="shared" si="20"/>
        <v>tRNA-Glu-TTC-1-1|42</v>
      </c>
      <c r="B1341" s="4" t="s">
        <v>55</v>
      </c>
      <c r="C1341" s="4" t="s">
        <v>160</v>
      </c>
      <c r="D1341" s="4">
        <v>45</v>
      </c>
      <c r="E1341" s="20" t="s">
        <v>109</v>
      </c>
      <c r="F1341" s="21" t="s">
        <v>144</v>
      </c>
    </row>
    <row r="1342" spans="1:6">
      <c r="A1342" s="4" t="str">
        <f t="shared" si="20"/>
        <v>tRNA-Glu-TTC-1-1|43</v>
      </c>
      <c r="B1342" s="4" t="s">
        <v>55</v>
      </c>
      <c r="C1342" s="4" t="s">
        <v>161</v>
      </c>
      <c r="D1342" s="4">
        <v>46</v>
      </c>
      <c r="E1342" s="20" t="s">
        <v>122</v>
      </c>
      <c r="F1342" s="21" t="s">
        <v>144</v>
      </c>
    </row>
    <row r="1343" spans="1:6">
      <c r="A1343" s="4" t="str">
        <f t="shared" si="20"/>
        <v>tRNA-Glu-TTC-1-1|44</v>
      </c>
      <c r="B1343" s="4" t="s">
        <v>55</v>
      </c>
      <c r="C1343" s="4" t="s">
        <v>162</v>
      </c>
      <c r="D1343" s="4">
        <v>47</v>
      </c>
      <c r="E1343" s="18" t="s">
        <v>122</v>
      </c>
      <c r="F1343" s="19" t="s">
        <v>163</v>
      </c>
    </row>
    <row r="1344" spans="1:6">
      <c r="A1344" s="4" t="str">
        <f t="shared" si="20"/>
        <v>tRNA-Glu-TTC-1-1|45</v>
      </c>
      <c r="B1344" s="4" t="s">
        <v>55</v>
      </c>
      <c r="C1344" s="4" t="s">
        <v>164</v>
      </c>
      <c r="D1344" s="4">
        <v>48</v>
      </c>
      <c r="E1344" s="18" t="s">
        <v>109</v>
      </c>
      <c r="F1344" s="19" t="s">
        <v>163</v>
      </c>
    </row>
    <row r="1345" spans="1:6">
      <c r="A1345" s="4" t="str">
        <f t="shared" si="20"/>
        <v>tRNA-Glu-TTC-1-1|46</v>
      </c>
      <c r="B1345" s="4" t="s">
        <v>55</v>
      </c>
      <c r="C1345" s="4" t="s">
        <v>165</v>
      </c>
      <c r="D1345" s="4">
        <v>49</v>
      </c>
      <c r="E1345" s="18" t="s">
        <v>122</v>
      </c>
      <c r="F1345" s="19" t="s">
        <v>163</v>
      </c>
    </row>
    <row r="1346" spans="1:6">
      <c r="A1346" s="4" t="str">
        <f t="shared" ref="A1346:A1409" si="21">B1346&amp;"|"&amp;C1346</f>
        <v>tRNA-Glu-TTC-1-1|48</v>
      </c>
      <c r="B1346" s="4" t="s">
        <v>55</v>
      </c>
      <c r="C1346" s="4" t="s">
        <v>167</v>
      </c>
      <c r="D1346" s="4">
        <v>50</v>
      </c>
      <c r="E1346" s="18" t="s">
        <v>114</v>
      </c>
      <c r="F1346" s="19" t="s">
        <v>163</v>
      </c>
    </row>
    <row r="1347" spans="1:6">
      <c r="A1347" s="4" t="str">
        <f t="shared" si="21"/>
        <v>tRNA-Glu-TTC-1-1|49</v>
      </c>
      <c r="B1347" s="4" t="s">
        <v>55</v>
      </c>
      <c r="C1347" s="4" t="s">
        <v>168</v>
      </c>
      <c r="D1347" s="4">
        <v>51</v>
      </c>
      <c r="E1347" s="22" t="s">
        <v>116</v>
      </c>
      <c r="F1347" s="10" t="s">
        <v>169</v>
      </c>
    </row>
    <row r="1348" spans="1:6">
      <c r="A1348" s="4" t="str">
        <f t="shared" si="21"/>
        <v>tRNA-Glu-TTC-1-1|50</v>
      </c>
      <c r="B1348" s="4" t="s">
        <v>55</v>
      </c>
      <c r="C1348" s="4" t="s">
        <v>170</v>
      </c>
      <c r="D1348" s="4">
        <v>52</v>
      </c>
      <c r="E1348" s="22" t="s">
        <v>114</v>
      </c>
      <c r="F1348" s="10" t="s">
        <v>169</v>
      </c>
    </row>
    <row r="1349" spans="1:6">
      <c r="A1349" s="4" t="str">
        <f t="shared" si="21"/>
        <v>tRNA-Glu-TTC-1-1|51</v>
      </c>
      <c r="B1349" s="4" t="s">
        <v>55</v>
      </c>
      <c r="C1349" s="4" t="s">
        <v>171</v>
      </c>
      <c r="D1349" s="4">
        <v>53</v>
      </c>
      <c r="E1349" s="22" t="s">
        <v>109</v>
      </c>
      <c r="F1349" s="10" t="s">
        <v>169</v>
      </c>
    </row>
    <row r="1350" spans="1:6">
      <c r="A1350" s="4" t="str">
        <f t="shared" si="21"/>
        <v>tRNA-Glu-TTC-1-1|52</v>
      </c>
      <c r="B1350" s="4" t="s">
        <v>55</v>
      </c>
      <c r="C1350" s="4" t="s">
        <v>172</v>
      </c>
      <c r="D1350" s="4">
        <v>54</v>
      </c>
      <c r="E1350" s="22" t="s">
        <v>109</v>
      </c>
      <c r="F1350" s="10" t="s">
        <v>169</v>
      </c>
    </row>
    <row r="1351" spans="1:6">
      <c r="A1351" s="4" t="str">
        <f t="shared" si="21"/>
        <v>tRNA-Glu-TTC-1-1|53</v>
      </c>
      <c r="B1351" s="4" t="s">
        <v>55</v>
      </c>
      <c r="C1351" s="4" t="s">
        <v>173</v>
      </c>
      <c r="D1351" s="4">
        <v>55</v>
      </c>
      <c r="E1351" s="22" t="s">
        <v>109</v>
      </c>
      <c r="F1351" s="10" t="s">
        <v>169</v>
      </c>
    </row>
    <row r="1352" spans="1:6">
      <c r="A1352" s="4" t="str">
        <f t="shared" si="21"/>
        <v>tRNA-Glu-TTC-1-1|54</v>
      </c>
      <c r="B1352" s="4" t="s">
        <v>55</v>
      </c>
      <c r="C1352" s="4" t="s">
        <v>174</v>
      </c>
      <c r="D1352" s="4">
        <v>56</v>
      </c>
      <c r="E1352" s="18" t="s">
        <v>116</v>
      </c>
      <c r="F1352" s="19" t="s">
        <v>175</v>
      </c>
    </row>
    <row r="1353" spans="1:6">
      <c r="A1353" s="4" t="str">
        <f t="shared" si="21"/>
        <v>tRNA-Glu-TTC-1-1|55</v>
      </c>
      <c r="B1353" s="4" t="s">
        <v>55</v>
      </c>
      <c r="C1353" s="4" t="s">
        <v>176</v>
      </c>
      <c r="D1353" s="4">
        <v>57</v>
      </c>
      <c r="E1353" s="18" t="s">
        <v>116</v>
      </c>
      <c r="F1353" s="19" t="s">
        <v>175</v>
      </c>
    </row>
    <row r="1354" spans="1:6">
      <c r="A1354" s="4" t="str">
        <f t="shared" si="21"/>
        <v>tRNA-Glu-TTC-1-1|56</v>
      </c>
      <c r="B1354" s="4" t="s">
        <v>55</v>
      </c>
      <c r="C1354" s="4" t="s">
        <v>177</v>
      </c>
      <c r="D1354" s="4">
        <v>58</v>
      </c>
      <c r="E1354" s="18" t="s">
        <v>114</v>
      </c>
      <c r="F1354" s="19" t="s">
        <v>175</v>
      </c>
    </row>
    <row r="1355" spans="1:6">
      <c r="A1355" s="4" t="str">
        <f t="shared" si="21"/>
        <v>tRNA-Glu-TTC-1-1|57</v>
      </c>
      <c r="B1355" s="4" t="s">
        <v>55</v>
      </c>
      <c r="C1355" s="4" t="s">
        <v>178</v>
      </c>
      <c r="D1355" s="4">
        <v>59</v>
      </c>
      <c r="E1355" s="18" t="s">
        <v>109</v>
      </c>
      <c r="F1355" s="19" t="s">
        <v>175</v>
      </c>
    </row>
    <row r="1356" spans="1:6">
      <c r="A1356" s="4" t="str">
        <f t="shared" si="21"/>
        <v>tRNA-Glu-TTC-1-1|58</v>
      </c>
      <c r="B1356" s="4" t="s">
        <v>55</v>
      </c>
      <c r="C1356" s="4" t="s">
        <v>179</v>
      </c>
      <c r="D1356" s="4">
        <v>60</v>
      </c>
      <c r="E1356" s="18" t="s">
        <v>122</v>
      </c>
      <c r="F1356" s="19" t="s">
        <v>175</v>
      </c>
    </row>
    <row r="1357" spans="1:6">
      <c r="A1357" s="4" t="str">
        <f t="shared" si="21"/>
        <v>tRNA-Glu-TTC-1-1|59</v>
      </c>
      <c r="B1357" s="4" t="s">
        <v>55</v>
      </c>
      <c r="C1357" s="4" t="s">
        <v>180</v>
      </c>
      <c r="D1357" s="4">
        <v>61</v>
      </c>
      <c r="E1357" s="18" t="s">
        <v>122</v>
      </c>
      <c r="F1357" s="19" t="s">
        <v>175</v>
      </c>
    </row>
    <row r="1358" spans="1:6">
      <c r="A1358" s="4" t="str">
        <f t="shared" si="21"/>
        <v>tRNA-Glu-TTC-1-1|60</v>
      </c>
      <c r="B1358" s="4" t="s">
        <v>55</v>
      </c>
      <c r="C1358" s="4" t="s">
        <v>181</v>
      </c>
      <c r="D1358" s="4">
        <v>62</v>
      </c>
      <c r="E1358" s="18" t="s">
        <v>116</v>
      </c>
      <c r="F1358" s="19" t="s">
        <v>175</v>
      </c>
    </row>
    <row r="1359" spans="1:6">
      <c r="A1359" s="4" t="str">
        <f t="shared" si="21"/>
        <v>tRNA-Glu-TTC-1-1|61</v>
      </c>
      <c r="B1359" s="4" t="s">
        <v>55</v>
      </c>
      <c r="C1359" s="4" t="s">
        <v>182</v>
      </c>
      <c r="D1359" s="4">
        <v>63</v>
      </c>
      <c r="E1359" s="22" t="s">
        <v>114</v>
      </c>
      <c r="F1359" s="10" t="s">
        <v>169</v>
      </c>
    </row>
    <row r="1360" spans="1:6">
      <c r="A1360" s="4" t="str">
        <f t="shared" si="21"/>
        <v>tRNA-Glu-TTC-1-1|62</v>
      </c>
      <c r="B1360" s="4" t="s">
        <v>55</v>
      </c>
      <c r="C1360" s="4" t="s">
        <v>183</v>
      </c>
      <c r="D1360" s="4">
        <v>64</v>
      </c>
      <c r="E1360" s="22" t="s">
        <v>114</v>
      </c>
      <c r="F1360" s="10" t="s">
        <v>169</v>
      </c>
    </row>
    <row r="1361" spans="1:6">
      <c r="A1361" s="4" t="str">
        <f t="shared" si="21"/>
        <v>tRNA-Glu-TTC-1-1|63</v>
      </c>
      <c r="B1361" s="4" t="s">
        <v>55</v>
      </c>
      <c r="C1361" s="4" t="s">
        <v>184</v>
      </c>
      <c r="D1361" s="4">
        <v>65</v>
      </c>
      <c r="E1361" s="22" t="s">
        <v>114</v>
      </c>
      <c r="F1361" s="10" t="s">
        <v>169</v>
      </c>
    </row>
    <row r="1362" spans="1:6">
      <c r="A1362" s="4" t="str">
        <f t="shared" si="21"/>
        <v>tRNA-Glu-TTC-1-1|64</v>
      </c>
      <c r="B1362" s="4" t="s">
        <v>55</v>
      </c>
      <c r="C1362" s="4" t="s">
        <v>185</v>
      </c>
      <c r="D1362" s="4">
        <v>66</v>
      </c>
      <c r="E1362" s="22" t="s">
        <v>109</v>
      </c>
      <c r="F1362" s="10" t="s">
        <v>169</v>
      </c>
    </row>
    <row r="1363" spans="1:6">
      <c r="A1363" s="4" t="str">
        <f t="shared" si="21"/>
        <v>tRNA-Glu-TTC-1-1|65</v>
      </c>
      <c r="B1363" s="4" t="s">
        <v>55</v>
      </c>
      <c r="C1363" s="4" t="s">
        <v>186</v>
      </c>
      <c r="D1363" s="4">
        <v>67</v>
      </c>
      <c r="E1363" s="22" t="s">
        <v>109</v>
      </c>
      <c r="F1363" s="10" t="s">
        <v>169</v>
      </c>
    </row>
    <row r="1364" spans="1:6">
      <c r="A1364" s="4" t="str">
        <f t="shared" si="21"/>
        <v>tRNA-Glu-TTC-1-1|66</v>
      </c>
      <c r="B1364" s="4" t="s">
        <v>55</v>
      </c>
      <c r="C1364" s="4" t="s">
        <v>187</v>
      </c>
      <c r="D1364" s="4">
        <v>68</v>
      </c>
      <c r="E1364" s="16" t="s">
        <v>114</v>
      </c>
      <c r="F1364" s="17" t="s">
        <v>110</v>
      </c>
    </row>
    <row r="1365" spans="1:6">
      <c r="A1365" s="4" t="str">
        <f t="shared" si="21"/>
        <v>tRNA-Glu-TTC-1-1|67</v>
      </c>
      <c r="B1365" s="4" t="s">
        <v>55</v>
      </c>
      <c r="C1365" s="4" t="s">
        <v>188</v>
      </c>
      <c r="D1365" s="4">
        <v>69</v>
      </c>
      <c r="E1365" s="16" t="s">
        <v>114</v>
      </c>
      <c r="F1365" s="17" t="s">
        <v>110</v>
      </c>
    </row>
    <row r="1366" spans="1:6">
      <c r="A1366" s="4" t="str">
        <f t="shared" si="21"/>
        <v>tRNA-Glu-TTC-1-1|68</v>
      </c>
      <c r="B1366" s="4" t="s">
        <v>55</v>
      </c>
      <c r="C1366" s="4" t="s">
        <v>189</v>
      </c>
      <c r="D1366" s="4">
        <v>70</v>
      </c>
      <c r="E1366" s="16" t="s">
        <v>109</v>
      </c>
      <c r="F1366" s="17" t="s">
        <v>110</v>
      </c>
    </row>
    <row r="1367" spans="1:6">
      <c r="A1367" s="4" t="str">
        <f t="shared" si="21"/>
        <v>tRNA-Glu-TTC-1-1|69</v>
      </c>
      <c r="B1367" s="4" t="s">
        <v>55</v>
      </c>
      <c r="C1367" s="4" t="s">
        <v>190</v>
      </c>
      <c r="D1367" s="4">
        <v>71</v>
      </c>
      <c r="E1367" s="16" t="s">
        <v>109</v>
      </c>
      <c r="F1367" s="17" t="s">
        <v>110</v>
      </c>
    </row>
    <row r="1368" spans="1:6">
      <c r="A1368" s="4" t="str">
        <f t="shared" si="21"/>
        <v>tRNA-Glu-TTC-1-1|70</v>
      </c>
      <c r="B1368" s="4" t="s">
        <v>55</v>
      </c>
      <c r="C1368" s="4" t="s">
        <v>191</v>
      </c>
      <c r="D1368" s="4">
        <v>72</v>
      </c>
      <c r="E1368" s="16" t="s">
        <v>122</v>
      </c>
      <c r="F1368" s="17" t="s">
        <v>110</v>
      </c>
    </row>
    <row r="1369" spans="1:6">
      <c r="A1369" s="4" t="str">
        <f t="shared" si="21"/>
        <v>tRNA-Glu-TTC-1-1|71</v>
      </c>
      <c r="B1369" s="4" t="s">
        <v>55</v>
      </c>
      <c r="C1369" s="4" t="s">
        <v>192</v>
      </c>
      <c r="D1369" s="4">
        <v>73</v>
      </c>
      <c r="E1369" s="16" t="s">
        <v>109</v>
      </c>
      <c r="F1369" s="17" t="s">
        <v>110</v>
      </c>
    </row>
    <row r="1370" spans="1:6">
      <c r="A1370" s="4" t="str">
        <f t="shared" si="21"/>
        <v>tRNA-Glu-TTC-1-1|72</v>
      </c>
      <c r="B1370" s="4" t="s">
        <v>55</v>
      </c>
      <c r="C1370" s="4" t="s">
        <v>193</v>
      </c>
      <c r="D1370" s="4">
        <v>74</v>
      </c>
      <c r="E1370" s="16" t="s">
        <v>114</v>
      </c>
      <c r="F1370" s="17" t="s">
        <v>110</v>
      </c>
    </row>
    <row r="1371" spans="1:6">
      <c r="A1371" s="4" t="str">
        <f t="shared" si="21"/>
        <v>tRNA-Glu-TTC-1-2|1</v>
      </c>
      <c r="B1371" s="4" t="s">
        <v>56</v>
      </c>
      <c r="C1371" s="4" t="s">
        <v>108</v>
      </c>
      <c r="D1371" s="4">
        <v>1</v>
      </c>
      <c r="E1371" s="16" t="s">
        <v>109</v>
      </c>
      <c r="F1371" s="17" t="s">
        <v>110</v>
      </c>
    </row>
    <row r="1372" spans="1:6">
      <c r="A1372" s="4" t="str">
        <f t="shared" si="21"/>
        <v>tRNA-Glu-TTC-1-2|2</v>
      </c>
      <c r="B1372" s="4" t="s">
        <v>56</v>
      </c>
      <c r="C1372" s="4" t="s">
        <v>111</v>
      </c>
      <c r="D1372" s="4">
        <v>2</v>
      </c>
      <c r="E1372" s="16" t="s">
        <v>114</v>
      </c>
      <c r="F1372" s="17" t="s">
        <v>110</v>
      </c>
    </row>
    <row r="1373" spans="1:6">
      <c r="A1373" s="4" t="str">
        <f t="shared" si="21"/>
        <v>tRNA-Glu-TTC-1-2|3</v>
      </c>
      <c r="B1373" s="4" t="s">
        <v>56</v>
      </c>
      <c r="C1373" s="4" t="s">
        <v>112</v>
      </c>
      <c r="D1373" s="4">
        <v>3</v>
      </c>
      <c r="E1373" s="16" t="s">
        <v>116</v>
      </c>
      <c r="F1373" s="17" t="s">
        <v>110</v>
      </c>
    </row>
    <row r="1374" spans="1:6">
      <c r="A1374" s="4" t="str">
        <f t="shared" si="21"/>
        <v>tRNA-Glu-TTC-1-2|4</v>
      </c>
      <c r="B1374" s="4" t="s">
        <v>56</v>
      </c>
      <c r="C1374" s="4" t="s">
        <v>113</v>
      </c>
      <c r="D1374" s="4">
        <v>4</v>
      </c>
      <c r="E1374" s="16" t="s">
        <v>114</v>
      </c>
      <c r="F1374" s="17" t="s">
        <v>110</v>
      </c>
    </row>
    <row r="1375" spans="1:6">
      <c r="A1375" s="4" t="str">
        <f t="shared" si="21"/>
        <v>tRNA-Glu-TTC-1-2|5</v>
      </c>
      <c r="B1375" s="4" t="s">
        <v>56</v>
      </c>
      <c r="C1375" s="4" t="s">
        <v>115</v>
      </c>
      <c r="D1375" s="4">
        <v>5</v>
      </c>
      <c r="E1375" s="16" t="s">
        <v>114</v>
      </c>
      <c r="F1375" s="17" t="s">
        <v>110</v>
      </c>
    </row>
    <row r="1376" spans="1:6">
      <c r="A1376" s="4" t="str">
        <f t="shared" si="21"/>
        <v>tRNA-Glu-TTC-1-2|6</v>
      </c>
      <c r="B1376" s="4" t="s">
        <v>56</v>
      </c>
      <c r="C1376" s="4" t="s">
        <v>117</v>
      </c>
      <c r="D1376" s="4">
        <v>6</v>
      </c>
      <c r="E1376" s="16" t="s">
        <v>109</v>
      </c>
      <c r="F1376" s="17" t="s">
        <v>110</v>
      </c>
    </row>
    <row r="1377" spans="1:6">
      <c r="A1377" s="4" t="str">
        <f t="shared" si="21"/>
        <v>tRNA-Glu-TTC-1-2|7</v>
      </c>
      <c r="B1377" s="4" t="s">
        <v>56</v>
      </c>
      <c r="C1377" s="4" t="s">
        <v>118</v>
      </c>
      <c r="D1377" s="4">
        <v>7</v>
      </c>
      <c r="E1377" s="16" t="s">
        <v>109</v>
      </c>
      <c r="F1377" s="17" t="s">
        <v>110</v>
      </c>
    </row>
    <row r="1378" spans="1:6">
      <c r="A1378" s="4" t="str">
        <f t="shared" si="21"/>
        <v>tRNA-Glu-TTC-1-2|8</v>
      </c>
      <c r="B1378" s="4" t="s">
        <v>56</v>
      </c>
      <c r="C1378" s="4" t="s">
        <v>119</v>
      </c>
      <c r="D1378" s="4">
        <v>8</v>
      </c>
      <c r="E1378" s="3" t="s">
        <v>116</v>
      </c>
      <c r="F1378" s="4" t="s">
        <v>120</v>
      </c>
    </row>
    <row r="1379" spans="1:6">
      <c r="A1379" s="4" t="str">
        <f t="shared" si="21"/>
        <v>tRNA-Glu-TTC-1-2|9</v>
      </c>
      <c r="B1379" s="4" t="s">
        <v>56</v>
      </c>
      <c r="C1379" s="4" t="s">
        <v>121</v>
      </c>
      <c r="D1379" s="4">
        <v>9</v>
      </c>
      <c r="E1379" s="3" t="s">
        <v>122</v>
      </c>
      <c r="F1379" s="4" t="s">
        <v>123</v>
      </c>
    </row>
    <row r="1380" spans="1:6">
      <c r="A1380" s="4" t="str">
        <f t="shared" si="21"/>
        <v>tRNA-Glu-TTC-1-2|10</v>
      </c>
      <c r="B1380" s="4" t="s">
        <v>56</v>
      </c>
      <c r="C1380" s="4" t="s">
        <v>124</v>
      </c>
      <c r="D1380" s="4">
        <v>10</v>
      </c>
      <c r="E1380" s="8" t="s">
        <v>109</v>
      </c>
      <c r="F1380" s="7" t="s">
        <v>125</v>
      </c>
    </row>
    <row r="1381" spans="1:6">
      <c r="A1381" s="4" t="str">
        <f t="shared" si="21"/>
        <v>tRNA-Glu-TTC-1-2|11</v>
      </c>
      <c r="B1381" s="4" t="s">
        <v>56</v>
      </c>
      <c r="C1381" s="4" t="s">
        <v>126</v>
      </c>
      <c r="D1381" s="4">
        <v>11</v>
      </c>
      <c r="E1381" s="8" t="s">
        <v>116</v>
      </c>
      <c r="F1381" s="7" t="s">
        <v>125</v>
      </c>
    </row>
    <row r="1382" spans="1:6">
      <c r="A1382" s="4" t="str">
        <f t="shared" si="21"/>
        <v>tRNA-Glu-TTC-1-2|12</v>
      </c>
      <c r="B1382" s="4" t="s">
        <v>56</v>
      </c>
      <c r="C1382" s="4" t="s">
        <v>127</v>
      </c>
      <c r="D1382" s="4">
        <v>12</v>
      </c>
      <c r="E1382" s="8" t="s">
        <v>109</v>
      </c>
      <c r="F1382" s="7" t="s">
        <v>125</v>
      </c>
    </row>
    <row r="1383" spans="1:6">
      <c r="A1383" s="4" t="str">
        <f t="shared" si="21"/>
        <v>tRNA-Glu-TTC-1-2|13</v>
      </c>
      <c r="B1383" s="4" t="s">
        <v>56</v>
      </c>
      <c r="C1383" s="4" t="s">
        <v>128</v>
      </c>
      <c r="D1383" s="4">
        <v>13</v>
      </c>
      <c r="E1383" s="8" t="s">
        <v>116</v>
      </c>
      <c r="F1383" s="7" t="s">
        <v>125</v>
      </c>
    </row>
    <row r="1384" spans="1:6">
      <c r="A1384" s="4" t="str">
        <f t="shared" si="21"/>
        <v>tRNA-Glu-TTC-1-2|14</v>
      </c>
      <c r="B1384" s="4" t="s">
        <v>56</v>
      </c>
      <c r="C1384" s="4" t="s">
        <v>129</v>
      </c>
      <c r="D1384" s="4">
        <v>14</v>
      </c>
      <c r="E1384" s="18" t="s">
        <v>122</v>
      </c>
      <c r="F1384" s="19" t="s">
        <v>130</v>
      </c>
    </row>
    <row r="1385" spans="1:6">
      <c r="A1385" s="4" t="str">
        <f t="shared" si="21"/>
        <v>tRNA-Glu-TTC-1-2|15</v>
      </c>
      <c r="B1385" s="4" t="s">
        <v>56</v>
      </c>
      <c r="C1385" s="4" t="s">
        <v>131</v>
      </c>
      <c r="D1385" s="4">
        <v>15</v>
      </c>
      <c r="E1385" s="18" t="s">
        <v>109</v>
      </c>
      <c r="F1385" s="19" t="s">
        <v>130</v>
      </c>
    </row>
    <row r="1386" spans="1:6">
      <c r="A1386" s="4" t="str">
        <f t="shared" si="21"/>
        <v>tRNA-Glu-TTC-1-2|16</v>
      </c>
      <c r="B1386" s="4" t="s">
        <v>56</v>
      </c>
      <c r="C1386" s="4" t="s">
        <v>194</v>
      </c>
      <c r="D1386" s="4">
        <v>16</v>
      </c>
      <c r="E1386" s="18" t="s">
        <v>116</v>
      </c>
      <c r="F1386" s="19" t="s">
        <v>130</v>
      </c>
    </row>
    <row r="1387" spans="1:6">
      <c r="A1387" s="4" t="str">
        <f t="shared" si="21"/>
        <v>tRNA-Glu-TTC-1-2|17</v>
      </c>
      <c r="B1387" s="4" t="s">
        <v>56</v>
      </c>
      <c r="C1387" s="4" t="s">
        <v>195</v>
      </c>
      <c r="D1387" s="4">
        <v>17</v>
      </c>
      <c r="E1387" s="18" t="s">
        <v>114</v>
      </c>
      <c r="F1387" s="19" t="s">
        <v>130</v>
      </c>
    </row>
    <row r="1388" spans="1:6">
      <c r="A1388" s="4" t="str">
        <f t="shared" si="21"/>
        <v>tRNA-Glu-TTC-1-2|17a</v>
      </c>
      <c r="B1388" s="4" t="s">
        <v>56</v>
      </c>
      <c r="C1388" s="4" t="s">
        <v>196</v>
      </c>
      <c r="D1388" s="4">
        <v>18</v>
      </c>
      <c r="E1388" s="18" t="s">
        <v>114</v>
      </c>
      <c r="F1388" s="19" t="s">
        <v>130</v>
      </c>
    </row>
    <row r="1389" spans="1:6">
      <c r="A1389" s="4" t="str">
        <f t="shared" si="21"/>
        <v>tRNA-Glu-TTC-1-2|18</v>
      </c>
      <c r="B1389" s="4" t="s">
        <v>56</v>
      </c>
      <c r="C1389" s="4" t="s">
        <v>132</v>
      </c>
      <c r="D1389" s="4">
        <v>19</v>
      </c>
      <c r="E1389" s="18" t="s">
        <v>109</v>
      </c>
      <c r="F1389" s="19" t="s">
        <v>130</v>
      </c>
    </row>
    <row r="1390" spans="1:6">
      <c r="A1390" s="4" t="str">
        <f t="shared" si="21"/>
        <v>tRNA-Glu-TTC-1-2|19</v>
      </c>
      <c r="B1390" s="4" t="s">
        <v>56</v>
      </c>
      <c r="C1390" s="4" t="s">
        <v>133</v>
      </c>
      <c r="D1390" s="4">
        <v>20</v>
      </c>
      <c r="E1390" s="18" t="s">
        <v>109</v>
      </c>
      <c r="F1390" s="19" t="s">
        <v>130</v>
      </c>
    </row>
    <row r="1391" spans="1:6">
      <c r="A1391" s="4" t="str">
        <f t="shared" si="21"/>
        <v>tRNA-Glu-TTC-1-2|20</v>
      </c>
      <c r="B1391" s="4" t="s">
        <v>56</v>
      </c>
      <c r="C1391" s="4" t="s">
        <v>134</v>
      </c>
      <c r="D1391" s="4">
        <v>21</v>
      </c>
      <c r="E1391" s="18" t="s">
        <v>114</v>
      </c>
      <c r="F1391" s="19" t="s">
        <v>130</v>
      </c>
    </row>
    <row r="1392" spans="1:6">
      <c r="A1392" s="4" t="str">
        <f t="shared" si="21"/>
        <v>tRNA-Glu-TTC-1-2|20a</v>
      </c>
      <c r="B1392" s="4" t="s">
        <v>56</v>
      </c>
      <c r="C1392" s="4" t="s">
        <v>135</v>
      </c>
      <c r="D1392" s="4">
        <v>22</v>
      </c>
      <c r="E1392" s="18" t="s">
        <v>114</v>
      </c>
      <c r="F1392" s="19" t="s">
        <v>130</v>
      </c>
    </row>
    <row r="1393" spans="1:6">
      <c r="A1393" s="4" t="str">
        <f t="shared" si="21"/>
        <v>tRNA-Glu-TTC-1-2|20b</v>
      </c>
      <c r="B1393" s="4" t="s">
        <v>56</v>
      </c>
      <c r="C1393" s="4" t="s">
        <v>197</v>
      </c>
      <c r="D1393" s="4">
        <v>23</v>
      </c>
      <c r="E1393" s="18" t="s">
        <v>122</v>
      </c>
      <c r="F1393" s="19" t="s">
        <v>130</v>
      </c>
    </row>
    <row r="1394" spans="1:6">
      <c r="A1394" s="4" t="str">
        <f t="shared" si="21"/>
        <v>tRNA-Glu-TTC-1-2|21</v>
      </c>
      <c r="B1394" s="4" t="s">
        <v>56</v>
      </c>
      <c r="C1394" s="4" t="s">
        <v>136</v>
      </c>
      <c r="D1394" s="4">
        <v>24</v>
      </c>
      <c r="E1394" s="18" t="s">
        <v>122</v>
      </c>
      <c r="F1394" s="19" t="s">
        <v>130</v>
      </c>
    </row>
    <row r="1395" spans="1:6">
      <c r="A1395" s="4" t="str">
        <f t="shared" si="21"/>
        <v>tRNA-Glu-TTC-1-2|22</v>
      </c>
      <c r="B1395" s="4" t="s">
        <v>56</v>
      </c>
      <c r="C1395" s="4" t="s">
        <v>137</v>
      </c>
      <c r="D1395" s="4">
        <v>25</v>
      </c>
      <c r="E1395" s="8" t="s">
        <v>116</v>
      </c>
      <c r="F1395" s="7" t="s">
        <v>125</v>
      </c>
    </row>
    <row r="1396" spans="1:6">
      <c r="A1396" s="4" t="str">
        <f t="shared" si="21"/>
        <v>tRNA-Glu-TTC-1-2|23</v>
      </c>
      <c r="B1396" s="4" t="s">
        <v>56</v>
      </c>
      <c r="C1396" s="4" t="s">
        <v>138</v>
      </c>
      <c r="D1396" s="4">
        <v>26</v>
      </c>
      <c r="E1396" s="8" t="s">
        <v>114</v>
      </c>
      <c r="F1396" s="7" t="s">
        <v>125</v>
      </c>
    </row>
    <row r="1397" spans="1:6">
      <c r="A1397" s="4" t="str">
        <f t="shared" si="21"/>
        <v>tRNA-Glu-TTC-1-2|24</v>
      </c>
      <c r="B1397" s="4" t="s">
        <v>56</v>
      </c>
      <c r="C1397" s="4" t="s">
        <v>139</v>
      </c>
      <c r="D1397" s="4">
        <v>27</v>
      </c>
      <c r="E1397" s="8" t="s">
        <v>122</v>
      </c>
      <c r="F1397" s="7" t="s">
        <v>125</v>
      </c>
    </row>
    <row r="1398" spans="1:6">
      <c r="A1398" s="4" t="str">
        <f t="shared" si="21"/>
        <v>tRNA-Glu-TTC-1-2|25</v>
      </c>
      <c r="B1398" s="4" t="s">
        <v>56</v>
      </c>
      <c r="C1398" s="4" t="s">
        <v>140</v>
      </c>
      <c r="D1398" s="4">
        <v>28</v>
      </c>
      <c r="E1398" s="8" t="s">
        <v>116</v>
      </c>
      <c r="F1398" s="7" t="s">
        <v>125</v>
      </c>
    </row>
    <row r="1399" spans="1:6">
      <c r="A1399" s="4" t="str">
        <f t="shared" si="21"/>
        <v>tRNA-Glu-TTC-1-2|26</v>
      </c>
      <c r="B1399" s="4" t="s">
        <v>56</v>
      </c>
      <c r="C1399" s="4" t="s">
        <v>141</v>
      </c>
      <c r="D1399" s="4">
        <v>29</v>
      </c>
      <c r="E1399" s="3" t="s">
        <v>116</v>
      </c>
      <c r="F1399" s="4" t="s">
        <v>142</v>
      </c>
    </row>
    <row r="1400" spans="1:6">
      <c r="A1400" s="4" t="str">
        <f t="shared" si="21"/>
        <v>tRNA-Glu-TTC-1-2|27</v>
      </c>
      <c r="B1400" s="4" t="s">
        <v>56</v>
      </c>
      <c r="C1400" s="4" t="s">
        <v>143</v>
      </c>
      <c r="D1400" s="4">
        <v>30</v>
      </c>
      <c r="E1400" s="20" t="s">
        <v>114</v>
      </c>
      <c r="F1400" s="21" t="s">
        <v>144</v>
      </c>
    </row>
    <row r="1401" spans="1:6">
      <c r="A1401" s="4" t="str">
        <f t="shared" si="21"/>
        <v>tRNA-Glu-TTC-1-2|28</v>
      </c>
      <c r="B1401" s="4" t="s">
        <v>56</v>
      </c>
      <c r="C1401" s="4" t="s">
        <v>145</v>
      </c>
      <c r="D1401" s="4">
        <v>31</v>
      </c>
      <c r="E1401" s="20" t="s">
        <v>114</v>
      </c>
      <c r="F1401" s="21" t="s">
        <v>144</v>
      </c>
    </row>
    <row r="1402" spans="1:6">
      <c r="A1402" s="4" t="str">
        <f t="shared" si="21"/>
        <v>tRNA-Glu-TTC-1-2|29</v>
      </c>
      <c r="B1402" s="4" t="s">
        <v>56</v>
      </c>
      <c r="C1402" s="4" t="s">
        <v>146</v>
      </c>
      <c r="D1402" s="4">
        <v>32</v>
      </c>
      <c r="E1402" s="20" t="s">
        <v>109</v>
      </c>
      <c r="F1402" s="21" t="s">
        <v>144</v>
      </c>
    </row>
    <row r="1403" spans="1:6">
      <c r="A1403" s="4" t="str">
        <f t="shared" si="21"/>
        <v>tRNA-Glu-TTC-1-2|30</v>
      </c>
      <c r="B1403" s="4" t="s">
        <v>56</v>
      </c>
      <c r="C1403" s="4" t="s">
        <v>147</v>
      </c>
      <c r="D1403" s="4">
        <v>33</v>
      </c>
      <c r="E1403" s="20" t="s">
        <v>109</v>
      </c>
      <c r="F1403" s="21" t="s">
        <v>144</v>
      </c>
    </row>
    <row r="1404" spans="1:6">
      <c r="A1404" s="4" t="str">
        <f t="shared" si="21"/>
        <v>tRNA-Glu-TTC-1-2|31</v>
      </c>
      <c r="B1404" s="4" t="s">
        <v>56</v>
      </c>
      <c r="C1404" s="4" t="s">
        <v>148</v>
      </c>
      <c r="D1404" s="4">
        <v>34</v>
      </c>
      <c r="E1404" s="20" t="s">
        <v>114</v>
      </c>
      <c r="F1404" s="21" t="s">
        <v>144</v>
      </c>
    </row>
    <row r="1405" spans="1:6">
      <c r="A1405" s="4" t="str">
        <f t="shared" si="21"/>
        <v>tRNA-Glu-TTC-1-2|32</v>
      </c>
      <c r="B1405" s="4" t="s">
        <v>56</v>
      </c>
      <c r="C1405" s="4" t="s">
        <v>149</v>
      </c>
      <c r="D1405" s="4">
        <v>35</v>
      </c>
      <c r="E1405" s="18" t="s">
        <v>114</v>
      </c>
      <c r="F1405" s="19" t="s">
        <v>150</v>
      </c>
    </row>
    <row r="1406" spans="1:6">
      <c r="A1406" s="4" t="str">
        <f t="shared" si="21"/>
        <v>tRNA-Glu-TTC-1-2|33</v>
      </c>
      <c r="B1406" s="4" t="s">
        <v>56</v>
      </c>
      <c r="C1406" s="4" t="s">
        <v>151</v>
      </c>
      <c r="D1406" s="4">
        <v>36</v>
      </c>
      <c r="E1406" s="18" t="s">
        <v>116</v>
      </c>
      <c r="F1406" s="19" t="s">
        <v>150</v>
      </c>
    </row>
    <row r="1407" spans="1:6">
      <c r="A1407" s="4" t="str">
        <f t="shared" si="21"/>
        <v>tRNA-Glu-TTC-1-2|34</v>
      </c>
      <c r="B1407" s="4" t="s">
        <v>56</v>
      </c>
      <c r="C1407" s="4" t="s">
        <v>152</v>
      </c>
      <c r="D1407" s="4">
        <v>37</v>
      </c>
      <c r="E1407" s="18" t="s">
        <v>116</v>
      </c>
      <c r="F1407" s="19" t="s">
        <v>150</v>
      </c>
    </row>
    <row r="1408" spans="1:6">
      <c r="A1408" s="4" t="str">
        <f t="shared" si="21"/>
        <v>tRNA-Glu-TTC-1-2|35</v>
      </c>
      <c r="B1408" s="4" t="s">
        <v>56</v>
      </c>
      <c r="C1408" s="4" t="s">
        <v>153</v>
      </c>
      <c r="D1408" s="4">
        <v>38</v>
      </c>
      <c r="E1408" s="18" t="s">
        <v>116</v>
      </c>
      <c r="F1408" s="19" t="s">
        <v>150</v>
      </c>
    </row>
    <row r="1409" spans="1:6">
      <c r="A1409" s="4" t="str">
        <f t="shared" si="21"/>
        <v>tRNA-Glu-TTC-1-2|36</v>
      </c>
      <c r="B1409" s="4" t="s">
        <v>56</v>
      </c>
      <c r="C1409" s="4" t="s">
        <v>154</v>
      </c>
      <c r="D1409" s="4">
        <v>39</v>
      </c>
      <c r="E1409" s="18" t="s">
        <v>114</v>
      </c>
      <c r="F1409" s="19" t="s">
        <v>150</v>
      </c>
    </row>
    <row r="1410" spans="1:6">
      <c r="A1410" s="4" t="str">
        <f t="shared" ref="A1410:A1473" si="22">B1410&amp;"|"&amp;C1410</f>
        <v>tRNA-Glu-TTC-1-2|37</v>
      </c>
      <c r="B1410" s="4" t="s">
        <v>56</v>
      </c>
      <c r="C1410" s="4" t="s">
        <v>155</v>
      </c>
      <c r="D1410" s="4">
        <v>40</v>
      </c>
      <c r="E1410" s="18" t="s">
        <v>109</v>
      </c>
      <c r="F1410" s="19" t="s">
        <v>150</v>
      </c>
    </row>
    <row r="1411" spans="1:6">
      <c r="A1411" s="4" t="str">
        <f t="shared" si="22"/>
        <v>tRNA-Glu-TTC-1-2|38</v>
      </c>
      <c r="B1411" s="4" t="s">
        <v>56</v>
      </c>
      <c r="C1411" s="4" t="s">
        <v>156</v>
      </c>
      <c r="D1411" s="4">
        <v>41</v>
      </c>
      <c r="E1411" s="18" t="s">
        <v>122</v>
      </c>
      <c r="F1411" s="19" t="s">
        <v>150</v>
      </c>
    </row>
    <row r="1412" spans="1:6">
      <c r="A1412" s="4" t="str">
        <f t="shared" si="22"/>
        <v>tRNA-Glu-TTC-1-2|39</v>
      </c>
      <c r="B1412" s="4" t="s">
        <v>56</v>
      </c>
      <c r="C1412" s="4" t="s">
        <v>157</v>
      </c>
      <c r="D1412" s="4">
        <v>42</v>
      </c>
      <c r="E1412" s="20" t="s">
        <v>109</v>
      </c>
      <c r="F1412" s="21" t="s">
        <v>144</v>
      </c>
    </row>
    <row r="1413" spans="1:6">
      <c r="A1413" s="4" t="str">
        <f t="shared" si="22"/>
        <v>tRNA-Glu-TTC-1-2|40</v>
      </c>
      <c r="B1413" s="4" t="s">
        <v>56</v>
      </c>
      <c r="C1413" s="4" t="s">
        <v>158</v>
      </c>
      <c r="D1413" s="4">
        <v>43</v>
      </c>
      <c r="E1413" s="20" t="s">
        <v>114</v>
      </c>
      <c r="F1413" s="21" t="s">
        <v>144</v>
      </c>
    </row>
    <row r="1414" spans="1:6">
      <c r="A1414" s="4" t="str">
        <f t="shared" si="22"/>
        <v>tRNA-Glu-TTC-1-2|41</v>
      </c>
      <c r="B1414" s="4" t="s">
        <v>56</v>
      </c>
      <c r="C1414" s="4" t="s">
        <v>159</v>
      </c>
      <c r="D1414" s="4">
        <v>44</v>
      </c>
      <c r="E1414" s="20" t="s">
        <v>114</v>
      </c>
      <c r="F1414" s="21" t="s">
        <v>144</v>
      </c>
    </row>
    <row r="1415" spans="1:6">
      <c r="A1415" s="4" t="str">
        <f t="shared" si="22"/>
        <v>tRNA-Glu-TTC-1-2|42</v>
      </c>
      <c r="B1415" s="4" t="s">
        <v>56</v>
      </c>
      <c r="C1415" s="4" t="s">
        <v>160</v>
      </c>
      <c r="D1415" s="4">
        <v>45</v>
      </c>
      <c r="E1415" s="20" t="s">
        <v>109</v>
      </c>
      <c r="F1415" s="21" t="s">
        <v>144</v>
      </c>
    </row>
    <row r="1416" spans="1:6">
      <c r="A1416" s="4" t="str">
        <f t="shared" si="22"/>
        <v>tRNA-Glu-TTC-1-2|43</v>
      </c>
      <c r="B1416" s="4" t="s">
        <v>56</v>
      </c>
      <c r="C1416" s="4" t="s">
        <v>161</v>
      </c>
      <c r="D1416" s="4">
        <v>46</v>
      </c>
      <c r="E1416" s="20" t="s">
        <v>122</v>
      </c>
      <c r="F1416" s="21" t="s">
        <v>144</v>
      </c>
    </row>
    <row r="1417" spans="1:6">
      <c r="A1417" s="4" t="str">
        <f t="shared" si="22"/>
        <v>tRNA-Glu-TTC-1-2|44</v>
      </c>
      <c r="B1417" s="4" t="s">
        <v>56</v>
      </c>
      <c r="C1417" s="4" t="s">
        <v>162</v>
      </c>
      <c r="D1417" s="4">
        <v>47</v>
      </c>
      <c r="E1417" s="18" t="s">
        <v>122</v>
      </c>
      <c r="F1417" s="19" t="s">
        <v>163</v>
      </c>
    </row>
    <row r="1418" spans="1:6">
      <c r="A1418" s="4" t="str">
        <f t="shared" si="22"/>
        <v>tRNA-Glu-TTC-1-2|45</v>
      </c>
      <c r="B1418" s="4" t="s">
        <v>56</v>
      </c>
      <c r="C1418" s="4" t="s">
        <v>164</v>
      </c>
      <c r="D1418" s="4">
        <v>48</v>
      </c>
      <c r="E1418" s="18" t="s">
        <v>109</v>
      </c>
      <c r="F1418" s="19" t="s">
        <v>163</v>
      </c>
    </row>
    <row r="1419" spans="1:6">
      <c r="A1419" s="4" t="str">
        <f t="shared" si="22"/>
        <v>tRNA-Glu-TTC-1-2|46</v>
      </c>
      <c r="B1419" s="4" t="s">
        <v>56</v>
      </c>
      <c r="C1419" s="4" t="s">
        <v>165</v>
      </c>
      <c r="D1419" s="4">
        <v>49</v>
      </c>
      <c r="E1419" s="18" t="s">
        <v>122</v>
      </c>
      <c r="F1419" s="19" t="s">
        <v>163</v>
      </c>
    </row>
    <row r="1420" spans="1:6">
      <c r="A1420" s="4" t="str">
        <f t="shared" si="22"/>
        <v>tRNA-Glu-TTC-1-2|48</v>
      </c>
      <c r="B1420" s="4" t="s">
        <v>56</v>
      </c>
      <c r="C1420" s="4" t="s">
        <v>167</v>
      </c>
      <c r="D1420" s="4">
        <v>50</v>
      </c>
      <c r="E1420" s="18" t="s">
        <v>114</v>
      </c>
      <c r="F1420" s="19" t="s">
        <v>163</v>
      </c>
    </row>
    <row r="1421" spans="1:6">
      <c r="A1421" s="4" t="str">
        <f t="shared" si="22"/>
        <v>tRNA-Glu-TTC-1-2|49</v>
      </c>
      <c r="B1421" s="4" t="s">
        <v>56</v>
      </c>
      <c r="C1421" s="4" t="s">
        <v>168</v>
      </c>
      <c r="D1421" s="4">
        <v>51</v>
      </c>
      <c r="E1421" s="22" t="s">
        <v>116</v>
      </c>
      <c r="F1421" s="10" t="s">
        <v>169</v>
      </c>
    </row>
    <row r="1422" spans="1:6">
      <c r="A1422" s="4" t="str">
        <f t="shared" si="22"/>
        <v>tRNA-Glu-TTC-1-2|50</v>
      </c>
      <c r="B1422" s="4" t="s">
        <v>56</v>
      </c>
      <c r="C1422" s="4" t="s">
        <v>170</v>
      </c>
      <c r="D1422" s="4">
        <v>52</v>
      </c>
      <c r="E1422" s="22" t="s">
        <v>114</v>
      </c>
      <c r="F1422" s="10" t="s">
        <v>169</v>
      </c>
    </row>
    <row r="1423" spans="1:6">
      <c r="A1423" s="4" t="str">
        <f t="shared" si="22"/>
        <v>tRNA-Glu-TTC-1-2|51</v>
      </c>
      <c r="B1423" s="4" t="s">
        <v>56</v>
      </c>
      <c r="C1423" s="4" t="s">
        <v>171</v>
      </c>
      <c r="D1423" s="4">
        <v>53</v>
      </c>
      <c r="E1423" s="22" t="s">
        <v>109</v>
      </c>
      <c r="F1423" s="10" t="s">
        <v>169</v>
      </c>
    </row>
    <row r="1424" spans="1:6">
      <c r="A1424" s="4" t="str">
        <f t="shared" si="22"/>
        <v>tRNA-Glu-TTC-1-2|52</v>
      </c>
      <c r="B1424" s="4" t="s">
        <v>56</v>
      </c>
      <c r="C1424" s="4" t="s">
        <v>172</v>
      </c>
      <c r="D1424" s="4">
        <v>54</v>
      </c>
      <c r="E1424" s="22" t="s">
        <v>109</v>
      </c>
      <c r="F1424" s="10" t="s">
        <v>169</v>
      </c>
    </row>
    <row r="1425" spans="1:6">
      <c r="A1425" s="4" t="str">
        <f t="shared" si="22"/>
        <v>tRNA-Glu-TTC-1-2|53</v>
      </c>
      <c r="B1425" s="4" t="s">
        <v>56</v>
      </c>
      <c r="C1425" s="4" t="s">
        <v>173</v>
      </c>
      <c r="D1425" s="4">
        <v>55</v>
      </c>
      <c r="E1425" s="22" t="s">
        <v>109</v>
      </c>
      <c r="F1425" s="10" t="s">
        <v>169</v>
      </c>
    </row>
    <row r="1426" spans="1:6">
      <c r="A1426" s="4" t="str">
        <f t="shared" si="22"/>
        <v>tRNA-Glu-TTC-1-2|54</v>
      </c>
      <c r="B1426" s="4" t="s">
        <v>56</v>
      </c>
      <c r="C1426" s="4" t="s">
        <v>174</v>
      </c>
      <c r="D1426" s="4">
        <v>56</v>
      </c>
      <c r="E1426" s="18" t="s">
        <v>116</v>
      </c>
      <c r="F1426" s="19" t="s">
        <v>175</v>
      </c>
    </row>
    <row r="1427" spans="1:6">
      <c r="A1427" s="4" t="str">
        <f t="shared" si="22"/>
        <v>tRNA-Glu-TTC-1-2|55</v>
      </c>
      <c r="B1427" s="4" t="s">
        <v>56</v>
      </c>
      <c r="C1427" s="4" t="s">
        <v>176</v>
      </c>
      <c r="D1427" s="4">
        <v>57</v>
      </c>
      <c r="E1427" s="18" t="s">
        <v>116</v>
      </c>
      <c r="F1427" s="19" t="s">
        <v>175</v>
      </c>
    </row>
    <row r="1428" spans="1:6">
      <c r="A1428" s="4" t="str">
        <f t="shared" si="22"/>
        <v>tRNA-Glu-TTC-1-2|56</v>
      </c>
      <c r="B1428" s="4" t="s">
        <v>56</v>
      </c>
      <c r="C1428" s="4" t="s">
        <v>177</v>
      </c>
      <c r="D1428" s="4">
        <v>58</v>
      </c>
      <c r="E1428" s="18" t="s">
        <v>114</v>
      </c>
      <c r="F1428" s="19" t="s">
        <v>175</v>
      </c>
    </row>
    <row r="1429" spans="1:6">
      <c r="A1429" s="4" t="str">
        <f t="shared" si="22"/>
        <v>tRNA-Glu-TTC-1-2|57</v>
      </c>
      <c r="B1429" s="4" t="s">
        <v>56</v>
      </c>
      <c r="C1429" s="4" t="s">
        <v>178</v>
      </c>
      <c r="D1429" s="4">
        <v>59</v>
      </c>
      <c r="E1429" s="18" t="s">
        <v>109</v>
      </c>
      <c r="F1429" s="19" t="s">
        <v>175</v>
      </c>
    </row>
    <row r="1430" spans="1:6">
      <c r="A1430" s="4" t="str">
        <f t="shared" si="22"/>
        <v>tRNA-Glu-TTC-1-2|58</v>
      </c>
      <c r="B1430" s="4" t="s">
        <v>56</v>
      </c>
      <c r="C1430" s="4" t="s">
        <v>179</v>
      </c>
      <c r="D1430" s="4">
        <v>60</v>
      </c>
      <c r="E1430" s="18" t="s">
        <v>122</v>
      </c>
      <c r="F1430" s="19" t="s">
        <v>175</v>
      </c>
    </row>
    <row r="1431" spans="1:6">
      <c r="A1431" s="4" t="str">
        <f t="shared" si="22"/>
        <v>tRNA-Glu-TTC-1-2|59</v>
      </c>
      <c r="B1431" s="4" t="s">
        <v>56</v>
      </c>
      <c r="C1431" s="4" t="s">
        <v>180</v>
      </c>
      <c r="D1431" s="4">
        <v>61</v>
      </c>
      <c r="E1431" s="18" t="s">
        <v>122</v>
      </c>
      <c r="F1431" s="19" t="s">
        <v>175</v>
      </c>
    </row>
    <row r="1432" spans="1:6">
      <c r="A1432" s="4" t="str">
        <f t="shared" si="22"/>
        <v>tRNA-Glu-TTC-1-2|60</v>
      </c>
      <c r="B1432" s="4" t="s">
        <v>56</v>
      </c>
      <c r="C1432" s="4" t="s">
        <v>181</v>
      </c>
      <c r="D1432" s="4">
        <v>62</v>
      </c>
      <c r="E1432" s="18" t="s">
        <v>116</v>
      </c>
      <c r="F1432" s="19" t="s">
        <v>175</v>
      </c>
    </row>
    <row r="1433" spans="1:6">
      <c r="A1433" s="4" t="str">
        <f t="shared" si="22"/>
        <v>tRNA-Glu-TTC-1-2|61</v>
      </c>
      <c r="B1433" s="4" t="s">
        <v>56</v>
      </c>
      <c r="C1433" s="4" t="s">
        <v>182</v>
      </c>
      <c r="D1433" s="4">
        <v>63</v>
      </c>
      <c r="E1433" s="22" t="s">
        <v>114</v>
      </c>
      <c r="F1433" s="10" t="s">
        <v>169</v>
      </c>
    </row>
    <row r="1434" spans="1:6">
      <c r="A1434" s="4" t="str">
        <f t="shared" si="22"/>
        <v>tRNA-Glu-TTC-1-2|62</v>
      </c>
      <c r="B1434" s="4" t="s">
        <v>56</v>
      </c>
      <c r="C1434" s="4" t="s">
        <v>183</v>
      </c>
      <c r="D1434" s="4">
        <v>64</v>
      </c>
      <c r="E1434" s="22" t="s">
        <v>114</v>
      </c>
      <c r="F1434" s="10" t="s">
        <v>169</v>
      </c>
    </row>
    <row r="1435" spans="1:6">
      <c r="A1435" s="4" t="str">
        <f t="shared" si="22"/>
        <v>tRNA-Glu-TTC-1-2|63</v>
      </c>
      <c r="B1435" s="4" t="s">
        <v>56</v>
      </c>
      <c r="C1435" s="4" t="s">
        <v>184</v>
      </c>
      <c r="D1435" s="4">
        <v>65</v>
      </c>
      <c r="E1435" s="22" t="s">
        <v>114</v>
      </c>
      <c r="F1435" s="10" t="s">
        <v>169</v>
      </c>
    </row>
    <row r="1436" spans="1:6">
      <c r="A1436" s="4" t="str">
        <f t="shared" si="22"/>
        <v>tRNA-Glu-TTC-1-2|64</v>
      </c>
      <c r="B1436" s="4" t="s">
        <v>56</v>
      </c>
      <c r="C1436" s="4" t="s">
        <v>185</v>
      </c>
      <c r="D1436" s="4">
        <v>66</v>
      </c>
      <c r="E1436" s="22" t="s">
        <v>109</v>
      </c>
      <c r="F1436" s="10" t="s">
        <v>169</v>
      </c>
    </row>
    <row r="1437" spans="1:6">
      <c r="A1437" s="4" t="str">
        <f t="shared" si="22"/>
        <v>tRNA-Glu-TTC-1-2|65</v>
      </c>
      <c r="B1437" s="4" t="s">
        <v>56</v>
      </c>
      <c r="C1437" s="4" t="s">
        <v>186</v>
      </c>
      <c r="D1437" s="4">
        <v>67</v>
      </c>
      <c r="E1437" s="22" t="s">
        <v>109</v>
      </c>
      <c r="F1437" s="10" t="s">
        <v>169</v>
      </c>
    </row>
    <row r="1438" spans="1:6">
      <c r="A1438" s="4" t="str">
        <f t="shared" si="22"/>
        <v>tRNA-Glu-TTC-1-2|66</v>
      </c>
      <c r="B1438" s="4" t="s">
        <v>56</v>
      </c>
      <c r="C1438" s="4" t="s">
        <v>187</v>
      </c>
      <c r="D1438" s="4">
        <v>68</v>
      </c>
      <c r="E1438" s="16" t="s">
        <v>114</v>
      </c>
      <c r="F1438" s="17" t="s">
        <v>110</v>
      </c>
    </row>
    <row r="1439" spans="1:6">
      <c r="A1439" s="4" t="str">
        <f t="shared" si="22"/>
        <v>tRNA-Glu-TTC-1-2|67</v>
      </c>
      <c r="B1439" s="4" t="s">
        <v>56</v>
      </c>
      <c r="C1439" s="4" t="s">
        <v>188</v>
      </c>
      <c r="D1439" s="4">
        <v>69</v>
      </c>
      <c r="E1439" s="16" t="s">
        <v>114</v>
      </c>
      <c r="F1439" s="17" t="s">
        <v>110</v>
      </c>
    </row>
    <row r="1440" spans="1:6">
      <c r="A1440" s="4" t="str">
        <f t="shared" si="22"/>
        <v>tRNA-Glu-TTC-1-2|68</v>
      </c>
      <c r="B1440" s="4" t="s">
        <v>56</v>
      </c>
      <c r="C1440" s="4" t="s">
        <v>189</v>
      </c>
      <c r="D1440" s="4">
        <v>70</v>
      </c>
      <c r="E1440" s="16" t="s">
        <v>109</v>
      </c>
      <c r="F1440" s="17" t="s">
        <v>110</v>
      </c>
    </row>
    <row r="1441" spans="1:6">
      <c r="A1441" s="4" t="str">
        <f t="shared" si="22"/>
        <v>tRNA-Glu-TTC-1-2|69</v>
      </c>
      <c r="B1441" s="4" t="s">
        <v>56</v>
      </c>
      <c r="C1441" s="4" t="s">
        <v>190</v>
      </c>
      <c r="D1441" s="4">
        <v>71</v>
      </c>
      <c r="E1441" s="16" t="s">
        <v>109</v>
      </c>
      <c r="F1441" s="17" t="s">
        <v>110</v>
      </c>
    </row>
    <row r="1442" spans="1:6">
      <c r="A1442" s="4" t="str">
        <f t="shared" si="22"/>
        <v>tRNA-Glu-TTC-1-2|70</v>
      </c>
      <c r="B1442" s="4" t="s">
        <v>56</v>
      </c>
      <c r="C1442" s="4" t="s">
        <v>191</v>
      </c>
      <c r="D1442" s="4">
        <v>72</v>
      </c>
      <c r="E1442" s="16" t="s">
        <v>122</v>
      </c>
      <c r="F1442" s="17" t="s">
        <v>110</v>
      </c>
    </row>
    <row r="1443" spans="1:6">
      <c r="A1443" s="4" t="str">
        <f t="shared" si="22"/>
        <v>tRNA-Glu-TTC-1-2|71</v>
      </c>
      <c r="B1443" s="4" t="s">
        <v>56</v>
      </c>
      <c r="C1443" s="4" t="s">
        <v>192</v>
      </c>
      <c r="D1443" s="4">
        <v>73</v>
      </c>
      <c r="E1443" s="16" t="s">
        <v>109</v>
      </c>
      <c r="F1443" s="17" t="s">
        <v>110</v>
      </c>
    </row>
    <row r="1444" spans="1:6">
      <c r="A1444" s="4" t="str">
        <f t="shared" si="22"/>
        <v>tRNA-Glu-TTC-1-2|72</v>
      </c>
      <c r="B1444" s="4" t="s">
        <v>56</v>
      </c>
      <c r="C1444" s="4" t="s">
        <v>193</v>
      </c>
      <c r="D1444" s="4">
        <v>74</v>
      </c>
      <c r="E1444" s="16" t="s">
        <v>114</v>
      </c>
      <c r="F1444" s="17" t="s">
        <v>110</v>
      </c>
    </row>
    <row r="1445" spans="1:6">
      <c r="A1445" s="4" t="str">
        <f t="shared" si="22"/>
        <v>tRNA-Gly-CCC-1-1|1</v>
      </c>
      <c r="B1445" s="4" t="s">
        <v>57</v>
      </c>
      <c r="C1445" s="4" t="s">
        <v>108</v>
      </c>
      <c r="D1445" s="4">
        <v>1</v>
      </c>
      <c r="E1445" s="16" t="s">
        <v>109</v>
      </c>
      <c r="F1445" s="17" t="s">
        <v>110</v>
      </c>
    </row>
    <row r="1446" spans="1:6">
      <c r="A1446" s="4" t="str">
        <f t="shared" si="22"/>
        <v>tRNA-Gly-CCC-1-1|2</v>
      </c>
      <c r="B1446" s="4" t="s">
        <v>57</v>
      </c>
      <c r="C1446" s="4" t="s">
        <v>111</v>
      </c>
      <c r="D1446" s="4">
        <v>2</v>
      </c>
      <c r="E1446" s="16" t="s">
        <v>114</v>
      </c>
      <c r="F1446" s="17" t="s">
        <v>110</v>
      </c>
    </row>
    <row r="1447" spans="1:6">
      <c r="A1447" s="4" t="str">
        <f t="shared" si="22"/>
        <v>tRNA-Gly-CCC-1-1|3</v>
      </c>
      <c r="B1447" s="4" t="s">
        <v>57</v>
      </c>
      <c r="C1447" s="4" t="s">
        <v>112</v>
      </c>
      <c r="D1447" s="4">
        <v>3</v>
      </c>
      <c r="E1447" s="16" t="s">
        <v>109</v>
      </c>
      <c r="F1447" s="17" t="s">
        <v>110</v>
      </c>
    </row>
    <row r="1448" spans="1:6">
      <c r="A1448" s="4" t="str">
        <f t="shared" si="22"/>
        <v>tRNA-Gly-CCC-1-1|4</v>
      </c>
      <c r="B1448" s="4" t="s">
        <v>57</v>
      </c>
      <c r="C1448" s="4" t="s">
        <v>113</v>
      </c>
      <c r="D1448" s="4">
        <v>4</v>
      </c>
      <c r="E1448" s="16" t="s">
        <v>122</v>
      </c>
      <c r="F1448" s="17" t="s">
        <v>110</v>
      </c>
    </row>
    <row r="1449" spans="1:6">
      <c r="A1449" s="4" t="str">
        <f t="shared" si="22"/>
        <v>tRNA-Gly-CCC-1-1|5</v>
      </c>
      <c r="B1449" s="4" t="s">
        <v>57</v>
      </c>
      <c r="C1449" s="4" t="s">
        <v>115</v>
      </c>
      <c r="D1449" s="4">
        <v>5</v>
      </c>
      <c r="E1449" s="16" t="s">
        <v>114</v>
      </c>
      <c r="F1449" s="17" t="s">
        <v>110</v>
      </c>
    </row>
    <row r="1450" spans="1:6">
      <c r="A1450" s="4" t="str">
        <f t="shared" si="22"/>
        <v>tRNA-Gly-CCC-1-1|6</v>
      </c>
      <c r="B1450" s="4" t="s">
        <v>57</v>
      </c>
      <c r="C1450" s="4" t="s">
        <v>117</v>
      </c>
      <c r="D1450" s="4">
        <v>6</v>
      </c>
      <c r="E1450" s="16" t="s">
        <v>116</v>
      </c>
      <c r="F1450" s="17" t="s">
        <v>110</v>
      </c>
    </row>
    <row r="1451" spans="1:6">
      <c r="A1451" s="4" t="str">
        <f t="shared" si="22"/>
        <v>tRNA-Gly-CCC-1-1|7</v>
      </c>
      <c r="B1451" s="4" t="s">
        <v>57</v>
      </c>
      <c r="C1451" s="4" t="s">
        <v>118</v>
      </c>
      <c r="D1451" s="4">
        <v>7</v>
      </c>
      <c r="E1451" s="16" t="s">
        <v>109</v>
      </c>
      <c r="F1451" s="17" t="s">
        <v>110</v>
      </c>
    </row>
    <row r="1452" spans="1:6">
      <c r="A1452" s="4" t="str">
        <f t="shared" si="22"/>
        <v>tRNA-Gly-CCC-1-1|8</v>
      </c>
      <c r="B1452" s="4" t="s">
        <v>57</v>
      </c>
      <c r="C1452" s="4" t="s">
        <v>119</v>
      </c>
      <c r="D1452" s="4">
        <v>8</v>
      </c>
      <c r="E1452" s="3" t="s">
        <v>116</v>
      </c>
      <c r="F1452" s="4" t="s">
        <v>120</v>
      </c>
    </row>
    <row r="1453" spans="1:6">
      <c r="A1453" s="4" t="str">
        <f t="shared" si="22"/>
        <v>tRNA-Gly-CCC-1-1|9</v>
      </c>
      <c r="B1453" s="4" t="s">
        <v>57</v>
      </c>
      <c r="C1453" s="4" t="s">
        <v>121</v>
      </c>
      <c r="D1453" s="4">
        <v>9</v>
      </c>
      <c r="E1453" s="3" t="s">
        <v>109</v>
      </c>
      <c r="F1453" s="4" t="s">
        <v>123</v>
      </c>
    </row>
    <row r="1454" spans="1:6">
      <c r="A1454" s="4" t="str">
        <f t="shared" si="22"/>
        <v>tRNA-Gly-CCC-1-1|10</v>
      </c>
      <c r="B1454" s="4" t="s">
        <v>57</v>
      </c>
      <c r="C1454" s="4" t="s">
        <v>124</v>
      </c>
      <c r="D1454" s="4">
        <v>10</v>
      </c>
      <c r="E1454" s="8" t="s">
        <v>109</v>
      </c>
      <c r="F1454" s="7" t="s">
        <v>125</v>
      </c>
    </row>
    <row r="1455" spans="1:6">
      <c r="A1455" s="4" t="str">
        <f t="shared" si="22"/>
        <v>tRNA-Gly-CCC-1-1|11</v>
      </c>
      <c r="B1455" s="4" t="s">
        <v>57</v>
      </c>
      <c r="C1455" s="4" t="s">
        <v>126</v>
      </c>
      <c r="D1455" s="4">
        <v>11</v>
      </c>
      <c r="E1455" s="8" t="s">
        <v>116</v>
      </c>
      <c r="F1455" s="7" t="s">
        <v>125</v>
      </c>
    </row>
    <row r="1456" spans="1:6">
      <c r="A1456" s="4" t="str">
        <f t="shared" si="22"/>
        <v>tRNA-Gly-CCC-1-1|12</v>
      </c>
      <c r="B1456" s="4" t="s">
        <v>57</v>
      </c>
      <c r="C1456" s="4" t="s">
        <v>127</v>
      </c>
      <c r="D1456" s="4">
        <v>12</v>
      </c>
      <c r="E1456" s="8" t="s">
        <v>116</v>
      </c>
      <c r="F1456" s="7" t="s">
        <v>125</v>
      </c>
    </row>
    <row r="1457" spans="1:6">
      <c r="A1457" s="4" t="str">
        <f t="shared" si="22"/>
        <v>tRNA-Gly-CCC-1-1|13</v>
      </c>
      <c r="B1457" s="4" t="s">
        <v>57</v>
      </c>
      <c r="C1457" s="4" t="s">
        <v>128</v>
      </c>
      <c r="D1457" s="4">
        <v>13</v>
      </c>
      <c r="E1457" s="8" t="s">
        <v>116</v>
      </c>
      <c r="F1457" s="7" t="s">
        <v>125</v>
      </c>
    </row>
    <row r="1458" spans="1:6">
      <c r="A1458" s="4" t="str">
        <f t="shared" si="22"/>
        <v>tRNA-Gly-CCC-1-1|14</v>
      </c>
      <c r="B1458" s="4" t="s">
        <v>57</v>
      </c>
      <c r="C1458" s="4" t="s">
        <v>129</v>
      </c>
      <c r="D1458" s="4">
        <v>14</v>
      </c>
      <c r="E1458" s="18" t="s">
        <v>122</v>
      </c>
      <c r="F1458" s="19" t="s">
        <v>130</v>
      </c>
    </row>
    <row r="1459" spans="1:6">
      <c r="A1459" s="4" t="str">
        <f t="shared" si="22"/>
        <v>tRNA-Gly-CCC-1-1|15</v>
      </c>
      <c r="B1459" s="4" t="s">
        <v>57</v>
      </c>
      <c r="C1459" s="4" t="s">
        <v>131</v>
      </c>
      <c r="D1459" s="4">
        <v>15</v>
      </c>
      <c r="E1459" s="18" t="s">
        <v>109</v>
      </c>
      <c r="F1459" s="19" t="s">
        <v>130</v>
      </c>
    </row>
    <row r="1460" spans="1:6">
      <c r="A1460" s="4" t="str">
        <f t="shared" si="22"/>
        <v>tRNA-Gly-CCC-1-1|16</v>
      </c>
      <c r="B1460" s="4" t="s">
        <v>57</v>
      </c>
      <c r="C1460" s="4" t="s">
        <v>194</v>
      </c>
      <c r="D1460" s="4">
        <v>16</v>
      </c>
      <c r="E1460" s="18" t="s">
        <v>114</v>
      </c>
      <c r="F1460" s="19" t="s">
        <v>130</v>
      </c>
    </row>
    <row r="1461" spans="1:6">
      <c r="A1461" s="4" t="str">
        <f t="shared" si="22"/>
        <v>tRNA-Gly-CCC-1-1|18</v>
      </c>
      <c r="B1461" s="4" t="s">
        <v>57</v>
      </c>
      <c r="C1461" s="4" t="s">
        <v>132</v>
      </c>
      <c r="D1461" s="4">
        <v>17</v>
      </c>
      <c r="E1461" s="18" t="s">
        <v>109</v>
      </c>
      <c r="F1461" s="19" t="s">
        <v>130</v>
      </c>
    </row>
    <row r="1462" spans="1:6">
      <c r="A1462" s="4" t="str">
        <f t="shared" si="22"/>
        <v>tRNA-Gly-CCC-1-1|19</v>
      </c>
      <c r="B1462" s="4" t="s">
        <v>57</v>
      </c>
      <c r="C1462" s="4" t="s">
        <v>133</v>
      </c>
      <c r="D1462" s="4">
        <v>18</v>
      </c>
      <c r="E1462" s="18" t="s">
        <v>109</v>
      </c>
      <c r="F1462" s="19" t="s">
        <v>130</v>
      </c>
    </row>
    <row r="1463" spans="1:6">
      <c r="A1463" s="4" t="str">
        <f t="shared" si="22"/>
        <v>tRNA-Gly-CCC-1-1|20</v>
      </c>
      <c r="B1463" s="4" t="s">
        <v>57</v>
      </c>
      <c r="C1463" s="4" t="s">
        <v>134</v>
      </c>
      <c r="D1463" s="4">
        <v>19</v>
      </c>
      <c r="E1463" s="18" t="s">
        <v>114</v>
      </c>
      <c r="F1463" s="19" t="s">
        <v>130</v>
      </c>
    </row>
    <row r="1464" spans="1:6">
      <c r="A1464" s="4" t="str">
        <f t="shared" si="22"/>
        <v>tRNA-Gly-CCC-1-1|20a</v>
      </c>
      <c r="B1464" s="4" t="s">
        <v>57</v>
      </c>
      <c r="C1464" s="4" t="s">
        <v>135</v>
      </c>
      <c r="D1464" s="4">
        <v>20</v>
      </c>
      <c r="E1464" s="18" t="s">
        <v>116</v>
      </c>
      <c r="F1464" s="19" t="s">
        <v>130</v>
      </c>
    </row>
    <row r="1465" spans="1:6">
      <c r="A1465" s="4" t="str">
        <f t="shared" si="22"/>
        <v>tRNA-Gly-CCC-1-1|21</v>
      </c>
      <c r="B1465" s="4" t="s">
        <v>57</v>
      </c>
      <c r="C1465" s="4" t="s">
        <v>136</v>
      </c>
      <c r="D1465" s="4">
        <v>21</v>
      </c>
      <c r="E1465" s="18" t="s">
        <v>122</v>
      </c>
      <c r="F1465" s="19" t="s">
        <v>130</v>
      </c>
    </row>
    <row r="1466" spans="1:6">
      <c r="A1466" s="4" t="str">
        <f t="shared" si="22"/>
        <v>tRNA-Gly-CCC-1-1|22</v>
      </c>
      <c r="B1466" s="4" t="s">
        <v>57</v>
      </c>
      <c r="C1466" s="4" t="s">
        <v>137</v>
      </c>
      <c r="D1466" s="4">
        <v>22</v>
      </c>
      <c r="E1466" s="8" t="s">
        <v>116</v>
      </c>
      <c r="F1466" s="7" t="s">
        <v>125</v>
      </c>
    </row>
    <row r="1467" spans="1:6">
      <c r="A1467" s="4" t="str">
        <f t="shared" si="22"/>
        <v>tRNA-Gly-CCC-1-1|23</v>
      </c>
      <c r="B1467" s="4" t="s">
        <v>57</v>
      </c>
      <c r="C1467" s="4" t="s">
        <v>138</v>
      </c>
      <c r="D1467" s="4">
        <v>23</v>
      </c>
      <c r="E1467" s="8" t="s">
        <v>109</v>
      </c>
      <c r="F1467" s="7" t="s">
        <v>125</v>
      </c>
    </row>
    <row r="1468" spans="1:6">
      <c r="A1468" s="4" t="str">
        <f t="shared" si="22"/>
        <v>tRNA-Gly-CCC-1-1|24</v>
      </c>
      <c r="B1468" s="4" t="s">
        <v>57</v>
      </c>
      <c r="C1468" s="4" t="s">
        <v>139</v>
      </c>
      <c r="D1468" s="4">
        <v>24</v>
      </c>
      <c r="E1468" s="8" t="s">
        <v>122</v>
      </c>
      <c r="F1468" s="7" t="s">
        <v>125</v>
      </c>
    </row>
    <row r="1469" spans="1:6">
      <c r="A1469" s="4" t="str">
        <f t="shared" si="22"/>
        <v>tRNA-Gly-CCC-1-1|25</v>
      </c>
      <c r="B1469" s="4" t="s">
        <v>57</v>
      </c>
      <c r="C1469" s="4" t="s">
        <v>140</v>
      </c>
      <c r="D1469" s="4">
        <v>25</v>
      </c>
      <c r="E1469" s="8" t="s">
        <v>114</v>
      </c>
      <c r="F1469" s="7" t="s">
        <v>125</v>
      </c>
    </row>
    <row r="1470" spans="1:6">
      <c r="A1470" s="4" t="str">
        <f t="shared" si="22"/>
        <v>tRNA-Gly-CCC-1-1|26</v>
      </c>
      <c r="B1470" s="4" t="s">
        <v>57</v>
      </c>
      <c r="C1470" s="4" t="s">
        <v>141</v>
      </c>
      <c r="D1470" s="4">
        <v>26</v>
      </c>
      <c r="E1470" s="3" t="s">
        <v>114</v>
      </c>
      <c r="F1470" s="4" t="s">
        <v>142</v>
      </c>
    </row>
    <row r="1471" spans="1:6">
      <c r="A1471" s="4" t="str">
        <f t="shared" si="22"/>
        <v>tRNA-Gly-CCC-1-1|27</v>
      </c>
      <c r="B1471" s="4" t="s">
        <v>57</v>
      </c>
      <c r="C1471" s="4" t="s">
        <v>143</v>
      </c>
      <c r="D1471" s="4">
        <v>27</v>
      </c>
      <c r="E1471" s="20" t="s">
        <v>116</v>
      </c>
      <c r="F1471" s="21" t="s">
        <v>144</v>
      </c>
    </row>
    <row r="1472" spans="1:6">
      <c r="A1472" s="4" t="str">
        <f t="shared" si="22"/>
        <v>tRNA-Gly-CCC-1-1|28</v>
      </c>
      <c r="B1472" s="4" t="s">
        <v>57</v>
      </c>
      <c r="C1472" s="4" t="s">
        <v>145</v>
      </c>
      <c r="D1472" s="4">
        <v>28</v>
      </c>
      <c r="E1472" s="20" t="s">
        <v>109</v>
      </c>
      <c r="F1472" s="21" t="s">
        <v>144</v>
      </c>
    </row>
    <row r="1473" spans="1:6">
      <c r="A1473" s="4" t="str">
        <f t="shared" si="22"/>
        <v>tRNA-Gly-CCC-1-1|29</v>
      </c>
      <c r="B1473" s="4" t="s">
        <v>57</v>
      </c>
      <c r="C1473" s="4" t="s">
        <v>146</v>
      </c>
      <c r="D1473" s="4">
        <v>29</v>
      </c>
      <c r="E1473" s="20" t="s">
        <v>122</v>
      </c>
      <c r="F1473" s="21" t="s">
        <v>144</v>
      </c>
    </row>
    <row r="1474" spans="1:6">
      <c r="A1474" s="4" t="str">
        <f t="shared" ref="A1474:A1537" si="23">B1474&amp;"|"&amp;C1474</f>
        <v>tRNA-Gly-CCC-1-1|30</v>
      </c>
      <c r="B1474" s="4" t="s">
        <v>57</v>
      </c>
      <c r="C1474" s="4" t="s">
        <v>147</v>
      </c>
      <c r="D1474" s="4">
        <v>30</v>
      </c>
      <c r="E1474" s="20" t="s">
        <v>109</v>
      </c>
      <c r="F1474" s="21" t="s">
        <v>144</v>
      </c>
    </row>
    <row r="1475" spans="1:6">
      <c r="A1475" s="4" t="str">
        <f t="shared" si="23"/>
        <v>tRNA-Gly-CCC-1-1|31</v>
      </c>
      <c r="B1475" s="4" t="s">
        <v>57</v>
      </c>
      <c r="C1475" s="4" t="s">
        <v>148</v>
      </c>
      <c r="D1475" s="4">
        <v>31</v>
      </c>
      <c r="E1475" s="20" t="s">
        <v>114</v>
      </c>
      <c r="F1475" s="21" t="s">
        <v>144</v>
      </c>
    </row>
    <row r="1476" spans="1:6">
      <c r="A1476" s="4" t="str">
        <f t="shared" si="23"/>
        <v>tRNA-Gly-CCC-1-1|32</v>
      </c>
      <c r="B1476" s="4" t="s">
        <v>57</v>
      </c>
      <c r="C1476" s="4" t="s">
        <v>149</v>
      </c>
      <c r="D1476" s="4">
        <v>32</v>
      </c>
      <c r="E1476" s="18" t="s">
        <v>116</v>
      </c>
      <c r="F1476" s="19" t="s">
        <v>150</v>
      </c>
    </row>
    <row r="1477" spans="1:6">
      <c r="A1477" s="4" t="str">
        <f t="shared" si="23"/>
        <v>tRNA-Gly-CCC-1-1|33</v>
      </c>
      <c r="B1477" s="4" t="s">
        <v>57</v>
      </c>
      <c r="C1477" s="4" t="s">
        <v>151</v>
      </c>
      <c r="D1477" s="4">
        <v>33</v>
      </c>
      <c r="E1477" s="18" t="s">
        <v>116</v>
      </c>
      <c r="F1477" s="19" t="s">
        <v>150</v>
      </c>
    </row>
    <row r="1478" spans="1:6">
      <c r="A1478" s="4" t="str">
        <f t="shared" si="23"/>
        <v>tRNA-Gly-CCC-1-1|34</v>
      </c>
      <c r="B1478" s="4" t="s">
        <v>57</v>
      </c>
      <c r="C1478" s="4" t="s">
        <v>152</v>
      </c>
      <c r="D1478" s="4">
        <v>34</v>
      </c>
      <c r="E1478" s="18" t="s">
        <v>114</v>
      </c>
      <c r="F1478" s="19" t="s">
        <v>150</v>
      </c>
    </row>
    <row r="1479" spans="1:6">
      <c r="A1479" s="4" t="str">
        <f t="shared" si="23"/>
        <v>tRNA-Gly-CCC-1-1|35</v>
      </c>
      <c r="B1479" s="4" t="s">
        <v>57</v>
      </c>
      <c r="C1479" s="4" t="s">
        <v>153</v>
      </c>
      <c r="D1479" s="4">
        <v>35</v>
      </c>
      <c r="E1479" s="18" t="s">
        <v>114</v>
      </c>
      <c r="F1479" s="19" t="s">
        <v>150</v>
      </c>
    </row>
    <row r="1480" spans="1:6">
      <c r="A1480" s="4" t="str">
        <f t="shared" si="23"/>
        <v>tRNA-Gly-CCC-1-1|36</v>
      </c>
      <c r="B1480" s="4" t="s">
        <v>57</v>
      </c>
      <c r="C1480" s="4" t="s">
        <v>154</v>
      </c>
      <c r="D1480" s="4">
        <v>36</v>
      </c>
      <c r="E1480" s="18" t="s">
        <v>114</v>
      </c>
      <c r="F1480" s="19" t="s">
        <v>150</v>
      </c>
    </row>
    <row r="1481" spans="1:6">
      <c r="A1481" s="4" t="str">
        <f t="shared" si="23"/>
        <v>tRNA-Gly-CCC-1-1|37</v>
      </c>
      <c r="B1481" s="4" t="s">
        <v>57</v>
      </c>
      <c r="C1481" s="4" t="s">
        <v>155</v>
      </c>
      <c r="D1481" s="4">
        <v>37</v>
      </c>
      <c r="E1481" s="18" t="s">
        <v>122</v>
      </c>
      <c r="F1481" s="19" t="s">
        <v>150</v>
      </c>
    </row>
    <row r="1482" spans="1:6">
      <c r="A1482" s="4" t="str">
        <f t="shared" si="23"/>
        <v>tRNA-Gly-CCC-1-1|38</v>
      </c>
      <c r="B1482" s="4" t="s">
        <v>57</v>
      </c>
      <c r="C1482" s="4" t="s">
        <v>156</v>
      </c>
      <c r="D1482" s="4">
        <v>38</v>
      </c>
      <c r="E1482" s="18" t="s">
        <v>122</v>
      </c>
      <c r="F1482" s="19" t="s">
        <v>150</v>
      </c>
    </row>
    <row r="1483" spans="1:6">
      <c r="A1483" s="4" t="str">
        <f t="shared" si="23"/>
        <v>tRNA-Gly-CCC-1-1|39</v>
      </c>
      <c r="B1483" s="4" t="s">
        <v>57</v>
      </c>
      <c r="C1483" s="4" t="s">
        <v>157</v>
      </c>
      <c r="D1483" s="4">
        <v>39</v>
      </c>
      <c r="E1483" s="20" t="s">
        <v>109</v>
      </c>
      <c r="F1483" s="21" t="s">
        <v>144</v>
      </c>
    </row>
    <row r="1484" spans="1:6">
      <c r="A1484" s="4" t="str">
        <f t="shared" si="23"/>
        <v>tRNA-Gly-CCC-1-1|40</v>
      </c>
      <c r="B1484" s="4" t="s">
        <v>57</v>
      </c>
      <c r="C1484" s="4" t="s">
        <v>158</v>
      </c>
      <c r="D1484" s="4">
        <v>40</v>
      </c>
      <c r="E1484" s="20" t="s">
        <v>114</v>
      </c>
      <c r="F1484" s="21" t="s">
        <v>144</v>
      </c>
    </row>
    <row r="1485" spans="1:6">
      <c r="A1485" s="4" t="str">
        <f t="shared" si="23"/>
        <v>tRNA-Gly-CCC-1-1|41</v>
      </c>
      <c r="B1485" s="4" t="s">
        <v>57</v>
      </c>
      <c r="C1485" s="4" t="s">
        <v>159</v>
      </c>
      <c r="D1485" s="4">
        <v>41</v>
      </c>
      <c r="E1485" s="20" t="s">
        <v>116</v>
      </c>
      <c r="F1485" s="21" t="s">
        <v>144</v>
      </c>
    </row>
    <row r="1486" spans="1:6">
      <c r="A1486" s="4" t="str">
        <f t="shared" si="23"/>
        <v>tRNA-Gly-CCC-1-1|42</v>
      </c>
      <c r="B1486" s="4" t="s">
        <v>57</v>
      </c>
      <c r="C1486" s="4" t="s">
        <v>160</v>
      </c>
      <c r="D1486" s="4">
        <v>42</v>
      </c>
      <c r="E1486" s="20" t="s">
        <v>116</v>
      </c>
      <c r="F1486" s="21" t="s">
        <v>144</v>
      </c>
    </row>
    <row r="1487" spans="1:6">
      <c r="A1487" s="4" t="str">
        <f t="shared" si="23"/>
        <v>tRNA-Gly-CCC-1-1|43</v>
      </c>
      <c r="B1487" s="4" t="s">
        <v>57</v>
      </c>
      <c r="C1487" s="4" t="s">
        <v>161</v>
      </c>
      <c r="D1487" s="4">
        <v>43</v>
      </c>
      <c r="E1487" s="20" t="s">
        <v>122</v>
      </c>
      <c r="F1487" s="21" t="s">
        <v>144</v>
      </c>
    </row>
    <row r="1488" spans="1:6">
      <c r="A1488" s="4" t="str">
        <f t="shared" si="23"/>
        <v>tRNA-Gly-CCC-1-1|44</v>
      </c>
      <c r="B1488" s="4" t="s">
        <v>57</v>
      </c>
      <c r="C1488" s="4" t="s">
        <v>162</v>
      </c>
      <c r="D1488" s="4">
        <v>44</v>
      </c>
      <c r="E1488" s="18" t="s">
        <v>109</v>
      </c>
      <c r="F1488" s="19" t="s">
        <v>163</v>
      </c>
    </row>
    <row r="1489" spans="1:6">
      <c r="A1489" s="4" t="str">
        <f t="shared" si="23"/>
        <v>tRNA-Gly-CCC-1-1|45</v>
      </c>
      <c r="B1489" s="4" t="s">
        <v>57</v>
      </c>
      <c r="C1489" s="4" t="s">
        <v>164</v>
      </c>
      <c r="D1489" s="4">
        <v>45</v>
      </c>
      <c r="E1489" s="18" t="s">
        <v>122</v>
      </c>
      <c r="F1489" s="19" t="s">
        <v>163</v>
      </c>
    </row>
    <row r="1490" spans="1:6">
      <c r="A1490" s="4" t="str">
        <f t="shared" si="23"/>
        <v>tRNA-Gly-CCC-1-1|46</v>
      </c>
      <c r="B1490" s="4" t="s">
        <v>57</v>
      </c>
      <c r="C1490" s="4" t="s">
        <v>165</v>
      </c>
      <c r="D1490" s="4">
        <v>46</v>
      </c>
      <c r="E1490" s="18" t="s">
        <v>122</v>
      </c>
      <c r="F1490" s="19" t="s">
        <v>163</v>
      </c>
    </row>
    <row r="1491" spans="1:6">
      <c r="A1491" s="4" t="str">
        <f t="shared" si="23"/>
        <v>tRNA-Gly-CCC-1-1|48</v>
      </c>
      <c r="B1491" s="4" t="s">
        <v>57</v>
      </c>
      <c r="C1491" s="4" t="s">
        <v>167</v>
      </c>
      <c r="D1491" s="4">
        <v>47</v>
      </c>
      <c r="E1491" s="18" t="s">
        <v>114</v>
      </c>
      <c r="F1491" s="19" t="s">
        <v>163</v>
      </c>
    </row>
    <row r="1492" spans="1:6">
      <c r="A1492" s="4" t="str">
        <f t="shared" si="23"/>
        <v>tRNA-Gly-CCC-1-1|49</v>
      </c>
      <c r="B1492" s="4" t="s">
        <v>57</v>
      </c>
      <c r="C1492" s="4" t="s">
        <v>168</v>
      </c>
      <c r="D1492" s="4">
        <v>48</v>
      </c>
      <c r="E1492" s="22" t="s">
        <v>114</v>
      </c>
      <c r="F1492" s="10" t="s">
        <v>169</v>
      </c>
    </row>
    <row r="1493" spans="1:6">
      <c r="A1493" s="4" t="str">
        <f t="shared" si="23"/>
        <v>tRNA-Gly-CCC-1-1|50</v>
      </c>
      <c r="B1493" s="4" t="s">
        <v>57</v>
      </c>
      <c r="C1493" s="4" t="s">
        <v>170</v>
      </c>
      <c r="D1493" s="4">
        <v>49</v>
      </c>
      <c r="E1493" s="22" t="s">
        <v>114</v>
      </c>
      <c r="F1493" s="10" t="s">
        <v>169</v>
      </c>
    </row>
    <row r="1494" spans="1:6">
      <c r="A1494" s="4" t="str">
        <f t="shared" si="23"/>
        <v>tRNA-Gly-CCC-1-1|51</v>
      </c>
      <c r="B1494" s="4" t="s">
        <v>57</v>
      </c>
      <c r="C1494" s="4" t="s">
        <v>171</v>
      </c>
      <c r="D1494" s="4">
        <v>50</v>
      </c>
      <c r="E1494" s="22" t="s">
        <v>109</v>
      </c>
      <c r="F1494" s="10" t="s">
        <v>169</v>
      </c>
    </row>
    <row r="1495" spans="1:6">
      <c r="A1495" s="4" t="str">
        <f t="shared" si="23"/>
        <v>tRNA-Gly-CCC-1-1|52</v>
      </c>
      <c r="B1495" s="4" t="s">
        <v>57</v>
      </c>
      <c r="C1495" s="4" t="s">
        <v>172</v>
      </c>
      <c r="D1495" s="4">
        <v>51</v>
      </c>
      <c r="E1495" s="22" t="s">
        <v>109</v>
      </c>
      <c r="F1495" s="10" t="s">
        <v>169</v>
      </c>
    </row>
    <row r="1496" spans="1:6">
      <c r="A1496" s="4" t="str">
        <f t="shared" si="23"/>
        <v>tRNA-Gly-CCC-1-1|53</v>
      </c>
      <c r="B1496" s="4" t="s">
        <v>57</v>
      </c>
      <c r="C1496" s="4" t="s">
        <v>173</v>
      </c>
      <c r="D1496" s="4">
        <v>52</v>
      </c>
      <c r="E1496" s="22" t="s">
        <v>109</v>
      </c>
      <c r="F1496" s="10" t="s">
        <v>169</v>
      </c>
    </row>
    <row r="1497" spans="1:6">
      <c r="A1497" s="4" t="str">
        <f t="shared" si="23"/>
        <v>tRNA-Gly-CCC-1-1|54</v>
      </c>
      <c r="B1497" s="4" t="s">
        <v>57</v>
      </c>
      <c r="C1497" s="4" t="s">
        <v>174</v>
      </c>
      <c r="D1497" s="4">
        <v>53</v>
      </c>
      <c r="E1497" s="18" t="s">
        <v>116</v>
      </c>
      <c r="F1497" s="19" t="s">
        <v>175</v>
      </c>
    </row>
    <row r="1498" spans="1:6">
      <c r="A1498" s="4" t="str">
        <f t="shared" si="23"/>
        <v>tRNA-Gly-CCC-1-1|55</v>
      </c>
      <c r="B1498" s="4" t="s">
        <v>57</v>
      </c>
      <c r="C1498" s="4" t="s">
        <v>176</v>
      </c>
      <c r="D1498" s="4">
        <v>54</v>
      </c>
      <c r="E1498" s="18" t="s">
        <v>116</v>
      </c>
      <c r="F1498" s="19" t="s">
        <v>175</v>
      </c>
    </row>
    <row r="1499" spans="1:6">
      <c r="A1499" s="4" t="str">
        <f t="shared" si="23"/>
        <v>tRNA-Gly-CCC-1-1|56</v>
      </c>
      <c r="B1499" s="4" t="s">
        <v>57</v>
      </c>
      <c r="C1499" s="4" t="s">
        <v>177</v>
      </c>
      <c r="D1499" s="4">
        <v>55</v>
      </c>
      <c r="E1499" s="18" t="s">
        <v>114</v>
      </c>
      <c r="F1499" s="19" t="s">
        <v>175</v>
      </c>
    </row>
    <row r="1500" spans="1:6">
      <c r="A1500" s="4" t="str">
        <f t="shared" si="23"/>
        <v>tRNA-Gly-CCC-1-1|57</v>
      </c>
      <c r="B1500" s="4" t="s">
        <v>57</v>
      </c>
      <c r="C1500" s="4" t="s">
        <v>178</v>
      </c>
      <c r="D1500" s="4">
        <v>56</v>
      </c>
      <c r="E1500" s="18" t="s">
        <v>109</v>
      </c>
      <c r="F1500" s="19" t="s">
        <v>175</v>
      </c>
    </row>
    <row r="1501" spans="1:6">
      <c r="A1501" s="4" t="str">
        <f t="shared" si="23"/>
        <v>tRNA-Gly-CCC-1-1|58</v>
      </c>
      <c r="B1501" s="4" t="s">
        <v>57</v>
      </c>
      <c r="C1501" s="4" t="s">
        <v>179</v>
      </c>
      <c r="D1501" s="4">
        <v>57</v>
      </c>
      <c r="E1501" s="18" t="s">
        <v>122</v>
      </c>
      <c r="F1501" s="19" t="s">
        <v>175</v>
      </c>
    </row>
    <row r="1502" spans="1:6">
      <c r="A1502" s="4" t="str">
        <f t="shared" si="23"/>
        <v>tRNA-Gly-CCC-1-1|59</v>
      </c>
      <c r="B1502" s="4" t="s">
        <v>57</v>
      </c>
      <c r="C1502" s="4" t="s">
        <v>180</v>
      </c>
      <c r="D1502" s="4">
        <v>58</v>
      </c>
      <c r="E1502" s="18" t="s">
        <v>122</v>
      </c>
      <c r="F1502" s="19" t="s">
        <v>175</v>
      </c>
    </row>
    <row r="1503" spans="1:6">
      <c r="A1503" s="4" t="str">
        <f t="shared" si="23"/>
        <v>tRNA-Gly-CCC-1-1|60</v>
      </c>
      <c r="B1503" s="4" t="s">
        <v>57</v>
      </c>
      <c r="C1503" s="4" t="s">
        <v>181</v>
      </c>
      <c r="D1503" s="4">
        <v>59</v>
      </c>
      <c r="E1503" s="18" t="s">
        <v>116</v>
      </c>
      <c r="F1503" s="19" t="s">
        <v>175</v>
      </c>
    </row>
    <row r="1504" spans="1:6">
      <c r="A1504" s="4" t="str">
        <f t="shared" si="23"/>
        <v>tRNA-Gly-CCC-1-1|61</v>
      </c>
      <c r="B1504" s="4" t="s">
        <v>57</v>
      </c>
      <c r="C1504" s="4" t="s">
        <v>182</v>
      </c>
      <c r="D1504" s="4">
        <v>60</v>
      </c>
      <c r="E1504" s="22" t="s">
        <v>114</v>
      </c>
      <c r="F1504" s="10" t="s">
        <v>169</v>
      </c>
    </row>
    <row r="1505" spans="1:6">
      <c r="A1505" s="4" t="str">
        <f t="shared" si="23"/>
        <v>tRNA-Gly-CCC-1-1|62</v>
      </c>
      <c r="B1505" s="4" t="s">
        <v>57</v>
      </c>
      <c r="C1505" s="4" t="s">
        <v>183</v>
      </c>
      <c r="D1505" s="4">
        <v>61</v>
      </c>
      <c r="E1505" s="22" t="s">
        <v>114</v>
      </c>
      <c r="F1505" s="10" t="s">
        <v>169</v>
      </c>
    </row>
    <row r="1506" spans="1:6">
      <c r="A1506" s="4" t="str">
        <f t="shared" si="23"/>
        <v>tRNA-Gly-CCC-1-1|63</v>
      </c>
      <c r="B1506" s="4" t="s">
        <v>57</v>
      </c>
      <c r="C1506" s="4" t="s">
        <v>184</v>
      </c>
      <c r="D1506" s="4">
        <v>62</v>
      </c>
      <c r="E1506" s="22" t="s">
        <v>114</v>
      </c>
      <c r="F1506" s="10" t="s">
        <v>169</v>
      </c>
    </row>
    <row r="1507" spans="1:6">
      <c r="A1507" s="4" t="str">
        <f t="shared" si="23"/>
        <v>tRNA-Gly-CCC-1-1|64</v>
      </c>
      <c r="B1507" s="4" t="s">
        <v>57</v>
      </c>
      <c r="C1507" s="4" t="s">
        <v>185</v>
      </c>
      <c r="D1507" s="4">
        <v>63</v>
      </c>
      <c r="E1507" s="22" t="s">
        <v>109</v>
      </c>
      <c r="F1507" s="10" t="s">
        <v>169</v>
      </c>
    </row>
    <row r="1508" spans="1:6">
      <c r="A1508" s="4" t="str">
        <f t="shared" si="23"/>
        <v>tRNA-Gly-CCC-1-1|65</v>
      </c>
      <c r="B1508" s="4" t="s">
        <v>57</v>
      </c>
      <c r="C1508" s="4" t="s">
        <v>186</v>
      </c>
      <c r="D1508" s="4">
        <v>64</v>
      </c>
      <c r="E1508" s="22" t="s">
        <v>109</v>
      </c>
      <c r="F1508" s="10" t="s">
        <v>169</v>
      </c>
    </row>
    <row r="1509" spans="1:6">
      <c r="A1509" s="4" t="str">
        <f t="shared" si="23"/>
        <v>tRNA-Gly-CCC-1-1|66</v>
      </c>
      <c r="B1509" s="4" t="s">
        <v>57</v>
      </c>
      <c r="C1509" s="4" t="s">
        <v>187</v>
      </c>
      <c r="D1509" s="4">
        <v>65</v>
      </c>
      <c r="E1509" s="16" t="s">
        <v>114</v>
      </c>
      <c r="F1509" s="17" t="s">
        <v>110</v>
      </c>
    </row>
    <row r="1510" spans="1:6">
      <c r="A1510" s="4" t="str">
        <f t="shared" si="23"/>
        <v>tRNA-Gly-CCC-1-1|67</v>
      </c>
      <c r="B1510" s="4" t="s">
        <v>57</v>
      </c>
      <c r="C1510" s="4" t="s">
        <v>188</v>
      </c>
      <c r="D1510" s="4">
        <v>66</v>
      </c>
      <c r="E1510" s="16" t="s">
        <v>109</v>
      </c>
      <c r="F1510" s="17" t="s">
        <v>110</v>
      </c>
    </row>
    <row r="1511" spans="1:6">
      <c r="A1511" s="4" t="str">
        <f t="shared" si="23"/>
        <v>tRNA-Gly-CCC-1-1|68</v>
      </c>
      <c r="B1511" s="4" t="s">
        <v>57</v>
      </c>
      <c r="C1511" s="4" t="s">
        <v>189</v>
      </c>
      <c r="D1511" s="4">
        <v>67</v>
      </c>
      <c r="E1511" s="16" t="s">
        <v>109</v>
      </c>
      <c r="F1511" s="17" t="s">
        <v>110</v>
      </c>
    </row>
    <row r="1512" spans="1:6">
      <c r="A1512" s="4" t="str">
        <f t="shared" si="23"/>
        <v>tRNA-Gly-CCC-1-1|69</v>
      </c>
      <c r="B1512" s="4" t="s">
        <v>57</v>
      </c>
      <c r="C1512" s="4" t="s">
        <v>190</v>
      </c>
      <c r="D1512" s="4">
        <v>68</v>
      </c>
      <c r="E1512" s="16" t="s">
        <v>116</v>
      </c>
      <c r="F1512" s="17" t="s">
        <v>110</v>
      </c>
    </row>
    <row r="1513" spans="1:6">
      <c r="A1513" s="4" t="str">
        <f t="shared" si="23"/>
        <v>tRNA-Gly-CCC-1-1|70</v>
      </c>
      <c r="B1513" s="4" t="s">
        <v>57</v>
      </c>
      <c r="C1513" s="4" t="s">
        <v>191</v>
      </c>
      <c r="D1513" s="4">
        <v>69</v>
      </c>
      <c r="E1513" s="16" t="s">
        <v>114</v>
      </c>
      <c r="F1513" s="17" t="s">
        <v>110</v>
      </c>
    </row>
    <row r="1514" spans="1:6">
      <c r="A1514" s="4" t="str">
        <f t="shared" si="23"/>
        <v>tRNA-Gly-CCC-1-1|71</v>
      </c>
      <c r="B1514" s="4" t="s">
        <v>57</v>
      </c>
      <c r="C1514" s="4" t="s">
        <v>192</v>
      </c>
      <c r="D1514" s="4">
        <v>70</v>
      </c>
      <c r="E1514" s="16" t="s">
        <v>109</v>
      </c>
      <c r="F1514" s="17" t="s">
        <v>110</v>
      </c>
    </row>
    <row r="1515" spans="1:6">
      <c r="A1515" s="4" t="str">
        <f t="shared" si="23"/>
        <v>tRNA-Gly-CCC-1-1|72</v>
      </c>
      <c r="B1515" s="4" t="s">
        <v>57</v>
      </c>
      <c r="C1515" s="4" t="s">
        <v>193</v>
      </c>
      <c r="D1515" s="4">
        <v>71</v>
      </c>
      <c r="E1515" s="16" t="s">
        <v>114</v>
      </c>
      <c r="F1515" s="17" t="s">
        <v>110</v>
      </c>
    </row>
    <row r="1516" spans="1:6">
      <c r="A1516" s="4" t="str">
        <f t="shared" si="23"/>
        <v>tRNA-Gly-GCC-1-1|1</v>
      </c>
      <c r="B1516" s="4" t="s">
        <v>58</v>
      </c>
      <c r="C1516" s="4" t="s">
        <v>108</v>
      </c>
      <c r="D1516" s="4">
        <v>1</v>
      </c>
      <c r="E1516" s="16" t="s">
        <v>122</v>
      </c>
      <c r="F1516" s="17" t="s">
        <v>110</v>
      </c>
    </row>
    <row r="1517" spans="1:6">
      <c r="A1517" s="4" t="str">
        <f t="shared" si="23"/>
        <v>tRNA-Gly-GCC-1-1|2</v>
      </c>
      <c r="B1517" s="4" t="s">
        <v>58</v>
      </c>
      <c r="C1517" s="4" t="s">
        <v>111</v>
      </c>
      <c r="D1517" s="4">
        <v>2</v>
      </c>
      <c r="E1517" s="16" t="s">
        <v>114</v>
      </c>
      <c r="F1517" s="17" t="s">
        <v>110</v>
      </c>
    </row>
    <row r="1518" spans="1:6">
      <c r="A1518" s="4" t="str">
        <f t="shared" si="23"/>
        <v>tRNA-Gly-GCC-1-1|3</v>
      </c>
      <c r="B1518" s="4" t="s">
        <v>58</v>
      </c>
      <c r="C1518" s="4" t="s">
        <v>112</v>
      </c>
      <c r="D1518" s="4">
        <v>3</v>
      </c>
      <c r="E1518" s="16" t="s">
        <v>122</v>
      </c>
      <c r="F1518" s="17" t="s">
        <v>110</v>
      </c>
    </row>
    <row r="1519" spans="1:6">
      <c r="A1519" s="4" t="str">
        <f t="shared" si="23"/>
        <v>tRNA-Gly-GCC-1-1|4</v>
      </c>
      <c r="B1519" s="4" t="s">
        <v>58</v>
      </c>
      <c r="C1519" s="4" t="s">
        <v>113</v>
      </c>
      <c r="D1519" s="4">
        <v>4</v>
      </c>
      <c r="E1519" s="16" t="s">
        <v>116</v>
      </c>
      <c r="F1519" s="17" t="s">
        <v>110</v>
      </c>
    </row>
    <row r="1520" spans="1:6">
      <c r="A1520" s="4" t="str">
        <f t="shared" si="23"/>
        <v>tRNA-Gly-GCC-1-1|5</v>
      </c>
      <c r="B1520" s="4" t="s">
        <v>58</v>
      </c>
      <c r="C1520" s="4" t="s">
        <v>115</v>
      </c>
      <c r="D1520" s="4">
        <v>5</v>
      </c>
      <c r="E1520" s="16" t="s">
        <v>114</v>
      </c>
      <c r="F1520" s="17" t="s">
        <v>110</v>
      </c>
    </row>
    <row r="1521" spans="1:6">
      <c r="A1521" s="4" t="str">
        <f t="shared" si="23"/>
        <v>tRNA-Gly-GCC-1-1|6</v>
      </c>
      <c r="B1521" s="4" t="s">
        <v>58</v>
      </c>
      <c r="C1521" s="4" t="s">
        <v>117</v>
      </c>
      <c r="D1521" s="4">
        <v>6</v>
      </c>
      <c r="E1521" s="16" t="s">
        <v>122</v>
      </c>
      <c r="F1521" s="17" t="s">
        <v>110</v>
      </c>
    </row>
    <row r="1522" spans="1:6">
      <c r="A1522" s="4" t="str">
        <f t="shared" si="23"/>
        <v>tRNA-Gly-GCC-1-1|7</v>
      </c>
      <c r="B1522" s="4" t="s">
        <v>58</v>
      </c>
      <c r="C1522" s="4" t="s">
        <v>118</v>
      </c>
      <c r="D1522" s="4">
        <v>7</v>
      </c>
      <c r="E1522" s="16" t="s">
        <v>109</v>
      </c>
      <c r="F1522" s="17" t="s">
        <v>110</v>
      </c>
    </row>
    <row r="1523" spans="1:6">
      <c r="A1523" s="4" t="str">
        <f t="shared" si="23"/>
        <v>tRNA-Gly-GCC-1-1|8</v>
      </c>
      <c r="B1523" s="4" t="s">
        <v>58</v>
      </c>
      <c r="C1523" s="4" t="s">
        <v>119</v>
      </c>
      <c r="D1523" s="4">
        <v>8</v>
      </c>
      <c r="E1523" s="3" t="s">
        <v>116</v>
      </c>
      <c r="F1523" s="4" t="s">
        <v>120</v>
      </c>
    </row>
    <row r="1524" spans="1:6">
      <c r="A1524" s="4" t="str">
        <f t="shared" si="23"/>
        <v>tRNA-Gly-GCC-1-1|9</v>
      </c>
      <c r="B1524" s="4" t="s">
        <v>58</v>
      </c>
      <c r="C1524" s="4" t="s">
        <v>121</v>
      </c>
      <c r="D1524" s="4">
        <v>9</v>
      </c>
      <c r="E1524" s="3" t="s">
        <v>122</v>
      </c>
      <c r="F1524" s="4" t="s">
        <v>123</v>
      </c>
    </row>
    <row r="1525" spans="1:6">
      <c r="A1525" s="4" t="str">
        <f t="shared" si="23"/>
        <v>tRNA-Gly-GCC-1-1|10</v>
      </c>
      <c r="B1525" s="4" t="s">
        <v>58</v>
      </c>
      <c r="C1525" s="4" t="s">
        <v>124</v>
      </c>
      <c r="D1525" s="4">
        <v>10</v>
      </c>
      <c r="E1525" s="8" t="s">
        <v>109</v>
      </c>
      <c r="F1525" s="7" t="s">
        <v>125</v>
      </c>
    </row>
    <row r="1526" spans="1:6">
      <c r="A1526" s="4" t="str">
        <f t="shared" si="23"/>
        <v>tRNA-Gly-GCC-1-1|11</v>
      </c>
      <c r="B1526" s="4" t="s">
        <v>58</v>
      </c>
      <c r="C1526" s="4" t="s">
        <v>126</v>
      </c>
      <c r="D1526" s="4">
        <v>11</v>
      </c>
      <c r="E1526" s="8" t="s">
        <v>116</v>
      </c>
      <c r="F1526" s="7" t="s">
        <v>125</v>
      </c>
    </row>
    <row r="1527" spans="1:6">
      <c r="A1527" s="4" t="str">
        <f t="shared" si="23"/>
        <v>tRNA-Gly-GCC-1-1|12</v>
      </c>
      <c r="B1527" s="4" t="s">
        <v>58</v>
      </c>
      <c r="C1527" s="4" t="s">
        <v>127</v>
      </c>
      <c r="D1527" s="4">
        <v>12</v>
      </c>
      <c r="E1527" s="8" t="s">
        <v>109</v>
      </c>
      <c r="F1527" s="7" t="s">
        <v>125</v>
      </c>
    </row>
    <row r="1528" spans="1:6">
      <c r="A1528" s="4" t="str">
        <f t="shared" si="23"/>
        <v>tRNA-Gly-GCC-1-1|13</v>
      </c>
      <c r="B1528" s="4" t="s">
        <v>58</v>
      </c>
      <c r="C1528" s="4" t="s">
        <v>128</v>
      </c>
      <c r="D1528" s="4">
        <v>13</v>
      </c>
      <c r="E1528" s="8" t="s">
        <v>116</v>
      </c>
      <c r="F1528" s="7" t="s">
        <v>125</v>
      </c>
    </row>
    <row r="1529" spans="1:6">
      <c r="A1529" s="4" t="str">
        <f t="shared" si="23"/>
        <v>tRNA-Gly-GCC-1-1|14</v>
      </c>
      <c r="B1529" s="4" t="s">
        <v>58</v>
      </c>
      <c r="C1529" s="4" t="s">
        <v>129</v>
      </c>
      <c r="D1529" s="4">
        <v>14</v>
      </c>
      <c r="E1529" s="18" t="s">
        <v>122</v>
      </c>
      <c r="F1529" s="19" t="s">
        <v>130</v>
      </c>
    </row>
    <row r="1530" spans="1:6">
      <c r="A1530" s="4" t="str">
        <f t="shared" si="23"/>
        <v>tRNA-Gly-GCC-1-1|15</v>
      </c>
      <c r="B1530" s="4" t="s">
        <v>58</v>
      </c>
      <c r="C1530" s="4" t="s">
        <v>131</v>
      </c>
      <c r="D1530" s="4">
        <v>15</v>
      </c>
      <c r="E1530" s="18" t="s">
        <v>109</v>
      </c>
      <c r="F1530" s="19" t="s">
        <v>130</v>
      </c>
    </row>
    <row r="1531" spans="1:6">
      <c r="A1531" s="4" t="str">
        <f t="shared" si="23"/>
        <v>tRNA-Gly-GCC-1-1|16</v>
      </c>
      <c r="B1531" s="4" t="s">
        <v>58</v>
      </c>
      <c r="C1531" s="4" t="s">
        <v>194</v>
      </c>
      <c r="D1531" s="4">
        <v>16</v>
      </c>
      <c r="E1531" s="18" t="s">
        <v>114</v>
      </c>
      <c r="F1531" s="19" t="s">
        <v>130</v>
      </c>
    </row>
    <row r="1532" spans="1:6">
      <c r="A1532" s="4" t="str">
        <f t="shared" si="23"/>
        <v>tRNA-Gly-GCC-1-1|18</v>
      </c>
      <c r="B1532" s="4" t="s">
        <v>58</v>
      </c>
      <c r="C1532" s="4" t="s">
        <v>132</v>
      </c>
      <c r="D1532" s="4">
        <v>17</v>
      </c>
      <c r="E1532" s="18" t="s">
        <v>109</v>
      </c>
      <c r="F1532" s="19" t="s">
        <v>130</v>
      </c>
    </row>
    <row r="1533" spans="1:6">
      <c r="A1533" s="4" t="str">
        <f t="shared" si="23"/>
        <v>tRNA-Gly-GCC-1-1|19</v>
      </c>
      <c r="B1533" s="4" t="s">
        <v>58</v>
      </c>
      <c r="C1533" s="4" t="s">
        <v>133</v>
      </c>
      <c r="D1533" s="4">
        <v>18</v>
      </c>
      <c r="E1533" s="18" t="s">
        <v>109</v>
      </c>
      <c r="F1533" s="19" t="s">
        <v>130</v>
      </c>
    </row>
    <row r="1534" spans="1:6">
      <c r="A1534" s="4" t="str">
        <f t="shared" si="23"/>
        <v>tRNA-Gly-GCC-1-1|20</v>
      </c>
      <c r="B1534" s="4" t="s">
        <v>58</v>
      </c>
      <c r="C1534" s="4" t="s">
        <v>134</v>
      </c>
      <c r="D1534" s="4">
        <v>19</v>
      </c>
      <c r="E1534" s="18" t="s">
        <v>116</v>
      </c>
      <c r="F1534" s="19" t="s">
        <v>130</v>
      </c>
    </row>
    <row r="1535" spans="1:6">
      <c r="A1535" s="4" t="str">
        <f t="shared" si="23"/>
        <v>tRNA-Gly-GCC-1-1|20a</v>
      </c>
      <c r="B1535" s="4" t="s">
        <v>58</v>
      </c>
      <c r="C1535" s="4" t="s">
        <v>135</v>
      </c>
      <c r="D1535" s="4">
        <v>20</v>
      </c>
      <c r="E1535" s="18" t="s">
        <v>114</v>
      </c>
      <c r="F1535" s="19" t="s">
        <v>130</v>
      </c>
    </row>
    <row r="1536" spans="1:6">
      <c r="A1536" s="4" t="str">
        <f t="shared" si="23"/>
        <v>tRNA-Gly-GCC-1-1|21</v>
      </c>
      <c r="B1536" s="4" t="s">
        <v>58</v>
      </c>
      <c r="C1536" s="4" t="s">
        <v>136</v>
      </c>
      <c r="D1536" s="4">
        <v>21</v>
      </c>
      <c r="E1536" s="18" t="s">
        <v>122</v>
      </c>
      <c r="F1536" s="19" t="s">
        <v>130</v>
      </c>
    </row>
    <row r="1537" spans="1:6">
      <c r="A1537" s="4" t="str">
        <f t="shared" si="23"/>
        <v>tRNA-Gly-GCC-1-1|22</v>
      </c>
      <c r="B1537" s="4" t="s">
        <v>58</v>
      </c>
      <c r="C1537" s="4" t="s">
        <v>137</v>
      </c>
      <c r="D1537" s="4">
        <v>22</v>
      </c>
      <c r="E1537" s="8" t="s">
        <v>116</v>
      </c>
      <c r="F1537" s="7" t="s">
        <v>125</v>
      </c>
    </row>
    <row r="1538" spans="1:6">
      <c r="A1538" s="4" t="str">
        <f t="shared" ref="A1538:A1601" si="24">B1538&amp;"|"&amp;C1538</f>
        <v>tRNA-Gly-GCC-1-1|23</v>
      </c>
      <c r="B1538" s="4" t="s">
        <v>58</v>
      </c>
      <c r="C1538" s="4" t="s">
        <v>138</v>
      </c>
      <c r="D1538" s="4">
        <v>23</v>
      </c>
      <c r="E1538" s="8" t="s">
        <v>114</v>
      </c>
      <c r="F1538" s="7" t="s">
        <v>125</v>
      </c>
    </row>
    <row r="1539" spans="1:6">
      <c r="A1539" s="4" t="str">
        <f t="shared" si="24"/>
        <v>tRNA-Gly-GCC-1-1|24</v>
      </c>
      <c r="B1539" s="4" t="s">
        <v>58</v>
      </c>
      <c r="C1539" s="4" t="s">
        <v>139</v>
      </c>
      <c r="D1539" s="4">
        <v>24</v>
      </c>
      <c r="E1539" s="8" t="s">
        <v>122</v>
      </c>
      <c r="F1539" s="7" t="s">
        <v>125</v>
      </c>
    </row>
    <row r="1540" spans="1:6">
      <c r="A1540" s="4" t="str">
        <f t="shared" si="24"/>
        <v>tRNA-Gly-GCC-1-1|25</v>
      </c>
      <c r="B1540" s="4" t="s">
        <v>58</v>
      </c>
      <c r="C1540" s="4" t="s">
        <v>140</v>
      </c>
      <c r="D1540" s="4">
        <v>25</v>
      </c>
      <c r="E1540" s="8" t="s">
        <v>114</v>
      </c>
      <c r="F1540" s="7" t="s">
        <v>125</v>
      </c>
    </row>
    <row r="1541" spans="1:6">
      <c r="A1541" s="4" t="str">
        <f t="shared" si="24"/>
        <v>tRNA-Gly-GCC-1-1|26</v>
      </c>
      <c r="B1541" s="4" t="s">
        <v>58</v>
      </c>
      <c r="C1541" s="4" t="s">
        <v>141</v>
      </c>
      <c r="D1541" s="4">
        <v>26</v>
      </c>
      <c r="E1541" s="3" t="s">
        <v>114</v>
      </c>
      <c r="F1541" s="4" t="s">
        <v>142</v>
      </c>
    </row>
    <row r="1542" spans="1:6">
      <c r="A1542" s="4" t="str">
        <f t="shared" si="24"/>
        <v>tRNA-Gly-GCC-1-1|27</v>
      </c>
      <c r="B1542" s="4" t="s">
        <v>58</v>
      </c>
      <c r="C1542" s="4" t="s">
        <v>143</v>
      </c>
      <c r="D1542" s="4">
        <v>27</v>
      </c>
      <c r="E1542" s="20" t="s">
        <v>109</v>
      </c>
      <c r="F1542" s="21" t="s">
        <v>144</v>
      </c>
    </row>
    <row r="1543" spans="1:6">
      <c r="A1543" s="4" t="str">
        <f t="shared" si="24"/>
        <v>tRNA-Gly-GCC-1-1|28</v>
      </c>
      <c r="B1543" s="4" t="s">
        <v>58</v>
      </c>
      <c r="C1543" s="4" t="s">
        <v>145</v>
      </c>
      <c r="D1543" s="4">
        <v>28</v>
      </c>
      <c r="E1543" s="20" t="s">
        <v>109</v>
      </c>
      <c r="F1543" s="21" t="s">
        <v>144</v>
      </c>
    </row>
    <row r="1544" spans="1:6">
      <c r="A1544" s="4" t="str">
        <f t="shared" si="24"/>
        <v>tRNA-Gly-GCC-1-1|29</v>
      </c>
      <c r="B1544" s="4" t="s">
        <v>58</v>
      </c>
      <c r="C1544" s="4" t="s">
        <v>146</v>
      </c>
      <c r="D1544" s="4">
        <v>29</v>
      </c>
      <c r="E1544" s="20" t="s">
        <v>109</v>
      </c>
      <c r="F1544" s="21" t="s">
        <v>144</v>
      </c>
    </row>
    <row r="1545" spans="1:6">
      <c r="A1545" s="4" t="str">
        <f t="shared" si="24"/>
        <v>tRNA-Gly-GCC-1-1|30</v>
      </c>
      <c r="B1545" s="4" t="s">
        <v>58</v>
      </c>
      <c r="C1545" s="4" t="s">
        <v>147</v>
      </c>
      <c r="D1545" s="4">
        <v>30</v>
      </c>
      <c r="E1545" s="20" t="s">
        <v>114</v>
      </c>
      <c r="F1545" s="21" t="s">
        <v>144</v>
      </c>
    </row>
    <row r="1546" spans="1:6">
      <c r="A1546" s="4" t="str">
        <f t="shared" si="24"/>
        <v>tRNA-Gly-GCC-1-1|31</v>
      </c>
      <c r="B1546" s="4" t="s">
        <v>58</v>
      </c>
      <c r="C1546" s="4" t="s">
        <v>148</v>
      </c>
      <c r="D1546" s="4">
        <v>31</v>
      </c>
      <c r="E1546" s="20" t="s">
        <v>109</v>
      </c>
      <c r="F1546" s="21" t="s">
        <v>144</v>
      </c>
    </row>
    <row r="1547" spans="1:6">
      <c r="A1547" s="4" t="str">
        <f t="shared" si="24"/>
        <v>tRNA-Gly-GCC-1-1|32</v>
      </c>
      <c r="B1547" s="4" t="s">
        <v>58</v>
      </c>
      <c r="C1547" s="4" t="s">
        <v>149</v>
      </c>
      <c r="D1547" s="4">
        <v>32</v>
      </c>
      <c r="E1547" s="18" t="s">
        <v>116</v>
      </c>
      <c r="F1547" s="19" t="s">
        <v>150</v>
      </c>
    </row>
    <row r="1548" spans="1:6">
      <c r="A1548" s="4" t="str">
        <f t="shared" si="24"/>
        <v>tRNA-Gly-GCC-1-1|33</v>
      </c>
      <c r="B1548" s="4" t="s">
        <v>58</v>
      </c>
      <c r="C1548" s="4" t="s">
        <v>151</v>
      </c>
      <c r="D1548" s="4">
        <v>33</v>
      </c>
      <c r="E1548" s="18" t="s">
        <v>116</v>
      </c>
      <c r="F1548" s="19" t="s">
        <v>150</v>
      </c>
    </row>
    <row r="1549" spans="1:6">
      <c r="A1549" s="4" t="str">
        <f t="shared" si="24"/>
        <v>tRNA-Gly-GCC-1-1|34</v>
      </c>
      <c r="B1549" s="4" t="s">
        <v>58</v>
      </c>
      <c r="C1549" s="4" t="s">
        <v>152</v>
      </c>
      <c r="D1549" s="4">
        <v>34</v>
      </c>
      <c r="E1549" s="18" t="s">
        <v>109</v>
      </c>
      <c r="F1549" s="19" t="s">
        <v>150</v>
      </c>
    </row>
    <row r="1550" spans="1:6">
      <c r="A1550" s="4" t="str">
        <f t="shared" si="24"/>
        <v>tRNA-Gly-GCC-1-1|35</v>
      </c>
      <c r="B1550" s="4" t="s">
        <v>58</v>
      </c>
      <c r="C1550" s="4" t="s">
        <v>153</v>
      </c>
      <c r="D1550" s="4">
        <v>35</v>
      </c>
      <c r="E1550" s="18" t="s">
        <v>114</v>
      </c>
      <c r="F1550" s="19" t="s">
        <v>150</v>
      </c>
    </row>
    <row r="1551" spans="1:6">
      <c r="A1551" s="4" t="str">
        <f t="shared" si="24"/>
        <v>tRNA-Gly-GCC-1-1|36</v>
      </c>
      <c r="B1551" s="4" t="s">
        <v>58</v>
      </c>
      <c r="C1551" s="4" t="s">
        <v>154</v>
      </c>
      <c r="D1551" s="4">
        <v>36</v>
      </c>
      <c r="E1551" s="18" t="s">
        <v>114</v>
      </c>
      <c r="F1551" s="19" t="s">
        <v>150</v>
      </c>
    </row>
    <row r="1552" spans="1:6">
      <c r="A1552" s="4" t="str">
        <f t="shared" si="24"/>
        <v>tRNA-Gly-GCC-1-1|37</v>
      </c>
      <c r="B1552" s="4" t="s">
        <v>58</v>
      </c>
      <c r="C1552" s="4" t="s">
        <v>155</v>
      </c>
      <c r="D1552" s="4">
        <v>37</v>
      </c>
      <c r="E1552" s="18" t="s">
        <v>122</v>
      </c>
      <c r="F1552" s="19" t="s">
        <v>150</v>
      </c>
    </row>
    <row r="1553" spans="1:6">
      <c r="A1553" s="4" t="str">
        <f t="shared" si="24"/>
        <v>tRNA-Gly-GCC-1-1|38</v>
      </c>
      <c r="B1553" s="4" t="s">
        <v>58</v>
      </c>
      <c r="C1553" s="4" t="s">
        <v>156</v>
      </c>
      <c r="D1553" s="4">
        <v>38</v>
      </c>
      <c r="E1553" s="18" t="s">
        <v>122</v>
      </c>
      <c r="F1553" s="19" t="s">
        <v>150</v>
      </c>
    </row>
    <row r="1554" spans="1:6">
      <c r="A1554" s="4" t="str">
        <f t="shared" si="24"/>
        <v>tRNA-Gly-GCC-1-1|39</v>
      </c>
      <c r="B1554" s="4" t="s">
        <v>58</v>
      </c>
      <c r="C1554" s="4" t="s">
        <v>157</v>
      </c>
      <c r="D1554" s="4">
        <v>39</v>
      </c>
      <c r="E1554" s="20" t="s">
        <v>114</v>
      </c>
      <c r="F1554" s="21" t="s">
        <v>144</v>
      </c>
    </row>
    <row r="1555" spans="1:6">
      <c r="A1555" s="4" t="str">
        <f t="shared" si="24"/>
        <v>tRNA-Gly-GCC-1-1|40</v>
      </c>
      <c r="B1555" s="4" t="s">
        <v>58</v>
      </c>
      <c r="C1555" s="4" t="s">
        <v>158</v>
      </c>
      <c r="D1555" s="4">
        <v>40</v>
      </c>
      <c r="E1555" s="20" t="s">
        <v>109</v>
      </c>
      <c r="F1555" s="21" t="s">
        <v>144</v>
      </c>
    </row>
    <row r="1556" spans="1:6">
      <c r="A1556" s="4" t="str">
        <f t="shared" si="24"/>
        <v>tRNA-Gly-GCC-1-1|41</v>
      </c>
      <c r="B1556" s="4" t="s">
        <v>58</v>
      </c>
      <c r="C1556" s="4" t="s">
        <v>159</v>
      </c>
      <c r="D1556" s="4">
        <v>41</v>
      </c>
      <c r="E1556" s="20" t="s">
        <v>114</v>
      </c>
      <c r="F1556" s="21" t="s">
        <v>144</v>
      </c>
    </row>
    <row r="1557" spans="1:6">
      <c r="A1557" s="4" t="str">
        <f t="shared" si="24"/>
        <v>tRNA-Gly-GCC-1-1|42</v>
      </c>
      <c r="B1557" s="4" t="s">
        <v>58</v>
      </c>
      <c r="C1557" s="4" t="s">
        <v>160</v>
      </c>
      <c r="D1557" s="4">
        <v>42</v>
      </c>
      <c r="E1557" s="20" t="s">
        <v>116</v>
      </c>
      <c r="F1557" s="21" t="s">
        <v>144</v>
      </c>
    </row>
    <row r="1558" spans="1:6">
      <c r="A1558" s="4" t="str">
        <f t="shared" si="24"/>
        <v>tRNA-Gly-GCC-1-1|43</v>
      </c>
      <c r="B1558" s="4" t="s">
        <v>58</v>
      </c>
      <c r="C1558" s="4" t="s">
        <v>161</v>
      </c>
      <c r="D1558" s="4">
        <v>43</v>
      </c>
      <c r="E1558" s="20" t="s">
        <v>114</v>
      </c>
      <c r="F1558" s="21" t="s">
        <v>144</v>
      </c>
    </row>
    <row r="1559" spans="1:6">
      <c r="A1559" s="4" t="str">
        <f t="shared" si="24"/>
        <v>tRNA-Gly-GCC-1-1|44</v>
      </c>
      <c r="B1559" s="4" t="s">
        <v>58</v>
      </c>
      <c r="C1559" s="4" t="s">
        <v>162</v>
      </c>
      <c r="D1559" s="4">
        <v>44</v>
      </c>
      <c r="E1559" s="18" t="s">
        <v>109</v>
      </c>
      <c r="F1559" s="19" t="s">
        <v>163</v>
      </c>
    </row>
    <row r="1560" spans="1:6">
      <c r="A1560" s="4" t="str">
        <f t="shared" si="24"/>
        <v>tRNA-Gly-GCC-1-1|45</v>
      </c>
      <c r="B1560" s="4" t="s">
        <v>58</v>
      </c>
      <c r="C1560" s="4" t="s">
        <v>164</v>
      </c>
      <c r="D1560" s="4">
        <v>45</v>
      </c>
      <c r="E1560" s="18" t="s">
        <v>122</v>
      </c>
      <c r="F1560" s="19" t="s">
        <v>163</v>
      </c>
    </row>
    <row r="1561" spans="1:6">
      <c r="A1561" s="4" t="str">
        <f t="shared" si="24"/>
        <v>tRNA-Gly-GCC-1-1|46</v>
      </c>
      <c r="B1561" s="4" t="s">
        <v>58</v>
      </c>
      <c r="C1561" s="4" t="s">
        <v>165</v>
      </c>
      <c r="D1561" s="4">
        <v>46</v>
      </c>
      <c r="E1561" s="18" t="s">
        <v>122</v>
      </c>
      <c r="F1561" s="19" t="s">
        <v>163</v>
      </c>
    </row>
    <row r="1562" spans="1:6">
      <c r="A1562" s="4" t="str">
        <f t="shared" si="24"/>
        <v>tRNA-Gly-GCC-1-1|48</v>
      </c>
      <c r="B1562" s="4" t="s">
        <v>58</v>
      </c>
      <c r="C1562" s="4" t="s">
        <v>167</v>
      </c>
      <c r="D1562" s="4">
        <v>47</v>
      </c>
      <c r="E1562" s="18" t="s">
        <v>114</v>
      </c>
      <c r="F1562" s="19" t="s">
        <v>163</v>
      </c>
    </row>
    <row r="1563" spans="1:6">
      <c r="A1563" s="4" t="str">
        <f t="shared" si="24"/>
        <v>tRNA-Gly-GCC-1-1|49</v>
      </c>
      <c r="B1563" s="4" t="s">
        <v>58</v>
      </c>
      <c r="C1563" s="4" t="s">
        <v>168</v>
      </c>
      <c r="D1563" s="4">
        <v>48</v>
      </c>
      <c r="E1563" s="22" t="s">
        <v>114</v>
      </c>
      <c r="F1563" s="10" t="s">
        <v>169</v>
      </c>
    </row>
    <row r="1564" spans="1:6">
      <c r="A1564" s="4" t="str">
        <f t="shared" si="24"/>
        <v>tRNA-Gly-GCC-1-1|50</v>
      </c>
      <c r="B1564" s="4" t="s">
        <v>58</v>
      </c>
      <c r="C1564" s="4" t="s">
        <v>170</v>
      </c>
      <c r="D1564" s="4">
        <v>49</v>
      </c>
      <c r="E1564" s="22" t="s">
        <v>114</v>
      </c>
      <c r="F1564" s="10" t="s">
        <v>169</v>
      </c>
    </row>
    <row r="1565" spans="1:6">
      <c r="A1565" s="4" t="str">
        <f t="shared" si="24"/>
        <v>tRNA-Gly-GCC-1-1|51</v>
      </c>
      <c r="B1565" s="4" t="s">
        <v>58</v>
      </c>
      <c r="C1565" s="4" t="s">
        <v>171</v>
      </c>
      <c r="D1565" s="4">
        <v>50</v>
      </c>
      <c r="E1565" s="22" t="s">
        <v>109</v>
      </c>
      <c r="F1565" s="10" t="s">
        <v>169</v>
      </c>
    </row>
    <row r="1566" spans="1:6">
      <c r="A1566" s="4" t="str">
        <f t="shared" si="24"/>
        <v>tRNA-Gly-GCC-1-1|52</v>
      </c>
      <c r="B1566" s="4" t="s">
        <v>58</v>
      </c>
      <c r="C1566" s="4" t="s">
        <v>172</v>
      </c>
      <c r="D1566" s="4">
        <v>51</v>
      </c>
      <c r="E1566" s="22" t="s">
        <v>109</v>
      </c>
      <c r="F1566" s="10" t="s">
        <v>169</v>
      </c>
    </row>
    <row r="1567" spans="1:6">
      <c r="A1567" s="4" t="str">
        <f t="shared" si="24"/>
        <v>tRNA-Gly-GCC-1-1|53</v>
      </c>
      <c r="B1567" s="4" t="s">
        <v>58</v>
      </c>
      <c r="C1567" s="4" t="s">
        <v>173</v>
      </c>
      <c r="D1567" s="4">
        <v>52</v>
      </c>
      <c r="E1567" s="22" t="s">
        <v>109</v>
      </c>
      <c r="F1567" s="10" t="s">
        <v>169</v>
      </c>
    </row>
    <row r="1568" spans="1:6">
      <c r="A1568" s="4" t="str">
        <f t="shared" si="24"/>
        <v>tRNA-Gly-GCC-1-1|54</v>
      </c>
      <c r="B1568" s="4" t="s">
        <v>58</v>
      </c>
      <c r="C1568" s="4" t="s">
        <v>174</v>
      </c>
      <c r="D1568" s="4">
        <v>53</v>
      </c>
      <c r="E1568" s="18" t="s">
        <v>116</v>
      </c>
      <c r="F1568" s="19" t="s">
        <v>175</v>
      </c>
    </row>
    <row r="1569" spans="1:6">
      <c r="A1569" s="4" t="str">
        <f t="shared" si="24"/>
        <v>tRNA-Gly-GCC-1-1|55</v>
      </c>
      <c r="B1569" s="4" t="s">
        <v>58</v>
      </c>
      <c r="C1569" s="4" t="s">
        <v>176</v>
      </c>
      <c r="D1569" s="4">
        <v>54</v>
      </c>
      <c r="E1569" s="18" t="s">
        <v>116</v>
      </c>
      <c r="F1569" s="19" t="s">
        <v>175</v>
      </c>
    </row>
    <row r="1570" spans="1:6">
      <c r="A1570" s="4" t="str">
        <f t="shared" si="24"/>
        <v>tRNA-Gly-GCC-1-1|56</v>
      </c>
      <c r="B1570" s="4" t="s">
        <v>58</v>
      </c>
      <c r="C1570" s="4" t="s">
        <v>177</v>
      </c>
      <c r="D1570" s="4">
        <v>55</v>
      </c>
      <c r="E1570" s="18" t="s">
        <v>114</v>
      </c>
      <c r="F1570" s="19" t="s">
        <v>175</v>
      </c>
    </row>
    <row r="1571" spans="1:6">
      <c r="A1571" s="4" t="str">
        <f t="shared" si="24"/>
        <v>tRNA-Gly-GCC-1-1|57</v>
      </c>
      <c r="B1571" s="4" t="s">
        <v>58</v>
      </c>
      <c r="C1571" s="4" t="s">
        <v>178</v>
      </c>
      <c r="D1571" s="4">
        <v>56</v>
      </c>
      <c r="E1571" s="18" t="s">
        <v>109</v>
      </c>
      <c r="F1571" s="19" t="s">
        <v>175</v>
      </c>
    </row>
    <row r="1572" spans="1:6">
      <c r="A1572" s="4" t="str">
        <f t="shared" si="24"/>
        <v>tRNA-Gly-GCC-1-1|58</v>
      </c>
      <c r="B1572" s="4" t="s">
        <v>58</v>
      </c>
      <c r="C1572" s="4" t="s">
        <v>179</v>
      </c>
      <c r="D1572" s="4">
        <v>57</v>
      </c>
      <c r="E1572" s="18" t="s">
        <v>122</v>
      </c>
      <c r="F1572" s="19" t="s">
        <v>175</v>
      </c>
    </row>
    <row r="1573" spans="1:6">
      <c r="A1573" s="4" t="str">
        <f t="shared" si="24"/>
        <v>tRNA-Gly-GCC-1-1|59</v>
      </c>
      <c r="B1573" s="4" t="s">
        <v>58</v>
      </c>
      <c r="C1573" s="4" t="s">
        <v>180</v>
      </c>
      <c r="D1573" s="4">
        <v>58</v>
      </c>
      <c r="E1573" s="18" t="s">
        <v>122</v>
      </c>
      <c r="F1573" s="19" t="s">
        <v>175</v>
      </c>
    </row>
    <row r="1574" spans="1:6">
      <c r="A1574" s="4" t="str">
        <f t="shared" si="24"/>
        <v>tRNA-Gly-GCC-1-1|60</v>
      </c>
      <c r="B1574" s="4" t="s">
        <v>58</v>
      </c>
      <c r="C1574" s="4" t="s">
        <v>181</v>
      </c>
      <c r="D1574" s="4">
        <v>59</v>
      </c>
      <c r="E1574" s="18" t="s">
        <v>116</v>
      </c>
      <c r="F1574" s="19" t="s">
        <v>175</v>
      </c>
    </row>
    <row r="1575" spans="1:6">
      <c r="A1575" s="4" t="str">
        <f t="shared" si="24"/>
        <v>tRNA-Gly-GCC-1-1|61</v>
      </c>
      <c r="B1575" s="4" t="s">
        <v>58</v>
      </c>
      <c r="C1575" s="4" t="s">
        <v>182</v>
      </c>
      <c r="D1575" s="4">
        <v>60</v>
      </c>
      <c r="E1575" s="22" t="s">
        <v>114</v>
      </c>
      <c r="F1575" s="10" t="s">
        <v>169</v>
      </c>
    </row>
    <row r="1576" spans="1:6">
      <c r="A1576" s="4" t="str">
        <f t="shared" si="24"/>
        <v>tRNA-Gly-GCC-1-1|62</v>
      </c>
      <c r="B1576" s="4" t="s">
        <v>58</v>
      </c>
      <c r="C1576" s="4" t="s">
        <v>183</v>
      </c>
      <c r="D1576" s="4">
        <v>61</v>
      </c>
      <c r="E1576" s="22" t="s">
        <v>114</v>
      </c>
      <c r="F1576" s="10" t="s">
        <v>169</v>
      </c>
    </row>
    <row r="1577" spans="1:6">
      <c r="A1577" s="4" t="str">
        <f t="shared" si="24"/>
        <v>tRNA-Gly-GCC-1-1|63</v>
      </c>
      <c r="B1577" s="4" t="s">
        <v>58</v>
      </c>
      <c r="C1577" s="4" t="s">
        <v>184</v>
      </c>
      <c r="D1577" s="4">
        <v>62</v>
      </c>
      <c r="E1577" s="22" t="s">
        <v>114</v>
      </c>
      <c r="F1577" s="10" t="s">
        <v>169</v>
      </c>
    </row>
    <row r="1578" spans="1:6">
      <c r="A1578" s="4" t="str">
        <f t="shared" si="24"/>
        <v>tRNA-Gly-GCC-1-1|64</v>
      </c>
      <c r="B1578" s="4" t="s">
        <v>58</v>
      </c>
      <c r="C1578" s="4" t="s">
        <v>185</v>
      </c>
      <c r="D1578" s="4">
        <v>63</v>
      </c>
      <c r="E1578" s="22" t="s">
        <v>109</v>
      </c>
      <c r="F1578" s="10" t="s">
        <v>169</v>
      </c>
    </row>
    <row r="1579" spans="1:6">
      <c r="A1579" s="4" t="str">
        <f t="shared" si="24"/>
        <v>tRNA-Gly-GCC-1-1|65</v>
      </c>
      <c r="B1579" s="4" t="s">
        <v>58</v>
      </c>
      <c r="C1579" s="4" t="s">
        <v>186</v>
      </c>
      <c r="D1579" s="4">
        <v>64</v>
      </c>
      <c r="E1579" s="22" t="s">
        <v>109</v>
      </c>
      <c r="F1579" s="10" t="s">
        <v>169</v>
      </c>
    </row>
    <row r="1580" spans="1:6">
      <c r="A1580" s="4" t="str">
        <f t="shared" si="24"/>
        <v>tRNA-Gly-GCC-1-1|66</v>
      </c>
      <c r="B1580" s="4" t="s">
        <v>58</v>
      </c>
      <c r="C1580" s="4" t="s">
        <v>187</v>
      </c>
      <c r="D1580" s="4">
        <v>65</v>
      </c>
      <c r="E1580" s="16" t="s">
        <v>114</v>
      </c>
      <c r="F1580" s="17" t="s">
        <v>110</v>
      </c>
    </row>
    <row r="1581" spans="1:6">
      <c r="A1581" s="4" t="str">
        <f t="shared" si="24"/>
        <v>tRNA-Gly-GCC-1-1|67</v>
      </c>
      <c r="B1581" s="4" t="s">
        <v>58</v>
      </c>
      <c r="C1581" s="4" t="s">
        <v>188</v>
      </c>
      <c r="D1581" s="4">
        <v>66</v>
      </c>
      <c r="E1581" s="16" t="s">
        <v>116</v>
      </c>
      <c r="F1581" s="17" t="s">
        <v>110</v>
      </c>
    </row>
    <row r="1582" spans="1:6">
      <c r="A1582" s="4" t="str">
        <f t="shared" si="24"/>
        <v>tRNA-Gly-GCC-1-1|68</v>
      </c>
      <c r="B1582" s="4" t="s">
        <v>58</v>
      </c>
      <c r="C1582" s="4" t="s">
        <v>189</v>
      </c>
      <c r="D1582" s="4">
        <v>67</v>
      </c>
      <c r="E1582" s="16" t="s">
        <v>109</v>
      </c>
      <c r="F1582" s="17" t="s">
        <v>110</v>
      </c>
    </row>
    <row r="1583" spans="1:6">
      <c r="A1583" s="4" t="str">
        <f t="shared" si="24"/>
        <v>tRNA-Gly-GCC-1-1|69</v>
      </c>
      <c r="B1583" s="4" t="s">
        <v>58</v>
      </c>
      <c r="C1583" s="4" t="s">
        <v>190</v>
      </c>
      <c r="D1583" s="4">
        <v>68</v>
      </c>
      <c r="E1583" s="16" t="s">
        <v>122</v>
      </c>
      <c r="F1583" s="17" t="s">
        <v>110</v>
      </c>
    </row>
    <row r="1584" spans="1:6">
      <c r="A1584" s="4" t="str">
        <f t="shared" si="24"/>
        <v>tRNA-Gly-GCC-1-1|70</v>
      </c>
      <c r="B1584" s="4" t="s">
        <v>58</v>
      </c>
      <c r="C1584" s="4" t="s">
        <v>191</v>
      </c>
      <c r="D1584" s="4">
        <v>69</v>
      </c>
      <c r="E1584" s="16" t="s">
        <v>116</v>
      </c>
      <c r="F1584" s="17" t="s">
        <v>110</v>
      </c>
    </row>
    <row r="1585" spans="1:6">
      <c r="A1585" s="4" t="str">
        <f t="shared" si="24"/>
        <v>tRNA-Gly-GCC-1-1|71</v>
      </c>
      <c r="B1585" s="4" t="s">
        <v>58</v>
      </c>
      <c r="C1585" s="4" t="s">
        <v>192</v>
      </c>
      <c r="D1585" s="4">
        <v>70</v>
      </c>
      <c r="E1585" s="16" t="s">
        <v>109</v>
      </c>
      <c r="F1585" s="17" t="s">
        <v>110</v>
      </c>
    </row>
    <row r="1586" spans="1:6">
      <c r="A1586" s="4" t="str">
        <f t="shared" si="24"/>
        <v>tRNA-Gly-GCC-1-1|72</v>
      </c>
      <c r="B1586" s="4" t="s">
        <v>58</v>
      </c>
      <c r="C1586" s="4" t="s">
        <v>193</v>
      </c>
      <c r="D1586" s="4">
        <v>71</v>
      </c>
      <c r="E1586" s="16" t="s">
        <v>116</v>
      </c>
      <c r="F1586" s="17" t="s">
        <v>110</v>
      </c>
    </row>
    <row r="1587" spans="1:6">
      <c r="A1587" s="4" t="str">
        <f t="shared" si="24"/>
        <v>tRNA-Gly-GCC-2-1|1</v>
      </c>
      <c r="B1587" s="4" t="s">
        <v>59</v>
      </c>
      <c r="C1587" s="4" t="s">
        <v>108</v>
      </c>
      <c r="D1587" s="4">
        <v>1</v>
      </c>
      <c r="E1587" s="16" t="s">
        <v>122</v>
      </c>
      <c r="F1587" s="17" t="s">
        <v>110</v>
      </c>
    </row>
    <row r="1588" spans="1:6">
      <c r="A1588" s="4" t="str">
        <f t="shared" si="24"/>
        <v>tRNA-Gly-GCC-2-1|2</v>
      </c>
      <c r="B1588" s="4" t="s">
        <v>59</v>
      </c>
      <c r="C1588" s="4" t="s">
        <v>111</v>
      </c>
      <c r="D1588" s="4">
        <v>2</v>
      </c>
      <c r="E1588" s="16" t="s">
        <v>114</v>
      </c>
      <c r="F1588" s="17" t="s">
        <v>110</v>
      </c>
    </row>
    <row r="1589" spans="1:6">
      <c r="A1589" s="4" t="str">
        <f t="shared" si="24"/>
        <v>tRNA-Gly-GCC-2-1|3</v>
      </c>
      <c r="B1589" s="4" t="s">
        <v>59</v>
      </c>
      <c r="C1589" s="4" t="s">
        <v>112</v>
      </c>
      <c r="D1589" s="4">
        <v>3</v>
      </c>
      <c r="E1589" s="16" t="s">
        <v>122</v>
      </c>
      <c r="F1589" s="17" t="s">
        <v>110</v>
      </c>
    </row>
    <row r="1590" spans="1:6">
      <c r="A1590" s="4" t="str">
        <f t="shared" si="24"/>
        <v>tRNA-Gly-GCC-2-1|4</v>
      </c>
      <c r="B1590" s="4" t="s">
        <v>59</v>
      </c>
      <c r="C1590" s="4" t="s">
        <v>113</v>
      </c>
      <c r="D1590" s="4">
        <v>4</v>
      </c>
      <c r="E1590" s="16" t="s">
        <v>116</v>
      </c>
      <c r="F1590" s="17" t="s">
        <v>110</v>
      </c>
    </row>
    <row r="1591" spans="1:6">
      <c r="A1591" s="4" t="str">
        <f t="shared" si="24"/>
        <v>tRNA-Gly-GCC-2-1|5</v>
      </c>
      <c r="B1591" s="4" t="s">
        <v>59</v>
      </c>
      <c r="C1591" s="4" t="s">
        <v>115</v>
      </c>
      <c r="D1591" s="4">
        <v>5</v>
      </c>
      <c r="E1591" s="16" t="s">
        <v>114</v>
      </c>
      <c r="F1591" s="17" t="s">
        <v>110</v>
      </c>
    </row>
    <row r="1592" spans="1:6">
      <c r="A1592" s="4" t="str">
        <f t="shared" si="24"/>
        <v>tRNA-Gly-GCC-2-1|6</v>
      </c>
      <c r="B1592" s="4" t="s">
        <v>59</v>
      </c>
      <c r="C1592" s="4" t="s">
        <v>117</v>
      </c>
      <c r="D1592" s="4">
        <v>6</v>
      </c>
      <c r="E1592" s="16" t="s">
        <v>122</v>
      </c>
      <c r="F1592" s="17" t="s">
        <v>110</v>
      </c>
    </row>
    <row r="1593" spans="1:6">
      <c r="A1593" s="4" t="str">
        <f t="shared" si="24"/>
        <v>tRNA-Gly-GCC-2-1|7</v>
      </c>
      <c r="B1593" s="4" t="s">
        <v>59</v>
      </c>
      <c r="C1593" s="4" t="s">
        <v>118</v>
      </c>
      <c r="D1593" s="4">
        <v>7</v>
      </c>
      <c r="E1593" s="16" t="s">
        <v>109</v>
      </c>
      <c r="F1593" s="17" t="s">
        <v>110</v>
      </c>
    </row>
    <row r="1594" spans="1:6">
      <c r="A1594" s="4" t="str">
        <f t="shared" si="24"/>
        <v>tRNA-Gly-GCC-2-1|8</v>
      </c>
      <c r="B1594" s="4" t="s">
        <v>59</v>
      </c>
      <c r="C1594" s="4" t="s">
        <v>119</v>
      </c>
      <c r="D1594" s="4">
        <v>8</v>
      </c>
      <c r="E1594" s="3" t="s">
        <v>116</v>
      </c>
      <c r="F1594" s="4" t="s">
        <v>120</v>
      </c>
    </row>
    <row r="1595" spans="1:6">
      <c r="A1595" s="4" t="str">
        <f t="shared" si="24"/>
        <v>tRNA-Gly-GCC-2-1|9</v>
      </c>
      <c r="B1595" s="4" t="s">
        <v>59</v>
      </c>
      <c r="C1595" s="4" t="s">
        <v>121</v>
      </c>
      <c r="D1595" s="4">
        <v>9</v>
      </c>
      <c r="E1595" s="3" t="s">
        <v>122</v>
      </c>
      <c r="F1595" s="4" t="s">
        <v>123</v>
      </c>
    </row>
    <row r="1596" spans="1:6">
      <c r="A1596" s="4" t="str">
        <f t="shared" si="24"/>
        <v>tRNA-Gly-GCC-2-1|10</v>
      </c>
      <c r="B1596" s="4" t="s">
        <v>59</v>
      </c>
      <c r="C1596" s="4" t="s">
        <v>124</v>
      </c>
      <c r="D1596" s="4">
        <v>10</v>
      </c>
      <c r="E1596" s="8" t="s">
        <v>109</v>
      </c>
      <c r="F1596" s="7" t="s">
        <v>125</v>
      </c>
    </row>
    <row r="1597" spans="1:6">
      <c r="A1597" s="4" t="str">
        <f t="shared" si="24"/>
        <v>tRNA-Gly-GCC-2-1|11</v>
      </c>
      <c r="B1597" s="4" t="s">
        <v>59</v>
      </c>
      <c r="C1597" s="4" t="s">
        <v>126</v>
      </c>
      <c r="D1597" s="4">
        <v>11</v>
      </c>
      <c r="E1597" s="8" t="s">
        <v>116</v>
      </c>
      <c r="F1597" s="7" t="s">
        <v>125</v>
      </c>
    </row>
    <row r="1598" spans="1:6">
      <c r="A1598" s="4" t="str">
        <f t="shared" si="24"/>
        <v>tRNA-Gly-GCC-2-1|12</v>
      </c>
      <c r="B1598" s="4" t="s">
        <v>59</v>
      </c>
      <c r="C1598" s="4" t="s">
        <v>127</v>
      </c>
      <c r="D1598" s="4">
        <v>12</v>
      </c>
      <c r="E1598" s="8" t="s">
        <v>109</v>
      </c>
      <c r="F1598" s="7" t="s">
        <v>125</v>
      </c>
    </row>
    <row r="1599" spans="1:6">
      <c r="A1599" s="4" t="str">
        <f t="shared" si="24"/>
        <v>tRNA-Gly-GCC-2-1|13</v>
      </c>
      <c r="B1599" s="4" t="s">
        <v>59</v>
      </c>
      <c r="C1599" s="4" t="s">
        <v>128</v>
      </c>
      <c r="D1599" s="4">
        <v>13</v>
      </c>
      <c r="E1599" s="8" t="s">
        <v>116</v>
      </c>
      <c r="F1599" s="7" t="s">
        <v>125</v>
      </c>
    </row>
    <row r="1600" spans="1:6">
      <c r="A1600" s="4" t="str">
        <f t="shared" si="24"/>
        <v>tRNA-Gly-GCC-2-1|14</v>
      </c>
      <c r="B1600" s="4" t="s">
        <v>59</v>
      </c>
      <c r="C1600" s="4" t="s">
        <v>129</v>
      </c>
      <c r="D1600" s="4">
        <v>14</v>
      </c>
      <c r="E1600" s="18" t="s">
        <v>122</v>
      </c>
      <c r="F1600" s="19" t="s">
        <v>130</v>
      </c>
    </row>
    <row r="1601" spans="1:6">
      <c r="A1601" s="4" t="str">
        <f t="shared" si="24"/>
        <v>tRNA-Gly-GCC-2-1|15</v>
      </c>
      <c r="B1601" s="4" t="s">
        <v>59</v>
      </c>
      <c r="C1601" s="4" t="s">
        <v>131</v>
      </c>
      <c r="D1601" s="4">
        <v>15</v>
      </c>
      <c r="E1601" s="18" t="s">
        <v>109</v>
      </c>
      <c r="F1601" s="19" t="s">
        <v>130</v>
      </c>
    </row>
    <row r="1602" spans="1:6">
      <c r="A1602" s="4" t="str">
        <f t="shared" ref="A1602:A1665" si="25">B1602&amp;"|"&amp;C1602</f>
        <v>tRNA-Gly-GCC-2-1|16</v>
      </c>
      <c r="B1602" s="4" t="s">
        <v>59</v>
      </c>
      <c r="C1602" s="4" t="s">
        <v>194</v>
      </c>
      <c r="D1602" s="4">
        <v>16</v>
      </c>
      <c r="E1602" s="18" t="s">
        <v>114</v>
      </c>
      <c r="F1602" s="19" t="s">
        <v>130</v>
      </c>
    </row>
    <row r="1603" spans="1:6">
      <c r="A1603" s="4" t="str">
        <f t="shared" si="25"/>
        <v>tRNA-Gly-GCC-2-1|18</v>
      </c>
      <c r="B1603" s="4" t="s">
        <v>59</v>
      </c>
      <c r="C1603" s="4" t="s">
        <v>132</v>
      </c>
      <c r="D1603" s="4">
        <v>17</v>
      </c>
      <c r="E1603" s="18" t="s">
        <v>109</v>
      </c>
      <c r="F1603" s="19" t="s">
        <v>130</v>
      </c>
    </row>
    <row r="1604" spans="1:6">
      <c r="A1604" s="4" t="str">
        <f t="shared" si="25"/>
        <v>tRNA-Gly-GCC-2-1|19</v>
      </c>
      <c r="B1604" s="4" t="s">
        <v>59</v>
      </c>
      <c r="C1604" s="4" t="s">
        <v>133</v>
      </c>
      <c r="D1604" s="4">
        <v>18</v>
      </c>
      <c r="E1604" s="18" t="s">
        <v>109</v>
      </c>
      <c r="F1604" s="19" t="s">
        <v>130</v>
      </c>
    </row>
    <row r="1605" spans="1:6">
      <c r="A1605" s="4" t="str">
        <f t="shared" si="25"/>
        <v>tRNA-Gly-GCC-2-1|20</v>
      </c>
      <c r="B1605" s="4" t="s">
        <v>59</v>
      </c>
      <c r="C1605" s="4" t="s">
        <v>134</v>
      </c>
      <c r="D1605" s="4">
        <v>19</v>
      </c>
      <c r="E1605" s="18" t="s">
        <v>116</v>
      </c>
      <c r="F1605" s="19" t="s">
        <v>130</v>
      </c>
    </row>
    <row r="1606" spans="1:6">
      <c r="A1606" s="4" t="str">
        <f t="shared" si="25"/>
        <v>tRNA-Gly-GCC-2-1|20a</v>
      </c>
      <c r="B1606" s="4" t="s">
        <v>59</v>
      </c>
      <c r="C1606" s="4" t="s">
        <v>135</v>
      </c>
      <c r="D1606" s="4">
        <v>20</v>
      </c>
      <c r="E1606" s="18" t="s">
        <v>114</v>
      </c>
      <c r="F1606" s="19" t="s">
        <v>130</v>
      </c>
    </row>
    <row r="1607" spans="1:6">
      <c r="A1607" s="4" t="str">
        <f t="shared" si="25"/>
        <v>tRNA-Gly-GCC-2-1|21</v>
      </c>
      <c r="B1607" s="4" t="s">
        <v>59</v>
      </c>
      <c r="C1607" s="4" t="s">
        <v>136</v>
      </c>
      <c r="D1607" s="4">
        <v>21</v>
      </c>
      <c r="E1607" s="18" t="s">
        <v>122</v>
      </c>
      <c r="F1607" s="19" t="s">
        <v>130</v>
      </c>
    </row>
    <row r="1608" spans="1:6">
      <c r="A1608" s="4" t="str">
        <f t="shared" si="25"/>
        <v>tRNA-Gly-GCC-2-1|22</v>
      </c>
      <c r="B1608" s="4" t="s">
        <v>59</v>
      </c>
      <c r="C1608" s="4" t="s">
        <v>137</v>
      </c>
      <c r="D1608" s="4">
        <v>22</v>
      </c>
      <c r="E1608" s="8" t="s">
        <v>116</v>
      </c>
      <c r="F1608" s="7" t="s">
        <v>125</v>
      </c>
    </row>
    <row r="1609" spans="1:6">
      <c r="A1609" s="4" t="str">
        <f t="shared" si="25"/>
        <v>tRNA-Gly-GCC-2-1|23</v>
      </c>
      <c r="B1609" s="4" t="s">
        <v>59</v>
      </c>
      <c r="C1609" s="4" t="s">
        <v>138</v>
      </c>
      <c r="D1609" s="4">
        <v>23</v>
      </c>
      <c r="E1609" s="8" t="s">
        <v>114</v>
      </c>
      <c r="F1609" s="7" t="s">
        <v>125</v>
      </c>
    </row>
    <row r="1610" spans="1:6">
      <c r="A1610" s="4" t="str">
        <f t="shared" si="25"/>
        <v>tRNA-Gly-GCC-2-1|24</v>
      </c>
      <c r="B1610" s="4" t="s">
        <v>59</v>
      </c>
      <c r="C1610" s="4" t="s">
        <v>139</v>
      </c>
      <c r="D1610" s="4">
        <v>24</v>
      </c>
      <c r="E1610" s="8" t="s">
        <v>122</v>
      </c>
      <c r="F1610" s="7" t="s">
        <v>125</v>
      </c>
    </row>
    <row r="1611" spans="1:6">
      <c r="A1611" s="4" t="str">
        <f t="shared" si="25"/>
        <v>tRNA-Gly-GCC-2-1|25</v>
      </c>
      <c r="B1611" s="4" t="s">
        <v>59</v>
      </c>
      <c r="C1611" s="4" t="s">
        <v>140</v>
      </c>
      <c r="D1611" s="4">
        <v>25</v>
      </c>
      <c r="E1611" s="8" t="s">
        <v>114</v>
      </c>
      <c r="F1611" s="7" t="s">
        <v>125</v>
      </c>
    </row>
    <row r="1612" spans="1:6">
      <c r="A1612" s="4" t="str">
        <f t="shared" si="25"/>
        <v>tRNA-Gly-GCC-2-1|26</v>
      </c>
      <c r="B1612" s="4" t="s">
        <v>59</v>
      </c>
      <c r="C1612" s="4" t="s">
        <v>141</v>
      </c>
      <c r="D1612" s="4">
        <v>26</v>
      </c>
      <c r="E1612" s="3" t="s">
        <v>114</v>
      </c>
      <c r="F1612" s="4" t="s">
        <v>142</v>
      </c>
    </row>
    <row r="1613" spans="1:6">
      <c r="A1613" s="4" t="str">
        <f t="shared" si="25"/>
        <v>tRNA-Gly-GCC-2-1|27</v>
      </c>
      <c r="B1613" s="4" t="s">
        <v>59</v>
      </c>
      <c r="C1613" s="4" t="s">
        <v>143</v>
      </c>
      <c r="D1613" s="4">
        <v>27</v>
      </c>
      <c r="E1613" s="20" t="s">
        <v>109</v>
      </c>
      <c r="F1613" s="21" t="s">
        <v>144</v>
      </c>
    </row>
    <row r="1614" spans="1:6">
      <c r="A1614" s="4" t="str">
        <f t="shared" si="25"/>
        <v>tRNA-Gly-GCC-2-1|28</v>
      </c>
      <c r="B1614" s="4" t="s">
        <v>59</v>
      </c>
      <c r="C1614" s="4" t="s">
        <v>145</v>
      </c>
      <c r="D1614" s="4">
        <v>28</v>
      </c>
      <c r="E1614" s="20" t="s">
        <v>109</v>
      </c>
      <c r="F1614" s="21" t="s">
        <v>144</v>
      </c>
    </row>
    <row r="1615" spans="1:6">
      <c r="A1615" s="4" t="str">
        <f t="shared" si="25"/>
        <v>tRNA-Gly-GCC-2-1|29</v>
      </c>
      <c r="B1615" s="4" t="s">
        <v>59</v>
      </c>
      <c r="C1615" s="4" t="s">
        <v>146</v>
      </c>
      <c r="D1615" s="4">
        <v>29</v>
      </c>
      <c r="E1615" s="20" t="s">
        <v>109</v>
      </c>
      <c r="F1615" s="21" t="s">
        <v>144</v>
      </c>
    </row>
    <row r="1616" spans="1:6">
      <c r="A1616" s="4" t="str">
        <f t="shared" si="25"/>
        <v>tRNA-Gly-GCC-2-1|30</v>
      </c>
      <c r="B1616" s="4" t="s">
        <v>59</v>
      </c>
      <c r="C1616" s="4" t="s">
        <v>147</v>
      </c>
      <c r="D1616" s="4">
        <v>30</v>
      </c>
      <c r="E1616" s="20" t="s">
        <v>114</v>
      </c>
      <c r="F1616" s="21" t="s">
        <v>144</v>
      </c>
    </row>
    <row r="1617" spans="1:6">
      <c r="A1617" s="4" t="str">
        <f t="shared" si="25"/>
        <v>tRNA-Gly-GCC-2-1|31</v>
      </c>
      <c r="B1617" s="4" t="s">
        <v>59</v>
      </c>
      <c r="C1617" s="4" t="s">
        <v>148</v>
      </c>
      <c r="D1617" s="4">
        <v>31</v>
      </c>
      <c r="E1617" s="20" t="s">
        <v>109</v>
      </c>
      <c r="F1617" s="21" t="s">
        <v>144</v>
      </c>
    </row>
    <row r="1618" spans="1:6">
      <c r="A1618" s="4" t="str">
        <f t="shared" si="25"/>
        <v>tRNA-Gly-GCC-2-1|32</v>
      </c>
      <c r="B1618" s="4" t="s">
        <v>59</v>
      </c>
      <c r="C1618" s="4" t="s">
        <v>149</v>
      </c>
      <c r="D1618" s="4">
        <v>32</v>
      </c>
      <c r="E1618" s="18" t="s">
        <v>116</v>
      </c>
      <c r="F1618" s="19" t="s">
        <v>150</v>
      </c>
    </row>
    <row r="1619" spans="1:6">
      <c r="A1619" s="4" t="str">
        <f t="shared" si="25"/>
        <v>tRNA-Gly-GCC-2-1|33</v>
      </c>
      <c r="B1619" s="4" t="s">
        <v>59</v>
      </c>
      <c r="C1619" s="4" t="s">
        <v>151</v>
      </c>
      <c r="D1619" s="4">
        <v>33</v>
      </c>
      <c r="E1619" s="18" t="s">
        <v>116</v>
      </c>
      <c r="F1619" s="19" t="s">
        <v>150</v>
      </c>
    </row>
    <row r="1620" spans="1:6">
      <c r="A1620" s="4" t="str">
        <f t="shared" si="25"/>
        <v>tRNA-Gly-GCC-2-1|34</v>
      </c>
      <c r="B1620" s="4" t="s">
        <v>59</v>
      </c>
      <c r="C1620" s="4" t="s">
        <v>152</v>
      </c>
      <c r="D1620" s="4">
        <v>34</v>
      </c>
      <c r="E1620" s="18" t="s">
        <v>109</v>
      </c>
      <c r="F1620" s="19" t="s">
        <v>150</v>
      </c>
    </row>
    <row r="1621" spans="1:6">
      <c r="A1621" s="4" t="str">
        <f t="shared" si="25"/>
        <v>tRNA-Gly-GCC-2-1|35</v>
      </c>
      <c r="B1621" s="4" t="s">
        <v>59</v>
      </c>
      <c r="C1621" s="4" t="s">
        <v>153</v>
      </c>
      <c r="D1621" s="4">
        <v>35</v>
      </c>
      <c r="E1621" s="18" t="s">
        <v>114</v>
      </c>
      <c r="F1621" s="19" t="s">
        <v>150</v>
      </c>
    </row>
    <row r="1622" spans="1:6">
      <c r="A1622" s="4" t="str">
        <f t="shared" si="25"/>
        <v>tRNA-Gly-GCC-2-1|36</v>
      </c>
      <c r="B1622" s="4" t="s">
        <v>59</v>
      </c>
      <c r="C1622" s="4" t="s">
        <v>154</v>
      </c>
      <c r="D1622" s="4">
        <v>36</v>
      </c>
      <c r="E1622" s="18" t="s">
        <v>114</v>
      </c>
      <c r="F1622" s="19" t="s">
        <v>150</v>
      </c>
    </row>
    <row r="1623" spans="1:6">
      <c r="A1623" s="4" t="str">
        <f t="shared" si="25"/>
        <v>tRNA-Gly-GCC-2-1|37</v>
      </c>
      <c r="B1623" s="4" t="s">
        <v>59</v>
      </c>
      <c r="C1623" s="4" t="s">
        <v>155</v>
      </c>
      <c r="D1623" s="4">
        <v>37</v>
      </c>
      <c r="E1623" s="18" t="s">
        <v>122</v>
      </c>
      <c r="F1623" s="19" t="s">
        <v>150</v>
      </c>
    </row>
    <row r="1624" spans="1:6">
      <c r="A1624" s="4" t="str">
        <f t="shared" si="25"/>
        <v>tRNA-Gly-GCC-2-1|38</v>
      </c>
      <c r="B1624" s="4" t="s">
        <v>59</v>
      </c>
      <c r="C1624" s="4" t="s">
        <v>156</v>
      </c>
      <c r="D1624" s="4">
        <v>38</v>
      </c>
      <c r="E1624" s="18" t="s">
        <v>122</v>
      </c>
      <c r="F1624" s="19" t="s">
        <v>150</v>
      </c>
    </row>
    <row r="1625" spans="1:6">
      <c r="A1625" s="4" t="str">
        <f t="shared" si="25"/>
        <v>tRNA-Gly-GCC-2-1|39</v>
      </c>
      <c r="B1625" s="4" t="s">
        <v>59</v>
      </c>
      <c r="C1625" s="4" t="s">
        <v>157</v>
      </c>
      <c r="D1625" s="4">
        <v>39</v>
      </c>
      <c r="E1625" s="20" t="s">
        <v>114</v>
      </c>
      <c r="F1625" s="21" t="s">
        <v>144</v>
      </c>
    </row>
    <row r="1626" spans="1:6">
      <c r="A1626" s="4" t="str">
        <f t="shared" si="25"/>
        <v>tRNA-Gly-GCC-2-1|40</v>
      </c>
      <c r="B1626" s="4" t="s">
        <v>59</v>
      </c>
      <c r="C1626" s="4" t="s">
        <v>158</v>
      </c>
      <c r="D1626" s="4">
        <v>40</v>
      </c>
      <c r="E1626" s="20" t="s">
        <v>109</v>
      </c>
      <c r="F1626" s="21" t="s">
        <v>144</v>
      </c>
    </row>
    <row r="1627" spans="1:6">
      <c r="A1627" s="4" t="str">
        <f t="shared" si="25"/>
        <v>tRNA-Gly-GCC-2-1|41</v>
      </c>
      <c r="B1627" s="4" t="s">
        <v>59</v>
      </c>
      <c r="C1627" s="4" t="s">
        <v>159</v>
      </c>
      <c r="D1627" s="4">
        <v>41</v>
      </c>
      <c r="E1627" s="20" t="s">
        <v>114</v>
      </c>
      <c r="F1627" s="21" t="s">
        <v>144</v>
      </c>
    </row>
    <row r="1628" spans="1:6">
      <c r="A1628" s="4" t="str">
        <f t="shared" si="25"/>
        <v>tRNA-Gly-GCC-2-1|42</v>
      </c>
      <c r="B1628" s="4" t="s">
        <v>59</v>
      </c>
      <c r="C1628" s="4" t="s">
        <v>160</v>
      </c>
      <c r="D1628" s="4">
        <v>42</v>
      </c>
      <c r="E1628" s="20" t="s">
        <v>116</v>
      </c>
      <c r="F1628" s="21" t="s">
        <v>144</v>
      </c>
    </row>
    <row r="1629" spans="1:6">
      <c r="A1629" s="4" t="str">
        <f t="shared" si="25"/>
        <v>tRNA-Gly-GCC-2-1|43</v>
      </c>
      <c r="B1629" s="4" t="s">
        <v>59</v>
      </c>
      <c r="C1629" s="4" t="s">
        <v>161</v>
      </c>
      <c r="D1629" s="4">
        <v>43</v>
      </c>
      <c r="E1629" s="20" t="s">
        <v>114</v>
      </c>
      <c r="F1629" s="21" t="s">
        <v>144</v>
      </c>
    </row>
    <row r="1630" spans="1:6">
      <c r="A1630" s="4" t="str">
        <f t="shared" si="25"/>
        <v>tRNA-Gly-GCC-2-1|44</v>
      </c>
      <c r="B1630" s="4" t="s">
        <v>59</v>
      </c>
      <c r="C1630" s="4" t="s">
        <v>162</v>
      </c>
      <c r="D1630" s="4">
        <v>44</v>
      </c>
      <c r="E1630" s="18" t="s">
        <v>109</v>
      </c>
      <c r="F1630" s="19" t="s">
        <v>163</v>
      </c>
    </row>
    <row r="1631" spans="1:6">
      <c r="A1631" s="4" t="str">
        <f t="shared" si="25"/>
        <v>tRNA-Gly-GCC-2-1|45</v>
      </c>
      <c r="B1631" s="4" t="s">
        <v>59</v>
      </c>
      <c r="C1631" s="4" t="s">
        <v>164</v>
      </c>
      <c r="D1631" s="4">
        <v>45</v>
      </c>
      <c r="E1631" s="18" t="s">
        <v>122</v>
      </c>
      <c r="F1631" s="19" t="s">
        <v>163</v>
      </c>
    </row>
    <row r="1632" spans="1:6">
      <c r="A1632" s="4" t="str">
        <f t="shared" si="25"/>
        <v>tRNA-Gly-GCC-2-1|46</v>
      </c>
      <c r="B1632" s="4" t="s">
        <v>59</v>
      </c>
      <c r="C1632" s="4" t="s">
        <v>165</v>
      </c>
      <c r="D1632" s="4">
        <v>46</v>
      </c>
      <c r="E1632" s="18" t="s">
        <v>122</v>
      </c>
      <c r="F1632" s="19" t="s">
        <v>163</v>
      </c>
    </row>
    <row r="1633" spans="1:6">
      <c r="A1633" s="4" t="str">
        <f t="shared" si="25"/>
        <v>tRNA-Gly-GCC-2-1|48</v>
      </c>
      <c r="B1633" s="4" t="s">
        <v>59</v>
      </c>
      <c r="C1633" s="4" t="s">
        <v>167</v>
      </c>
      <c r="D1633" s="4">
        <v>47</v>
      </c>
      <c r="E1633" s="18" t="s">
        <v>114</v>
      </c>
      <c r="F1633" s="19" t="s">
        <v>163</v>
      </c>
    </row>
    <row r="1634" spans="1:6">
      <c r="A1634" s="4" t="str">
        <f t="shared" si="25"/>
        <v>tRNA-Gly-GCC-2-1|49</v>
      </c>
      <c r="B1634" s="4" t="s">
        <v>59</v>
      </c>
      <c r="C1634" s="4" t="s">
        <v>168</v>
      </c>
      <c r="D1634" s="4">
        <v>48</v>
      </c>
      <c r="E1634" s="22" t="s">
        <v>114</v>
      </c>
      <c r="F1634" s="10" t="s">
        <v>169</v>
      </c>
    </row>
    <row r="1635" spans="1:6">
      <c r="A1635" s="4" t="str">
        <f t="shared" si="25"/>
        <v>tRNA-Gly-GCC-2-1|50</v>
      </c>
      <c r="B1635" s="4" t="s">
        <v>59</v>
      </c>
      <c r="C1635" s="4" t="s">
        <v>170</v>
      </c>
      <c r="D1635" s="4">
        <v>49</v>
      </c>
      <c r="E1635" s="22" t="s">
        <v>114</v>
      </c>
      <c r="F1635" s="10" t="s">
        <v>169</v>
      </c>
    </row>
    <row r="1636" spans="1:6">
      <c r="A1636" s="4" t="str">
        <f t="shared" si="25"/>
        <v>tRNA-Gly-GCC-2-1|51</v>
      </c>
      <c r="B1636" s="4" t="s">
        <v>59</v>
      </c>
      <c r="C1636" s="4" t="s">
        <v>171</v>
      </c>
      <c r="D1636" s="4">
        <v>50</v>
      </c>
      <c r="E1636" s="22" t="s">
        <v>109</v>
      </c>
      <c r="F1636" s="10" t="s">
        <v>169</v>
      </c>
    </row>
    <row r="1637" spans="1:6">
      <c r="A1637" s="4" t="str">
        <f t="shared" si="25"/>
        <v>tRNA-Gly-GCC-2-1|52</v>
      </c>
      <c r="B1637" s="4" t="s">
        <v>59</v>
      </c>
      <c r="C1637" s="4" t="s">
        <v>172</v>
      </c>
      <c r="D1637" s="4">
        <v>51</v>
      </c>
      <c r="E1637" s="22" t="s">
        <v>109</v>
      </c>
      <c r="F1637" s="10" t="s">
        <v>169</v>
      </c>
    </row>
    <row r="1638" spans="1:6">
      <c r="A1638" s="4" t="str">
        <f t="shared" si="25"/>
        <v>tRNA-Gly-GCC-2-1|53</v>
      </c>
      <c r="B1638" s="4" t="s">
        <v>59</v>
      </c>
      <c r="C1638" s="4" t="s">
        <v>173</v>
      </c>
      <c r="D1638" s="4">
        <v>52</v>
      </c>
      <c r="E1638" s="22" t="s">
        <v>109</v>
      </c>
      <c r="F1638" s="10" t="s">
        <v>169</v>
      </c>
    </row>
    <row r="1639" spans="1:6">
      <c r="A1639" s="4" t="str">
        <f t="shared" si="25"/>
        <v>tRNA-Gly-GCC-2-1|54</v>
      </c>
      <c r="B1639" s="4" t="s">
        <v>59</v>
      </c>
      <c r="C1639" s="4" t="s">
        <v>174</v>
      </c>
      <c r="D1639" s="4">
        <v>53</v>
      </c>
      <c r="E1639" s="18" t="s">
        <v>116</v>
      </c>
      <c r="F1639" s="19" t="s">
        <v>175</v>
      </c>
    </row>
    <row r="1640" spans="1:6">
      <c r="A1640" s="4" t="str">
        <f t="shared" si="25"/>
        <v>tRNA-Gly-GCC-2-1|55</v>
      </c>
      <c r="B1640" s="4" t="s">
        <v>59</v>
      </c>
      <c r="C1640" s="4" t="s">
        <v>176</v>
      </c>
      <c r="D1640" s="4">
        <v>54</v>
      </c>
      <c r="E1640" s="18" t="s">
        <v>116</v>
      </c>
      <c r="F1640" s="19" t="s">
        <v>175</v>
      </c>
    </row>
    <row r="1641" spans="1:6">
      <c r="A1641" s="4" t="str">
        <f t="shared" si="25"/>
        <v>tRNA-Gly-GCC-2-1|56</v>
      </c>
      <c r="B1641" s="4" t="s">
        <v>59</v>
      </c>
      <c r="C1641" s="4" t="s">
        <v>177</v>
      </c>
      <c r="D1641" s="4">
        <v>55</v>
      </c>
      <c r="E1641" s="18" t="s">
        <v>114</v>
      </c>
      <c r="F1641" s="19" t="s">
        <v>175</v>
      </c>
    </row>
    <row r="1642" spans="1:6">
      <c r="A1642" s="4" t="str">
        <f t="shared" si="25"/>
        <v>tRNA-Gly-GCC-2-1|57</v>
      </c>
      <c r="B1642" s="4" t="s">
        <v>59</v>
      </c>
      <c r="C1642" s="4" t="s">
        <v>178</v>
      </c>
      <c r="D1642" s="4">
        <v>56</v>
      </c>
      <c r="E1642" s="18" t="s">
        <v>109</v>
      </c>
      <c r="F1642" s="19" t="s">
        <v>175</v>
      </c>
    </row>
    <row r="1643" spans="1:6">
      <c r="A1643" s="4" t="str">
        <f t="shared" si="25"/>
        <v>tRNA-Gly-GCC-2-1|58</v>
      </c>
      <c r="B1643" s="4" t="s">
        <v>59</v>
      </c>
      <c r="C1643" s="4" t="s">
        <v>179</v>
      </c>
      <c r="D1643" s="4">
        <v>57</v>
      </c>
      <c r="E1643" s="18" t="s">
        <v>122</v>
      </c>
      <c r="F1643" s="19" t="s">
        <v>175</v>
      </c>
    </row>
    <row r="1644" spans="1:6">
      <c r="A1644" s="4" t="str">
        <f t="shared" si="25"/>
        <v>tRNA-Gly-GCC-2-1|59</v>
      </c>
      <c r="B1644" s="4" t="s">
        <v>59</v>
      </c>
      <c r="C1644" s="4" t="s">
        <v>180</v>
      </c>
      <c r="D1644" s="4">
        <v>58</v>
      </c>
      <c r="E1644" s="18" t="s">
        <v>122</v>
      </c>
      <c r="F1644" s="19" t="s">
        <v>175</v>
      </c>
    </row>
    <row r="1645" spans="1:6">
      <c r="A1645" s="4" t="str">
        <f t="shared" si="25"/>
        <v>tRNA-Gly-GCC-2-1|60</v>
      </c>
      <c r="B1645" s="4" t="s">
        <v>59</v>
      </c>
      <c r="C1645" s="4" t="s">
        <v>181</v>
      </c>
      <c r="D1645" s="4">
        <v>59</v>
      </c>
      <c r="E1645" s="18" t="s">
        <v>116</v>
      </c>
      <c r="F1645" s="19" t="s">
        <v>175</v>
      </c>
    </row>
    <row r="1646" spans="1:6">
      <c r="A1646" s="4" t="str">
        <f t="shared" si="25"/>
        <v>tRNA-Gly-GCC-2-1|61</v>
      </c>
      <c r="B1646" s="4" t="s">
        <v>59</v>
      </c>
      <c r="C1646" s="4" t="s">
        <v>182</v>
      </c>
      <c r="D1646" s="4">
        <v>60</v>
      </c>
      <c r="E1646" s="22" t="s">
        <v>114</v>
      </c>
      <c r="F1646" s="10" t="s">
        <v>169</v>
      </c>
    </row>
    <row r="1647" spans="1:6">
      <c r="A1647" s="4" t="str">
        <f t="shared" si="25"/>
        <v>tRNA-Gly-GCC-2-1|62</v>
      </c>
      <c r="B1647" s="4" t="s">
        <v>59</v>
      </c>
      <c r="C1647" s="4" t="s">
        <v>183</v>
      </c>
      <c r="D1647" s="4">
        <v>61</v>
      </c>
      <c r="E1647" s="22" t="s">
        <v>114</v>
      </c>
      <c r="F1647" s="10" t="s">
        <v>169</v>
      </c>
    </row>
    <row r="1648" spans="1:6">
      <c r="A1648" s="4" t="str">
        <f t="shared" si="25"/>
        <v>tRNA-Gly-GCC-2-1|63</v>
      </c>
      <c r="B1648" s="4" t="s">
        <v>59</v>
      </c>
      <c r="C1648" s="4" t="s">
        <v>184</v>
      </c>
      <c r="D1648" s="4">
        <v>62</v>
      </c>
      <c r="E1648" s="22" t="s">
        <v>114</v>
      </c>
      <c r="F1648" s="10" t="s">
        <v>169</v>
      </c>
    </row>
    <row r="1649" spans="1:6">
      <c r="A1649" s="4" t="str">
        <f t="shared" si="25"/>
        <v>tRNA-Gly-GCC-2-1|64</v>
      </c>
      <c r="B1649" s="4" t="s">
        <v>59</v>
      </c>
      <c r="C1649" s="4" t="s">
        <v>185</v>
      </c>
      <c r="D1649" s="4">
        <v>63</v>
      </c>
      <c r="E1649" s="22" t="s">
        <v>109</v>
      </c>
      <c r="F1649" s="10" t="s">
        <v>169</v>
      </c>
    </row>
    <row r="1650" spans="1:6">
      <c r="A1650" s="4" t="str">
        <f t="shared" si="25"/>
        <v>tRNA-Gly-GCC-2-1|65</v>
      </c>
      <c r="B1650" s="4" t="s">
        <v>59</v>
      </c>
      <c r="C1650" s="4" t="s">
        <v>186</v>
      </c>
      <c r="D1650" s="4">
        <v>64</v>
      </c>
      <c r="E1650" s="22" t="s">
        <v>109</v>
      </c>
      <c r="F1650" s="10" t="s">
        <v>169</v>
      </c>
    </row>
    <row r="1651" spans="1:6">
      <c r="A1651" s="4" t="str">
        <f t="shared" si="25"/>
        <v>tRNA-Gly-GCC-2-1|66</v>
      </c>
      <c r="B1651" s="4" t="s">
        <v>59</v>
      </c>
      <c r="C1651" s="4" t="s">
        <v>187</v>
      </c>
      <c r="D1651" s="4">
        <v>65</v>
      </c>
      <c r="E1651" s="16" t="s">
        <v>114</v>
      </c>
      <c r="F1651" s="17" t="s">
        <v>110</v>
      </c>
    </row>
    <row r="1652" spans="1:6">
      <c r="A1652" s="4" t="str">
        <f t="shared" si="25"/>
        <v>tRNA-Gly-GCC-2-1|67</v>
      </c>
      <c r="B1652" s="4" t="s">
        <v>59</v>
      </c>
      <c r="C1652" s="4" t="s">
        <v>188</v>
      </c>
      <c r="D1652" s="4">
        <v>66</v>
      </c>
      <c r="E1652" s="16" t="s">
        <v>116</v>
      </c>
      <c r="F1652" s="17" t="s">
        <v>110</v>
      </c>
    </row>
    <row r="1653" spans="1:6">
      <c r="A1653" s="4" t="str">
        <f t="shared" si="25"/>
        <v>tRNA-Gly-GCC-2-1|68</v>
      </c>
      <c r="B1653" s="4" t="s">
        <v>59</v>
      </c>
      <c r="C1653" s="4" t="s">
        <v>189</v>
      </c>
      <c r="D1653" s="4">
        <v>67</v>
      </c>
      <c r="E1653" s="16" t="s">
        <v>109</v>
      </c>
      <c r="F1653" s="17" t="s">
        <v>110</v>
      </c>
    </row>
    <row r="1654" spans="1:6">
      <c r="A1654" s="4" t="str">
        <f t="shared" si="25"/>
        <v>tRNA-Gly-GCC-2-1|69</v>
      </c>
      <c r="B1654" s="4" t="s">
        <v>59</v>
      </c>
      <c r="C1654" s="4" t="s">
        <v>190</v>
      </c>
      <c r="D1654" s="4">
        <v>68</v>
      </c>
      <c r="E1654" s="16" t="s">
        <v>109</v>
      </c>
      <c r="F1654" s="17" t="s">
        <v>110</v>
      </c>
    </row>
    <row r="1655" spans="1:6">
      <c r="A1655" s="4" t="str">
        <f t="shared" si="25"/>
        <v>tRNA-Gly-GCC-2-1|70</v>
      </c>
      <c r="B1655" s="4" t="s">
        <v>59</v>
      </c>
      <c r="C1655" s="4" t="s">
        <v>191</v>
      </c>
      <c r="D1655" s="4">
        <v>69</v>
      </c>
      <c r="E1655" s="16" t="s">
        <v>116</v>
      </c>
      <c r="F1655" s="17" t="s">
        <v>110</v>
      </c>
    </row>
    <row r="1656" spans="1:6">
      <c r="A1656" s="4" t="str">
        <f t="shared" si="25"/>
        <v>tRNA-Gly-GCC-2-1|71</v>
      </c>
      <c r="B1656" s="4" t="s">
        <v>59</v>
      </c>
      <c r="C1656" s="4" t="s">
        <v>192</v>
      </c>
      <c r="D1656" s="4">
        <v>70</v>
      </c>
      <c r="E1656" s="16" t="s">
        <v>109</v>
      </c>
      <c r="F1656" s="17" t="s">
        <v>110</v>
      </c>
    </row>
    <row r="1657" spans="1:6">
      <c r="A1657" s="4" t="str">
        <f t="shared" si="25"/>
        <v>tRNA-Gly-GCC-2-1|72</v>
      </c>
      <c r="B1657" s="4" t="s">
        <v>59</v>
      </c>
      <c r="C1657" s="4" t="s">
        <v>193</v>
      </c>
      <c r="D1657" s="4">
        <v>71</v>
      </c>
      <c r="E1657" s="16" t="s">
        <v>116</v>
      </c>
      <c r="F1657" s="17" t="s">
        <v>110</v>
      </c>
    </row>
    <row r="1658" spans="1:6">
      <c r="A1658" s="4" t="str">
        <f t="shared" si="25"/>
        <v>tRNA-Gly-GCC-2-2|1</v>
      </c>
      <c r="B1658" s="4" t="s">
        <v>60</v>
      </c>
      <c r="C1658" s="4" t="s">
        <v>108</v>
      </c>
      <c r="D1658" s="4">
        <v>1</v>
      </c>
      <c r="E1658" s="16" t="s">
        <v>122</v>
      </c>
      <c r="F1658" s="17" t="s">
        <v>110</v>
      </c>
    </row>
    <row r="1659" spans="1:6">
      <c r="A1659" s="4" t="str">
        <f t="shared" si="25"/>
        <v>tRNA-Gly-GCC-2-2|2</v>
      </c>
      <c r="B1659" s="4" t="s">
        <v>60</v>
      </c>
      <c r="C1659" s="4" t="s">
        <v>111</v>
      </c>
      <c r="D1659" s="4">
        <v>2</v>
      </c>
      <c r="E1659" s="16" t="s">
        <v>114</v>
      </c>
      <c r="F1659" s="17" t="s">
        <v>110</v>
      </c>
    </row>
    <row r="1660" spans="1:6">
      <c r="A1660" s="4" t="str">
        <f t="shared" si="25"/>
        <v>tRNA-Gly-GCC-2-2|3</v>
      </c>
      <c r="B1660" s="4" t="s">
        <v>60</v>
      </c>
      <c r="C1660" s="4" t="s">
        <v>112</v>
      </c>
      <c r="D1660" s="4">
        <v>3</v>
      </c>
      <c r="E1660" s="16" t="s">
        <v>122</v>
      </c>
      <c r="F1660" s="17" t="s">
        <v>110</v>
      </c>
    </row>
    <row r="1661" spans="1:6">
      <c r="A1661" s="4" t="str">
        <f t="shared" si="25"/>
        <v>tRNA-Gly-GCC-2-2|4</v>
      </c>
      <c r="B1661" s="4" t="s">
        <v>60</v>
      </c>
      <c r="C1661" s="4" t="s">
        <v>113</v>
      </c>
      <c r="D1661" s="4">
        <v>4</v>
      </c>
      <c r="E1661" s="16" t="s">
        <v>116</v>
      </c>
      <c r="F1661" s="17" t="s">
        <v>110</v>
      </c>
    </row>
    <row r="1662" spans="1:6">
      <c r="A1662" s="4" t="str">
        <f t="shared" si="25"/>
        <v>tRNA-Gly-GCC-2-2|5</v>
      </c>
      <c r="B1662" s="4" t="s">
        <v>60</v>
      </c>
      <c r="C1662" s="4" t="s">
        <v>115</v>
      </c>
      <c r="D1662" s="4">
        <v>5</v>
      </c>
      <c r="E1662" s="16" t="s">
        <v>114</v>
      </c>
      <c r="F1662" s="17" t="s">
        <v>110</v>
      </c>
    </row>
    <row r="1663" spans="1:6">
      <c r="A1663" s="4" t="str">
        <f t="shared" si="25"/>
        <v>tRNA-Gly-GCC-2-2|6</v>
      </c>
      <c r="B1663" s="4" t="s">
        <v>60</v>
      </c>
      <c r="C1663" s="4" t="s">
        <v>117</v>
      </c>
      <c r="D1663" s="4">
        <v>6</v>
      </c>
      <c r="E1663" s="16" t="s">
        <v>122</v>
      </c>
      <c r="F1663" s="17" t="s">
        <v>110</v>
      </c>
    </row>
    <row r="1664" spans="1:6">
      <c r="A1664" s="4" t="str">
        <f t="shared" si="25"/>
        <v>tRNA-Gly-GCC-2-2|7</v>
      </c>
      <c r="B1664" s="4" t="s">
        <v>60</v>
      </c>
      <c r="C1664" s="4" t="s">
        <v>118</v>
      </c>
      <c r="D1664" s="4">
        <v>7</v>
      </c>
      <c r="E1664" s="16" t="s">
        <v>109</v>
      </c>
      <c r="F1664" s="17" t="s">
        <v>110</v>
      </c>
    </row>
    <row r="1665" spans="1:6">
      <c r="A1665" s="4" t="str">
        <f t="shared" si="25"/>
        <v>tRNA-Gly-GCC-2-2|8</v>
      </c>
      <c r="B1665" s="4" t="s">
        <v>60</v>
      </c>
      <c r="C1665" s="4" t="s">
        <v>119</v>
      </c>
      <c r="D1665" s="4">
        <v>8</v>
      </c>
      <c r="E1665" s="3" t="s">
        <v>116</v>
      </c>
      <c r="F1665" s="4" t="s">
        <v>120</v>
      </c>
    </row>
    <row r="1666" spans="1:6">
      <c r="A1666" s="4" t="str">
        <f t="shared" ref="A1666:A1729" si="26">B1666&amp;"|"&amp;C1666</f>
        <v>tRNA-Gly-GCC-2-2|9</v>
      </c>
      <c r="B1666" s="4" t="s">
        <v>60</v>
      </c>
      <c r="C1666" s="4" t="s">
        <v>121</v>
      </c>
      <c r="D1666" s="4">
        <v>9</v>
      </c>
      <c r="E1666" s="3" t="s">
        <v>122</v>
      </c>
      <c r="F1666" s="4" t="s">
        <v>123</v>
      </c>
    </row>
    <row r="1667" spans="1:6">
      <c r="A1667" s="4" t="str">
        <f t="shared" si="26"/>
        <v>tRNA-Gly-GCC-2-2|10</v>
      </c>
      <c r="B1667" s="4" t="s">
        <v>60</v>
      </c>
      <c r="C1667" s="4" t="s">
        <v>124</v>
      </c>
      <c r="D1667" s="4">
        <v>10</v>
      </c>
      <c r="E1667" s="8" t="s">
        <v>109</v>
      </c>
      <c r="F1667" s="7" t="s">
        <v>125</v>
      </c>
    </row>
    <row r="1668" spans="1:6">
      <c r="A1668" s="4" t="str">
        <f t="shared" si="26"/>
        <v>tRNA-Gly-GCC-2-2|11</v>
      </c>
      <c r="B1668" s="4" t="s">
        <v>60</v>
      </c>
      <c r="C1668" s="4" t="s">
        <v>126</v>
      </c>
      <c r="D1668" s="4">
        <v>11</v>
      </c>
      <c r="E1668" s="8" t="s">
        <v>116</v>
      </c>
      <c r="F1668" s="7" t="s">
        <v>125</v>
      </c>
    </row>
    <row r="1669" spans="1:6">
      <c r="A1669" s="4" t="str">
        <f t="shared" si="26"/>
        <v>tRNA-Gly-GCC-2-2|12</v>
      </c>
      <c r="B1669" s="4" t="s">
        <v>60</v>
      </c>
      <c r="C1669" s="4" t="s">
        <v>127</v>
      </c>
      <c r="D1669" s="4">
        <v>12</v>
      </c>
      <c r="E1669" s="8" t="s">
        <v>109</v>
      </c>
      <c r="F1669" s="7" t="s">
        <v>125</v>
      </c>
    </row>
    <row r="1670" spans="1:6">
      <c r="A1670" s="4" t="str">
        <f t="shared" si="26"/>
        <v>tRNA-Gly-GCC-2-2|13</v>
      </c>
      <c r="B1670" s="4" t="s">
        <v>60</v>
      </c>
      <c r="C1670" s="4" t="s">
        <v>128</v>
      </c>
      <c r="D1670" s="4">
        <v>13</v>
      </c>
      <c r="E1670" s="8" t="s">
        <v>116</v>
      </c>
      <c r="F1670" s="7" t="s">
        <v>125</v>
      </c>
    </row>
    <row r="1671" spans="1:6">
      <c r="A1671" s="4" t="str">
        <f t="shared" si="26"/>
        <v>tRNA-Gly-GCC-2-2|14</v>
      </c>
      <c r="B1671" s="4" t="s">
        <v>60</v>
      </c>
      <c r="C1671" s="4" t="s">
        <v>129</v>
      </c>
      <c r="D1671" s="4">
        <v>14</v>
      </c>
      <c r="E1671" s="18" t="s">
        <v>122</v>
      </c>
      <c r="F1671" s="19" t="s">
        <v>130</v>
      </c>
    </row>
    <row r="1672" spans="1:6">
      <c r="A1672" s="4" t="str">
        <f t="shared" si="26"/>
        <v>tRNA-Gly-GCC-2-2|15</v>
      </c>
      <c r="B1672" s="4" t="s">
        <v>60</v>
      </c>
      <c r="C1672" s="4" t="s">
        <v>131</v>
      </c>
      <c r="D1672" s="4">
        <v>15</v>
      </c>
      <c r="E1672" s="18" t="s">
        <v>109</v>
      </c>
      <c r="F1672" s="19" t="s">
        <v>130</v>
      </c>
    </row>
    <row r="1673" spans="1:6">
      <c r="A1673" s="4" t="str">
        <f t="shared" si="26"/>
        <v>tRNA-Gly-GCC-2-2|16</v>
      </c>
      <c r="B1673" s="4" t="s">
        <v>60</v>
      </c>
      <c r="C1673" s="4" t="s">
        <v>194</v>
      </c>
      <c r="D1673" s="4">
        <v>16</v>
      </c>
      <c r="E1673" s="18" t="s">
        <v>114</v>
      </c>
      <c r="F1673" s="19" t="s">
        <v>130</v>
      </c>
    </row>
    <row r="1674" spans="1:6">
      <c r="A1674" s="4" t="str">
        <f t="shared" si="26"/>
        <v>tRNA-Gly-GCC-2-2|18</v>
      </c>
      <c r="B1674" s="4" t="s">
        <v>60</v>
      </c>
      <c r="C1674" s="4" t="s">
        <v>132</v>
      </c>
      <c r="D1674" s="4">
        <v>17</v>
      </c>
      <c r="E1674" s="18" t="s">
        <v>109</v>
      </c>
      <c r="F1674" s="19" t="s">
        <v>130</v>
      </c>
    </row>
    <row r="1675" spans="1:6">
      <c r="A1675" s="4" t="str">
        <f t="shared" si="26"/>
        <v>tRNA-Gly-GCC-2-2|19</v>
      </c>
      <c r="B1675" s="4" t="s">
        <v>60</v>
      </c>
      <c r="C1675" s="4" t="s">
        <v>133</v>
      </c>
      <c r="D1675" s="4">
        <v>18</v>
      </c>
      <c r="E1675" s="18" t="s">
        <v>109</v>
      </c>
      <c r="F1675" s="19" t="s">
        <v>130</v>
      </c>
    </row>
    <row r="1676" spans="1:6">
      <c r="A1676" s="4" t="str">
        <f t="shared" si="26"/>
        <v>tRNA-Gly-GCC-2-2|20</v>
      </c>
      <c r="B1676" s="4" t="s">
        <v>60</v>
      </c>
      <c r="C1676" s="4" t="s">
        <v>134</v>
      </c>
      <c r="D1676" s="4">
        <v>19</v>
      </c>
      <c r="E1676" s="18" t="s">
        <v>116</v>
      </c>
      <c r="F1676" s="19" t="s">
        <v>130</v>
      </c>
    </row>
    <row r="1677" spans="1:6">
      <c r="A1677" s="4" t="str">
        <f t="shared" si="26"/>
        <v>tRNA-Gly-GCC-2-2|20a</v>
      </c>
      <c r="B1677" s="4" t="s">
        <v>60</v>
      </c>
      <c r="C1677" s="4" t="s">
        <v>135</v>
      </c>
      <c r="D1677" s="4">
        <v>20</v>
      </c>
      <c r="E1677" s="18" t="s">
        <v>114</v>
      </c>
      <c r="F1677" s="19" t="s">
        <v>130</v>
      </c>
    </row>
    <row r="1678" spans="1:6">
      <c r="A1678" s="4" t="str">
        <f t="shared" si="26"/>
        <v>tRNA-Gly-GCC-2-2|21</v>
      </c>
      <c r="B1678" s="4" t="s">
        <v>60</v>
      </c>
      <c r="C1678" s="4" t="s">
        <v>136</v>
      </c>
      <c r="D1678" s="4">
        <v>21</v>
      </c>
      <c r="E1678" s="18" t="s">
        <v>122</v>
      </c>
      <c r="F1678" s="19" t="s">
        <v>130</v>
      </c>
    </row>
    <row r="1679" spans="1:6">
      <c r="A1679" s="4" t="str">
        <f t="shared" si="26"/>
        <v>tRNA-Gly-GCC-2-2|22</v>
      </c>
      <c r="B1679" s="4" t="s">
        <v>60</v>
      </c>
      <c r="C1679" s="4" t="s">
        <v>137</v>
      </c>
      <c r="D1679" s="4">
        <v>22</v>
      </c>
      <c r="E1679" s="8" t="s">
        <v>116</v>
      </c>
      <c r="F1679" s="7" t="s">
        <v>125</v>
      </c>
    </row>
    <row r="1680" spans="1:6">
      <c r="A1680" s="4" t="str">
        <f t="shared" si="26"/>
        <v>tRNA-Gly-GCC-2-2|23</v>
      </c>
      <c r="B1680" s="4" t="s">
        <v>60</v>
      </c>
      <c r="C1680" s="4" t="s">
        <v>138</v>
      </c>
      <c r="D1680" s="4">
        <v>23</v>
      </c>
      <c r="E1680" s="8" t="s">
        <v>114</v>
      </c>
      <c r="F1680" s="7" t="s">
        <v>125</v>
      </c>
    </row>
    <row r="1681" spans="1:6">
      <c r="A1681" s="4" t="str">
        <f t="shared" si="26"/>
        <v>tRNA-Gly-GCC-2-2|24</v>
      </c>
      <c r="B1681" s="4" t="s">
        <v>60</v>
      </c>
      <c r="C1681" s="4" t="s">
        <v>139</v>
      </c>
      <c r="D1681" s="4">
        <v>24</v>
      </c>
      <c r="E1681" s="8" t="s">
        <v>122</v>
      </c>
      <c r="F1681" s="7" t="s">
        <v>125</v>
      </c>
    </row>
    <row r="1682" spans="1:6">
      <c r="A1682" s="4" t="str">
        <f t="shared" si="26"/>
        <v>tRNA-Gly-GCC-2-2|25</v>
      </c>
      <c r="B1682" s="4" t="s">
        <v>60</v>
      </c>
      <c r="C1682" s="4" t="s">
        <v>140</v>
      </c>
      <c r="D1682" s="4">
        <v>25</v>
      </c>
      <c r="E1682" s="8" t="s">
        <v>114</v>
      </c>
      <c r="F1682" s="7" t="s">
        <v>125</v>
      </c>
    </row>
    <row r="1683" spans="1:6">
      <c r="A1683" s="4" t="str">
        <f t="shared" si="26"/>
        <v>tRNA-Gly-GCC-2-2|26</v>
      </c>
      <c r="B1683" s="4" t="s">
        <v>60</v>
      </c>
      <c r="C1683" s="4" t="s">
        <v>141</v>
      </c>
      <c r="D1683" s="4">
        <v>26</v>
      </c>
      <c r="E1683" s="3" t="s">
        <v>114</v>
      </c>
      <c r="F1683" s="4" t="s">
        <v>142</v>
      </c>
    </row>
    <row r="1684" spans="1:6">
      <c r="A1684" s="4" t="str">
        <f t="shared" si="26"/>
        <v>tRNA-Gly-GCC-2-2|27</v>
      </c>
      <c r="B1684" s="4" t="s">
        <v>60</v>
      </c>
      <c r="C1684" s="4" t="s">
        <v>143</v>
      </c>
      <c r="D1684" s="4">
        <v>27</v>
      </c>
      <c r="E1684" s="20" t="s">
        <v>109</v>
      </c>
      <c r="F1684" s="21" t="s">
        <v>144</v>
      </c>
    </row>
    <row r="1685" spans="1:6">
      <c r="A1685" s="4" t="str">
        <f t="shared" si="26"/>
        <v>tRNA-Gly-GCC-2-2|28</v>
      </c>
      <c r="B1685" s="4" t="s">
        <v>60</v>
      </c>
      <c r="C1685" s="4" t="s">
        <v>145</v>
      </c>
      <c r="D1685" s="4">
        <v>28</v>
      </c>
      <c r="E1685" s="20" t="s">
        <v>109</v>
      </c>
      <c r="F1685" s="21" t="s">
        <v>144</v>
      </c>
    </row>
    <row r="1686" spans="1:6">
      <c r="A1686" s="4" t="str">
        <f t="shared" si="26"/>
        <v>tRNA-Gly-GCC-2-2|29</v>
      </c>
      <c r="B1686" s="4" t="s">
        <v>60</v>
      </c>
      <c r="C1686" s="4" t="s">
        <v>146</v>
      </c>
      <c r="D1686" s="4">
        <v>29</v>
      </c>
      <c r="E1686" s="20" t="s">
        <v>109</v>
      </c>
      <c r="F1686" s="21" t="s">
        <v>144</v>
      </c>
    </row>
    <row r="1687" spans="1:6">
      <c r="A1687" s="4" t="str">
        <f t="shared" si="26"/>
        <v>tRNA-Gly-GCC-2-2|30</v>
      </c>
      <c r="B1687" s="4" t="s">
        <v>60</v>
      </c>
      <c r="C1687" s="4" t="s">
        <v>147</v>
      </c>
      <c r="D1687" s="4">
        <v>30</v>
      </c>
      <c r="E1687" s="20" t="s">
        <v>114</v>
      </c>
      <c r="F1687" s="21" t="s">
        <v>144</v>
      </c>
    </row>
    <row r="1688" spans="1:6">
      <c r="A1688" s="4" t="str">
        <f t="shared" si="26"/>
        <v>tRNA-Gly-GCC-2-2|31</v>
      </c>
      <c r="B1688" s="4" t="s">
        <v>60</v>
      </c>
      <c r="C1688" s="4" t="s">
        <v>148</v>
      </c>
      <c r="D1688" s="4">
        <v>31</v>
      </c>
      <c r="E1688" s="20" t="s">
        <v>109</v>
      </c>
      <c r="F1688" s="21" t="s">
        <v>144</v>
      </c>
    </row>
    <row r="1689" spans="1:6">
      <c r="A1689" s="4" t="str">
        <f t="shared" si="26"/>
        <v>tRNA-Gly-GCC-2-2|32</v>
      </c>
      <c r="B1689" s="4" t="s">
        <v>60</v>
      </c>
      <c r="C1689" s="4" t="s">
        <v>149</v>
      </c>
      <c r="D1689" s="4">
        <v>32</v>
      </c>
      <c r="E1689" s="18" t="s">
        <v>116</v>
      </c>
      <c r="F1689" s="19" t="s">
        <v>150</v>
      </c>
    </row>
    <row r="1690" spans="1:6">
      <c r="A1690" s="4" t="str">
        <f t="shared" si="26"/>
        <v>tRNA-Gly-GCC-2-2|33</v>
      </c>
      <c r="B1690" s="4" t="s">
        <v>60</v>
      </c>
      <c r="C1690" s="4" t="s">
        <v>151</v>
      </c>
      <c r="D1690" s="4">
        <v>33</v>
      </c>
      <c r="E1690" s="18" t="s">
        <v>116</v>
      </c>
      <c r="F1690" s="19" t="s">
        <v>150</v>
      </c>
    </row>
    <row r="1691" spans="1:6">
      <c r="A1691" s="4" t="str">
        <f t="shared" si="26"/>
        <v>tRNA-Gly-GCC-2-2|34</v>
      </c>
      <c r="B1691" s="4" t="s">
        <v>60</v>
      </c>
      <c r="C1691" s="4" t="s">
        <v>152</v>
      </c>
      <c r="D1691" s="4">
        <v>34</v>
      </c>
      <c r="E1691" s="18" t="s">
        <v>109</v>
      </c>
      <c r="F1691" s="19" t="s">
        <v>150</v>
      </c>
    </row>
    <row r="1692" spans="1:6">
      <c r="A1692" s="4" t="str">
        <f t="shared" si="26"/>
        <v>tRNA-Gly-GCC-2-2|35</v>
      </c>
      <c r="B1692" s="4" t="s">
        <v>60</v>
      </c>
      <c r="C1692" s="4" t="s">
        <v>153</v>
      </c>
      <c r="D1692" s="4">
        <v>35</v>
      </c>
      <c r="E1692" s="18" t="s">
        <v>114</v>
      </c>
      <c r="F1692" s="19" t="s">
        <v>150</v>
      </c>
    </row>
    <row r="1693" spans="1:6">
      <c r="A1693" s="4" t="str">
        <f t="shared" si="26"/>
        <v>tRNA-Gly-GCC-2-2|36</v>
      </c>
      <c r="B1693" s="4" t="s">
        <v>60</v>
      </c>
      <c r="C1693" s="4" t="s">
        <v>154</v>
      </c>
      <c r="D1693" s="4">
        <v>36</v>
      </c>
      <c r="E1693" s="18" t="s">
        <v>114</v>
      </c>
      <c r="F1693" s="19" t="s">
        <v>150</v>
      </c>
    </row>
    <row r="1694" spans="1:6">
      <c r="A1694" s="4" t="str">
        <f t="shared" si="26"/>
        <v>tRNA-Gly-GCC-2-2|37</v>
      </c>
      <c r="B1694" s="4" t="s">
        <v>60</v>
      </c>
      <c r="C1694" s="4" t="s">
        <v>155</v>
      </c>
      <c r="D1694" s="4">
        <v>37</v>
      </c>
      <c r="E1694" s="18" t="s">
        <v>122</v>
      </c>
      <c r="F1694" s="19" t="s">
        <v>150</v>
      </c>
    </row>
    <row r="1695" spans="1:6">
      <c r="A1695" s="4" t="str">
        <f t="shared" si="26"/>
        <v>tRNA-Gly-GCC-2-2|38</v>
      </c>
      <c r="B1695" s="4" t="s">
        <v>60</v>
      </c>
      <c r="C1695" s="4" t="s">
        <v>156</v>
      </c>
      <c r="D1695" s="4">
        <v>38</v>
      </c>
      <c r="E1695" s="18" t="s">
        <v>122</v>
      </c>
      <c r="F1695" s="19" t="s">
        <v>150</v>
      </c>
    </row>
    <row r="1696" spans="1:6">
      <c r="A1696" s="4" t="str">
        <f t="shared" si="26"/>
        <v>tRNA-Gly-GCC-2-2|39</v>
      </c>
      <c r="B1696" s="4" t="s">
        <v>60</v>
      </c>
      <c r="C1696" s="4" t="s">
        <v>157</v>
      </c>
      <c r="D1696" s="4">
        <v>39</v>
      </c>
      <c r="E1696" s="20" t="s">
        <v>114</v>
      </c>
      <c r="F1696" s="21" t="s">
        <v>144</v>
      </c>
    </row>
    <row r="1697" spans="1:6">
      <c r="A1697" s="4" t="str">
        <f t="shared" si="26"/>
        <v>tRNA-Gly-GCC-2-2|40</v>
      </c>
      <c r="B1697" s="4" t="s">
        <v>60</v>
      </c>
      <c r="C1697" s="4" t="s">
        <v>158</v>
      </c>
      <c r="D1697" s="4">
        <v>40</v>
      </c>
      <c r="E1697" s="20" t="s">
        <v>109</v>
      </c>
      <c r="F1697" s="21" t="s">
        <v>144</v>
      </c>
    </row>
    <row r="1698" spans="1:6">
      <c r="A1698" s="4" t="str">
        <f t="shared" si="26"/>
        <v>tRNA-Gly-GCC-2-2|41</v>
      </c>
      <c r="B1698" s="4" t="s">
        <v>60</v>
      </c>
      <c r="C1698" s="4" t="s">
        <v>159</v>
      </c>
      <c r="D1698" s="4">
        <v>41</v>
      </c>
      <c r="E1698" s="20" t="s">
        <v>114</v>
      </c>
      <c r="F1698" s="21" t="s">
        <v>144</v>
      </c>
    </row>
    <row r="1699" spans="1:6">
      <c r="A1699" s="4" t="str">
        <f t="shared" si="26"/>
        <v>tRNA-Gly-GCC-2-2|42</v>
      </c>
      <c r="B1699" s="4" t="s">
        <v>60</v>
      </c>
      <c r="C1699" s="4" t="s">
        <v>160</v>
      </c>
      <c r="D1699" s="4">
        <v>42</v>
      </c>
      <c r="E1699" s="20" t="s">
        <v>116</v>
      </c>
      <c r="F1699" s="21" t="s">
        <v>144</v>
      </c>
    </row>
    <row r="1700" spans="1:6">
      <c r="A1700" s="4" t="str">
        <f t="shared" si="26"/>
        <v>tRNA-Gly-GCC-2-2|43</v>
      </c>
      <c r="B1700" s="4" t="s">
        <v>60</v>
      </c>
      <c r="C1700" s="4" t="s">
        <v>161</v>
      </c>
      <c r="D1700" s="4">
        <v>43</v>
      </c>
      <c r="E1700" s="20" t="s">
        <v>114</v>
      </c>
      <c r="F1700" s="21" t="s">
        <v>144</v>
      </c>
    </row>
    <row r="1701" spans="1:6">
      <c r="A1701" s="4" t="str">
        <f t="shared" si="26"/>
        <v>tRNA-Gly-GCC-2-2|44</v>
      </c>
      <c r="B1701" s="4" t="s">
        <v>60</v>
      </c>
      <c r="C1701" s="4" t="s">
        <v>162</v>
      </c>
      <c r="D1701" s="4">
        <v>44</v>
      </c>
      <c r="E1701" s="18" t="s">
        <v>109</v>
      </c>
      <c r="F1701" s="19" t="s">
        <v>163</v>
      </c>
    </row>
    <row r="1702" spans="1:6">
      <c r="A1702" s="4" t="str">
        <f t="shared" si="26"/>
        <v>tRNA-Gly-GCC-2-2|45</v>
      </c>
      <c r="B1702" s="4" t="s">
        <v>60</v>
      </c>
      <c r="C1702" s="4" t="s">
        <v>164</v>
      </c>
      <c r="D1702" s="4">
        <v>45</v>
      </c>
      <c r="E1702" s="18" t="s">
        <v>122</v>
      </c>
      <c r="F1702" s="19" t="s">
        <v>163</v>
      </c>
    </row>
    <row r="1703" spans="1:6">
      <c r="A1703" s="4" t="str">
        <f t="shared" si="26"/>
        <v>tRNA-Gly-GCC-2-2|46</v>
      </c>
      <c r="B1703" s="4" t="s">
        <v>60</v>
      </c>
      <c r="C1703" s="4" t="s">
        <v>165</v>
      </c>
      <c r="D1703" s="4">
        <v>46</v>
      </c>
      <c r="E1703" s="18" t="s">
        <v>122</v>
      </c>
      <c r="F1703" s="19" t="s">
        <v>163</v>
      </c>
    </row>
    <row r="1704" spans="1:6">
      <c r="A1704" s="4" t="str">
        <f t="shared" si="26"/>
        <v>tRNA-Gly-GCC-2-2|48</v>
      </c>
      <c r="B1704" s="4" t="s">
        <v>60</v>
      </c>
      <c r="C1704" s="4" t="s">
        <v>167</v>
      </c>
      <c r="D1704" s="4">
        <v>47</v>
      </c>
      <c r="E1704" s="18" t="s">
        <v>114</v>
      </c>
      <c r="F1704" s="19" t="s">
        <v>163</v>
      </c>
    </row>
    <row r="1705" spans="1:6">
      <c r="A1705" s="4" t="str">
        <f t="shared" si="26"/>
        <v>tRNA-Gly-GCC-2-2|49</v>
      </c>
      <c r="B1705" s="4" t="s">
        <v>60</v>
      </c>
      <c r="C1705" s="4" t="s">
        <v>168</v>
      </c>
      <c r="D1705" s="4">
        <v>48</v>
      </c>
      <c r="E1705" s="22" t="s">
        <v>114</v>
      </c>
      <c r="F1705" s="10" t="s">
        <v>169</v>
      </c>
    </row>
    <row r="1706" spans="1:6">
      <c r="A1706" s="4" t="str">
        <f t="shared" si="26"/>
        <v>tRNA-Gly-GCC-2-2|50</v>
      </c>
      <c r="B1706" s="4" t="s">
        <v>60</v>
      </c>
      <c r="C1706" s="4" t="s">
        <v>170</v>
      </c>
      <c r="D1706" s="4">
        <v>49</v>
      </c>
      <c r="E1706" s="22" t="s">
        <v>114</v>
      </c>
      <c r="F1706" s="10" t="s">
        <v>169</v>
      </c>
    </row>
    <row r="1707" spans="1:6">
      <c r="A1707" s="4" t="str">
        <f t="shared" si="26"/>
        <v>tRNA-Gly-GCC-2-2|51</v>
      </c>
      <c r="B1707" s="4" t="s">
        <v>60</v>
      </c>
      <c r="C1707" s="4" t="s">
        <v>171</v>
      </c>
      <c r="D1707" s="4">
        <v>50</v>
      </c>
      <c r="E1707" s="22" t="s">
        <v>109</v>
      </c>
      <c r="F1707" s="10" t="s">
        <v>169</v>
      </c>
    </row>
    <row r="1708" spans="1:6">
      <c r="A1708" s="4" t="str">
        <f t="shared" si="26"/>
        <v>tRNA-Gly-GCC-2-2|52</v>
      </c>
      <c r="B1708" s="4" t="s">
        <v>60</v>
      </c>
      <c r="C1708" s="4" t="s">
        <v>172</v>
      </c>
      <c r="D1708" s="4">
        <v>51</v>
      </c>
      <c r="E1708" s="22" t="s">
        <v>109</v>
      </c>
      <c r="F1708" s="10" t="s">
        <v>169</v>
      </c>
    </row>
    <row r="1709" spans="1:6">
      <c r="A1709" s="4" t="str">
        <f t="shared" si="26"/>
        <v>tRNA-Gly-GCC-2-2|53</v>
      </c>
      <c r="B1709" s="4" t="s">
        <v>60</v>
      </c>
      <c r="C1709" s="4" t="s">
        <v>173</v>
      </c>
      <c r="D1709" s="4">
        <v>52</v>
      </c>
      <c r="E1709" s="22" t="s">
        <v>109</v>
      </c>
      <c r="F1709" s="10" t="s">
        <v>169</v>
      </c>
    </row>
    <row r="1710" spans="1:6">
      <c r="A1710" s="4" t="str">
        <f t="shared" si="26"/>
        <v>tRNA-Gly-GCC-2-2|54</v>
      </c>
      <c r="B1710" s="4" t="s">
        <v>60</v>
      </c>
      <c r="C1710" s="4" t="s">
        <v>174</v>
      </c>
      <c r="D1710" s="4">
        <v>53</v>
      </c>
      <c r="E1710" s="18" t="s">
        <v>116</v>
      </c>
      <c r="F1710" s="19" t="s">
        <v>175</v>
      </c>
    </row>
    <row r="1711" spans="1:6">
      <c r="A1711" s="4" t="str">
        <f t="shared" si="26"/>
        <v>tRNA-Gly-GCC-2-2|55</v>
      </c>
      <c r="B1711" s="4" t="s">
        <v>60</v>
      </c>
      <c r="C1711" s="4" t="s">
        <v>176</v>
      </c>
      <c r="D1711" s="4">
        <v>54</v>
      </c>
      <c r="E1711" s="18" t="s">
        <v>116</v>
      </c>
      <c r="F1711" s="19" t="s">
        <v>175</v>
      </c>
    </row>
    <row r="1712" spans="1:6">
      <c r="A1712" s="4" t="str">
        <f t="shared" si="26"/>
        <v>tRNA-Gly-GCC-2-2|56</v>
      </c>
      <c r="B1712" s="4" t="s">
        <v>60</v>
      </c>
      <c r="C1712" s="4" t="s">
        <v>177</v>
      </c>
      <c r="D1712" s="4">
        <v>55</v>
      </c>
      <c r="E1712" s="18" t="s">
        <v>114</v>
      </c>
      <c r="F1712" s="19" t="s">
        <v>175</v>
      </c>
    </row>
    <row r="1713" spans="1:6">
      <c r="A1713" s="4" t="str">
        <f t="shared" si="26"/>
        <v>tRNA-Gly-GCC-2-2|57</v>
      </c>
      <c r="B1713" s="4" t="s">
        <v>60</v>
      </c>
      <c r="C1713" s="4" t="s">
        <v>178</v>
      </c>
      <c r="D1713" s="4">
        <v>56</v>
      </c>
      <c r="E1713" s="18" t="s">
        <v>109</v>
      </c>
      <c r="F1713" s="19" t="s">
        <v>175</v>
      </c>
    </row>
    <row r="1714" spans="1:6">
      <c r="A1714" s="4" t="str">
        <f t="shared" si="26"/>
        <v>tRNA-Gly-GCC-2-2|58</v>
      </c>
      <c r="B1714" s="4" t="s">
        <v>60</v>
      </c>
      <c r="C1714" s="4" t="s">
        <v>179</v>
      </c>
      <c r="D1714" s="4">
        <v>57</v>
      </c>
      <c r="E1714" s="18" t="s">
        <v>122</v>
      </c>
      <c r="F1714" s="19" t="s">
        <v>175</v>
      </c>
    </row>
    <row r="1715" spans="1:6">
      <c r="A1715" s="4" t="str">
        <f t="shared" si="26"/>
        <v>tRNA-Gly-GCC-2-2|59</v>
      </c>
      <c r="B1715" s="4" t="s">
        <v>60</v>
      </c>
      <c r="C1715" s="4" t="s">
        <v>180</v>
      </c>
      <c r="D1715" s="4">
        <v>58</v>
      </c>
      <c r="E1715" s="18" t="s">
        <v>122</v>
      </c>
      <c r="F1715" s="19" t="s">
        <v>175</v>
      </c>
    </row>
    <row r="1716" spans="1:6">
      <c r="A1716" s="4" t="str">
        <f t="shared" si="26"/>
        <v>tRNA-Gly-GCC-2-2|60</v>
      </c>
      <c r="B1716" s="4" t="s">
        <v>60</v>
      </c>
      <c r="C1716" s="4" t="s">
        <v>181</v>
      </c>
      <c r="D1716" s="4">
        <v>59</v>
      </c>
      <c r="E1716" s="18" t="s">
        <v>116</v>
      </c>
      <c r="F1716" s="19" t="s">
        <v>175</v>
      </c>
    </row>
    <row r="1717" spans="1:6">
      <c r="A1717" s="4" t="str">
        <f t="shared" si="26"/>
        <v>tRNA-Gly-GCC-2-2|61</v>
      </c>
      <c r="B1717" s="4" t="s">
        <v>60</v>
      </c>
      <c r="C1717" s="4" t="s">
        <v>182</v>
      </c>
      <c r="D1717" s="4">
        <v>60</v>
      </c>
      <c r="E1717" s="22" t="s">
        <v>114</v>
      </c>
      <c r="F1717" s="10" t="s">
        <v>169</v>
      </c>
    </row>
    <row r="1718" spans="1:6">
      <c r="A1718" s="4" t="str">
        <f t="shared" si="26"/>
        <v>tRNA-Gly-GCC-2-2|62</v>
      </c>
      <c r="B1718" s="4" t="s">
        <v>60</v>
      </c>
      <c r="C1718" s="4" t="s">
        <v>183</v>
      </c>
      <c r="D1718" s="4">
        <v>61</v>
      </c>
      <c r="E1718" s="22" t="s">
        <v>114</v>
      </c>
      <c r="F1718" s="10" t="s">
        <v>169</v>
      </c>
    </row>
    <row r="1719" spans="1:6">
      <c r="A1719" s="4" t="str">
        <f t="shared" si="26"/>
        <v>tRNA-Gly-GCC-2-2|63</v>
      </c>
      <c r="B1719" s="4" t="s">
        <v>60</v>
      </c>
      <c r="C1719" s="4" t="s">
        <v>184</v>
      </c>
      <c r="D1719" s="4">
        <v>62</v>
      </c>
      <c r="E1719" s="22" t="s">
        <v>114</v>
      </c>
      <c r="F1719" s="10" t="s">
        <v>169</v>
      </c>
    </row>
    <row r="1720" spans="1:6">
      <c r="A1720" s="4" t="str">
        <f t="shared" si="26"/>
        <v>tRNA-Gly-GCC-2-2|64</v>
      </c>
      <c r="B1720" s="4" t="s">
        <v>60</v>
      </c>
      <c r="C1720" s="4" t="s">
        <v>185</v>
      </c>
      <c r="D1720" s="4">
        <v>63</v>
      </c>
      <c r="E1720" s="22" t="s">
        <v>109</v>
      </c>
      <c r="F1720" s="10" t="s">
        <v>169</v>
      </c>
    </row>
    <row r="1721" spans="1:6">
      <c r="A1721" s="4" t="str">
        <f t="shared" si="26"/>
        <v>tRNA-Gly-GCC-2-2|65</v>
      </c>
      <c r="B1721" s="4" t="s">
        <v>60</v>
      </c>
      <c r="C1721" s="4" t="s">
        <v>186</v>
      </c>
      <c r="D1721" s="4">
        <v>64</v>
      </c>
      <c r="E1721" s="22" t="s">
        <v>109</v>
      </c>
      <c r="F1721" s="10" t="s">
        <v>169</v>
      </c>
    </row>
    <row r="1722" spans="1:6">
      <c r="A1722" s="4" t="str">
        <f t="shared" si="26"/>
        <v>tRNA-Gly-GCC-2-2|66</v>
      </c>
      <c r="B1722" s="4" t="s">
        <v>60</v>
      </c>
      <c r="C1722" s="4" t="s">
        <v>187</v>
      </c>
      <c r="D1722" s="4">
        <v>65</v>
      </c>
      <c r="E1722" s="16" t="s">
        <v>114</v>
      </c>
      <c r="F1722" s="17" t="s">
        <v>110</v>
      </c>
    </row>
    <row r="1723" spans="1:6">
      <c r="A1723" s="4" t="str">
        <f t="shared" si="26"/>
        <v>tRNA-Gly-GCC-2-2|67</v>
      </c>
      <c r="B1723" s="4" t="s">
        <v>60</v>
      </c>
      <c r="C1723" s="4" t="s">
        <v>188</v>
      </c>
      <c r="D1723" s="4">
        <v>66</v>
      </c>
      <c r="E1723" s="16" t="s">
        <v>116</v>
      </c>
      <c r="F1723" s="17" t="s">
        <v>110</v>
      </c>
    </row>
    <row r="1724" spans="1:6">
      <c r="A1724" s="4" t="str">
        <f t="shared" si="26"/>
        <v>tRNA-Gly-GCC-2-2|68</v>
      </c>
      <c r="B1724" s="4" t="s">
        <v>60</v>
      </c>
      <c r="C1724" s="4" t="s">
        <v>189</v>
      </c>
      <c r="D1724" s="4">
        <v>67</v>
      </c>
      <c r="E1724" s="16" t="s">
        <v>109</v>
      </c>
      <c r="F1724" s="17" t="s">
        <v>110</v>
      </c>
    </row>
    <row r="1725" spans="1:6">
      <c r="A1725" s="4" t="str">
        <f t="shared" si="26"/>
        <v>tRNA-Gly-GCC-2-2|69</v>
      </c>
      <c r="B1725" s="4" t="s">
        <v>60</v>
      </c>
      <c r="C1725" s="4" t="s">
        <v>190</v>
      </c>
      <c r="D1725" s="4">
        <v>68</v>
      </c>
      <c r="E1725" s="16" t="s">
        <v>109</v>
      </c>
      <c r="F1725" s="17" t="s">
        <v>110</v>
      </c>
    </row>
    <row r="1726" spans="1:6">
      <c r="A1726" s="4" t="str">
        <f t="shared" si="26"/>
        <v>tRNA-Gly-GCC-2-2|70</v>
      </c>
      <c r="B1726" s="4" t="s">
        <v>60</v>
      </c>
      <c r="C1726" s="4" t="s">
        <v>191</v>
      </c>
      <c r="D1726" s="4">
        <v>69</v>
      </c>
      <c r="E1726" s="16" t="s">
        <v>116</v>
      </c>
      <c r="F1726" s="17" t="s">
        <v>110</v>
      </c>
    </row>
    <row r="1727" spans="1:6">
      <c r="A1727" s="4" t="str">
        <f t="shared" si="26"/>
        <v>tRNA-Gly-GCC-2-2|71</v>
      </c>
      <c r="B1727" s="4" t="s">
        <v>60</v>
      </c>
      <c r="C1727" s="4" t="s">
        <v>192</v>
      </c>
      <c r="D1727" s="4">
        <v>70</v>
      </c>
      <c r="E1727" s="16" t="s">
        <v>109</v>
      </c>
      <c r="F1727" s="17" t="s">
        <v>110</v>
      </c>
    </row>
    <row r="1728" spans="1:6">
      <c r="A1728" s="4" t="str">
        <f t="shared" si="26"/>
        <v>tRNA-Gly-GCC-2-2|72</v>
      </c>
      <c r="B1728" s="4" t="s">
        <v>60</v>
      </c>
      <c r="C1728" s="4" t="s">
        <v>193</v>
      </c>
      <c r="D1728" s="4">
        <v>71</v>
      </c>
      <c r="E1728" s="16" t="s">
        <v>116</v>
      </c>
      <c r="F1728" s="17" t="s">
        <v>110</v>
      </c>
    </row>
    <row r="1729" spans="1:6">
      <c r="A1729" s="4" t="str">
        <f t="shared" si="26"/>
        <v>tRNA-Gly-TCC-1-1|1</v>
      </c>
      <c r="B1729" s="4" t="s">
        <v>61</v>
      </c>
      <c r="C1729" s="4" t="s">
        <v>108</v>
      </c>
      <c r="D1729" s="4">
        <v>1</v>
      </c>
      <c r="E1729" s="16" t="s">
        <v>109</v>
      </c>
      <c r="F1729" s="17" t="s">
        <v>110</v>
      </c>
    </row>
    <row r="1730" spans="1:6">
      <c r="A1730" s="4" t="str">
        <f t="shared" ref="A1730:A1793" si="27">B1730&amp;"|"&amp;C1730</f>
        <v>tRNA-Gly-TCC-1-1|2</v>
      </c>
      <c r="B1730" s="4" t="s">
        <v>61</v>
      </c>
      <c r="C1730" s="4" t="s">
        <v>111</v>
      </c>
      <c r="D1730" s="4">
        <v>2</v>
      </c>
      <c r="E1730" s="16" t="s">
        <v>114</v>
      </c>
      <c r="F1730" s="17" t="s">
        <v>110</v>
      </c>
    </row>
    <row r="1731" spans="1:6">
      <c r="A1731" s="4" t="str">
        <f t="shared" si="27"/>
        <v>tRNA-Gly-TCC-1-1|3</v>
      </c>
      <c r="B1731" s="4" t="s">
        <v>61</v>
      </c>
      <c r="C1731" s="4" t="s">
        <v>112</v>
      </c>
      <c r="D1731" s="4">
        <v>3</v>
      </c>
      <c r="E1731" s="16" t="s">
        <v>109</v>
      </c>
      <c r="F1731" s="17" t="s">
        <v>110</v>
      </c>
    </row>
    <row r="1732" spans="1:6">
      <c r="A1732" s="4" t="str">
        <f t="shared" si="27"/>
        <v>tRNA-Gly-TCC-1-1|4</v>
      </c>
      <c r="B1732" s="4" t="s">
        <v>61</v>
      </c>
      <c r="C1732" s="4" t="s">
        <v>113</v>
      </c>
      <c r="D1732" s="4">
        <v>4</v>
      </c>
      <c r="E1732" s="16" t="s">
        <v>116</v>
      </c>
      <c r="F1732" s="17" t="s">
        <v>110</v>
      </c>
    </row>
    <row r="1733" spans="1:6">
      <c r="A1733" s="4" t="str">
        <f t="shared" si="27"/>
        <v>tRNA-Gly-TCC-1-1|5</v>
      </c>
      <c r="B1733" s="4" t="s">
        <v>61</v>
      </c>
      <c r="C1733" s="4" t="s">
        <v>115</v>
      </c>
      <c r="D1733" s="4">
        <v>5</v>
      </c>
      <c r="E1733" s="16" t="s">
        <v>116</v>
      </c>
      <c r="F1733" s="17" t="s">
        <v>110</v>
      </c>
    </row>
    <row r="1734" spans="1:6">
      <c r="A1734" s="4" t="str">
        <f t="shared" si="27"/>
        <v>tRNA-Gly-TCC-1-1|6</v>
      </c>
      <c r="B1734" s="4" t="s">
        <v>61</v>
      </c>
      <c r="C1734" s="4" t="s">
        <v>117</v>
      </c>
      <c r="D1734" s="4">
        <v>6</v>
      </c>
      <c r="E1734" s="16" t="s">
        <v>109</v>
      </c>
      <c r="F1734" s="17" t="s">
        <v>110</v>
      </c>
    </row>
    <row r="1735" spans="1:6">
      <c r="A1735" s="4" t="str">
        <f t="shared" si="27"/>
        <v>tRNA-Gly-TCC-1-1|7</v>
      </c>
      <c r="B1735" s="4" t="s">
        <v>61</v>
      </c>
      <c r="C1735" s="4" t="s">
        <v>118</v>
      </c>
      <c r="D1735" s="4">
        <v>7</v>
      </c>
      <c r="E1735" s="16" t="s">
        <v>122</v>
      </c>
      <c r="F1735" s="17" t="s">
        <v>110</v>
      </c>
    </row>
    <row r="1736" spans="1:6">
      <c r="A1736" s="4" t="str">
        <f t="shared" si="27"/>
        <v>tRNA-Gly-TCC-1-1|8</v>
      </c>
      <c r="B1736" s="4" t="s">
        <v>61</v>
      </c>
      <c r="C1736" s="4" t="s">
        <v>119</v>
      </c>
      <c r="D1736" s="4">
        <v>8</v>
      </c>
      <c r="E1736" s="3" t="s">
        <v>116</v>
      </c>
      <c r="F1736" s="4" t="s">
        <v>120</v>
      </c>
    </row>
    <row r="1737" spans="1:6">
      <c r="A1737" s="4" t="str">
        <f t="shared" si="27"/>
        <v>tRNA-Gly-TCC-1-1|9</v>
      </c>
      <c r="B1737" s="4" t="s">
        <v>61</v>
      </c>
      <c r="C1737" s="4" t="s">
        <v>121</v>
      </c>
      <c r="D1737" s="4">
        <v>9</v>
      </c>
      <c r="E1737" s="3" t="s">
        <v>109</v>
      </c>
      <c r="F1737" s="4" t="s">
        <v>123</v>
      </c>
    </row>
    <row r="1738" spans="1:6">
      <c r="A1738" s="4" t="str">
        <f t="shared" si="27"/>
        <v>tRNA-Gly-TCC-1-1|10</v>
      </c>
      <c r="B1738" s="4" t="s">
        <v>61</v>
      </c>
      <c r="C1738" s="4" t="s">
        <v>124</v>
      </c>
      <c r="D1738" s="4">
        <v>10</v>
      </c>
      <c r="E1738" s="8" t="s">
        <v>109</v>
      </c>
      <c r="F1738" s="7" t="s">
        <v>125</v>
      </c>
    </row>
    <row r="1739" spans="1:6">
      <c r="A1739" s="4" t="str">
        <f t="shared" si="27"/>
        <v>tRNA-Gly-TCC-1-1|11</v>
      </c>
      <c r="B1739" s="4" t="s">
        <v>61</v>
      </c>
      <c r="C1739" s="4" t="s">
        <v>126</v>
      </c>
      <c r="D1739" s="4">
        <v>11</v>
      </c>
      <c r="E1739" s="8" t="s">
        <v>116</v>
      </c>
      <c r="F1739" s="7" t="s">
        <v>125</v>
      </c>
    </row>
    <row r="1740" spans="1:6">
      <c r="A1740" s="4" t="str">
        <f t="shared" si="27"/>
        <v>tRNA-Gly-TCC-1-1|12</v>
      </c>
      <c r="B1740" s="4" t="s">
        <v>61</v>
      </c>
      <c r="C1740" s="4" t="s">
        <v>127</v>
      </c>
      <c r="D1740" s="4">
        <v>12</v>
      </c>
      <c r="E1740" s="8" t="s">
        <v>114</v>
      </c>
      <c r="F1740" s="7" t="s">
        <v>125</v>
      </c>
    </row>
    <row r="1741" spans="1:6">
      <c r="A1741" s="4" t="str">
        <f t="shared" si="27"/>
        <v>tRNA-Gly-TCC-1-1|13</v>
      </c>
      <c r="B1741" s="4" t="s">
        <v>61</v>
      </c>
      <c r="C1741" s="4" t="s">
        <v>128</v>
      </c>
      <c r="D1741" s="4">
        <v>13</v>
      </c>
      <c r="E1741" s="8" t="s">
        <v>116</v>
      </c>
      <c r="F1741" s="7" t="s">
        <v>125</v>
      </c>
    </row>
    <row r="1742" spans="1:6">
      <c r="A1742" s="4" t="str">
        <f t="shared" si="27"/>
        <v>tRNA-Gly-TCC-1-1|14</v>
      </c>
      <c r="B1742" s="4" t="s">
        <v>61</v>
      </c>
      <c r="C1742" s="4" t="s">
        <v>129</v>
      </c>
      <c r="D1742" s="4">
        <v>14</v>
      </c>
      <c r="E1742" s="18" t="s">
        <v>122</v>
      </c>
      <c r="F1742" s="19" t="s">
        <v>130</v>
      </c>
    </row>
    <row r="1743" spans="1:6">
      <c r="A1743" s="4" t="str">
        <f t="shared" si="27"/>
        <v>tRNA-Gly-TCC-1-1|15</v>
      </c>
      <c r="B1743" s="4" t="s">
        <v>61</v>
      </c>
      <c r="C1743" s="4" t="s">
        <v>131</v>
      </c>
      <c r="D1743" s="4">
        <v>15</v>
      </c>
      <c r="E1743" s="18" t="s">
        <v>109</v>
      </c>
      <c r="F1743" s="19" t="s">
        <v>130</v>
      </c>
    </row>
    <row r="1744" spans="1:6">
      <c r="A1744" s="4" t="str">
        <f t="shared" si="27"/>
        <v>tRNA-Gly-TCC-1-1|16</v>
      </c>
      <c r="B1744" s="4" t="s">
        <v>61</v>
      </c>
      <c r="C1744" s="4" t="s">
        <v>194</v>
      </c>
      <c r="D1744" s="4">
        <v>16</v>
      </c>
      <c r="E1744" s="18" t="s">
        <v>114</v>
      </c>
      <c r="F1744" s="19" t="s">
        <v>130</v>
      </c>
    </row>
    <row r="1745" spans="1:6">
      <c r="A1745" s="4" t="str">
        <f t="shared" si="27"/>
        <v>tRNA-Gly-TCC-1-1|18</v>
      </c>
      <c r="B1745" s="4" t="s">
        <v>61</v>
      </c>
      <c r="C1745" s="4" t="s">
        <v>132</v>
      </c>
      <c r="D1745" s="4">
        <v>17</v>
      </c>
      <c r="E1745" s="18" t="s">
        <v>109</v>
      </c>
      <c r="F1745" s="19" t="s">
        <v>130</v>
      </c>
    </row>
    <row r="1746" spans="1:6">
      <c r="A1746" s="4" t="str">
        <f t="shared" si="27"/>
        <v>tRNA-Gly-TCC-1-1|19</v>
      </c>
      <c r="B1746" s="4" t="s">
        <v>61</v>
      </c>
      <c r="C1746" s="4" t="s">
        <v>133</v>
      </c>
      <c r="D1746" s="4">
        <v>18</v>
      </c>
      <c r="E1746" s="18" t="s">
        <v>109</v>
      </c>
      <c r="F1746" s="19" t="s">
        <v>130</v>
      </c>
    </row>
    <row r="1747" spans="1:6">
      <c r="A1747" s="4" t="str">
        <f t="shared" si="27"/>
        <v>tRNA-Gly-TCC-1-1|20</v>
      </c>
      <c r="B1747" s="4" t="s">
        <v>61</v>
      </c>
      <c r="C1747" s="4" t="s">
        <v>134</v>
      </c>
      <c r="D1747" s="4">
        <v>19</v>
      </c>
      <c r="E1747" s="18" t="s">
        <v>114</v>
      </c>
      <c r="F1747" s="19" t="s">
        <v>130</v>
      </c>
    </row>
    <row r="1748" spans="1:6">
      <c r="A1748" s="4" t="str">
        <f t="shared" si="27"/>
        <v>tRNA-Gly-TCC-1-1|20a</v>
      </c>
      <c r="B1748" s="4" t="s">
        <v>61</v>
      </c>
      <c r="C1748" s="4" t="s">
        <v>135</v>
      </c>
      <c r="D1748" s="4">
        <v>20</v>
      </c>
      <c r="E1748" s="18" t="s">
        <v>116</v>
      </c>
      <c r="F1748" s="19" t="s">
        <v>130</v>
      </c>
    </row>
    <row r="1749" spans="1:6">
      <c r="A1749" s="4" t="str">
        <f t="shared" si="27"/>
        <v>tRNA-Gly-TCC-1-1|21</v>
      </c>
      <c r="B1749" s="4" t="s">
        <v>61</v>
      </c>
      <c r="C1749" s="4" t="s">
        <v>136</v>
      </c>
      <c r="D1749" s="4">
        <v>21</v>
      </c>
      <c r="E1749" s="18" t="s">
        <v>122</v>
      </c>
      <c r="F1749" s="19" t="s">
        <v>130</v>
      </c>
    </row>
    <row r="1750" spans="1:6">
      <c r="A1750" s="4" t="str">
        <f t="shared" si="27"/>
        <v>tRNA-Gly-TCC-1-1|22</v>
      </c>
      <c r="B1750" s="4" t="s">
        <v>61</v>
      </c>
      <c r="C1750" s="4" t="s">
        <v>137</v>
      </c>
      <c r="D1750" s="4">
        <v>22</v>
      </c>
      <c r="E1750" s="8" t="s">
        <v>116</v>
      </c>
      <c r="F1750" s="7" t="s">
        <v>125</v>
      </c>
    </row>
    <row r="1751" spans="1:6">
      <c r="A1751" s="4" t="str">
        <f t="shared" si="27"/>
        <v>tRNA-Gly-TCC-1-1|23</v>
      </c>
      <c r="B1751" s="4" t="s">
        <v>61</v>
      </c>
      <c r="C1751" s="4" t="s">
        <v>138</v>
      </c>
      <c r="D1751" s="4">
        <v>23</v>
      </c>
      <c r="E1751" s="8" t="s">
        <v>109</v>
      </c>
      <c r="F1751" s="7" t="s">
        <v>125</v>
      </c>
    </row>
    <row r="1752" spans="1:6">
      <c r="A1752" s="4" t="str">
        <f t="shared" si="27"/>
        <v>tRNA-Gly-TCC-1-1|24</v>
      </c>
      <c r="B1752" s="4" t="s">
        <v>61</v>
      </c>
      <c r="C1752" s="4" t="s">
        <v>139</v>
      </c>
      <c r="D1752" s="4">
        <v>24</v>
      </c>
      <c r="E1752" s="8" t="s">
        <v>122</v>
      </c>
      <c r="F1752" s="7" t="s">
        <v>125</v>
      </c>
    </row>
    <row r="1753" spans="1:6">
      <c r="A1753" s="4" t="str">
        <f t="shared" si="27"/>
        <v>tRNA-Gly-TCC-1-1|25</v>
      </c>
      <c r="B1753" s="4" t="s">
        <v>61</v>
      </c>
      <c r="C1753" s="4" t="s">
        <v>140</v>
      </c>
      <c r="D1753" s="4">
        <v>25</v>
      </c>
      <c r="E1753" s="8" t="s">
        <v>114</v>
      </c>
      <c r="F1753" s="7" t="s">
        <v>125</v>
      </c>
    </row>
    <row r="1754" spans="1:6">
      <c r="A1754" s="4" t="str">
        <f t="shared" si="27"/>
        <v>tRNA-Gly-TCC-1-1|26</v>
      </c>
      <c r="B1754" s="4" t="s">
        <v>61</v>
      </c>
      <c r="C1754" s="4" t="s">
        <v>141</v>
      </c>
      <c r="D1754" s="4">
        <v>26</v>
      </c>
      <c r="E1754" s="3" t="s">
        <v>116</v>
      </c>
      <c r="F1754" s="4" t="s">
        <v>142</v>
      </c>
    </row>
    <row r="1755" spans="1:6">
      <c r="A1755" s="4" t="str">
        <f t="shared" si="27"/>
        <v>tRNA-Gly-TCC-1-1|27</v>
      </c>
      <c r="B1755" s="4" t="s">
        <v>61</v>
      </c>
      <c r="C1755" s="4" t="s">
        <v>143</v>
      </c>
      <c r="D1755" s="4">
        <v>27</v>
      </c>
      <c r="E1755" s="20" t="s">
        <v>116</v>
      </c>
      <c r="F1755" s="21" t="s">
        <v>144</v>
      </c>
    </row>
    <row r="1756" spans="1:6">
      <c r="A1756" s="4" t="str">
        <f t="shared" si="27"/>
        <v>tRNA-Gly-TCC-1-1|28</v>
      </c>
      <c r="B1756" s="4" t="s">
        <v>61</v>
      </c>
      <c r="C1756" s="4" t="s">
        <v>145</v>
      </c>
      <c r="D1756" s="4">
        <v>28</v>
      </c>
      <c r="E1756" s="20" t="s">
        <v>109</v>
      </c>
      <c r="F1756" s="21" t="s">
        <v>144</v>
      </c>
    </row>
    <row r="1757" spans="1:6">
      <c r="A1757" s="4" t="str">
        <f t="shared" si="27"/>
        <v>tRNA-Gly-TCC-1-1|29</v>
      </c>
      <c r="B1757" s="4" t="s">
        <v>61</v>
      </c>
      <c r="C1757" s="4" t="s">
        <v>146</v>
      </c>
      <c r="D1757" s="4">
        <v>29</v>
      </c>
      <c r="E1757" s="20" t="s">
        <v>109</v>
      </c>
      <c r="F1757" s="21" t="s">
        <v>144</v>
      </c>
    </row>
    <row r="1758" spans="1:6">
      <c r="A1758" s="4" t="str">
        <f t="shared" si="27"/>
        <v>tRNA-Gly-TCC-1-1|30</v>
      </c>
      <c r="B1758" s="4" t="s">
        <v>61</v>
      </c>
      <c r="C1758" s="4" t="s">
        <v>147</v>
      </c>
      <c r="D1758" s="4">
        <v>30</v>
      </c>
      <c r="E1758" s="20" t="s">
        <v>109</v>
      </c>
      <c r="F1758" s="21" t="s">
        <v>144</v>
      </c>
    </row>
    <row r="1759" spans="1:6">
      <c r="A1759" s="4" t="str">
        <f t="shared" si="27"/>
        <v>tRNA-Gly-TCC-1-1|31</v>
      </c>
      <c r="B1759" s="4" t="s">
        <v>61</v>
      </c>
      <c r="C1759" s="4" t="s">
        <v>148</v>
      </c>
      <c r="D1759" s="4">
        <v>31</v>
      </c>
      <c r="E1759" s="20" t="s">
        <v>114</v>
      </c>
      <c r="F1759" s="21" t="s">
        <v>144</v>
      </c>
    </row>
    <row r="1760" spans="1:6">
      <c r="A1760" s="4" t="str">
        <f t="shared" si="27"/>
        <v>tRNA-Gly-TCC-1-1|32</v>
      </c>
      <c r="B1760" s="4" t="s">
        <v>61</v>
      </c>
      <c r="C1760" s="4" t="s">
        <v>149</v>
      </c>
      <c r="D1760" s="4">
        <v>32</v>
      </c>
      <c r="E1760" s="18" t="s">
        <v>114</v>
      </c>
      <c r="F1760" s="19" t="s">
        <v>150</v>
      </c>
    </row>
    <row r="1761" spans="1:6">
      <c r="A1761" s="4" t="str">
        <f t="shared" si="27"/>
        <v>tRNA-Gly-TCC-1-1|33</v>
      </c>
      <c r="B1761" s="4" t="s">
        <v>61</v>
      </c>
      <c r="C1761" s="4" t="s">
        <v>151</v>
      </c>
      <c r="D1761" s="4">
        <v>33</v>
      </c>
      <c r="E1761" s="18" t="s">
        <v>116</v>
      </c>
      <c r="F1761" s="19" t="s">
        <v>150</v>
      </c>
    </row>
    <row r="1762" spans="1:6">
      <c r="A1762" s="4" t="str">
        <f t="shared" si="27"/>
        <v>tRNA-Gly-TCC-1-1|34</v>
      </c>
      <c r="B1762" s="4" t="s">
        <v>61</v>
      </c>
      <c r="C1762" s="4" t="s">
        <v>152</v>
      </c>
      <c r="D1762" s="4">
        <v>34</v>
      </c>
      <c r="E1762" s="18" t="s">
        <v>116</v>
      </c>
      <c r="F1762" s="19" t="s">
        <v>150</v>
      </c>
    </row>
    <row r="1763" spans="1:6">
      <c r="A1763" s="4" t="str">
        <f t="shared" si="27"/>
        <v>tRNA-Gly-TCC-1-1|35</v>
      </c>
      <c r="B1763" s="4" t="s">
        <v>61</v>
      </c>
      <c r="C1763" s="4" t="s">
        <v>153</v>
      </c>
      <c r="D1763" s="4">
        <v>35</v>
      </c>
      <c r="E1763" s="18" t="s">
        <v>114</v>
      </c>
      <c r="F1763" s="19" t="s">
        <v>150</v>
      </c>
    </row>
    <row r="1764" spans="1:6">
      <c r="A1764" s="4" t="str">
        <f t="shared" si="27"/>
        <v>tRNA-Gly-TCC-1-1|36</v>
      </c>
      <c r="B1764" s="4" t="s">
        <v>61</v>
      </c>
      <c r="C1764" s="4" t="s">
        <v>154</v>
      </c>
      <c r="D1764" s="4">
        <v>36</v>
      </c>
      <c r="E1764" s="18" t="s">
        <v>114</v>
      </c>
      <c r="F1764" s="19" t="s">
        <v>150</v>
      </c>
    </row>
    <row r="1765" spans="1:6">
      <c r="A1765" s="4" t="str">
        <f t="shared" si="27"/>
        <v>tRNA-Gly-TCC-1-1|37</v>
      </c>
      <c r="B1765" s="4" t="s">
        <v>61</v>
      </c>
      <c r="C1765" s="4" t="s">
        <v>155</v>
      </c>
      <c r="D1765" s="4">
        <v>37</v>
      </c>
      <c r="E1765" s="18" t="s">
        <v>122</v>
      </c>
      <c r="F1765" s="19" t="s">
        <v>150</v>
      </c>
    </row>
    <row r="1766" spans="1:6">
      <c r="A1766" s="4" t="str">
        <f t="shared" si="27"/>
        <v>tRNA-Gly-TCC-1-1|38</v>
      </c>
      <c r="B1766" s="4" t="s">
        <v>61</v>
      </c>
      <c r="C1766" s="4" t="s">
        <v>156</v>
      </c>
      <c r="D1766" s="4">
        <v>38</v>
      </c>
      <c r="E1766" s="18" t="s">
        <v>122</v>
      </c>
      <c r="F1766" s="19" t="s">
        <v>150</v>
      </c>
    </row>
    <row r="1767" spans="1:6">
      <c r="A1767" s="4" t="str">
        <f t="shared" si="27"/>
        <v>tRNA-Gly-TCC-1-1|39</v>
      </c>
      <c r="B1767" s="4" t="s">
        <v>61</v>
      </c>
      <c r="C1767" s="4" t="s">
        <v>157</v>
      </c>
      <c r="D1767" s="4">
        <v>39</v>
      </c>
      <c r="E1767" s="20" t="s">
        <v>109</v>
      </c>
      <c r="F1767" s="21" t="s">
        <v>144</v>
      </c>
    </row>
    <row r="1768" spans="1:6">
      <c r="A1768" s="4" t="str">
        <f t="shared" si="27"/>
        <v>tRNA-Gly-TCC-1-1|40</v>
      </c>
      <c r="B1768" s="4" t="s">
        <v>61</v>
      </c>
      <c r="C1768" s="4" t="s">
        <v>158</v>
      </c>
      <c r="D1768" s="4">
        <v>40</v>
      </c>
      <c r="E1768" s="20" t="s">
        <v>114</v>
      </c>
      <c r="F1768" s="21" t="s">
        <v>144</v>
      </c>
    </row>
    <row r="1769" spans="1:6">
      <c r="A1769" s="4" t="str">
        <f t="shared" si="27"/>
        <v>tRNA-Gly-TCC-1-1|41</v>
      </c>
      <c r="B1769" s="4" t="s">
        <v>61</v>
      </c>
      <c r="C1769" s="4" t="s">
        <v>159</v>
      </c>
      <c r="D1769" s="4">
        <v>41</v>
      </c>
      <c r="E1769" s="20" t="s">
        <v>114</v>
      </c>
      <c r="F1769" s="21" t="s">
        <v>144</v>
      </c>
    </row>
    <row r="1770" spans="1:6">
      <c r="A1770" s="4" t="str">
        <f t="shared" si="27"/>
        <v>tRNA-Gly-TCC-1-1|42</v>
      </c>
      <c r="B1770" s="4" t="s">
        <v>61</v>
      </c>
      <c r="C1770" s="4" t="s">
        <v>160</v>
      </c>
      <c r="D1770" s="4">
        <v>42</v>
      </c>
      <c r="E1770" s="20" t="s">
        <v>114</v>
      </c>
      <c r="F1770" s="21" t="s">
        <v>144</v>
      </c>
    </row>
    <row r="1771" spans="1:6">
      <c r="A1771" s="4" t="str">
        <f t="shared" si="27"/>
        <v>tRNA-Gly-TCC-1-1|43</v>
      </c>
      <c r="B1771" s="4" t="s">
        <v>61</v>
      </c>
      <c r="C1771" s="4" t="s">
        <v>161</v>
      </c>
      <c r="D1771" s="4">
        <v>43</v>
      </c>
      <c r="E1771" s="20" t="s">
        <v>122</v>
      </c>
      <c r="F1771" s="21" t="s">
        <v>144</v>
      </c>
    </row>
    <row r="1772" spans="1:6">
      <c r="A1772" s="4" t="str">
        <f t="shared" si="27"/>
        <v>tRNA-Gly-TCC-1-1|44</v>
      </c>
      <c r="B1772" s="4" t="s">
        <v>61</v>
      </c>
      <c r="C1772" s="4" t="s">
        <v>162</v>
      </c>
      <c r="D1772" s="4">
        <v>44</v>
      </c>
      <c r="E1772" s="18" t="s">
        <v>122</v>
      </c>
      <c r="F1772" s="19" t="s">
        <v>163</v>
      </c>
    </row>
    <row r="1773" spans="1:6">
      <c r="A1773" s="4" t="str">
        <f t="shared" si="27"/>
        <v>tRNA-Gly-TCC-1-1|45</v>
      </c>
      <c r="B1773" s="4" t="s">
        <v>61</v>
      </c>
      <c r="C1773" s="4" t="s">
        <v>164</v>
      </c>
      <c r="D1773" s="4">
        <v>45</v>
      </c>
      <c r="E1773" s="18" t="s">
        <v>122</v>
      </c>
      <c r="F1773" s="19" t="s">
        <v>163</v>
      </c>
    </row>
    <row r="1774" spans="1:6">
      <c r="A1774" s="4" t="str">
        <f t="shared" si="27"/>
        <v>tRNA-Gly-TCC-1-1|46</v>
      </c>
      <c r="B1774" s="4" t="s">
        <v>61</v>
      </c>
      <c r="C1774" s="4" t="s">
        <v>165</v>
      </c>
      <c r="D1774" s="4">
        <v>46</v>
      </c>
      <c r="E1774" s="18" t="s">
        <v>122</v>
      </c>
      <c r="F1774" s="19" t="s">
        <v>163</v>
      </c>
    </row>
    <row r="1775" spans="1:6">
      <c r="A1775" s="4" t="str">
        <f t="shared" si="27"/>
        <v>tRNA-Gly-TCC-1-1|48</v>
      </c>
      <c r="B1775" s="4" t="s">
        <v>61</v>
      </c>
      <c r="C1775" s="4" t="s">
        <v>167</v>
      </c>
      <c r="D1775" s="4">
        <v>47</v>
      </c>
      <c r="E1775" s="18" t="s">
        <v>114</v>
      </c>
      <c r="F1775" s="19" t="s">
        <v>163</v>
      </c>
    </row>
    <row r="1776" spans="1:6">
      <c r="A1776" s="4" t="str">
        <f t="shared" si="27"/>
        <v>tRNA-Gly-TCC-1-1|49</v>
      </c>
      <c r="B1776" s="4" t="s">
        <v>61</v>
      </c>
      <c r="C1776" s="4" t="s">
        <v>168</v>
      </c>
      <c r="D1776" s="4">
        <v>48</v>
      </c>
      <c r="E1776" s="22" t="s">
        <v>114</v>
      </c>
      <c r="F1776" s="10" t="s">
        <v>169</v>
      </c>
    </row>
    <row r="1777" spans="1:6">
      <c r="A1777" s="4" t="str">
        <f t="shared" si="27"/>
        <v>tRNA-Gly-TCC-1-1|50</v>
      </c>
      <c r="B1777" s="4" t="s">
        <v>61</v>
      </c>
      <c r="C1777" s="4" t="s">
        <v>170</v>
      </c>
      <c r="D1777" s="4">
        <v>49</v>
      </c>
      <c r="E1777" s="22" t="s">
        <v>114</v>
      </c>
      <c r="F1777" s="10" t="s">
        <v>169</v>
      </c>
    </row>
    <row r="1778" spans="1:6">
      <c r="A1778" s="4" t="str">
        <f t="shared" si="27"/>
        <v>tRNA-Gly-TCC-1-1|51</v>
      </c>
      <c r="B1778" s="4" t="s">
        <v>61</v>
      </c>
      <c r="C1778" s="4" t="s">
        <v>171</v>
      </c>
      <c r="D1778" s="4">
        <v>50</v>
      </c>
      <c r="E1778" s="22" t="s">
        <v>109</v>
      </c>
      <c r="F1778" s="10" t="s">
        <v>169</v>
      </c>
    </row>
    <row r="1779" spans="1:6">
      <c r="A1779" s="4" t="str">
        <f t="shared" si="27"/>
        <v>tRNA-Gly-TCC-1-1|52</v>
      </c>
      <c r="B1779" s="4" t="s">
        <v>61</v>
      </c>
      <c r="C1779" s="4" t="s">
        <v>172</v>
      </c>
      <c r="D1779" s="4">
        <v>51</v>
      </c>
      <c r="E1779" s="22" t="s">
        <v>109</v>
      </c>
      <c r="F1779" s="10" t="s">
        <v>169</v>
      </c>
    </row>
    <row r="1780" spans="1:6">
      <c r="A1780" s="4" t="str">
        <f t="shared" si="27"/>
        <v>tRNA-Gly-TCC-1-1|53</v>
      </c>
      <c r="B1780" s="4" t="s">
        <v>61</v>
      </c>
      <c r="C1780" s="4" t="s">
        <v>173</v>
      </c>
      <c r="D1780" s="4">
        <v>52</v>
      </c>
      <c r="E1780" s="22" t="s">
        <v>109</v>
      </c>
      <c r="F1780" s="10" t="s">
        <v>169</v>
      </c>
    </row>
    <row r="1781" spans="1:6">
      <c r="A1781" s="4" t="str">
        <f t="shared" si="27"/>
        <v>tRNA-Gly-TCC-1-1|54</v>
      </c>
      <c r="B1781" s="4" t="s">
        <v>61</v>
      </c>
      <c r="C1781" s="4" t="s">
        <v>174</v>
      </c>
      <c r="D1781" s="4">
        <v>53</v>
      </c>
      <c r="E1781" s="18" t="s">
        <v>116</v>
      </c>
      <c r="F1781" s="19" t="s">
        <v>175</v>
      </c>
    </row>
    <row r="1782" spans="1:6">
      <c r="A1782" s="4" t="str">
        <f t="shared" si="27"/>
        <v>tRNA-Gly-TCC-1-1|55</v>
      </c>
      <c r="B1782" s="4" t="s">
        <v>61</v>
      </c>
      <c r="C1782" s="4" t="s">
        <v>176</v>
      </c>
      <c r="D1782" s="4">
        <v>54</v>
      </c>
      <c r="E1782" s="18" t="s">
        <v>116</v>
      </c>
      <c r="F1782" s="19" t="s">
        <v>175</v>
      </c>
    </row>
    <row r="1783" spans="1:6">
      <c r="A1783" s="4" t="str">
        <f t="shared" si="27"/>
        <v>tRNA-Gly-TCC-1-1|56</v>
      </c>
      <c r="B1783" s="4" t="s">
        <v>61</v>
      </c>
      <c r="C1783" s="4" t="s">
        <v>177</v>
      </c>
      <c r="D1783" s="4">
        <v>55</v>
      </c>
      <c r="E1783" s="18" t="s">
        <v>114</v>
      </c>
      <c r="F1783" s="19" t="s">
        <v>175</v>
      </c>
    </row>
    <row r="1784" spans="1:6">
      <c r="A1784" s="4" t="str">
        <f t="shared" si="27"/>
        <v>tRNA-Gly-TCC-1-1|57</v>
      </c>
      <c r="B1784" s="4" t="s">
        <v>61</v>
      </c>
      <c r="C1784" s="4" t="s">
        <v>178</v>
      </c>
      <c r="D1784" s="4">
        <v>56</v>
      </c>
      <c r="E1784" s="18" t="s">
        <v>122</v>
      </c>
      <c r="F1784" s="19" t="s">
        <v>175</v>
      </c>
    </row>
    <row r="1785" spans="1:6">
      <c r="A1785" s="4" t="str">
        <f t="shared" si="27"/>
        <v>tRNA-Gly-TCC-1-1|58</v>
      </c>
      <c r="B1785" s="4" t="s">
        <v>61</v>
      </c>
      <c r="C1785" s="4" t="s">
        <v>179</v>
      </c>
      <c r="D1785" s="4">
        <v>57</v>
      </c>
      <c r="E1785" s="18" t="s">
        <v>122</v>
      </c>
      <c r="F1785" s="19" t="s">
        <v>175</v>
      </c>
    </row>
    <row r="1786" spans="1:6">
      <c r="A1786" s="4" t="str">
        <f t="shared" si="27"/>
        <v>tRNA-Gly-TCC-1-1|59</v>
      </c>
      <c r="B1786" s="4" t="s">
        <v>61</v>
      </c>
      <c r="C1786" s="4" t="s">
        <v>180</v>
      </c>
      <c r="D1786" s="4">
        <v>58</v>
      </c>
      <c r="E1786" s="18" t="s">
        <v>122</v>
      </c>
      <c r="F1786" s="19" t="s">
        <v>175</v>
      </c>
    </row>
    <row r="1787" spans="1:6">
      <c r="A1787" s="4" t="str">
        <f t="shared" si="27"/>
        <v>tRNA-Gly-TCC-1-1|60</v>
      </c>
      <c r="B1787" s="4" t="s">
        <v>61</v>
      </c>
      <c r="C1787" s="4" t="s">
        <v>181</v>
      </c>
      <c r="D1787" s="4">
        <v>59</v>
      </c>
      <c r="E1787" s="18" t="s">
        <v>116</v>
      </c>
      <c r="F1787" s="19" t="s">
        <v>175</v>
      </c>
    </row>
    <row r="1788" spans="1:6">
      <c r="A1788" s="4" t="str">
        <f t="shared" si="27"/>
        <v>tRNA-Gly-TCC-1-1|61</v>
      </c>
      <c r="B1788" s="4" t="s">
        <v>61</v>
      </c>
      <c r="C1788" s="4" t="s">
        <v>182</v>
      </c>
      <c r="D1788" s="4">
        <v>60</v>
      </c>
      <c r="E1788" s="22" t="s">
        <v>114</v>
      </c>
      <c r="F1788" s="10" t="s">
        <v>169</v>
      </c>
    </row>
    <row r="1789" spans="1:6">
      <c r="A1789" s="4" t="str">
        <f t="shared" si="27"/>
        <v>tRNA-Gly-TCC-1-1|62</v>
      </c>
      <c r="B1789" s="4" t="s">
        <v>61</v>
      </c>
      <c r="C1789" s="4" t="s">
        <v>183</v>
      </c>
      <c r="D1789" s="4">
        <v>61</v>
      </c>
      <c r="E1789" s="22" t="s">
        <v>114</v>
      </c>
      <c r="F1789" s="10" t="s">
        <v>169</v>
      </c>
    </row>
    <row r="1790" spans="1:6">
      <c r="A1790" s="4" t="str">
        <f t="shared" si="27"/>
        <v>tRNA-Gly-TCC-1-1|63</v>
      </c>
      <c r="B1790" s="4" t="s">
        <v>61</v>
      </c>
      <c r="C1790" s="4" t="s">
        <v>184</v>
      </c>
      <c r="D1790" s="4">
        <v>62</v>
      </c>
      <c r="E1790" s="22" t="s">
        <v>114</v>
      </c>
      <c r="F1790" s="10" t="s">
        <v>169</v>
      </c>
    </row>
    <row r="1791" spans="1:6">
      <c r="A1791" s="4" t="str">
        <f t="shared" si="27"/>
        <v>tRNA-Gly-TCC-1-1|64</v>
      </c>
      <c r="B1791" s="4" t="s">
        <v>61</v>
      </c>
      <c r="C1791" s="4" t="s">
        <v>185</v>
      </c>
      <c r="D1791" s="4">
        <v>63</v>
      </c>
      <c r="E1791" s="22" t="s">
        <v>109</v>
      </c>
      <c r="F1791" s="10" t="s">
        <v>169</v>
      </c>
    </row>
    <row r="1792" spans="1:6">
      <c r="A1792" s="4" t="str">
        <f t="shared" si="27"/>
        <v>tRNA-Gly-TCC-1-1|65</v>
      </c>
      <c r="B1792" s="4" t="s">
        <v>61</v>
      </c>
      <c r="C1792" s="4" t="s">
        <v>186</v>
      </c>
      <c r="D1792" s="4">
        <v>64</v>
      </c>
      <c r="E1792" s="22" t="s">
        <v>109</v>
      </c>
      <c r="F1792" s="10" t="s">
        <v>169</v>
      </c>
    </row>
    <row r="1793" spans="1:6">
      <c r="A1793" s="4" t="str">
        <f t="shared" si="27"/>
        <v>tRNA-Gly-TCC-1-1|66</v>
      </c>
      <c r="B1793" s="4" t="s">
        <v>61</v>
      </c>
      <c r="C1793" s="4" t="s">
        <v>187</v>
      </c>
      <c r="D1793" s="4">
        <v>65</v>
      </c>
      <c r="E1793" s="16" t="s">
        <v>116</v>
      </c>
      <c r="F1793" s="17" t="s">
        <v>110</v>
      </c>
    </row>
    <row r="1794" spans="1:6">
      <c r="A1794" s="4" t="str">
        <f t="shared" ref="A1794:A1857" si="28">B1794&amp;"|"&amp;C1794</f>
        <v>tRNA-Gly-TCC-1-1|67</v>
      </c>
      <c r="B1794" s="4" t="s">
        <v>61</v>
      </c>
      <c r="C1794" s="4" t="s">
        <v>188</v>
      </c>
      <c r="D1794" s="4">
        <v>66</v>
      </c>
      <c r="E1794" s="16" t="s">
        <v>114</v>
      </c>
      <c r="F1794" s="17" t="s">
        <v>110</v>
      </c>
    </row>
    <row r="1795" spans="1:6">
      <c r="A1795" s="4" t="str">
        <f t="shared" si="28"/>
        <v>tRNA-Gly-TCC-1-1|68</v>
      </c>
      <c r="B1795" s="4" t="s">
        <v>61</v>
      </c>
      <c r="C1795" s="4" t="s">
        <v>189</v>
      </c>
      <c r="D1795" s="4">
        <v>67</v>
      </c>
      <c r="E1795" s="16" t="s">
        <v>109</v>
      </c>
      <c r="F1795" s="17" t="s">
        <v>110</v>
      </c>
    </row>
    <row r="1796" spans="1:6">
      <c r="A1796" s="4" t="str">
        <f t="shared" si="28"/>
        <v>tRNA-Gly-TCC-1-1|69</v>
      </c>
      <c r="B1796" s="4" t="s">
        <v>61</v>
      </c>
      <c r="C1796" s="4" t="s">
        <v>190</v>
      </c>
      <c r="D1796" s="4">
        <v>68</v>
      </c>
      <c r="E1796" s="16" t="s">
        <v>109</v>
      </c>
      <c r="F1796" s="17" t="s">
        <v>110</v>
      </c>
    </row>
    <row r="1797" spans="1:6">
      <c r="A1797" s="4" t="str">
        <f t="shared" si="28"/>
        <v>tRNA-Gly-TCC-1-1|70</v>
      </c>
      <c r="B1797" s="4" t="s">
        <v>61</v>
      </c>
      <c r="C1797" s="4" t="s">
        <v>191</v>
      </c>
      <c r="D1797" s="4">
        <v>69</v>
      </c>
      <c r="E1797" s="16" t="s">
        <v>114</v>
      </c>
      <c r="F1797" s="17" t="s">
        <v>110</v>
      </c>
    </row>
    <row r="1798" spans="1:6">
      <c r="A1798" s="4" t="str">
        <f t="shared" si="28"/>
        <v>tRNA-Gly-TCC-1-1|71</v>
      </c>
      <c r="B1798" s="4" t="s">
        <v>61</v>
      </c>
      <c r="C1798" s="4" t="s">
        <v>192</v>
      </c>
      <c r="D1798" s="4">
        <v>70</v>
      </c>
      <c r="E1798" s="16" t="s">
        <v>109</v>
      </c>
      <c r="F1798" s="17" t="s">
        <v>110</v>
      </c>
    </row>
    <row r="1799" spans="1:6">
      <c r="A1799" s="4" t="str">
        <f t="shared" si="28"/>
        <v>tRNA-Gly-TCC-1-1|72</v>
      </c>
      <c r="B1799" s="4" t="s">
        <v>61</v>
      </c>
      <c r="C1799" s="4" t="s">
        <v>193</v>
      </c>
      <c r="D1799" s="4">
        <v>71</v>
      </c>
      <c r="E1799" s="16" t="s">
        <v>114</v>
      </c>
      <c r="F1799" s="17" t="s">
        <v>110</v>
      </c>
    </row>
    <row r="1800" spans="1:6">
      <c r="A1800" s="4" t="str">
        <f t="shared" si="28"/>
        <v>tRNA-His-GTG-1-1|1</v>
      </c>
      <c r="B1800" s="4" t="s">
        <v>62</v>
      </c>
      <c r="C1800" s="4" t="s">
        <v>108</v>
      </c>
      <c r="D1800" s="4">
        <v>1</v>
      </c>
      <c r="E1800" s="16" t="s">
        <v>109</v>
      </c>
      <c r="F1800" s="17" t="s">
        <v>110</v>
      </c>
    </row>
    <row r="1801" spans="1:6">
      <c r="A1801" s="4" t="str">
        <f t="shared" si="28"/>
        <v>tRNA-His-GTG-1-1|2</v>
      </c>
      <c r="B1801" s="4" t="s">
        <v>62</v>
      </c>
      <c r="C1801" s="4" t="s">
        <v>111</v>
      </c>
      <c r="D1801" s="4">
        <v>2</v>
      </c>
      <c r="E1801" s="16" t="s">
        <v>114</v>
      </c>
      <c r="F1801" s="17" t="s">
        <v>110</v>
      </c>
    </row>
    <row r="1802" spans="1:6">
      <c r="A1802" s="4" t="str">
        <f t="shared" si="28"/>
        <v>tRNA-His-GTG-1-1|3</v>
      </c>
      <c r="B1802" s="4" t="s">
        <v>62</v>
      </c>
      <c r="C1802" s="4" t="s">
        <v>112</v>
      </c>
      <c r="D1802" s="4">
        <v>3</v>
      </c>
      <c r="E1802" s="16" t="s">
        <v>114</v>
      </c>
      <c r="F1802" s="17" t="s">
        <v>110</v>
      </c>
    </row>
    <row r="1803" spans="1:6">
      <c r="A1803" s="4" t="str">
        <f t="shared" si="28"/>
        <v>tRNA-His-GTG-1-1|4</v>
      </c>
      <c r="B1803" s="4" t="s">
        <v>62</v>
      </c>
      <c r="C1803" s="4" t="s">
        <v>113</v>
      </c>
      <c r="D1803" s="4">
        <v>4</v>
      </c>
      <c r="E1803" s="16" t="s">
        <v>109</v>
      </c>
      <c r="F1803" s="17" t="s">
        <v>110</v>
      </c>
    </row>
    <row r="1804" spans="1:6">
      <c r="A1804" s="4" t="str">
        <f t="shared" si="28"/>
        <v>tRNA-His-GTG-1-1|5</v>
      </c>
      <c r="B1804" s="4" t="s">
        <v>62</v>
      </c>
      <c r="C1804" s="4" t="s">
        <v>115</v>
      </c>
      <c r="D1804" s="4">
        <v>5</v>
      </c>
      <c r="E1804" s="16" t="s">
        <v>109</v>
      </c>
      <c r="F1804" s="17" t="s">
        <v>110</v>
      </c>
    </row>
    <row r="1805" spans="1:6">
      <c r="A1805" s="4" t="str">
        <f t="shared" si="28"/>
        <v>tRNA-His-GTG-1-1|6</v>
      </c>
      <c r="B1805" s="4" t="s">
        <v>62</v>
      </c>
      <c r="C1805" s="4" t="s">
        <v>117</v>
      </c>
      <c r="D1805" s="4">
        <v>6</v>
      </c>
      <c r="E1805" s="16" t="s">
        <v>109</v>
      </c>
      <c r="F1805" s="17" t="s">
        <v>110</v>
      </c>
    </row>
    <row r="1806" spans="1:6">
      <c r="A1806" s="4" t="str">
        <f t="shared" si="28"/>
        <v>tRNA-His-GTG-1-1|7</v>
      </c>
      <c r="B1806" s="4" t="s">
        <v>62</v>
      </c>
      <c r="C1806" s="4" t="s">
        <v>118</v>
      </c>
      <c r="D1806" s="4">
        <v>7</v>
      </c>
      <c r="E1806" s="16" t="s">
        <v>109</v>
      </c>
      <c r="F1806" s="17" t="s">
        <v>110</v>
      </c>
    </row>
    <row r="1807" spans="1:6">
      <c r="A1807" s="4" t="str">
        <f t="shared" si="28"/>
        <v>tRNA-His-GTG-1-1|8</v>
      </c>
      <c r="B1807" s="4" t="s">
        <v>62</v>
      </c>
      <c r="C1807" s="4" t="s">
        <v>119</v>
      </c>
      <c r="D1807" s="4">
        <v>8</v>
      </c>
      <c r="E1807" s="3" t="s">
        <v>116</v>
      </c>
      <c r="F1807" s="4" t="s">
        <v>120</v>
      </c>
    </row>
    <row r="1808" spans="1:6">
      <c r="A1808" s="4" t="str">
        <f t="shared" si="28"/>
        <v>tRNA-His-GTG-1-1|9</v>
      </c>
      <c r="B1808" s="4" t="s">
        <v>62</v>
      </c>
      <c r="C1808" s="4" t="s">
        <v>121</v>
      </c>
      <c r="D1808" s="4">
        <v>9</v>
      </c>
      <c r="E1808" s="3" t="s">
        <v>122</v>
      </c>
      <c r="F1808" s="4" t="s">
        <v>123</v>
      </c>
    </row>
    <row r="1809" spans="1:6">
      <c r="A1809" s="4" t="str">
        <f t="shared" si="28"/>
        <v>tRNA-His-GTG-1-1|10</v>
      </c>
      <c r="B1809" s="4" t="s">
        <v>62</v>
      </c>
      <c r="C1809" s="4" t="s">
        <v>124</v>
      </c>
      <c r="D1809" s="4">
        <v>10</v>
      </c>
      <c r="E1809" s="8" t="s">
        <v>109</v>
      </c>
      <c r="F1809" s="7" t="s">
        <v>125</v>
      </c>
    </row>
    <row r="1810" spans="1:6">
      <c r="A1810" s="4" t="str">
        <f t="shared" si="28"/>
        <v>tRNA-His-GTG-1-1|11</v>
      </c>
      <c r="B1810" s="4" t="s">
        <v>62</v>
      </c>
      <c r="C1810" s="4" t="s">
        <v>126</v>
      </c>
      <c r="D1810" s="4">
        <v>11</v>
      </c>
      <c r="E1810" s="8" t="s">
        <v>109</v>
      </c>
      <c r="F1810" s="7" t="s">
        <v>125</v>
      </c>
    </row>
    <row r="1811" spans="1:6">
      <c r="A1811" s="4" t="str">
        <f t="shared" si="28"/>
        <v>tRNA-His-GTG-1-1|12</v>
      </c>
      <c r="B1811" s="4" t="s">
        <v>62</v>
      </c>
      <c r="C1811" s="4" t="s">
        <v>127</v>
      </c>
      <c r="D1811" s="4">
        <v>12</v>
      </c>
      <c r="E1811" s="8" t="s">
        <v>109</v>
      </c>
      <c r="F1811" s="7" t="s">
        <v>125</v>
      </c>
    </row>
    <row r="1812" spans="1:6">
      <c r="A1812" s="4" t="str">
        <f t="shared" si="28"/>
        <v>tRNA-His-GTG-1-1|13</v>
      </c>
      <c r="B1812" s="4" t="s">
        <v>62</v>
      </c>
      <c r="C1812" s="4" t="s">
        <v>128</v>
      </c>
      <c r="D1812" s="4">
        <v>13</v>
      </c>
      <c r="E1812" s="8" t="s">
        <v>116</v>
      </c>
      <c r="F1812" s="7" t="s">
        <v>125</v>
      </c>
    </row>
    <row r="1813" spans="1:6">
      <c r="A1813" s="4" t="str">
        <f t="shared" si="28"/>
        <v>tRNA-His-GTG-1-1|14</v>
      </c>
      <c r="B1813" s="4" t="s">
        <v>62</v>
      </c>
      <c r="C1813" s="4" t="s">
        <v>129</v>
      </c>
      <c r="D1813" s="4">
        <v>14</v>
      </c>
      <c r="E1813" s="18" t="s">
        <v>122</v>
      </c>
      <c r="F1813" s="19" t="s">
        <v>130</v>
      </c>
    </row>
    <row r="1814" spans="1:6">
      <c r="A1814" s="4" t="str">
        <f t="shared" si="28"/>
        <v>tRNA-His-GTG-1-1|15</v>
      </c>
      <c r="B1814" s="4" t="s">
        <v>62</v>
      </c>
      <c r="C1814" s="4" t="s">
        <v>131</v>
      </c>
      <c r="D1814" s="4">
        <v>15</v>
      </c>
      <c r="E1814" s="18" t="s">
        <v>109</v>
      </c>
      <c r="F1814" s="19" t="s">
        <v>130</v>
      </c>
    </row>
    <row r="1815" spans="1:6">
      <c r="A1815" s="4" t="str">
        <f t="shared" si="28"/>
        <v>tRNA-His-GTG-1-1|16</v>
      </c>
      <c r="B1815" s="4" t="s">
        <v>62</v>
      </c>
      <c r="C1815" s="4" t="s">
        <v>194</v>
      </c>
      <c r="D1815" s="4">
        <v>16</v>
      </c>
      <c r="E1815" s="18" t="s">
        <v>122</v>
      </c>
      <c r="F1815" s="19" t="s">
        <v>130</v>
      </c>
    </row>
    <row r="1816" spans="1:6">
      <c r="A1816" s="4" t="str">
        <f t="shared" si="28"/>
        <v>tRNA-His-GTG-1-1|18</v>
      </c>
      <c r="B1816" s="4" t="s">
        <v>62</v>
      </c>
      <c r="C1816" s="4" t="s">
        <v>132</v>
      </c>
      <c r="D1816" s="4">
        <v>17</v>
      </c>
      <c r="E1816" s="18" t="s">
        <v>109</v>
      </c>
      <c r="F1816" s="19" t="s">
        <v>130</v>
      </c>
    </row>
    <row r="1817" spans="1:6">
      <c r="A1817" s="4" t="str">
        <f t="shared" si="28"/>
        <v>tRNA-His-GTG-1-1|19</v>
      </c>
      <c r="B1817" s="4" t="s">
        <v>62</v>
      </c>
      <c r="C1817" s="4" t="s">
        <v>133</v>
      </c>
      <c r="D1817" s="4">
        <v>18</v>
      </c>
      <c r="E1817" s="18" t="s">
        <v>109</v>
      </c>
      <c r="F1817" s="19" t="s">
        <v>130</v>
      </c>
    </row>
    <row r="1818" spans="1:6">
      <c r="A1818" s="4" t="str">
        <f t="shared" si="28"/>
        <v>tRNA-His-GTG-1-1|20</v>
      </c>
      <c r="B1818" s="4" t="s">
        <v>62</v>
      </c>
      <c r="C1818" s="4" t="s">
        <v>134</v>
      </c>
      <c r="D1818" s="4">
        <v>19</v>
      </c>
      <c r="E1818" s="18" t="s">
        <v>114</v>
      </c>
      <c r="F1818" s="19" t="s">
        <v>130</v>
      </c>
    </row>
    <row r="1819" spans="1:6">
      <c r="A1819" s="4" t="str">
        <f t="shared" si="28"/>
        <v>tRNA-His-GTG-1-1|20a</v>
      </c>
      <c r="B1819" s="4" t="s">
        <v>62</v>
      </c>
      <c r="C1819" s="4" t="s">
        <v>135</v>
      </c>
      <c r="D1819" s="4">
        <v>20</v>
      </c>
      <c r="E1819" s="18" t="s">
        <v>114</v>
      </c>
      <c r="F1819" s="19" t="s">
        <v>130</v>
      </c>
    </row>
    <row r="1820" spans="1:6">
      <c r="A1820" s="4" t="str">
        <f t="shared" si="28"/>
        <v>tRNA-His-GTG-1-1|21</v>
      </c>
      <c r="B1820" s="4" t="s">
        <v>62</v>
      </c>
      <c r="C1820" s="4" t="s">
        <v>136</v>
      </c>
      <c r="D1820" s="4">
        <v>21</v>
      </c>
      <c r="E1820" s="18" t="s">
        <v>122</v>
      </c>
      <c r="F1820" s="19" t="s">
        <v>130</v>
      </c>
    </row>
    <row r="1821" spans="1:6">
      <c r="A1821" s="4" t="str">
        <f t="shared" si="28"/>
        <v>tRNA-His-GTG-1-1|22</v>
      </c>
      <c r="B1821" s="4" t="s">
        <v>62</v>
      </c>
      <c r="C1821" s="4" t="s">
        <v>137</v>
      </c>
      <c r="D1821" s="4">
        <v>22</v>
      </c>
      <c r="E1821" s="8" t="s">
        <v>116</v>
      </c>
      <c r="F1821" s="7" t="s">
        <v>125</v>
      </c>
    </row>
    <row r="1822" spans="1:6">
      <c r="A1822" s="4" t="str">
        <f t="shared" si="28"/>
        <v>tRNA-His-GTG-1-1|23</v>
      </c>
      <c r="B1822" s="4" t="s">
        <v>62</v>
      </c>
      <c r="C1822" s="4" t="s">
        <v>138</v>
      </c>
      <c r="D1822" s="4">
        <v>23</v>
      </c>
      <c r="E1822" s="8" t="s">
        <v>114</v>
      </c>
      <c r="F1822" s="7" t="s">
        <v>125</v>
      </c>
    </row>
    <row r="1823" spans="1:6">
      <c r="A1823" s="4" t="str">
        <f t="shared" si="28"/>
        <v>tRNA-His-GTG-1-1|24</v>
      </c>
      <c r="B1823" s="4" t="s">
        <v>62</v>
      </c>
      <c r="C1823" s="4" t="s">
        <v>139</v>
      </c>
      <c r="D1823" s="4">
        <v>24</v>
      </c>
      <c r="E1823" s="8" t="s">
        <v>114</v>
      </c>
      <c r="F1823" s="7" t="s">
        <v>125</v>
      </c>
    </row>
    <row r="1824" spans="1:6">
      <c r="A1824" s="4" t="str">
        <f t="shared" si="28"/>
        <v>tRNA-His-GTG-1-1|25</v>
      </c>
      <c r="B1824" s="4" t="s">
        <v>62</v>
      </c>
      <c r="C1824" s="4" t="s">
        <v>140</v>
      </c>
      <c r="D1824" s="4">
        <v>25</v>
      </c>
      <c r="E1824" s="8" t="s">
        <v>116</v>
      </c>
      <c r="F1824" s="7" t="s">
        <v>125</v>
      </c>
    </row>
    <row r="1825" spans="1:6">
      <c r="A1825" s="4" t="str">
        <f t="shared" si="28"/>
        <v>tRNA-His-GTG-1-1|26</v>
      </c>
      <c r="B1825" s="4" t="s">
        <v>62</v>
      </c>
      <c r="C1825" s="4" t="s">
        <v>141</v>
      </c>
      <c r="D1825" s="4">
        <v>26</v>
      </c>
      <c r="E1825" s="3" t="s">
        <v>109</v>
      </c>
      <c r="F1825" s="4" t="s">
        <v>142</v>
      </c>
    </row>
    <row r="1826" spans="1:6">
      <c r="A1826" s="4" t="str">
        <f t="shared" si="28"/>
        <v>tRNA-His-GTG-1-1|27</v>
      </c>
      <c r="B1826" s="4" t="s">
        <v>62</v>
      </c>
      <c r="C1826" s="4" t="s">
        <v>143</v>
      </c>
      <c r="D1826" s="4">
        <v>27</v>
      </c>
      <c r="E1826" s="20" t="s">
        <v>116</v>
      </c>
      <c r="F1826" s="21" t="s">
        <v>144</v>
      </c>
    </row>
    <row r="1827" spans="1:6">
      <c r="A1827" s="4" t="str">
        <f t="shared" si="28"/>
        <v>tRNA-His-GTG-1-1|28</v>
      </c>
      <c r="B1827" s="4" t="s">
        <v>62</v>
      </c>
      <c r="C1827" s="4" t="s">
        <v>145</v>
      </c>
      <c r="D1827" s="4">
        <v>28</v>
      </c>
      <c r="E1827" s="20" t="s">
        <v>109</v>
      </c>
      <c r="F1827" s="21" t="s">
        <v>144</v>
      </c>
    </row>
    <row r="1828" spans="1:6">
      <c r="A1828" s="4" t="str">
        <f t="shared" si="28"/>
        <v>tRNA-His-GTG-1-1|29</v>
      </c>
      <c r="B1828" s="4" t="s">
        <v>62</v>
      </c>
      <c r="C1828" s="4" t="s">
        <v>146</v>
      </c>
      <c r="D1828" s="4">
        <v>29</v>
      </c>
      <c r="E1828" s="20" t="s">
        <v>109</v>
      </c>
      <c r="F1828" s="21" t="s">
        <v>144</v>
      </c>
    </row>
    <row r="1829" spans="1:6">
      <c r="A1829" s="4" t="str">
        <f t="shared" si="28"/>
        <v>tRNA-His-GTG-1-1|30</v>
      </c>
      <c r="B1829" s="4" t="s">
        <v>62</v>
      </c>
      <c r="C1829" s="4" t="s">
        <v>147</v>
      </c>
      <c r="D1829" s="4">
        <v>30</v>
      </c>
      <c r="E1829" s="20" t="s">
        <v>114</v>
      </c>
      <c r="F1829" s="21" t="s">
        <v>144</v>
      </c>
    </row>
    <row r="1830" spans="1:6">
      <c r="A1830" s="4" t="str">
        <f t="shared" si="28"/>
        <v>tRNA-His-GTG-1-1|31</v>
      </c>
      <c r="B1830" s="4" t="s">
        <v>62</v>
      </c>
      <c r="C1830" s="4" t="s">
        <v>148</v>
      </c>
      <c r="D1830" s="4">
        <v>31</v>
      </c>
      <c r="E1830" s="20" t="s">
        <v>114</v>
      </c>
      <c r="F1830" s="21" t="s">
        <v>144</v>
      </c>
    </row>
    <row r="1831" spans="1:6">
      <c r="A1831" s="4" t="str">
        <f t="shared" si="28"/>
        <v>tRNA-His-GTG-1-1|32</v>
      </c>
      <c r="B1831" s="4" t="s">
        <v>62</v>
      </c>
      <c r="C1831" s="4" t="s">
        <v>149</v>
      </c>
      <c r="D1831" s="4">
        <v>32</v>
      </c>
      <c r="E1831" s="18" t="s">
        <v>114</v>
      </c>
      <c r="F1831" s="19" t="s">
        <v>150</v>
      </c>
    </row>
    <row r="1832" spans="1:6">
      <c r="A1832" s="4" t="str">
        <f t="shared" si="28"/>
        <v>tRNA-His-GTG-1-1|33</v>
      </c>
      <c r="B1832" s="4" t="s">
        <v>62</v>
      </c>
      <c r="C1832" s="4" t="s">
        <v>151</v>
      </c>
      <c r="D1832" s="4">
        <v>33</v>
      </c>
      <c r="E1832" s="18" t="s">
        <v>116</v>
      </c>
      <c r="F1832" s="19" t="s">
        <v>150</v>
      </c>
    </row>
    <row r="1833" spans="1:6">
      <c r="A1833" s="4" t="str">
        <f t="shared" si="28"/>
        <v>tRNA-His-GTG-1-1|34</v>
      </c>
      <c r="B1833" s="4" t="s">
        <v>62</v>
      </c>
      <c r="C1833" s="4" t="s">
        <v>152</v>
      </c>
      <c r="D1833" s="4">
        <v>34</v>
      </c>
      <c r="E1833" s="18" t="s">
        <v>109</v>
      </c>
      <c r="F1833" s="19" t="s">
        <v>150</v>
      </c>
    </row>
    <row r="1834" spans="1:6">
      <c r="A1834" s="4" t="str">
        <f t="shared" si="28"/>
        <v>tRNA-His-GTG-1-1|35</v>
      </c>
      <c r="B1834" s="4" t="s">
        <v>62</v>
      </c>
      <c r="C1834" s="4" t="s">
        <v>153</v>
      </c>
      <c r="D1834" s="4">
        <v>35</v>
      </c>
      <c r="E1834" s="18" t="s">
        <v>116</v>
      </c>
      <c r="F1834" s="19" t="s">
        <v>150</v>
      </c>
    </row>
    <row r="1835" spans="1:6">
      <c r="A1835" s="4" t="str">
        <f t="shared" si="28"/>
        <v>tRNA-His-GTG-1-1|36</v>
      </c>
      <c r="B1835" s="4" t="s">
        <v>62</v>
      </c>
      <c r="C1835" s="4" t="s">
        <v>154</v>
      </c>
      <c r="D1835" s="4">
        <v>36</v>
      </c>
      <c r="E1835" s="18" t="s">
        <v>109</v>
      </c>
      <c r="F1835" s="19" t="s">
        <v>150</v>
      </c>
    </row>
    <row r="1836" spans="1:6">
      <c r="A1836" s="4" t="str">
        <f t="shared" si="28"/>
        <v>tRNA-His-GTG-1-1|37</v>
      </c>
      <c r="B1836" s="4" t="s">
        <v>62</v>
      </c>
      <c r="C1836" s="4" t="s">
        <v>155</v>
      </c>
      <c r="D1836" s="4">
        <v>37</v>
      </c>
      <c r="E1836" s="18" t="s">
        <v>109</v>
      </c>
      <c r="F1836" s="19" t="s">
        <v>150</v>
      </c>
    </row>
    <row r="1837" spans="1:6">
      <c r="A1837" s="4" t="str">
        <f t="shared" si="28"/>
        <v>tRNA-His-GTG-1-1|38</v>
      </c>
      <c r="B1837" s="4" t="s">
        <v>62</v>
      </c>
      <c r="C1837" s="4" t="s">
        <v>156</v>
      </c>
      <c r="D1837" s="4">
        <v>38</v>
      </c>
      <c r="E1837" s="18" t="s">
        <v>122</v>
      </c>
      <c r="F1837" s="19" t="s">
        <v>150</v>
      </c>
    </row>
    <row r="1838" spans="1:6">
      <c r="A1838" s="4" t="str">
        <f t="shared" si="28"/>
        <v>tRNA-His-GTG-1-1|39</v>
      </c>
      <c r="B1838" s="4" t="s">
        <v>62</v>
      </c>
      <c r="C1838" s="4" t="s">
        <v>157</v>
      </c>
      <c r="D1838" s="4">
        <v>39</v>
      </c>
      <c r="E1838" s="20" t="s">
        <v>109</v>
      </c>
      <c r="F1838" s="21" t="s">
        <v>144</v>
      </c>
    </row>
    <row r="1839" spans="1:6">
      <c r="A1839" s="4" t="str">
        <f t="shared" si="28"/>
        <v>tRNA-His-GTG-1-1|40</v>
      </c>
      <c r="B1839" s="4" t="s">
        <v>62</v>
      </c>
      <c r="C1839" s="4" t="s">
        <v>158</v>
      </c>
      <c r="D1839" s="4">
        <v>40</v>
      </c>
      <c r="E1839" s="20" t="s">
        <v>109</v>
      </c>
      <c r="F1839" s="21" t="s">
        <v>144</v>
      </c>
    </row>
    <row r="1840" spans="1:6">
      <c r="A1840" s="4" t="str">
        <f t="shared" si="28"/>
        <v>tRNA-His-GTG-1-1|41</v>
      </c>
      <c r="B1840" s="4" t="s">
        <v>62</v>
      </c>
      <c r="C1840" s="4" t="s">
        <v>159</v>
      </c>
      <c r="D1840" s="4">
        <v>41</v>
      </c>
      <c r="E1840" s="20" t="s">
        <v>114</v>
      </c>
      <c r="F1840" s="21" t="s">
        <v>144</v>
      </c>
    </row>
    <row r="1841" spans="1:6">
      <c r="A1841" s="4" t="str">
        <f t="shared" si="28"/>
        <v>tRNA-His-GTG-1-1|42</v>
      </c>
      <c r="B1841" s="4" t="s">
        <v>62</v>
      </c>
      <c r="C1841" s="4" t="s">
        <v>160</v>
      </c>
      <c r="D1841" s="4">
        <v>42</v>
      </c>
      <c r="E1841" s="20" t="s">
        <v>116</v>
      </c>
      <c r="F1841" s="21" t="s">
        <v>144</v>
      </c>
    </row>
    <row r="1842" spans="1:6">
      <c r="A1842" s="4" t="str">
        <f t="shared" si="28"/>
        <v>tRNA-His-GTG-1-1|43</v>
      </c>
      <c r="B1842" s="4" t="s">
        <v>62</v>
      </c>
      <c r="C1842" s="4" t="s">
        <v>161</v>
      </c>
      <c r="D1842" s="4">
        <v>43</v>
      </c>
      <c r="E1842" s="20" t="s">
        <v>122</v>
      </c>
      <c r="F1842" s="21" t="s">
        <v>144</v>
      </c>
    </row>
    <row r="1843" spans="1:6">
      <c r="A1843" s="4" t="str">
        <f t="shared" si="28"/>
        <v>tRNA-His-GTG-1-1|44</v>
      </c>
      <c r="B1843" s="4" t="s">
        <v>62</v>
      </c>
      <c r="C1843" s="4" t="s">
        <v>162</v>
      </c>
      <c r="D1843" s="4">
        <v>44</v>
      </c>
      <c r="E1843" s="18" t="s">
        <v>114</v>
      </c>
      <c r="F1843" s="19" t="s">
        <v>163</v>
      </c>
    </row>
    <row r="1844" spans="1:6">
      <c r="A1844" s="4" t="str">
        <f t="shared" si="28"/>
        <v>tRNA-His-GTG-1-1|45</v>
      </c>
      <c r="B1844" s="4" t="s">
        <v>62</v>
      </c>
      <c r="C1844" s="4" t="s">
        <v>164</v>
      </c>
      <c r="D1844" s="4">
        <v>45</v>
      </c>
      <c r="E1844" s="18" t="s">
        <v>109</v>
      </c>
      <c r="F1844" s="19" t="s">
        <v>163</v>
      </c>
    </row>
    <row r="1845" spans="1:6">
      <c r="A1845" s="4" t="str">
        <f t="shared" si="28"/>
        <v>tRNA-His-GTG-1-1|46</v>
      </c>
      <c r="B1845" s="4" t="s">
        <v>62</v>
      </c>
      <c r="C1845" s="4" t="s">
        <v>165</v>
      </c>
      <c r="D1845" s="4">
        <v>46</v>
      </c>
      <c r="E1845" s="18" t="s">
        <v>122</v>
      </c>
      <c r="F1845" s="19" t="s">
        <v>163</v>
      </c>
    </row>
    <row r="1846" spans="1:6">
      <c r="A1846" s="4" t="str">
        <f t="shared" si="28"/>
        <v>tRNA-His-GTG-1-1|48</v>
      </c>
      <c r="B1846" s="4" t="s">
        <v>62</v>
      </c>
      <c r="C1846" s="4" t="s">
        <v>167</v>
      </c>
      <c r="D1846" s="4">
        <v>47</v>
      </c>
      <c r="E1846" s="18" t="s">
        <v>114</v>
      </c>
      <c r="F1846" s="19" t="s">
        <v>163</v>
      </c>
    </row>
    <row r="1847" spans="1:6">
      <c r="A1847" s="4" t="str">
        <f t="shared" si="28"/>
        <v>tRNA-His-GTG-1-1|49</v>
      </c>
      <c r="B1847" s="4" t="s">
        <v>62</v>
      </c>
      <c r="C1847" s="4" t="s">
        <v>168</v>
      </c>
      <c r="D1847" s="4">
        <v>48</v>
      </c>
      <c r="E1847" s="22" t="s">
        <v>114</v>
      </c>
      <c r="F1847" s="10" t="s">
        <v>169</v>
      </c>
    </row>
    <row r="1848" spans="1:6">
      <c r="A1848" s="4" t="str">
        <f t="shared" si="28"/>
        <v>tRNA-His-GTG-1-1|50</v>
      </c>
      <c r="B1848" s="4" t="s">
        <v>62</v>
      </c>
      <c r="C1848" s="4" t="s">
        <v>170</v>
      </c>
      <c r="D1848" s="4">
        <v>49</v>
      </c>
      <c r="E1848" s="22" t="s">
        <v>114</v>
      </c>
      <c r="F1848" s="10" t="s">
        <v>169</v>
      </c>
    </row>
    <row r="1849" spans="1:6">
      <c r="A1849" s="4" t="str">
        <f t="shared" si="28"/>
        <v>tRNA-His-GTG-1-1|51</v>
      </c>
      <c r="B1849" s="4" t="s">
        <v>62</v>
      </c>
      <c r="C1849" s="4" t="s">
        <v>171</v>
      </c>
      <c r="D1849" s="4">
        <v>50</v>
      </c>
      <c r="E1849" s="22" t="s">
        <v>109</v>
      </c>
      <c r="F1849" s="10" t="s">
        <v>169</v>
      </c>
    </row>
    <row r="1850" spans="1:6">
      <c r="A1850" s="4" t="str">
        <f t="shared" si="28"/>
        <v>tRNA-His-GTG-1-1|52</v>
      </c>
      <c r="B1850" s="4" t="s">
        <v>62</v>
      </c>
      <c r="C1850" s="4" t="s">
        <v>172</v>
      </c>
      <c r="D1850" s="4">
        <v>51</v>
      </c>
      <c r="E1850" s="22" t="s">
        <v>122</v>
      </c>
      <c r="F1850" s="10" t="s">
        <v>169</v>
      </c>
    </row>
    <row r="1851" spans="1:6">
      <c r="A1851" s="4" t="str">
        <f t="shared" si="28"/>
        <v>tRNA-His-GTG-1-1|53</v>
      </c>
      <c r="B1851" s="4" t="s">
        <v>62</v>
      </c>
      <c r="C1851" s="4" t="s">
        <v>173</v>
      </c>
      <c r="D1851" s="4">
        <v>52</v>
      </c>
      <c r="E1851" s="22" t="s">
        <v>109</v>
      </c>
      <c r="F1851" s="10" t="s">
        <v>169</v>
      </c>
    </row>
    <row r="1852" spans="1:6">
      <c r="A1852" s="4" t="str">
        <f t="shared" si="28"/>
        <v>tRNA-His-GTG-1-1|54</v>
      </c>
      <c r="B1852" s="4" t="s">
        <v>62</v>
      </c>
      <c r="C1852" s="4" t="s">
        <v>174</v>
      </c>
      <c r="D1852" s="4">
        <v>53</v>
      </c>
      <c r="E1852" s="18" t="s">
        <v>116</v>
      </c>
      <c r="F1852" s="19" t="s">
        <v>175</v>
      </c>
    </row>
    <row r="1853" spans="1:6">
      <c r="A1853" s="4" t="str">
        <f t="shared" si="28"/>
        <v>tRNA-His-GTG-1-1|55</v>
      </c>
      <c r="B1853" s="4" t="s">
        <v>62</v>
      </c>
      <c r="C1853" s="4" t="s">
        <v>176</v>
      </c>
      <c r="D1853" s="4">
        <v>54</v>
      </c>
      <c r="E1853" s="18" t="s">
        <v>116</v>
      </c>
      <c r="F1853" s="19" t="s">
        <v>175</v>
      </c>
    </row>
    <row r="1854" spans="1:6">
      <c r="A1854" s="4" t="str">
        <f t="shared" si="28"/>
        <v>tRNA-His-GTG-1-1|56</v>
      </c>
      <c r="B1854" s="4" t="s">
        <v>62</v>
      </c>
      <c r="C1854" s="4" t="s">
        <v>177</v>
      </c>
      <c r="D1854" s="4">
        <v>55</v>
      </c>
      <c r="E1854" s="18" t="s">
        <v>114</v>
      </c>
      <c r="F1854" s="19" t="s">
        <v>175</v>
      </c>
    </row>
    <row r="1855" spans="1:6">
      <c r="A1855" s="4" t="str">
        <f t="shared" si="28"/>
        <v>tRNA-His-GTG-1-1|57</v>
      </c>
      <c r="B1855" s="4" t="s">
        <v>62</v>
      </c>
      <c r="C1855" s="4" t="s">
        <v>178</v>
      </c>
      <c r="D1855" s="4">
        <v>56</v>
      </c>
      <c r="E1855" s="18" t="s">
        <v>109</v>
      </c>
      <c r="F1855" s="19" t="s">
        <v>175</v>
      </c>
    </row>
    <row r="1856" spans="1:6">
      <c r="A1856" s="4" t="str">
        <f t="shared" si="28"/>
        <v>tRNA-His-GTG-1-1|58</v>
      </c>
      <c r="B1856" s="4" t="s">
        <v>62</v>
      </c>
      <c r="C1856" s="4" t="s">
        <v>179</v>
      </c>
      <c r="D1856" s="4">
        <v>57</v>
      </c>
      <c r="E1856" s="18" t="s">
        <v>122</v>
      </c>
      <c r="F1856" s="19" t="s">
        <v>175</v>
      </c>
    </row>
    <row r="1857" spans="1:6">
      <c r="A1857" s="4" t="str">
        <f t="shared" si="28"/>
        <v>tRNA-His-GTG-1-1|59</v>
      </c>
      <c r="B1857" s="4" t="s">
        <v>62</v>
      </c>
      <c r="C1857" s="4" t="s">
        <v>180</v>
      </c>
      <c r="D1857" s="4">
        <v>58</v>
      </c>
      <c r="E1857" s="18" t="s">
        <v>116</v>
      </c>
      <c r="F1857" s="19" t="s">
        <v>175</v>
      </c>
    </row>
    <row r="1858" spans="1:6">
      <c r="A1858" s="4" t="str">
        <f t="shared" ref="A1858:A1921" si="29">B1858&amp;"|"&amp;C1858</f>
        <v>tRNA-His-GTG-1-1|60</v>
      </c>
      <c r="B1858" s="4" t="s">
        <v>62</v>
      </c>
      <c r="C1858" s="4" t="s">
        <v>181</v>
      </c>
      <c r="D1858" s="4">
        <v>59</v>
      </c>
      <c r="E1858" s="18" t="s">
        <v>116</v>
      </c>
      <c r="F1858" s="19" t="s">
        <v>175</v>
      </c>
    </row>
    <row r="1859" spans="1:6">
      <c r="A1859" s="4" t="str">
        <f t="shared" si="29"/>
        <v>tRNA-His-GTG-1-1|61</v>
      </c>
      <c r="B1859" s="4" t="s">
        <v>62</v>
      </c>
      <c r="C1859" s="4" t="s">
        <v>182</v>
      </c>
      <c r="D1859" s="4">
        <v>60</v>
      </c>
      <c r="E1859" s="22" t="s">
        <v>114</v>
      </c>
      <c r="F1859" s="10" t="s">
        <v>169</v>
      </c>
    </row>
    <row r="1860" spans="1:6">
      <c r="A1860" s="4" t="str">
        <f t="shared" si="29"/>
        <v>tRNA-His-GTG-1-1|62</v>
      </c>
      <c r="B1860" s="4" t="s">
        <v>62</v>
      </c>
      <c r="C1860" s="4" t="s">
        <v>183</v>
      </c>
      <c r="D1860" s="4">
        <v>61</v>
      </c>
      <c r="E1860" s="22" t="s">
        <v>116</v>
      </c>
      <c r="F1860" s="10" t="s">
        <v>169</v>
      </c>
    </row>
    <row r="1861" spans="1:6">
      <c r="A1861" s="4" t="str">
        <f t="shared" si="29"/>
        <v>tRNA-His-GTG-1-1|63</v>
      </c>
      <c r="B1861" s="4" t="s">
        <v>62</v>
      </c>
      <c r="C1861" s="4" t="s">
        <v>184</v>
      </c>
      <c r="D1861" s="4">
        <v>62</v>
      </c>
      <c r="E1861" s="22" t="s">
        <v>114</v>
      </c>
      <c r="F1861" s="10" t="s">
        <v>169</v>
      </c>
    </row>
    <row r="1862" spans="1:6">
      <c r="A1862" s="4" t="str">
        <f t="shared" si="29"/>
        <v>tRNA-His-GTG-1-1|64</v>
      </c>
      <c r="B1862" s="4" t="s">
        <v>62</v>
      </c>
      <c r="C1862" s="4" t="s">
        <v>185</v>
      </c>
      <c r="D1862" s="4">
        <v>63</v>
      </c>
      <c r="E1862" s="22" t="s">
        <v>109</v>
      </c>
      <c r="F1862" s="10" t="s">
        <v>169</v>
      </c>
    </row>
    <row r="1863" spans="1:6">
      <c r="A1863" s="4" t="str">
        <f t="shared" si="29"/>
        <v>tRNA-His-GTG-1-1|65</v>
      </c>
      <c r="B1863" s="4" t="s">
        <v>62</v>
      </c>
      <c r="C1863" s="4" t="s">
        <v>186</v>
      </c>
      <c r="D1863" s="4">
        <v>64</v>
      </c>
      <c r="E1863" s="22" t="s">
        <v>109</v>
      </c>
      <c r="F1863" s="10" t="s">
        <v>169</v>
      </c>
    </row>
    <row r="1864" spans="1:6">
      <c r="A1864" s="4" t="str">
        <f t="shared" si="29"/>
        <v>tRNA-His-GTG-1-1|66</v>
      </c>
      <c r="B1864" s="4" t="s">
        <v>62</v>
      </c>
      <c r="C1864" s="4" t="s">
        <v>187</v>
      </c>
      <c r="D1864" s="4">
        <v>65</v>
      </c>
      <c r="E1864" s="16" t="s">
        <v>116</v>
      </c>
      <c r="F1864" s="17" t="s">
        <v>110</v>
      </c>
    </row>
    <row r="1865" spans="1:6">
      <c r="A1865" s="4" t="str">
        <f t="shared" si="29"/>
        <v>tRNA-His-GTG-1-1|67</v>
      </c>
      <c r="B1865" s="4" t="s">
        <v>62</v>
      </c>
      <c r="C1865" s="4" t="s">
        <v>188</v>
      </c>
      <c r="D1865" s="4">
        <v>66</v>
      </c>
      <c r="E1865" s="16" t="s">
        <v>114</v>
      </c>
      <c r="F1865" s="17" t="s">
        <v>110</v>
      </c>
    </row>
    <row r="1866" spans="1:6">
      <c r="A1866" s="4" t="str">
        <f t="shared" si="29"/>
        <v>tRNA-His-GTG-1-1|68</v>
      </c>
      <c r="B1866" s="4" t="s">
        <v>62</v>
      </c>
      <c r="C1866" s="4" t="s">
        <v>189</v>
      </c>
      <c r="D1866" s="4">
        <v>67</v>
      </c>
      <c r="E1866" s="16" t="s">
        <v>114</v>
      </c>
      <c r="F1866" s="17" t="s">
        <v>110</v>
      </c>
    </row>
    <row r="1867" spans="1:6">
      <c r="A1867" s="4" t="str">
        <f t="shared" si="29"/>
        <v>tRNA-His-GTG-1-1|69</v>
      </c>
      <c r="B1867" s="4" t="s">
        <v>62</v>
      </c>
      <c r="C1867" s="4" t="s">
        <v>190</v>
      </c>
      <c r="D1867" s="4">
        <v>68</v>
      </c>
      <c r="E1867" s="16" t="s">
        <v>114</v>
      </c>
      <c r="F1867" s="17" t="s">
        <v>110</v>
      </c>
    </row>
    <row r="1868" spans="1:6">
      <c r="A1868" s="4" t="str">
        <f t="shared" si="29"/>
        <v>tRNA-His-GTG-1-1|70</v>
      </c>
      <c r="B1868" s="4" t="s">
        <v>62</v>
      </c>
      <c r="C1868" s="4" t="s">
        <v>191</v>
      </c>
      <c r="D1868" s="4">
        <v>69</v>
      </c>
      <c r="E1868" s="16" t="s">
        <v>109</v>
      </c>
      <c r="F1868" s="17" t="s">
        <v>110</v>
      </c>
    </row>
    <row r="1869" spans="1:6">
      <c r="A1869" s="4" t="str">
        <f t="shared" si="29"/>
        <v>tRNA-His-GTG-1-1|71</v>
      </c>
      <c r="B1869" s="4" t="s">
        <v>62</v>
      </c>
      <c r="C1869" s="4" t="s">
        <v>192</v>
      </c>
      <c r="D1869" s="4">
        <v>70</v>
      </c>
      <c r="E1869" s="16" t="s">
        <v>109</v>
      </c>
      <c r="F1869" s="17" t="s">
        <v>110</v>
      </c>
    </row>
    <row r="1870" spans="1:6">
      <c r="A1870" s="4" t="str">
        <f t="shared" si="29"/>
        <v>tRNA-His-GTG-1-1|72</v>
      </c>
      <c r="B1870" s="4" t="s">
        <v>62</v>
      </c>
      <c r="C1870" s="4" t="s">
        <v>193</v>
      </c>
      <c r="D1870" s="4">
        <v>71</v>
      </c>
      <c r="E1870" s="16" t="s">
        <v>114</v>
      </c>
      <c r="F1870" s="17" t="s">
        <v>110</v>
      </c>
    </row>
    <row r="1871" spans="1:6">
      <c r="A1871" s="4" t="str">
        <f t="shared" si="29"/>
        <v>tRNA-Ile-GAT-1-1|1</v>
      </c>
      <c r="B1871" s="4" t="s">
        <v>63</v>
      </c>
      <c r="C1871" s="4" t="s">
        <v>108</v>
      </c>
      <c r="D1871" s="4">
        <v>1</v>
      </c>
      <c r="E1871" s="16" t="s">
        <v>109</v>
      </c>
      <c r="F1871" s="17" t="s">
        <v>110</v>
      </c>
    </row>
    <row r="1872" spans="1:6">
      <c r="A1872" s="4" t="str">
        <f t="shared" si="29"/>
        <v>tRNA-Ile-GAT-1-1|2</v>
      </c>
      <c r="B1872" s="4" t="s">
        <v>63</v>
      </c>
      <c r="C1872" s="4" t="s">
        <v>111</v>
      </c>
      <c r="D1872" s="4">
        <v>2</v>
      </c>
      <c r="E1872" s="16" t="s">
        <v>109</v>
      </c>
      <c r="F1872" s="17" t="s">
        <v>110</v>
      </c>
    </row>
    <row r="1873" spans="1:6">
      <c r="A1873" s="4" t="str">
        <f t="shared" si="29"/>
        <v>tRNA-Ile-GAT-1-1|3</v>
      </c>
      <c r="B1873" s="4" t="s">
        <v>63</v>
      </c>
      <c r="C1873" s="4" t="s">
        <v>112</v>
      </c>
      <c r="D1873" s="4">
        <v>3</v>
      </c>
      <c r="E1873" s="16" t="s">
        <v>109</v>
      </c>
      <c r="F1873" s="17" t="s">
        <v>110</v>
      </c>
    </row>
    <row r="1874" spans="1:6">
      <c r="A1874" s="4" t="str">
        <f t="shared" si="29"/>
        <v>tRNA-Ile-GAT-1-1|4</v>
      </c>
      <c r="B1874" s="4" t="s">
        <v>63</v>
      </c>
      <c r="C1874" s="4" t="s">
        <v>113</v>
      </c>
      <c r="D1874" s="4">
        <v>4</v>
      </c>
      <c r="E1874" s="16" t="s">
        <v>114</v>
      </c>
      <c r="F1874" s="17" t="s">
        <v>110</v>
      </c>
    </row>
    <row r="1875" spans="1:6">
      <c r="A1875" s="4" t="str">
        <f t="shared" si="29"/>
        <v>tRNA-Ile-GAT-1-1|5</v>
      </c>
      <c r="B1875" s="4" t="s">
        <v>63</v>
      </c>
      <c r="C1875" s="4" t="s">
        <v>115</v>
      </c>
      <c r="D1875" s="4">
        <v>5</v>
      </c>
      <c r="E1875" s="16" t="s">
        <v>114</v>
      </c>
      <c r="F1875" s="17" t="s">
        <v>110</v>
      </c>
    </row>
    <row r="1876" spans="1:6">
      <c r="A1876" s="4" t="str">
        <f t="shared" si="29"/>
        <v>tRNA-Ile-GAT-1-1|6</v>
      </c>
      <c r="B1876" s="4" t="s">
        <v>63</v>
      </c>
      <c r="C1876" s="4" t="s">
        <v>117</v>
      </c>
      <c r="D1876" s="4">
        <v>6</v>
      </c>
      <c r="E1876" s="16" t="s">
        <v>114</v>
      </c>
      <c r="F1876" s="17" t="s">
        <v>110</v>
      </c>
    </row>
    <row r="1877" spans="1:6">
      <c r="A1877" s="4" t="str">
        <f t="shared" si="29"/>
        <v>tRNA-Ile-GAT-1-1|7</v>
      </c>
      <c r="B1877" s="4" t="s">
        <v>63</v>
      </c>
      <c r="C1877" s="4" t="s">
        <v>118</v>
      </c>
      <c r="D1877" s="4">
        <v>7</v>
      </c>
      <c r="E1877" s="16" t="s">
        <v>109</v>
      </c>
      <c r="F1877" s="17" t="s">
        <v>110</v>
      </c>
    </row>
    <row r="1878" spans="1:6">
      <c r="A1878" s="4" t="str">
        <f t="shared" si="29"/>
        <v>tRNA-Ile-GAT-1-1|8</v>
      </c>
      <c r="B1878" s="4" t="s">
        <v>63</v>
      </c>
      <c r="C1878" s="4" t="s">
        <v>119</v>
      </c>
      <c r="D1878" s="4">
        <v>8</v>
      </c>
      <c r="E1878" s="3" t="s">
        <v>116</v>
      </c>
      <c r="F1878" s="4" t="s">
        <v>120</v>
      </c>
    </row>
    <row r="1879" spans="1:6">
      <c r="A1879" s="4" t="str">
        <f t="shared" si="29"/>
        <v>tRNA-Ile-GAT-1-1|9</v>
      </c>
      <c r="B1879" s="4" t="s">
        <v>63</v>
      </c>
      <c r="C1879" s="4" t="s">
        <v>121</v>
      </c>
      <c r="D1879" s="4">
        <v>9</v>
      </c>
      <c r="E1879" s="3" t="s">
        <v>122</v>
      </c>
      <c r="F1879" s="4" t="s">
        <v>123</v>
      </c>
    </row>
    <row r="1880" spans="1:6">
      <c r="A1880" s="4" t="str">
        <f t="shared" si="29"/>
        <v>tRNA-Ile-GAT-1-1|10</v>
      </c>
      <c r="B1880" s="4" t="s">
        <v>63</v>
      </c>
      <c r="C1880" s="4" t="s">
        <v>124</v>
      </c>
      <c r="D1880" s="4">
        <v>10</v>
      </c>
      <c r="E1880" s="8" t="s">
        <v>109</v>
      </c>
      <c r="F1880" s="7" t="s">
        <v>125</v>
      </c>
    </row>
    <row r="1881" spans="1:6">
      <c r="A1881" s="4" t="str">
        <f t="shared" si="29"/>
        <v>tRNA-Ile-GAT-1-1|11</v>
      </c>
      <c r="B1881" s="4" t="s">
        <v>63</v>
      </c>
      <c r="C1881" s="4" t="s">
        <v>126</v>
      </c>
      <c r="D1881" s="4">
        <v>11</v>
      </c>
      <c r="E1881" s="8" t="s">
        <v>114</v>
      </c>
      <c r="F1881" s="7" t="s">
        <v>125</v>
      </c>
    </row>
    <row r="1882" spans="1:6">
      <c r="A1882" s="4" t="str">
        <f t="shared" si="29"/>
        <v>tRNA-Ile-GAT-1-1|12</v>
      </c>
      <c r="B1882" s="4" t="s">
        <v>63</v>
      </c>
      <c r="C1882" s="4" t="s">
        <v>127</v>
      </c>
      <c r="D1882" s="4">
        <v>12</v>
      </c>
      <c r="E1882" s="8" t="s">
        <v>116</v>
      </c>
      <c r="F1882" s="7" t="s">
        <v>125</v>
      </c>
    </row>
    <row r="1883" spans="1:6">
      <c r="A1883" s="4" t="str">
        <f t="shared" si="29"/>
        <v>tRNA-Ile-GAT-1-1|13</v>
      </c>
      <c r="B1883" s="4" t="s">
        <v>63</v>
      </c>
      <c r="C1883" s="4" t="s">
        <v>128</v>
      </c>
      <c r="D1883" s="4">
        <v>13</v>
      </c>
      <c r="E1883" s="8" t="s">
        <v>116</v>
      </c>
      <c r="F1883" s="7" t="s">
        <v>125</v>
      </c>
    </row>
    <row r="1884" spans="1:6">
      <c r="A1884" s="4" t="str">
        <f t="shared" si="29"/>
        <v>tRNA-Ile-GAT-1-1|14</v>
      </c>
      <c r="B1884" s="4" t="s">
        <v>63</v>
      </c>
      <c r="C1884" s="4" t="s">
        <v>129</v>
      </c>
      <c r="D1884" s="4">
        <v>14</v>
      </c>
      <c r="E1884" s="18" t="s">
        <v>122</v>
      </c>
      <c r="F1884" s="19" t="s">
        <v>130</v>
      </c>
    </row>
    <row r="1885" spans="1:6">
      <c r="A1885" s="4" t="str">
        <f t="shared" si="29"/>
        <v>tRNA-Ile-GAT-1-1|15</v>
      </c>
      <c r="B1885" s="4" t="s">
        <v>63</v>
      </c>
      <c r="C1885" s="4" t="s">
        <v>131</v>
      </c>
      <c r="D1885" s="4">
        <v>15</v>
      </c>
      <c r="E1885" s="18" t="s">
        <v>109</v>
      </c>
      <c r="F1885" s="19" t="s">
        <v>130</v>
      </c>
    </row>
    <row r="1886" spans="1:6">
      <c r="A1886" s="4" t="str">
        <f t="shared" si="29"/>
        <v>tRNA-Ile-GAT-1-1|16</v>
      </c>
      <c r="B1886" s="4" t="s">
        <v>63</v>
      </c>
      <c r="C1886" s="4" t="s">
        <v>194</v>
      </c>
      <c r="D1886" s="4">
        <v>16</v>
      </c>
      <c r="E1886" s="18" t="s">
        <v>114</v>
      </c>
      <c r="F1886" s="19" t="s">
        <v>130</v>
      </c>
    </row>
    <row r="1887" spans="1:6">
      <c r="A1887" s="4" t="str">
        <f t="shared" si="29"/>
        <v>tRNA-Ile-GAT-1-1|17</v>
      </c>
      <c r="B1887" s="4" t="s">
        <v>63</v>
      </c>
      <c r="C1887" s="4" t="s">
        <v>195</v>
      </c>
      <c r="D1887" s="4">
        <v>17</v>
      </c>
      <c r="E1887" s="18" t="s">
        <v>116</v>
      </c>
      <c r="F1887" s="19" t="s">
        <v>130</v>
      </c>
    </row>
    <row r="1888" spans="1:6">
      <c r="A1888" s="4" t="str">
        <f t="shared" si="29"/>
        <v>tRNA-Ile-GAT-1-1|17a</v>
      </c>
      <c r="B1888" s="4" t="s">
        <v>63</v>
      </c>
      <c r="C1888" s="4" t="s">
        <v>196</v>
      </c>
      <c r="D1888" s="4">
        <v>18</v>
      </c>
      <c r="E1888" s="18" t="s">
        <v>116</v>
      </c>
      <c r="F1888" s="19" t="s">
        <v>130</v>
      </c>
    </row>
    <row r="1889" spans="1:6">
      <c r="A1889" s="4" t="str">
        <f t="shared" si="29"/>
        <v>tRNA-Ile-GAT-1-1|18</v>
      </c>
      <c r="B1889" s="4" t="s">
        <v>63</v>
      </c>
      <c r="C1889" s="4" t="s">
        <v>132</v>
      </c>
      <c r="D1889" s="4">
        <v>19</v>
      </c>
      <c r="E1889" s="18" t="s">
        <v>109</v>
      </c>
      <c r="F1889" s="19" t="s">
        <v>130</v>
      </c>
    </row>
    <row r="1890" spans="1:6">
      <c r="A1890" s="4" t="str">
        <f t="shared" si="29"/>
        <v>tRNA-Ile-GAT-1-1|19</v>
      </c>
      <c r="B1890" s="4" t="s">
        <v>63</v>
      </c>
      <c r="C1890" s="4" t="s">
        <v>133</v>
      </c>
      <c r="D1890" s="4">
        <v>20</v>
      </c>
      <c r="E1890" s="18" t="s">
        <v>109</v>
      </c>
      <c r="F1890" s="19" t="s">
        <v>130</v>
      </c>
    </row>
    <row r="1891" spans="1:6">
      <c r="A1891" s="4" t="str">
        <f t="shared" si="29"/>
        <v>tRNA-Ile-GAT-1-1|20</v>
      </c>
      <c r="B1891" s="4" t="s">
        <v>63</v>
      </c>
      <c r="C1891" s="4" t="s">
        <v>134</v>
      </c>
      <c r="D1891" s="4">
        <v>21</v>
      </c>
      <c r="E1891" s="18" t="s">
        <v>116</v>
      </c>
      <c r="F1891" s="19" t="s">
        <v>130</v>
      </c>
    </row>
    <row r="1892" spans="1:6">
      <c r="A1892" s="4" t="str">
        <f t="shared" si="29"/>
        <v>tRNA-Ile-GAT-1-1|21</v>
      </c>
      <c r="B1892" s="4" t="s">
        <v>63</v>
      </c>
      <c r="C1892" s="4" t="s">
        <v>136</v>
      </c>
      <c r="D1892" s="4">
        <v>22</v>
      </c>
      <c r="E1892" s="18" t="s">
        <v>109</v>
      </c>
      <c r="F1892" s="19" t="s">
        <v>130</v>
      </c>
    </row>
    <row r="1893" spans="1:6">
      <c r="A1893" s="4" t="str">
        <f t="shared" si="29"/>
        <v>tRNA-Ile-GAT-1-1|22</v>
      </c>
      <c r="B1893" s="4" t="s">
        <v>63</v>
      </c>
      <c r="C1893" s="4" t="s">
        <v>137</v>
      </c>
      <c r="D1893" s="4">
        <v>23</v>
      </c>
      <c r="E1893" s="8" t="s">
        <v>109</v>
      </c>
      <c r="F1893" s="7" t="s">
        <v>125</v>
      </c>
    </row>
    <row r="1894" spans="1:6">
      <c r="A1894" s="4" t="str">
        <f t="shared" si="29"/>
        <v>tRNA-Ile-GAT-1-1|23</v>
      </c>
      <c r="B1894" s="4" t="s">
        <v>63</v>
      </c>
      <c r="C1894" s="4" t="s">
        <v>138</v>
      </c>
      <c r="D1894" s="4">
        <v>24</v>
      </c>
      <c r="E1894" s="8" t="s">
        <v>122</v>
      </c>
      <c r="F1894" s="7" t="s">
        <v>125</v>
      </c>
    </row>
    <row r="1895" spans="1:6">
      <c r="A1895" s="4" t="str">
        <f t="shared" si="29"/>
        <v>tRNA-Ile-GAT-1-1|24</v>
      </c>
      <c r="B1895" s="4" t="s">
        <v>63</v>
      </c>
      <c r="C1895" s="4" t="s">
        <v>139</v>
      </c>
      <c r="D1895" s="4">
        <v>25</v>
      </c>
      <c r="E1895" s="8" t="s">
        <v>109</v>
      </c>
      <c r="F1895" s="7" t="s">
        <v>125</v>
      </c>
    </row>
    <row r="1896" spans="1:6">
      <c r="A1896" s="4" t="str">
        <f t="shared" si="29"/>
        <v>tRNA-Ile-GAT-1-1|25</v>
      </c>
      <c r="B1896" s="4" t="s">
        <v>63</v>
      </c>
      <c r="C1896" s="4" t="s">
        <v>140</v>
      </c>
      <c r="D1896" s="4">
        <v>26</v>
      </c>
      <c r="E1896" s="8" t="s">
        <v>114</v>
      </c>
      <c r="F1896" s="7" t="s">
        <v>125</v>
      </c>
    </row>
    <row r="1897" spans="1:6">
      <c r="A1897" s="4" t="str">
        <f t="shared" si="29"/>
        <v>tRNA-Ile-GAT-1-1|26</v>
      </c>
      <c r="B1897" s="4" t="s">
        <v>63</v>
      </c>
      <c r="C1897" s="4" t="s">
        <v>141</v>
      </c>
      <c r="D1897" s="4">
        <v>27</v>
      </c>
      <c r="E1897" s="3" t="s">
        <v>109</v>
      </c>
      <c r="F1897" s="4" t="s">
        <v>142</v>
      </c>
    </row>
    <row r="1898" spans="1:6">
      <c r="A1898" s="4" t="str">
        <f t="shared" si="29"/>
        <v>tRNA-Ile-GAT-1-1|27</v>
      </c>
      <c r="B1898" s="4" t="s">
        <v>63</v>
      </c>
      <c r="C1898" s="4" t="s">
        <v>143</v>
      </c>
      <c r="D1898" s="4">
        <v>28</v>
      </c>
      <c r="E1898" s="20" t="s">
        <v>114</v>
      </c>
      <c r="F1898" s="21" t="s">
        <v>144</v>
      </c>
    </row>
    <row r="1899" spans="1:6">
      <c r="A1899" s="4" t="str">
        <f t="shared" si="29"/>
        <v>tRNA-Ile-GAT-1-1|28</v>
      </c>
      <c r="B1899" s="4" t="s">
        <v>63</v>
      </c>
      <c r="C1899" s="4" t="s">
        <v>145</v>
      </c>
      <c r="D1899" s="4">
        <v>29</v>
      </c>
      <c r="E1899" s="20" t="s">
        <v>122</v>
      </c>
      <c r="F1899" s="21" t="s">
        <v>144</v>
      </c>
    </row>
    <row r="1900" spans="1:6">
      <c r="A1900" s="4" t="str">
        <f t="shared" si="29"/>
        <v>tRNA-Ile-GAT-1-1|29</v>
      </c>
      <c r="B1900" s="4" t="s">
        <v>63</v>
      </c>
      <c r="C1900" s="4" t="s">
        <v>146</v>
      </c>
      <c r="D1900" s="4">
        <v>30</v>
      </c>
      <c r="E1900" s="20" t="s">
        <v>114</v>
      </c>
      <c r="F1900" s="21" t="s">
        <v>144</v>
      </c>
    </row>
    <row r="1901" spans="1:6">
      <c r="A1901" s="4" t="str">
        <f t="shared" si="29"/>
        <v>tRNA-Ile-GAT-1-1|30</v>
      </c>
      <c r="B1901" s="4" t="s">
        <v>63</v>
      </c>
      <c r="C1901" s="4" t="s">
        <v>147</v>
      </c>
      <c r="D1901" s="4">
        <v>31</v>
      </c>
      <c r="E1901" s="20" t="s">
        <v>109</v>
      </c>
      <c r="F1901" s="21" t="s">
        <v>144</v>
      </c>
    </row>
    <row r="1902" spans="1:6">
      <c r="A1902" s="4" t="str">
        <f t="shared" si="29"/>
        <v>tRNA-Ile-GAT-1-1|31</v>
      </c>
      <c r="B1902" s="4" t="s">
        <v>63</v>
      </c>
      <c r="C1902" s="4" t="s">
        <v>148</v>
      </c>
      <c r="D1902" s="4">
        <v>32</v>
      </c>
      <c r="E1902" s="20" t="s">
        <v>109</v>
      </c>
      <c r="F1902" s="21" t="s">
        <v>144</v>
      </c>
    </row>
    <row r="1903" spans="1:6">
      <c r="A1903" s="4" t="str">
        <f t="shared" si="29"/>
        <v>tRNA-Ile-GAT-1-1|32</v>
      </c>
      <c r="B1903" s="4" t="s">
        <v>63</v>
      </c>
      <c r="C1903" s="4" t="s">
        <v>149</v>
      </c>
      <c r="D1903" s="4">
        <v>33</v>
      </c>
      <c r="E1903" s="18" t="s">
        <v>114</v>
      </c>
      <c r="F1903" s="19" t="s">
        <v>150</v>
      </c>
    </row>
    <row r="1904" spans="1:6">
      <c r="A1904" s="4" t="str">
        <f t="shared" si="29"/>
        <v>tRNA-Ile-GAT-1-1|33</v>
      </c>
      <c r="B1904" s="4" t="s">
        <v>63</v>
      </c>
      <c r="C1904" s="4" t="s">
        <v>151</v>
      </c>
      <c r="D1904" s="4">
        <v>34</v>
      </c>
      <c r="E1904" s="18" t="s">
        <v>116</v>
      </c>
      <c r="F1904" s="19" t="s">
        <v>150</v>
      </c>
    </row>
    <row r="1905" spans="1:6">
      <c r="A1905" s="4" t="str">
        <f t="shared" si="29"/>
        <v>tRNA-Ile-GAT-1-1|34</v>
      </c>
      <c r="B1905" s="4" t="s">
        <v>63</v>
      </c>
      <c r="C1905" s="4" t="s">
        <v>152</v>
      </c>
      <c r="D1905" s="4">
        <v>35</v>
      </c>
      <c r="E1905" s="18" t="s">
        <v>109</v>
      </c>
      <c r="F1905" s="19" t="s">
        <v>150</v>
      </c>
    </row>
    <row r="1906" spans="1:6">
      <c r="A1906" s="4" t="str">
        <f t="shared" si="29"/>
        <v>tRNA-Ile-GAT-1-1|35</v>
      </c>
      <c r="B1906" s="4" t="s">
        <v>63</v>
      </c>
      <c r="C1906" s="4" t="s">
        <v>153</v>
      </c>
      <c r="D1906" s="4">
        <v>36</v>
      </c>
      <c r="E1906" s="18" t="s">
        <v>122</v>
      </c>
      <c r="F1906" s="19" t="s">
        <v>150</v>
      </c>
    </row>
    <row r="1907" spans="1:6">
      <c r="A1907" s="4" t="str">
        <f t="shared" si="29"/>
        <v>tRNA-Ile-GAT-1-1|36</v>
      </c>
      <c r="B1907" s="4" t="s">
        <v>63</v>
      </c>
      <c r="C1907" s="4" t="s">
        <v>154</v>
      </c>
      <c r="D1907" s="4">
        <v>37</v>
      </c>
      <c r="E1907" s="18" t="s">
        <v>116</v>
      </c>
      <c r="F1907" s="19" t="s">
        <v>150</v>
      </c>
    </row>
    <row r="1908" spans="1:6">
      <c r="A1908" s="4" t="str">
        <f t="shared" si="29"/>
        <v>tRNA-Ile-GAT-1-1|37</v>
      </c>
      <c r="B1908" s="4" t="s">
        <v>63</v>
      </c>
      <c r="C1908" s="4" t="s">
        <v>155</v>
      </c>
      <c r="D1908" s="4">
        <v>38</v>
      </c>
      <c r="E1908" s="18" t="s">
        <v>122</v>
      </c>
      <c r="F1908" s="19" t="s">
        <v>150</v>
      </c>
    </row>
    <row r="1909" spans="1:6">
      <c r="A1909" s="4" t="str">
        <f t="shared" si="29"/>
        <v>tRNA-Ile-GAT-1-1|38</v>
      </c>
      <c r="B1909" s="4" t="s">
        <v>63</v>
      </c>
      <c r="C1909" s="4" t="s">
        <v>156</v>
      </c>
      <c r="D1909" s="4">
        <v>39</v>
      </c>
      <c r="E1909" s="18" t="s">
        <v>122</v>
      </c>
      <c r="F1909" s="19" t="s">
        <v>150</v>
      </c>
    </row>
    <row r="1910" spans="1:6">
      <c r="A1910" s="4" t="str">
        <f t="shared" si="29"/>
        <v>tRNA-Ile-GAT-1-1|39</v>
      </c>
      <c r="B1910" s="4" t="s">
        <v>63</v>
      </c>
      <c r="C1910" s="4" t="s">
        <v>157</v>
      </c>
      <c r="D1910" s="4">
        <v>40</v>
      </c>
      <c r="E1910" s="20" t="s">
        <v>114</v>
      </c>
      <c r="F1910" s="21" t="s">
        <v>144</v>
      </c>
    </row>
    <row r="1911" spans="1:6">
      <c r="A1911" s="4" t="str">
        <f t="shared" si="29"/>
        <v>tRNA-Ile-GAT-1-1|40</v>
      </c>
      <c r="B1911" s="4" t="s">
        <v>63</v>
      </c>
      <c r="C1911" s="4" t="s">
        <v>158</v>
      </c>
      <c r="D1911" s="4">
        <v>41</v>
      </c>
      <c r="E1911" s="20" t="s">
        <v>114</v>
      </c>
      <c r="F1911" s="21" t="s">
        <v>144</v>
      </c>
    </row>
    <row r="1912" spans="1:6">
      <c r="A1912" s="4" t="str">
        <f t="shared" si="29"/>
        <v>tRNA-Ile-GAT-1-1|41</v>
      </c>
      <c r="B1912" s="4" t="s">
        <v>63</v>
      </c>
      <c r="C1912" s="4" t="s">
        <v>159</v>
      </c>
      <c r="D1912" s="4">
        <v>42</v>
      </c>
      <c r="E1912" s="20" t="s">
        <v>109</v>
      </c>
      <c r="F1912" s="21" t="s">
        <v>144</v>
      </c>
    </row>
    <row r="1913" spans="1:6">
      <c r="A1913" s="4" t="str">
        <f t="shared" si="29"/>
        <v>tRNA-Ile-GAT-1-1|42</v>
      </c>
      <c r="B1913" s="4" t="s">
        <v>63</v>
      </c>
      <c r="C1913" s="4" t="s">
        <v>160</v>
      </c>
      <c r="D1913" s="4">
        <v>43</v>
      </c>
      <c r="E1913" s="20" t="s">
        <v>116</v>
      </c>
      <c r="F1913" s="21" t="s">
        <v>144</v>
      </c>
    </row>
    <row r="1914" spans="1:6">
      <c r="A1914" s="4" t="str">
        <f t="shared" si="29"/>
        <v>tRNA-Ile-GAT-1-1|43</v>
      </c>
      <c r="B1914" s="4" t="s">
        <v>63</v>
      </c>
      <c r="C1914" s="4" t="s">
        <v>161</v>
      </c>
      <c r="D1914" s="4">
        <v>44</v>
      </c>
      <c r="E1914" s="20" t="s">
        <v>109</v>
      </c>
      <c r="F1914" s="21" t="s">
        <v>144</v>
      </c>
    </row>
    <row r="1915" spans="1:6">
      <c r="A1915" s="4" t="str">
        <f t="shared" si="29"/>
        <v>tRNA-Ile-GAT-1-1|44</v>
      </c>
      <c r="B1915" s="4" t="s">
        <v>63</v>
      </c>
      <c r="C1915" s="4" t="s">
        <v>162</v>
      </c>
      <c r="D1915" s="4">
        <v>45</v>
      </c>
      <c r="E1915" s="18" t="s">
        <v>122</v>
      </c>
      <c r="F1915" s="19" t="s">
        <v>163</v>
      </c>
    </row>
    <row r="1916" spans="1:6">
      <c r="A1916" s="4" t="str">
        <f t="shared" si="29"/>
        <v>tRNA-Ile-GAT-1-1|45</v>
      </c>
      <c r="B1916" s="4" t="s">
        <v>63</v>
      </c>
      <c r="C1916" s="4" t="s">
        <v>164</v>
      </c>
      <c r="D1916" s="4">
        <v>46</v>
      </c>
      <c r="E1916" s="18" t="s">
        <v>109</v>
      </c>
      <c r="F1916" s="19" t="s">
        <v>163</v>
      </c>
    </row>
    <row r="1917" spans="1:6">
      <c r="A1917" s="4" t="str">
        <f t="shared" si="29"/>
        <v>tRNA-Ile-GAT-1-1|46</v>
      </c>
      <c r="B1917" s="4" t="s">
        <v>63</v>
      </c>
      <c r="C1917" s="4" t="s">
        <v>165</v>
      </c>
      <c r="D1917" s="4">
        <v>47</v>
      </c>
      <c r="E1917" s="18" t="s">
        <v>109</v>
      </c>
      <c r="F1917" s="19" t="s">
        <v>163</v>
      </c>
    </row>
    <row r="1918" spans="1:6">
      <c r="A1918" s="4" t="str">
        <f t="shared" si="29"/>
        <v>tRNA-Ile-GAT-1-1|47</v>
      </c>
      <c r="B1918" s="4" t="s">
        <v>63</v>
      </c>
      <c r="C1918" s="4" t="s">
        <v>166</v>
      </c>
      <c r="D1918" s="4">
        <v>48</v>
      </c>
      <c r="E1918" s="18" t="s">
        <v>116</v>
      </c>
      <c r="F1918" s="19" t="s">
        <v>163</v>
      </c>
    </row>
    <row r="1919" spans="1:6">
      <c r="A1919" s="4" t="str">
        <f t="shared" si="29"/>
        <v>tRNA-Ile-GAT-1-1|48</v>
      </c>
      <c r="B1919" s="4" t="s">
        <v>63</v>
      </c>
      <c r="C1919" s="4" t="s">
        <v>167</v>
      </c>
      <c r="D1919" s="4">
        <v>49</v>
      </c>
      <c r="E1919" s="18" t="s">
        <v>114</v>
      </c>
      <c r="F1919" s="19" t="s">
        <v>163</v>
      </c>
    </row>
    <row r="1920" spans="1:6">
      <c r="A1920" s="4" t="str">
        <f t="shared" si="29"/>
        <v>tRNA-Ile-GAT-1-1|49</v>
      </c>
      <c r="B1920" s="4" t="s">
        <v>63</v>
      </c>
      <c r="C1920" s="4" t="s">
        <v>168</v>
      </c>
      <c r="D1920" s="4">
        <v>50</v>
      </c>
      <c r="E1920" s="22" t="s">
        <v>114</v>
      </c>
      <c r="F1920" s="10" t="s">
        <v>169</v>
      </c>
    </row>
    <row r="1921" spans="1:6">
      <c r="A1921" s="4" t="str">
        <f t="shared" si="29"/>
        <v>tRNA-Ile-GAT-1-1|50</v>
      </c>
      <c r="B1921" s="4" t="s">
        <v>63</v>
      </c>
      <c r="C1921" s="4" t="s">
        <v>170</v>
      </c>
      <c r="D1921" s="4">
        <v>51</v>
      </c>
      <c r="E1921" s="22" t="s">
        <v>116</v>
      </c>
      <c r="F1921" s="10" t="s">
        <v>169</v>
      </c>
    </row>
    <row r="1922" spans="1:6">
      <c r="A1922" s="4" t="str">
        <f t="shared" ref="A1922:A1985" si="30">B1922&amp;"|"&amp;C1922</f>
        <v>tRNA-Ile-GAT-1-1|51</v>
      </c>
      <c r="B1922" s="4" t="s">
        <v>63</v>
      </c>
      <c r="C1922" s="4" t="s">
        <v>171</v>
      </c>
      <c r="D1922" s="4">
        <v>52</v>
      </c>
      <c r="E1922" s="22" t="s">
        <v>109</v>
      </c>
      <c r="F1922" s="10" t="s">
        <v>169</v>
      </c>
    </row>
    <row r="1923" spans="1:6">
      <c r="A1923" s="4" t="str">
        <f t="shared" si="30"/>
        <v>tRNA-Ile-GAT-1-1|52</v>
      </c>
      <c r="B1923" s="4" t="s">
        <v>63</v>
      </c>
      <c r="C1923" s="4" t="s">
        <v>172</v>
      </c>
      <c r="D1923" s="4">
        <v>53</v>
      </c>
      <c r="E1923" s="22" t="s">
        <v>114</v>
      </c>
      <c r="F1923" s="10" t="s">
        <v>169</v>
      </c>
    </row>
    <row r="1924" spans="1:6">
      <c r="A1924" s="4" t="str">
        <f t="shared" si="30"/>
        <v>tRNA-Ile-GAT-1-1|53</v>
      </c>
      <c r="B1924" s="4" t="s">
        <v>63</v>
      </c>
      <c r="C1924" s="4" t="s">
        <v>173</v>
      </c>
      <c r="D1924" s="4">
        <v>54</v>
      </c>
      <c r="E1924" s="22" t="s">
        <v>109</v>
      </c>
      <c r="F1924" s="10" t="s">
        <v>169</v>
      </c>
    </row>
    <row r="1925" spans="1:6">
      <c r="A1925" s="4" t="str">
        <f t="shared" si="30"/>
        <v>tRNA-Ile-GAT-1-1|54</v>
      </c>
      <c r="B1925" s="4" t="s">
        <v>63</v>
      </c>
      <c r="C1925" s="4" t="s">
        <v>174</v>
      </c>
      <c r="D1925" s="4">
        <v>55</v>
      </c>
      <c r="E1925" s="18" t="s">
        <v>116</v>
      </c>
      <c r="F1925" s="19" t="s">
        <v>175</v>
      </c>
    </row>
    <row r="1926" spans="1:6">
      <c r="A1926" s="4" t="str">
        <f t="shared" si="30"/>
        <v>tRNA-Ile-GAT-1-1|55</v>
      </c>
      <c r="B1926" s="4" t="s">
        <v>63</v>
      </c>
      <c r="C1926" s="4" t="s">
        <v>176</v>
      </c>
      <c r="D1926" s="4">
        <v>56</v>
      </c>
      <c r="E1926" s="18" t="s">
        <v>116</v>
      </c>
      <c r="F1926" s="19" t="s">
        <v>175</v>
      </c>
    </row>
    <row r="1927" spans="1:6">
      <c r="A1927" s="4" t="str">
        <f t="shared" si="30"/>
        <v>tRNA-Ile-GAT-1-1|56</v>
      </c>
      <c r="B1927" s="4" t="s">
        <v>63</v>
      </c>
      <c r="C1927" s="4" t="s">
        <v>177</v>
      </c>
      <c r="D1927" s="4">
        <v>57</v>
      </c>
      <c r="E1927" s="18" t="s">
        <v>114</v>
      </c>
      <c r="F1927" s="19" t="s">
        <v>175</v>
      </c>
    </row>
    <row r="1928" spans="1:6">
      <c r="A1928" s="4" t="str">
        <f t="shared" si="30"/>
        <v>tRNA-Ile-GAT-1-1|57</v>
      </c>
      <c r="B1928" s="4" t="s">
        <v>63</v>
      </c>
      <c r="C1928" s="4" t="s">
        <v>178</v>
      </c>
      <c r="D1928" s="4">
        <v>58</v>
      </c>
      <c r="E1928" s="18" t="s">
        <v>109</v>
      </c>
      <c r="F1928" s="19" t="s">
        <v>175</v>
      </c>
    </row>
    <row r="1929" spans="1:6">
      <c r="A1929" s="4" t="str">
        <f t="shared" si="30"/>
        <v>tRNA-Ile-GAT-1-1|58</v>
      </c>
      <c r="B1929" s="4" t="s">
        <v>63</v>
      </c>
      <c r="C1929" s="4" t="s">
        <v>179</v>
      </c>
      <c r="D1929" s="4">
        <v>59</v>
      </c>
      <c r="E1929" s="18" t="s">
        <v>122</v>
      </c>
      <c r="F1929" s="19" t="s">
        <v>175</v>
      </c>
    </row>
    <row r="1930" spans="1:6">
      <c r="A1930" s="4" t="str">
        <f t="shared" si="30"/>
        <v>tRNA-Ile-GAT-1-1|59</v>
      </c>
      <c r="B1930" s="4" t="s">
        <v>63</v>
      </c>
      <c r="C1930" s="4" t="s">
        <v>180</v>
      </c>
      <c r="D1930" s="4">
        <v>60</v>
      </c>
      <c r="E1930" s="18" t="s">
        <v>122</v>
      </c>
      <c r="F1930" s="19" t="s">
        <v>175</v>
      </c>
    </row>
    <row r="1931" spans="1:6">
      <c r="A1931" s="4" t="str">
        <f t="shared" si="30"/>
        <v>tRNA-Ile-GAT-1-1|60</v>
      </c>
      <c r="B1931" s="4" t="s">
        <v>63</v>
      </c>
      <c r="C1931" s="4" t="s">
        <v>181</v>
      </c>
      <c r="D1931" s="4">
        <v>61</v>
      </c>
      <c r="E1931" s="18" t="s">
        <v>116</v>
      </c>
      <c r="F1931" s="19" t="s">
        <v>175</v>
      </c>
    </row>
    <row r="1932" spans="1:6">
      <c r="A1932" s="4" t="str">
        <f t="shared" si="30"/>
        <v>tRNA-Ile-GAT-1-1|61</v>
      </c>
      <c r="B1932" s="4" t="s">
        <v>63</v>
      </c>
      <c r="C1932" s="4" t="s">
        <v>182</v>
      </c>
      <c r="D1932" s="4">
        <v>62</v>
      </c>
      <c r="E1932" s="22" t="s">
        <v>114</v>
      </c>
      <c r="F1932" s="10" t="s">
        <v>169</v>
      </c>
    </row>
    <row r="1933" spans="1:6">
      <c r="A1933" s="4" t="str">
        <f t="shared" si="30"/>
        <v>tRNA-Ile-GAT-1-1|62</v>
      </c>
      <c r="B1933" s="4" t="s">
        <v>63</v>
      </c>
      <c r="C1933" s="4" t="s">
        <v>183</v>
      </c>
      <c r="D1933" s="4">
        <v>63</v>
      </c>
      <c r="E1933" s="22" t="s">
        <v>109</v>
      </c>
      <c r="F1933" s="10" t="s">
        <v>169</v>
      </c>
    </row>
    <row r="1934" spans="1:6">
      <c r="A1934" s="4" t="str">
        <f t="shared" si="30"/>
        <v>tRNA-Ile-GAT-1-1|63</v>
      </c>
      <c r="B1934" s="4" t="s">
        <v>63</v>
      </c>
      <c r="C1934" s="4" t="s">
        <v>184</v>
      </c>
      <c r="D1934" s="4">
        <v>64</v>
      </c>
      <c r="E1934" s="22" t="s">
        <v>114</v>
      </c>
      <c r="F1934" s="10" t="s">
        <v>169</v>
      </c>
    </row>
    <row r="1935" spans="1:6">
      <c r="A1935" s="4" t="str">
        <f t="shared" si="30"/>
        <v>tRNA-Ile-GAT-1-1|64</v>
      </c>
      <c r="B1935" s="4" t="s">
        <v>63</v>
      </c>
      <c r="C1935" s="4" t="s">
        <v>185</v>
      </c>
      <c r="D1935" s="4">
        <v>65</v>
      </c>
      <c r="E1935" s="22" t="s">
        <v>122</v>
      </c>
      <c r="F1935" s="10" t="s">
        <v>169</v>
      </c>
    </row>
    <row r="1936" spans="1:6">
      <c r="A1936" s="4" t="str">
        <f t="shared" si="30"/>
        <v>tRNA-Ile-GAT-1-1|65</v>
      </c>
      <c r="B1936" s="4" t="s">
        <v>63</v>
      </c>
      <c r="C1936" s="4" t="s">
        <v>186</v>
      </c>
      <c r="D1936" s="4">
        <v>66</v>
      </c>
      <c r="E1936" s="22" t="s">
        <v>109</v>
      </c>
      <c r="F1936" s="10" t="s">
        <v>169</v>
      </c>
    </row>
    <row r="1937" spans="1:6">
      <c r="A1937" s="4" t="str">
        <f t="shared" si="30"/>
        <v>tRNA-Ile-GAT-1-1|66</v>
      </c>
      <c r="B1937" s="4" t="s">
        <v>63</v>
      </c>
      <c r="C1937" s="4" t="s">
        <v>187</v>
      </c>
      <c r="D1937" s="4">
        <v>67</v>
      </c>
      <c r="E1937" s="16" t="s">
        <v>114</v>
      </c>
      <c r="F1937" s="17" t="s">
        <v>110</v>
      </c>
    </row>
    <row r="1938" spans="1:6">
      <c r="A1938" s="4" t="str">
        <f t="shared" si="30"/>
        <v>tRNA-Ile-GAT-1-1|67</v>
      </c>
      <c r="B1938" s="4" t="s">
        <v>63</v>
      </c>
      <c r="C1938" s="4" t="s">
        <v>188</v>
      </c>
      <c r="D1938" s="4">
        <v>68</v>
      </c>
      <c r="E1938" s="16" t="s">
        <v>109</v>
      </c>
      <c r="F1938" s="17" t="s">
        <v>110</v>
      </c>
    </row>
    <row r="1939" spans="1:6">
      <c r="A1939" s="4" t="str">
        <f t="shared" si="30"/>
        <v>tRNA-Ile-GAT-1-1|68</v>
      </c>
      <c r="B1939" s="4" t="s">
        <v>63</v>
      </c>
      <c r="C1939" s="4" t="s">
        <v>189</v>
      </c>
      <c r="D1939" s="4">
        <v>69</v>
      </c>
      <c r="E1939" s="16" t="s">
        <v>109</v>
      </c>
      <c r="F1939" s="17" t="s">
        <v>110</v>
      </c>
    </row>
    <row r="1940" spans="1:6">
      <c r="A1940" s="4" t="str">
        <f t="shared" si="30"/>
        <v>tRNA-Ile-GAT-1-1|69</v>
      </c>
      <c r="B1940" s="4" t="s">
        <v>63</v>
      </c>
      <c r="C1940" s="4" t="s">
        <v>190</v>
      </c>
      <c r="D1940" s="4">
        <v>70</v>
      </c>
      <c r="E1940" s="16" t="s">
        <v>109</v>
      </c>
      <c r="F1940" s="17" t="s">
        <v>110</v>
      </c>
    </row>
    <row r="1941" spans="1:6">
      <c r="A1941" s="4" t="str">
        <f t="shared" si="30"/>
        <v>tRNA-Ile-GAT-1-1|70</v>
      </c>
      <c r="B1941" s="4" t="s">
        <v>63</v>
      </c>
      <c r="C1941" s="4" t="s">
        <v>191</v>
      </c>
      <c r="D1941" s="4">
        <v>71</v>
      </c>
      <c r="E1941" s="16" t="s">
        <v>114</v>
      </c>
      <c r="F1941" s="17" t="s">
        <v>110</v>
      </c>
    </row>
    <row r="1942" spans="1:6">
      <c r="A1942" s="4" t="str">
        <f t="shared" si="30"/>
        <v>tRNA-Ile-GAT-1-1|71</v>
      </c>
      <c r="B1942" s="4" t="s">
        <v>63</v>
      </c>
      <c r="C1942" s="4" t="s">
        <v>192</v>
      </c>
      <c r="D1942" s="4">
        <v>72</v>
      </c>
      <c r="E1942" s="16" t="s">
        <v>114</v>
      </c>
      <c r="F1942" s="17" t="s">
        <v>110</v>
      </c>
    </row>
    <row r="1943" spans="1:6">
      <c r="A1943" s="4" t="str">
        <f t="shared" si="30"/>
        <v>tRNA-Ile-GAT-1-1|72</v>
      </c>
      <c r="B1943" s="4" t="s">
        <v>63</v>
      </c>
      <c r="C1943" s="4" t="s">
        <v>193</v>
      </c>
      <c r="D1943" s="4">
        <v>73</v>
      </c>
      <c r="E1943" s="16" t="s">
        <v>114</v>
      </c>
      <c r="F1943" s="17" t="s">
        <v>110</v>
      </c>
    </row>
    <row r="1944" spans="1:6">
      <c r="A1944" s="4" t="str">
        <f t="shared" si="30"/>
        <v>tRNA-Ile-GAT-1-2|1</v>
      </c>
      <c r="B1944" s="4" t="s">
        <v>64</v>
      </c>
      <c r="C1944" s="4" t="s">
        <v>108</v>
      </c>
      <c r="D1944" s="4">
        <v>1</v>
      </c>
      <c r="E1944" s="16" t="s">
        <v>109</v>
      </c>
      <c r="F1944" s="17" t="s">
        <v>110</v>
      </c>
    </row>
    <row r="1945" spans="1:6">
      <c r="A1945" s="4" t="str">
        <f t="shared" si="30"/>
        <v>tRNA-Ile-GAT-1-2|2</v>
      </c>
      <c r="B1945" s="4" t="s">
        <v>64</v>
      </c>
      <c r="C1945" s="4" t="s">
        <v>111</v>
      </c>
      <c r="D1945" s="4">
        <v>2</v>
      </c>
      <c r="E1945" s="16" t="s">
        <v>109</v>
      </c>
      <c r="F1945" s="17" t="s">
        <v>110</v>
      </c>
    </row>
    <row r="1946" spans="1:6">
      <c r="A1946" s="4" t="str">
        <f t="shared" si="30"/>
        <v>tRNA-Ile-GAT-1-2|3</v>
      </c>
      <c r="B1946" s="4" t="s">
        <v>64</v>
      </c>
      <c r="C1946" s="4" t="s">
        <v>112</v>
      </c>
      <c r="D1946" s="4">
        <v>3</v>
      </c>
      <c r="E1946" s="16" t="s">
        <v>109</v>
      </c>
      <c r="F1946" s="17" t="s">
        <v>110</v>
      </c>
    </row>
    <row r="1947" spans="1:6">
      <c r="A1947" s="4" t="str">
        <f t="shared" si="30"/>
        <v>tRNA-Ile-GAT-1-2|4</v>
      </c>
      <c r="B1947" s="4" t="s">
        <v>64</v>
      </c>
      <c r="C1947" s="4" t="s">
        <v>113</v>
      </c>
      <c r="D1947" s="4">
        <v>4</v>
      </c>
      <c r="E1947" s="16" t="s">
        <v>114</v>
      </c>
      <c r="F1947" s="17" t="s">
        <v>110</v>
      </c>
    </row>
    <row r="1948" spans="1:6">
      <c r="A1948" s="4" t="str">
        <f t="shared" si="30"/>
        <v>tRNA-Ile-GAT-1-2|5</v>
      </c>
      <c r="B1948" s="4" t="s">
        <v>64</v>
      </c>
      <c r="C1948" s="4" t="s">
        <v>115</v>
      </c>
      <c r="D1948" s="4">
        <v>5</v>
      </c>
      <c r="E1948" s="16" t="s">
        <v>114</v>
      </c>
      <c r="F1948" s="17" t="s">
        <v>110</v>
      </c>
    </row>
    <row r="1949" spans="1:6">
      <c r="A1949" s="4" t="str">
        <f t="shared" si="30"/>
        <v>tRNA-Ile-GAT-1-2|6</v>
      </c>
      <c r="B1949" s="4" t="s">
        <v>64</v>
      </c>
      <c r="C1949" s="4" t="s">
        <v>117</v>
      </c>
      <c r="D1949" s="4">
        <v>6</v>
      </c>
      <c r="E1949" s="16" t="s">
        <v>114</v>
      </c>
      <c r="F1949" s="17" t="s">
        <v>110</v>
      </c>
    </row>
    <row r="1950" spans="1:6">
      <c r="A1950" s="4" t="str">
        <f t="shared" si="30"/>
        <v>tRNA-Ile-GAT-1-2|7</v>
      </c>
      <c r="B1950" s="4" t="s">
        <v>64</v>
      </c>
      <c r="C1950" s="4" t="s">
        <v>118</v>
      </c>
      <c r="D1950" s="4">
        <v>7</v>
      </c>
      <c r="E1950" s="16" t="s">
        <v>109</v>
      </c>
      <c r="F1950" s="17" t="s">
        <v>110</v>
      </c>
    </row>
    <row r="1951" spans="1:6">
      <c r="A1951" s="4" t="str">
        <f t="shared" si="30"/>
        <v>tRNA-Ile-GAT-1-2|8</v>
      </c>
      <c r="B1951" s="4" t="s">
        <v>64</v>
      </c>
      <c r="C1951" s="4" t="s">
        <v>119</v>
      </c>
      <c r="D1951" s="4">
        <v>8</v>
      </c>
      <c r="E1951" s="3" t="s">
        <v>116</v>
      </c>
      <c r="F1951" s="4" t="s">
        <v>120</v>
      </c>
    </row>
    <row r="1952" spans="1:6">
      <c r="A1952" s="4" t="str">
        <f t="shared" si="30"/>
        <v>tRNA-Ile-GAT-1-2|9</v>
      </c>
      <c r="B1952" s="4" t="s">
        <v>64</v>
      </c>
      <c r="C1952" s="4" t="s">
        <v>121</v>
      </c>
      <c r="D1952" s="4">
        <v>9</v>
      </c>
      <c r="E1952" s="3" t="s">
        <v>122</v>
      </c>
      <c r="F1952" s="4" t="s">
        <v>123</v>
      </c>
    </row>
    <row r="1953" spans="1:6">
      <c r="A1953" s="4" t="str">
        <f t="shared" si="30"/>
        <v>tRNA-Ile-GAT-1-2|10</v>
      </c>
      <c r="B1953" s="4" t="s">
        <v>64</v>
      </c>
      <c r="C1953" s="4" t="s">
        <v>124</v>
      </c>
      <c r="D1953" s="4">
        <v>10</v>
      </c>
      <c r="E1953" s="8" t="s">
        <v>109</v>
      </c>
      <c r="F1953" s="7" t="s">
        <v>125</v>
      </c>
    </row>
    <row r="1954" spans="1:6">
      <c r="A1954" s="4" t="str">
        <f t="shared" si="30"/>
        <v>tRNA-Ile-GAT-1-2|11</v>
      </c>
      <c r="B1954" s="4" t="s">
        <v>64</v>
      </c>
      <c r="C1954" s="4" t="s">
        <v>126</v>
      </c>
      <c r="D1954" s="4">
        <v>11</v>
      </c>
      <c r="E1954" s="8" t="s">
        <v>114</v>
      </c>
      <c r="F1954" s="7" t="s">
        <v>125</v>
      </c>
    </row>
    <row r="1955" spans="1:6">
      <c r="A1955" s="4" t="str">
        <f t="shared" si="30"/>
        <v>tRNA-Ile-GAT-1-2|12</v>
      </c>
      <c r="B1955" s="4" t="s">
        <v>64</v>
      </c>
      <c r="C1955" s="4" t="s">
        <v>127</v>
      </c>
      <c r="D1955" s="4">
        <v>12</v>
      </c>
      <c r="E1955" s="8" t="s">
        <v>116</v>
      </c>
      <c r="F1955" s="7" t="s">
        <v>125</v>
      </c>
    </row>
    <row r="1956" spans="1:6">
      <c r="A1956" s="4" t="str">
        <f t="shared" si="30"/>
        <v>tRNA-Ile-GAT-1-2|13</v>
      </c>
      <c r="B1956" s="4" t="s">
        <v>64</v>
      </c>
      <c r="C1956" s="4" t="s">
        <v>128</v>
      </c>
      <c r="D1956" s="4">
        <v>13</v>
      </c>
      <c r="E1956" s="8" t="s">
        <v>116</v>
      </c>
      <c r="F1956" s="7" t="s">
        <v>125</v>
      </c>
    </row>
    <row r="1957" spans="1:6">
      <c r="A1957" s="4" t="str">
        <f t="shared" si="30"/>
        <v>tRNA-Ile-GAT-1-2|14</v>
      </c>
      <c r="B1957" s="4" t="s">
        <v>64</v>
      </c>
      <c r="C1957" s="4" t="s">
        <v>129</v>
      </c>
      <c r="D1957" s="4">
        <v>14</v>
      </c>
      <c r="E1957" s="18" t="s">
        <v>122</v>
      </c>
      <c r="F1957" s="19" t="s">
        <v>130</v>
      </c>
    </row>
    <row r="1958" spans="1:6">
      <c r="A1958" s="4" t="str">
        <f t="shared" si="30"/>
        <v>tRNA-Ile-GAT-1-2|15</v>
      </c>
      <c r="B1958" s="4" t="s">
        <v>64</v>
      </c>
      <c r="C1958" s="4" t="s">
        <v>131</v>
      </c>
      <c r="D1958" s="4">
        <v>15</v>
      </c>
      <c r="E1958" s="18" t="s">
        <v>109</v>
      </c>
      <c r="F1958" s="19" t="s">
        <v>130</v>
      </c>
    </row>
    <row r="1959" spans="1:6">
      <c r="A1959" s="4" t="str">
        <f t="shared" si="30"/>
        <v>tRNA-Ile-GAT-1-2|16</v>
      </c>
      <c r="B1959" s="4" t="s">
        <v>64</v>
      </c>
      <c r="C1959" s="4" t="s">
        <v>194</v>
      </c>
      <c r="D1959" s="4">
        <v>16</v>
      </c>
      <c r="E1959" s="18" t="s">
        <v>114</v>
      </c>
      <c r="F1959" s="19" t="s">
        <v>130</v>
      </c>
    </row>
    <row r="1960" spans="1:6">
      <c r="A1960" s="4" t="str">
        <f t="shared" si="30"/>
        <v>tRNA-Ile-GAT-1-2|17</v>
      </c>
      <c r="B1960" s="4" t="s">
        <v>64</v>
      </c>
      <c r="C1960" s="4" t="s">
        <v>195</v>
      </c>
      <c r="D1960" s="4">
        <v>17</v>
      </c>
      <c r="E1960" s="18" t="s">
        <v>116</v>
      </c>
      <c r="F1960" s="19" t="s">
        <v>130</v>
      </c>
    </row>
    <row r="1961" spans="1:6">
      <c r="A1961" s="4" t="str">
        <f t="shared" si="30"/>
        <v>tRNA-Ile-GAT-1-2|17a</v>
      </c>
      <c r="B1961" s="4" t="s">
        <v>64</v>
      </c>
      <c r="C1961" s="4" t="s">
        <v>196</v>
      </c>
      <c r="D1961" s="4">
        <v>18</v>
      </c>
      <c r="E1961" s="18" t="s">
        <v>116</v>
      </c>
      <c r="F1961" s="19" t="s">
        <v>130</v>
      </c>
    </row>
    <row r="1962" spans="1:6">
      <c r="A1962" s="4" t="str">
        <f t="shared" si="30"/>
        <v>tRNA-Ile-GAT-1-2|18</v>
      </c>
      <c r="B1962" s="4" t="s">
        <v>64</v>
      </c>
      <c r="C1962" s="4" t="s">
        <v>132</v>
      </c>
      <c r="D1962" s="4">
        <v>19</v>
      </c>
      <c r="E1962" s="18" t="s">
        <v>109</v>
      </c>
      <c r="F1962" s="19" t="s">
        <v>130</v>
      </c>
    </row>
    <row r="1963" spans="1:6">
      <c r="A1963" s="4" t="str">
        <f t="shared" si="30"/>
        <v>tRNA-Ile-GAT-1-2|19</v>
      </c>
      <c r="B1963" s="4" t="s">
        <v>64</v>
      </c>
      <c r="C1963" s="4" t="s">
        <v>133</v>
      </c>
      <c r="D1963" s="4">
        <v>20</v>
      </c>
      <c r="E1963" s="18" t="s">
        <v>109</v>
      </c>
      <c r="F1963" s="19" t="s">
        <v>130</v>
      </c>
    </row>
    <row r="1964" spans="1:6">
      <c r="A1964" s="4" t="str">
        <f t="shared" si="30"/>
        <v>tRNA-Ile-GAT-1-2|20</v>
      </c>
      <c r="B1964" s="4" t="s">
        <v>64</v>
      </c>
      <c r="C1964" s="4" t="s">
        <v>134</v>
      </c>
      <c r="D1964" s="4">
        <v>21</v>
      </c>
      <c r="E1964" s="18" t="s">
        <v>116</v>
      </c>
      <c r="F1964" s="19" t="s">
        <v>130</v>
      </c>
    </row>
    <row r="1965" spans="1:6">
      <c r="A1965" s="4" t="str">
        <f t="shared" si="30"/>
        <v>tRNA-Ile-GAT-1-2|21</v>
      </c>
      <c r="B1965" s="4" t="s">
        <v>64</v>
      </c>
      <c r="C1965" s="4" t="s">
        <v>136</v>
      </c>
      <c r="D1965" s="4">
        <v>22</v>
      </c>
      <c r="E1965" s="18" t="s">
        <v>109</v>
      </c>
      <c r="F1965" s="19" t="s">
        <v>130</v>
      </c>
    </row>
    <row r="1966" spans="1:6">
      <c r="A1966" s="4" t="str">
        <f t="shared" si="30"/>
        <v>tRNA-Ile-GAT-1-2|22</v>
      </c>
      <c r="B1966" s="4" t="s">
        <v>64</v>
      </c>
      <c r="C1966" s="4" t="s">
        <v>137</v>
      </c>
      <c r="D1966" s="4">
        <v>23</v>
      </c>
      <c r="E1966" s="8" t="s">
        <v>109</v>
      </c>
      <c r="F1966" s="7" t="s">
        <v>125</v>
      </c>
    </row>
    <row r="1967" spans="1:6">
      <c r="A1967" s="4" t="str">
        <f t="shared" si="30"/>
        <v>tRNA-Ile-GAT-1-2|23</v>
      </c>
      <c r="B1967" s="4" t="s">
        <v>64</v>
      </c>
      <c r="C1967" s="4" t="s">
        <v>138</v>
      </c>
      <c r="D1967" s="4">
        <v>24</v>
      </c>
      <c r="E1967" s="8" t="s">
        <v>122</v>
      </c>
      <c r="F1967" s="7" t="s">
        <v>125</v>
      </c>
    </row>
    <row r="1968" spans="1:6">
      <c r="A1968" s="4" t="str">
        <f t="shared" si="30"/>
        <v>tRNA-Ile-GAT-1-2|24</v>
      </c>
      <c r="B1968" s="4" t="s">
        <v>64</v>
      </c>
      <c r="C1968" s="4" t="s">
        <v>139</v>
      </c>
      <c r="D1968" s="4">
        <v>25</v>
      </c>
      <c r="E1968" s="8" t="s">
        <v>109</v>
      </c>
      <c r="F1968" s="7" t="s">
        <v>125</v>
      </c>
    </row>
    <row r="1969" spans="1:6">
      <c r="A1969" s="4" t="str">
        <f t="shared" si="30"/>
        <v>tRNA-Ile-GAT-1-2|25</v>
      </c>
      <c r="B1969" s="4" t="s">
        <v>64</v>
      </c>
      <c r="C1969" s="4" t="s">
        <v>140</v>
      </c>
      <c r="D1969" s="4">
        <v>26</v>
      </c>
      <c r="E1969" s="8" t="s">
        <v>114</v>
      </c>
      <c r="F1969" s="7" t="s">
        <v>125</v>
      </c>
    </row>
    <row r="1970" spans="1:6">
      <c r="A1970" s="4" t="str">
        <f t="shared" si="30"/>
        <v>tRNA-Ile-GAT-1-2|26</v>
      </c>
      <c r="B1970" s="4" t="s">
        <v>64</v>
      </c>
      <c r="C1970" s="4" t="s">
        <v>141</v>
      </c>
      <c r="D1970" s="4">
        <v>27</v>
      </c>
      <c r="E1970" s="3" t="s">
        <v>109</v>
      </c>
      <c r="F1970" s="4" t="s">
        <v>142</v>
      </c>
    </row>
    <row r="1971" spans="1:6">
      <c r="A1971" s="4" t="str">
        <f t="shared" si="30"/>
        <v>tRNA-Ile-GAT-1-2|27</v>
      </c>
      <c r="B1971" s="4" t="s">
        <v>64</v>
      </c>
      <c r="C1971" s="4" t="s">
        <v>143</v>
      </c>
      <c r="D1971" s="4">
        <v>28</v>
      </c>
      <c r="E1971" s="20" t="s">
        <v>114</v>
      </c>
      <c r="F1971" s="21" t="s">
        <v>144</v>
      </c>
    </row>
    <row r="1972" spans="1:6">
      <c r="A1972" s="4" t="str">
        <f t="shared" si="30"/>
        <v>tRNA-Ile-GAT-1-2|28</v>
      </c>
      <c r="B1972" s="4" t="s">
        <v>64</v>
      </c>
      <c r="C1972" s="4" t="s">
        <v>145</v>
      </c>
      <c r="D1972" s="4">
        <v>29</v>
      </c>
      <c r="E1972" s="20" t="s">
        <v>122</v>
      </c>
      <c r="F1972" s="21" t="s">
        <v>144</v>
      </c>
    </row>
    <row r="1973" spans="1:6">
      <c r="A1973" s="4" t="str">
        <f t="shared" si="30"/>
        <v>tRNA-Ile-GAT-1-2|29</v>
      </c>
      <c r="B1973" s="4" t="s">
        <v>64</v>
      </c>
      <c r="C1973" s="4" t="s">
        <v>146</v>
      </c>
      <c r="D1973" s="4">
        <v>30</v>
      </c>
      <c r="E1973" s="20" t="s">
        <v>114</v>
      </c>
      <c r="F1973" s="21" t="s">
        <v>144</v>
      </c>
    </row>
    <row r="1974" spans="1:6">
      <c r="A1974" s="4" t="str">
        <f t="shared" si="30"/>
        <v>tRNA-Ile-GAT-1-2|30</v>
      </c>
      <c r="B1974" s="4" t="s">
        <v>64</v>
      </c>
      <c r="C1974" s="4" t="s">
        <v>147</v>
      </c>
      <c r="D1974" s="4">
        <v>31</v>
      </c>
      <c r="E1974" s="20" t="s">
        <v>109</v>
      </c>
      <c r="F1974" s="21" t="s">
        <v>144</v>
      </c>
    </row>
    <row r="1975" spans="1:6">
      <c r="A1975" s="4" t="str">
        <f t="shared" si="30"/>
        <v>tRNA-Ile-GAT-1-2|31</v>
      </c>
      <c r="B1975" s="4" t="s">
        <v>64</v>
      </c>
      <c r="C1975" s="4" t="s">
        <v>148</v>
      </c>
      <c r="D1975" s="4">
        <v>32</v>
      </c>
      <c r="E1975" s="20" t="s">
        <v>109</v>
      </c>
      <c r="F1975" s="21" t="s">
        <v>144</v>
      </c>
    </row>
    <row r="1976" spans="1:6">
      <c r="A1976" s="4" t="str">
        <f t="shared" si="30"/>
        <v>tRNA-Ile-GAT-1-2|32</v>
      </c>
      <c r="B1976" s="4" t="s">
        <v>64</v>
      </c>
      <c r="C1976" s="4" t="s">
        <v>149</v>
      </c>
      <c r="D1976" s="4">
        <v>33</v>
      </c>
      <c r="E1976" s="18" t="s">
        <v>114</v>
      </c>
      <c r="F1976" s="19" t="s">
        <v>150</v>
      </c>
    </row>
    <row r="1977" spans="1:6">
      <c r="A1977" s="4" t="str">
        <f t="shared" si="30"/>
        <v>tRNA-Ile-GAT-1-2|33</v>
      </c>
      <c r="B1977" s="4" t="s">
        <v>64</v>
      </c>
      <c r="C1977" s="4" t="s">
        <v>151</v>
      </c>
      <c r="D1977" s="4">
        <v>34</v>
      </c>
      <c r="E1977" s="18" t="s">
        <v>116</v>
      </c>
      <c r="F1977" s="19" t="s">
        <v>150</v>
      </c>
    </row>
    <row r="1978" spans="1:6">
      <c r="A1978" s="4" t="str">
        <f t="shared" si="30"/>
        <v>tRNA-Ile-GAT-1-2|34</v>
      </c>
      <c r="B1978" s="4" t="s">
        <v>64</v>
      </c>
      <c r="C1978" s="4" t="s">
        <v>152</v>
      </c>
      <c r="D1978" s="4">
        <v>35</v>
      </c>
      <c r="E1978" s="18" t="s">
        <v>109</v>
      </c>
      <c r="F1978" s="19" t="s">
        <v>150</v>
      </c>
    </row>
    <row r="1979" spans="1:6">
      <c r="A1979" s="4" t="str">
        <f t="shared" si="30"/>
        <v>tRNA-Ile-GAT-1-2|35</v>
      </c>
      <c r="B1979" s="4" t="s">
        <v>64</v>
      </c>
      <c r="C1979" s="4" t="s">
        <v>153</v>
      </c>
      <c r="D1979" s="4">
        <v>36</v>
      </c>
      <c r="E1979" s="18" t="s">
        <v>122</v>
      </c>
      <c r="F1979" s="19" t="s">
        <v>150</v>
      </c>
    </row>
    <row r="1980" spans="1:6">
      <c r="A1980" s="4" t="str">
        <f t="shared" si="30"/>
        <v>tRNA-Ile-GAT-1-2|36</v>
      </c>
      <c r="B1980" s="4" t="s">
        <v>64</v>
      </c>
      <c r="C1980" s="4" t="s">
        <v>154</v>
      </c>
      <c r="D1980" s="4">
        <v>37</v>
      </c>
      <c r="E1980" s="18" t="s">
        <v>116</v>
      </c>
      <c r="F1980" s="19" t="s">
        <v>150</v>
      </c>
    </row>
    <row r="1981" spans="1:6">
      <c r="A1981" s="4" t="str">
        <f t="shared" si="30"/>
        <v>tRNA-Ile-GAT-1-2|37</v>
      </c>
      <c r="B1981" s="4" t="s">
        <v>64</v>
      </c>
      <c r="C1981" s="4" t="s">
        <v>155</v>
      </c>
      <c r="D1981" s="4">
        <v>38</v>
      </c>
      <c r="E1981" s="18" t="s">
        <v>122</v>
      </c>
      <c r="F1981" s="19" t="s">
        <v>150</v>
      </c>
    </row>
    <row r="1982" spans="1:6">
      <c r="A1982" s="4" t="str">
        <f t="shared" si="30"/>
        <v>tRNA-Ile-GAT-1-2|38</v>
      </c>
      <c r="B1982" s="4" t="s">
        <v>64</v>
      </c>
      <c r="C1982" s="4" t="s">
        <v>156</v>
      </c>
      <c r="D1982" s="4">
        <v>39</v>
      </c>
      <c r="E1982" s="18" t="s">
        <v>122</v>
      </c>
      <c r="F1982" s="19" t="s">
        <v>150</v>
      </c>
    </row>
    <row r="1983" spans="1:6">
      <c r="A1983" s="4" t="str">
        <f t="shared" si="30"/>
        <v>tRNA-Ile-GAT-1-2|39</v>
      </c>
      <c r="B1983" s="4" t="s">
        <v>64</v>
      </c>
      <c r="C1983" s="4" t="s">
        <v>157</v>
      </c>
      <c r="D1983" s="4">
        <v>40</v>
      </c>
      <c r="E1983" s="20" t="s">
        <v>114</v>
      </c>
      <c r="F1983" s="21" t="s">
        <v>144</v>
      </c>
    </row>
    <row r="1984" spans="1:6">
      <c r="A1984" s="4" t="str">
        <f t="shared" si="30"/>
        <v>tRNA-Ile-GAT-1-2|40</v>
      </c>
      <c r="B1984" s="4" t="s">
        <v>64</v>
      </c>
      <c r="C1984" s="4" t="s">
        <v>158</v>
      </c>
      <c r="D1984" s="4">
        <v>41</v>
      </c>
      <c r="E1984" s="20" t="s">
        <v>114</v>
      </c>
      <c r="F1984" s="21" t="s">
        <v>144</v>
      </c>
    </row>
    <row r="1985" spans="1:6">
      <c r="A1985" s="4" t="str">
        <f t="shared" si="30"/>
        <v>tRNA-Ile-GAT-1-2|41</v>
      </c>
      <c r="B1985" s="4" t="s">
        <v>64</v>
      </c>
      <c r="C1985" s="4" t="s">
        <v>159</v>
      </c>
      <c r="D1985" s="4">
        <v>42</v>
      </c>
      <c r="E1985" s="20" t="s">
        <v>109</v>
      </c>
      <c r="F1985" s="21" t="s">
        <v>144</v>
      </c>
    </row>
    <row r="1986" spans="1:6">
      <c r="A1986" s="4" t="str">
        <f t="shared" ref="A1986:A2049" si="31">B1986&amp;"|"&amp;C1986</f>
        <v>tRNA-Ile-GAT-1-2|42</v>
      </c>
      <c r="B1986" s="4" t="s">
        <v>64</v>
      </c>
      <c r="C1986" s="4" t="s">
        <v>160</v>
      </c>
      <c r="D1986" s="4">
        <v>43</v>
      </c>
      <c r="E1986" s="20" t="s">
        <v>116</v>
      </c>
      <c r="F1986" s="21" t="s">
        <v>144</v>
      </c>
    </row>
    <row r="1987" spans="1:6">
      <c r="A1987" s="4" t="str">
        <f t="shared" si="31"/>
        <v>tRNA-Ile-GAT-1-2|43</v>
      </c>
      <c r="B1987" s="4" t="s">
        <v>64</v>
      </c>
      <c r="C1987" s="4" t="s">
        <v>161</v>
      </c>
      <c r="D1987" s="4">
        <v>44</v>
      </c>
      <c r="E1987" s="20" t="s">
        <v>109</v>
      </c>
      <c r="F1987" s="21" t="s">
        <v>144</v>
      </c>
    </row>
    <row r="1988" spans="1:6">
      <c r="A1988" s="4" t="str">
        <f t="shared" si="31"/>
        <v>tRNA-Ile-GAT-1-2|44</v>
      </c>
      <c r="B1988" s="4" t="s">
        <v>64</v>
      </c>
      <c r="C1988" s="4" t="s">
        <v>162</v>
      </c>
      <c r="D1988" s="4">
        <v>45</v>
      </c>
      <c r="E1988" s="18" t="s">
        <v>122</v>
      </c>
      <c r="F1988" s="19" t="s">
        <v>163</v>
      </c>
    </row>
    <row r="1989" spans="1:6">
      <c r="A1989" s="4" t="str">
        <f t="shared" si="31"/>
        <v>tRNA-Ile-GAT-1-2|45</v>
      </c>
      <c r="B1989" s="4" t="s">
        <v>64</v>
      </c>
      <c r="C1989" s="4" t="s">
        <v>164</v>
      </c>
      <c r="D1989" s="4">
        <v>46</v>
      </c>
      <c r="E1989" s="18" t="s">
        <v>109</v>
      </c>
      <c r="F1989" s="19" t="s">
        <v>163</v>
      </c>
    </row>
    <row r="1990" spans="1:6">
      <c r="A1990" s="4" t="str">
        <f t="shared" si="31"/>
        <v>tRNA-Ile-GAT-1-2|46</v>
      </c>
      <c r="B1990" s="4" t="s">
        <v>64</v>
      </c>
      <c r="C1990" s="4" t="s">
        <v>165</v>
      </c>
      <c r="D1990" s="4">
        <v>47</v>
      </c>
      <c r="E1990" s="18" t="s">
        <v>109</v>
      </c>
      <c r="F1990" s="19" t="s">
        <v>163</v>
      </c>
    </row>
    <row r="1991" spans="1:6">
      <c r="A1991" s="4" t="str">
        <f t="shared" si="31"/>
        <v>tRNA-Ile-GAT-1-2|47</v>
      </c>
      <c r="B1991" s="4" t="s">
        <v>64</v>
      </c>
      <c r="C1991" s="4" t="s">
        <v>166</v>
      </c>
      <c r="D1991" s="4">
        <v>48</v>
      </c>
      <c r="E1991" s="18" t="s">
        <v>116</v>
      </c>
      <c r="F1991" s="19" t="s">
        <v>163</v>
      </c>
    </row>
    <row r="1992" spans="1:6">
      <c r="A1992" s="4" t="str">
        <f t="shared" si="31"/>
        <v>tRNA-Ile-GAT-1-2|48</v>
      </c>
      <c r="B1992" s="4" t="s">
        <v>64</v>
      </c>
      <c r="C1992" s="4" t="s">
        <v>167</v>
      </c>
      <c r="D1992" s="4">
        <v>49</v>
      </c>
      <c r="E1992" s="18" t="s">
        <v>114</v>
      </c>
      <c r="F1992" s="19" t="s">
        <v>163</v>
      </c>
    </row>
    <row r="1993" spans="1:6">
      <c r="A1993" s="4" t="str">
        <f t="shared" si="31"/>
        <v>tRNA-Ile-GAT-1-2|49</v>
      </c>
      <c r="B1993" s="4" t="s">
        <v>64</v>
      </c>
      <c r="C1993" s="4" t="s">
        <v>168</v>
      </c>
      <c r="D1993" s="4">
        <v>50</v>
      </c>
      <c r="E1993" s="22" t="s">
        <v>114</v>
      </c>
      <c r="F1993" s="10" t="s">
        <v>169</v>
      </c>
    </row>
    <row r="1994" spans="1:6">
      <c r="A1994" s="4" t="str">
        <f t="shared" si="31"/>
        <v>tRNA-Ile-GAT-1-2|50</v>
      </c>
      <c r="B1994" s="4" t="s">
        <v>64</v>
      </c>
      <c r="C1994" s="4" t="s">
        <v>170</v>
      </c>
      <c r="D1994" s="4">
        <v>51</v>
      </c>
      <c r="E1994" s="22" t="s">
        <v>116</v>
      </c>
      <c r="F1994" s="10" t="s">
        <v>169</v>
      </c>
    </row>
    <row r="1995" spans="1:6">
      <c r="A1995" s="4" t="str">
        <f t="shared" si="31"/>
        <v>tRNA-Ile-GAT-1-2|51</v>
      </c>
      <c r="B1995" s="4" t="s">
        <v>64</v>
      </c>
      <c r="C1995" s="4" t="s">
        <v>171</v>
      </c>
      <c r="D1995" s="4">
        <v>52</v>
      </c>
      <c r="E1995" s="22" t="s">
        <v>109</v>
      </c>
      <c r="F1995" s="10" t="s">
        <v>169</v>
      </c>
    </row>
    <row r="1996" spans="1:6">
      <c r="A1996" s="4" t="str">
        <f t="shared" si="31"/>
        <v>tRNA-Ile-GAT-1-2|52</v>
      </c>
      <c r="B1996" s="4" t="s">
        <v>64</v>
      </c>
      <c r="C1996" s="4" t="s">
        <v>172</v>
      </c>
      <c r="D1996" s="4">
        <v>53</v>
      </c>
      <c r="E1996" s="22" t="s">
        <v>114</v>
      </c>
      <c r="F1996" s="10" t="s">
        <v>169</v>
      </c>
    </row>
    <row r="1997" spans="1:6">
      <c r="A1997" s="4" t="str">
        <f t="shared" si="31"/>
        <v>tRNA-Ile-GAT-1-2|53</v>
      </c>
      <c r="B1997" s="4" t="s">
        <v>64</v>
      </c>
      <c r="C1997" s="4" t="s">
        <v>173</v>
      </c>
      <c r="D1997" s="4">
        <v>54</v>
      </c>
      <c r="E1997" s="22" t="s">
        <v>109</v>
      </c>
      <c r="F1997" s="10" t="s">
        <v>169</v>
      </c>
    </row>
    <row r="1998" spans="1:6">
      <c r="A1998" s="4" t="str">
        <f t="shared" si="31"/>
        <v>tRNA-Ile-GAT-1-2|54</v>
      </c>
      <c r="B1998" s="4" t="s">
        <v>64</v>
      </c>
      <c r="C1998" s="4" t="s">
        <v>174</v>
      </c>
      <c r="D1998" s="4">
        <v>55</v>
      </c>
      <c r="E1998" s="18" t="s">
        <v>116</v>
      </c>
      <c r="F1998" s="19" t="s">
        <v>175</v>
      </c>
    </row>
    <row r="1999" spans="1:6">
      <c r="A1999" s="4" t="str">
        <f t="shared" si="31"/>
        <v>tRNA-Ile-GAT-1-2|55</v>
      </c>
      <c r="B1999" s="4" t="s">
        <v>64</v>
      </c>
      <c r="C1999" s="4" t="s">
        <v>176</v>
      </c>
      <c r="D1999" s="4">
        <v>56</v>
      </c>
      <c r="E1999" s="18" t="s">
        <v>116</v>
      </c>
      <c r="F1999" s="19" t="s">
        <v>175</v>
      </c>
    </row>
    <row r="2000" spans="1:6">
      <c r="A2000" s="4" t="str">
        <f t="shared" si="31"/>
        <v>tRNA-Ile-GAT-1-2|56</v>
      </c>
      <c r="B2000" s="4" t="s">
        <v>64</v>
      </c>
      <c r="C2000" s="4" t="s">
        <v>177</v>
      </c>
      <c r="D2000" s="4">
        <v>57</v>
      </c>
      <c r="E2000" s="18" t="s">
        <v>114</v>
      </c>
      <c r="F2000" s="19" t="s">
        <v>175</v>
      </c>
    </row>
    <row r="2001" spans="1:6">
      <c r="A2001" s="4" t="str">
        <f t="shared" si="31"/>
        <v>tRNA-Ile-GAT-1-2|57</v>
      </c>
      <c r="B2001" s="4" t="s">
        <v>64</v>
      </c>
      <c r="C2001" s="4" t="s">
        <v>178</v>
      </c>
      <c r="D2001" s="4">
        <v>58</v>
      </c>
      <c r="E2001" s="18" t="s">
        <v>109</v>
      </c>
      <c r="F2001" s="19" t="s">
        <v>175</v>
      </c>
    </row>
    <row r="2002" spans="1:6">
      <c r="A2002" s="4" t="str">
        <f t="shared" si="31"/>
        <v>tRNA-Ile-GAT-1-2|58</v>
      </c>
      <c r="B2002" s="4" t="s">
        <v>64</v>
      </c>
      <c r="C2002" s="4" t="s">
        <v>179</v>
      </c>
      <c r="D2002" s="4">
        <v>59</v>
      </c>
      <c r="E2002" s="18" t="s">
        <v>122</v>
      </c>
      <c r="F2002" s="19" t="s">
        <v>175</v>
      </c>
    </row>
    <row r="2003" spans="1:6">
      <c r="A2003" s="4" t="str">
        <f t="shared" si="31"/>
        <v>tRNA-Ile-GAT-1-2|59</v>
      </c>
      <c r="B2003" s="4" t="s">
        <v>64</v>
      </c>
      <c r="C2003" s="4" t="s">
        <v>180</v>
      </c>
      <c r="D2003" s="4">
        <v>60</v>
      </c>
      <c r="E2003" s="18" t="s">
        <v>122</v>
      </c>
      <c r="F2003" s="19" t="s">
        <v>175</v>
      </c>
    </row>
    <row r="2004" spans="1:6">
      <c r="A2004" s="4" t="str">
        <f t="shared" si="31"/>
        <v>tRNA-Ile-GAT-1-2|60</v>
      </c>
      <c r="B2004" s="4" t="s">
        <v>64</v>
      </c>
      <c r="C2004" s="4" t="s">
        <v>181</v>
      </c>
      <c r="D2004" s="4">
        <v>61</v>
      </c>
      <c r="E2004" s="18" t="s">
        <v>116</v>
      </c>
      <c r="F2004" s="19" t="s">
        <v>175</v>
      </c>
    </row>
    <row r="2005" spans="1:6">
      <c r="A2005" s="4" t="str">
        <f t="shared" si="31"/>
        <v>tRNA-Ile-GAT-1-2|61</v>
      </c>
      <c r="B2005" s="4" t="s">
        <v>64</v>
      </c>
      <c r="C2005" s="4" t="s">
        <v>182</v>
      </c>
      <c r="D2005" s="4">
        <v>62</v>
      </c>
      <c r="E2005" s="22" t="s">
        <v>114</v>
      </c>
      <c r="F2005" s="10" t="s">
        <v>169</v>
      </c>
    </row>
    <row r="2006" spans="1:6">
      <c r="A2006" s="4" t="str">
        <f t="shared" si="31"/>
        <v>tRNA-Ile-GAT-1-2|62</v>
      </c>
      <c r="B2006" s="4" t="s">
        <v>64</v>
      </c>
      <c r="C2006" s="4" t="s">
        <v>183</v>
      </c>
      <c r="D2006" s="4">
        <v>63</v>
      </c>
      <c r="E2006" s="22" t="s">
        <v>109</v>
      </c>
      <c r="F2006" s="10" t="s">
        <v>169</v>
      </c>
    </row>
    <row r="2007" spans="1:6">
      <c r="A2007" s="4" t="str">
        <f t="shared" si="31"/>
        <v>tRNA-Ile-GAT-1-2|63</v>
      </c>
      <c r="B2007" s="4" t="s">
        <v>64</v>
      </c>
      <c r="C2007" s="4" t="s">
        <v>184</v>
      </c>
      <c r="D2007" s="4">
        <v>64</v>
      </c>
      <c r="E2007" s="22" t="s">
        <v>114</v>
      </c>
      <c r="F2007" s="10" t="s">
        <v>169</v>
      </c>
    </row>
    <row r="2008" spans="1:6">
      <c r="A2008" s="4" t="str">
        <f t="shared" si="31"/>
        <v>tRNA-Ile-GAT-1-2|64</v>
      </c>
      <c r="B2008" s="4" t="s">
        <v>64</v>
      </c>
      <c r="C2008" s="4" t="s">
        <v>185</v>
      </c>
      <c r="D2008" s="4">
        <v>65</v>
      </c>
      <c r="E2008" s="22" t="s">
        <v>122</v>
      </c>
      <c r="F2008" s="10" t="s">
        <v>169</v>
      </c>
    </row>
    <row r="2009" spans="1:6">
      <c r="A2009" s="4" t="str">
        <f t="shared" si="31"/>
        <v>tRNA-Ile-GAT-1-2|65</v>
      </c>
      <c r="B2009" s="4" t="s">
        <v>64</v>
      </c>
      <c r="C2009" s="4" t="s">
        <v>186</v>
      </c>
      <c r="D2009" s="4">
        <v>66</v>
      </c>
      <c r="E2009" s="22" t="s">
        <v>109</v>
      </c>
      <c r="F2009" s="10" t="s">
        <v>169</v>
      </c>
    </row>
    <row r="2010" spans="1:6">
      <c r="A2010" s="4" t="str">
        <f t="shared" si="31"/>
        <v>tRNA-Ile-GAT-1-2|66</v>
      </c>
      <c r="B2010" s="4" t="s">
        <v>64</v>
      </c>
      <c r="C2010" s="4" t="s">
        <v>187</v>
      </c>
      <c r="D2010" s="4">
        <v>67</v>
      </c>
      <c r="E2010" s="16" t="s">
        <v>114</v>
      </c>
      <c r="F2010" s="17" t="s">
        <v>110</v>
      </c>
    </row>
    <row r="2011" spans="1:6">
      <c r="A2011" s="4" t="str">
        <f t="shared" si="31"/>
        <v>tRNA-Ile-GAT-1-2|67</v>
      </c>
      <c r="B2011" s="4" t="s">
        <v>64</v>
      </c>
      <c r="C2011" s="4" t="s">
        <v>188</v>
      </c>
      <c r="D2011" s="4">
        <v>68</v>
      </c>
      <c r="E2011" s="16" t="s">
        <v>109</v>
      </c>
      <c r="F2011" s="17" t="s">
        <v>110</v>
      </c>
    </row>
    <row r="2012" spans="1:6">
      <c r="A2012" s="4" t="str">
        <f t="shared" si="31"/>
        <v>tRNA-Ile-GAT-1-2|68</v>
      </c>
      <c r="B2012" s="4" t="s">
        <v>64</v>
      </c>
      <c r="C2012" s="4" t="s">
        <v>189</v>
      </c>
      <c r="D2012" s="4">
        <v>69</v>
      </c>
      <c r="E2012" s="16" t="s">
        <v>109</v>
      </c>
      <c r="F2012" s="17" t="s">
        <v>110</v>
      </c>
    </row>
    <row r="2013" spans="1:6">
      <c r="A2013" s="4" t="str">
        <f t="shared" si="31"/>
        <v>tRNA-Ile-GAT-1-2|69</v>
      </c>
      <c r="B2013" s="4" t="s">
        <v>64</v>
      </c>
      <c r="C2013" s="4" t="s">
        <v>190</v>
      </c>
      <c r="D2013" s="4">
        <v>70</v>
      </c>
      <c r="E2013" s="16" t="s">
        <v>109</v>
      </c>
      <c r="F2013" s="17" t="s">
        <v>110</v>
      </c>
    </row>
    <row r="2014" spans="1:6">
      <c r="A2014" s="4" t="str">
        <f t="shared" si="31"/>
        <v>tRNA-Ile-GAT-1-2|70</v>
      </c>
      <c r="B2014" s="4" t="s">
        <v>64</v>
      </c>
      <c r="C2014" s="4" t="s">
        <v>191</v>
      </c>
      <c r="D2014" s="4">
        <v>71</v>
      </c>
      <c r="E2014" s="16" t="s">
        <v>114</v>
      </c>
      <c r="F2014" s="17" t="s">
        <v>110</v>
      </c>
    </row>
    <row r="2015" spans="1:6">
      <c r="A2015" s="4" t="str">
        <f t="shared" si="31"/>
        <v>tRNA-Ile-GAT-1-2|71</v>
      </c>
      <c r="B2015" s="4" t="s">
        <v>64</v>
      </c>
      <c r="C2015" s="4" t="s">
        <v>192</v>
      </c>
      <c r="D2015" s="4">
        <v>72</v>
      </c>
      <c r="E2015" s="16" t="s">
        <v>114</v>
      </c>
      <c r="F2015" s="17" t="s">
        <v>110</v>
      </c>
    </row>
    <row r="2016" spans="1:6">
      <c r="A2016" s="4" t="str">
        <f t="shared" si="31"/>
        <v>tRNA-Ile-GAT-1-2|72</v>
      </c>
      <c r="B2016" s="4" t="s">
        <v>64</v>
      </c>
      <c r="C2016" s="4" t="s">
        <v>193</v>
      </c>
      <c r="D2016" s="4">
        <v>73</v>
      </c>
      <c r="E2016" s="16" t="s">
        <v>114</v>
      </c>
      <c r="F2016" s="17" t="s">
        <v>110</v>
      </c>
    </row>
    <row r="2017" spans="1:6">
      <c r="A2017" s="4" t="str">
        <f t="shared" si="31"/>
        <v>tRNA-Ile2-CAT-1-1|1</v>
      </c>
      <c r="B2017" s="4" t="s">
        <v>65</v>
      </c>
      <c r="C2017" s="4" t="s">
        <v>108</v>
      </c>
      <c r="D2017" s="4">
        <v>1</v>
      </c>
      <c r="E2017" s="16" t="s">
        <v>109</v>
      </c>
      <c r="F2017" s="17" t="s">
        <v>110</v>
      </c>
    </row>
    <row r="2018" spans="1:6">
      <c r="A2018" s="4" t="str">
        <f t="shared" si="31"/>
        <v>tRNA-Ile2-CAT-1-1|2</v>
      </c>
      <c r="B2018" s="4" t="s">
        <v>65</v>
      </c>
      <c r="C2018" s="4" t="s">
        <v>111</v>
      </c>
      <c r="D2018" s="4">
        <v>2</v>
      </c>
      <c r="E2018" s="16" t="s">
        <v>109</v>
      </c>
      <c r="F2018" s="17" t="s">
        <v>110</v>
      </c>
    </row>
    <row r="2019" spans="1:6">
      <c r="A2019" s="4" t="str">
        <f t="shared" si="31"/>
        <v>tRNA-Ile2-CAT-1-1|3</v>
      </c>
      <c r="B2019" s="4" t="s">
        <v>65</v>
      </c>
      <c r="C2019" s="4" t="s">
        <v>112</v>
      </c>
      <c r="D2019" s="4">
        <v>3</v>
      </c>
      <c r="E2019" s="16" t="s">
        <v>109</v>
      </c>
      <c r="F2019" s="17" t="s">
        <v>110</v>
      </c>
    </row>
    <row r="2020" spans="1:6">
      <c r="A2020" s="4" t="str">
        <f t="shared" si="31"/>
        <v>tRNA-Ile2-CAT-1-1|4</v>
      </c>
      <c r="B2020" s="4" t="s">
        <v>65</v>
      </c>
      <c r="C2020" s="4" t="s">
        <v>113</v>
      </c>
      <c r="D2020" s="4">
        <v>4</v>
      </c>
      <c r="E2020" s="16" t="s">
        <v>114</v>
      </c>
      <c r="F2020" s="17" t="s">
        <v>110</v>
      </c>
    </row>
    <row r="2021" spans="1:6">
      <c r="A2021" s="4" t="str">
        <f t="shared" si="31"/>
        <v>tRNA-Ile2-CAT-1-1|5</v>
      </c>
      <c r="B2021" s="4" t="s">
        <v>65</v>
      </c>
      <c r="C2021" s="4" t="s">
        <v>115</v>
      </c>
      <c r="D2021" s="4">
        <v>5</v>
      </c>
      <c r="E2021" s="16" t="s">
        <v>114</v>
      </c>
      <c r="F2021" s="17" t="s">
        <v>110</v>
      </c>
    </row>
    <row r="2022" spans="1:6">
      <c r="A2022" s="4" t="str">
        <f t="shared" si="31"/>
        <v>tRNA-Ile2-CAT-1-1|6</v>
      </c>
      <c r="B2022" s="4" t="s">
        <v>65</v>
      </c>
      <c r="C2022" s="4" t="s">
        <v>117</v>
      </c>
      <c r="D2022" s="4">
        <v>6</v>
      </c>
      <c r="E2022" s="16" t="s">
        <v>116</v>
      </c>
      <c r="F2022" s="17" t="s">
        <v>110</v>
      </c>
    </row>
    <row r="2023" spans="1:6">
      <c r="A2023" s="4" t="str">
        <f t="shared" si="31"/>
        <v>tRNA-Ile2-CAT-1-1|7</v>
      </c>
      <c r="B2023" s="4" t="s">
        <v>65</v>
      </c>
      <c r="C2023" s="4" t="s">
        <v>118</v>
      </c>
      <c r="D2023" s="4">
        <v>7</v>
      </c>
      <c r="E2023" s="16" t="s">
        <v>109</v>
      </c>
      <c r="F2023" s="17" t="s">
        <v>110</v>
      </c>
    </row>
    <row r="2024" spans="1:6">
      <c r="A2024" s="4" t="str">
        <f t="shared" si="31"/>
        <v>tRNA-Ile2-CAT-1-1|8</v>
      </c>
      <c r="B2024" s="4" t="s">
        <v>65</v>
      </c>
      <c r="C2024" s="4" t="s">
        <v>119</v>
      </c>
      <c r="D2024" s="4">
        <v>8</v>
      </c>
      <c r="E2024" s="3" t="s">
        <v>116</v>
      </c>
      <c r="F2024" s="4" t="s">
        <v>120</v>
      </c>
    </row>
    <row r="2025" spans="1:6">
      <c r="A2025" s="4" t="str">
        <f t="shared" si="31"/>
        <v>tRNA-Ile2-CAT-1-1|9</v>
      </c>
      <c r="B2025" s="4" t="s">
        <v>65</v>
      </c>
      <c r="C2025" s="4" t="s">
        <v>121</v>
      </c>
      <c r="D2025" s="4">
        <v>9</v>
      </c>
      <c r="E2025" s="3" t="s">
        <v>122</v>
      </c>
      <c r="F2025" s="4" t="s">
        <v>123</v>
      </c>
    </row>
    <row r="2026" spans="1:6">
      <c r="A2026" s="4" t="str">
        <f t="shared" si="31"/>
        <v>tRNA-Ile2-CAT-1-1|10</v>
      </c>
      <c r="B2026" s="4" t="s">
        <v>65</v>
      </c>
      <c r="C2026" s="4" t="s">
        <v>124</v>
      </c>
      <c r="D2026" s="4">
        <v>10</v>
      </c>
      <c r="E2026" s="8" t="s">
        <v>109</v>
      </c>
      <c r="F2026" s="7" t="s">
        <v>125</v>
      </c>
    </row>
    <row r="2027" spans="1:6">
      <c r="A2027" s="4" t="str">
        <f t="shared" si="31"/>
        <v>tRNA-Ile2-CAT-1-1|11</v>
      </c>
      <c r="B2027" s="4" t="s">
        <v>65</v>
      </c>
      <c r="C2027" s="4" t="s">
        <v>126</v>
      </c>
      <c r="D2027" s="4">
        <v>11</v>
      </c>
      <c r="E2027" s="8" t="s">
        <v>114</v>
      </c>
      <c r="F2027" s="7" t="s">
        <v>125</v>
      </c>
    </row>
    <row r="2028" spans="1:6">
      <c r="A2028" s="4" t="str">
        <f t="shared" si="31"/>
        <v>tRNA-Ile2-CAT-1-1|12</v>
      </c>
      <c r="B2028" s="4" t="s">
        <v>65</v>
      </c>
      <c r="C2028" s="4" t="s">
        <v>127</v>
      </c>
      <c r="D2028" s="4">
        <v>12</v>
      </c>
      <c r="E2028" s="8" t="s">
        <v>116</v>
      </c>
      <c r="F2028" s="7" t="s">
        <v>125</v>
      </c>
    </row>
    <row r="2029" spans="1:6">
      <c r="A2029" s="4" t="str">
        <f t="shared" si="31"/>
        <v>tRNA-Ile2-CAT-1-1|13</v>
      </c>
      <c r="B2029" s="4" t="s">
        <v>65</v>
      </c>
      <c r="C2029" s="4" t="s">
        <v>128</v>
      </c>
      <c r="D2029" s="4">
        <v>13</v>
      </c>
      <c r="E2029" s="8" t="s">
        <v>114</v>
      </c>
      <c r="F2029" s="7" t="s">
        <v>125</v>
      </c>
    </row>
    <row r="2030" spans="1:6">
      <c r="A2030" s="4" t="str">
        <f t="shared" si="31"/>
        <v>tRNA-Ile2-CAT-1-1|14</v>
      </c>
      <c r="B2030" s="4" t="s">
        <v>65</v>
      </c>
      <c r="C2030" s="4" t="s">
        <v>129</v>
      </c>
      <c r="D2030" s="4">
        <v>14</v>
      </c>
      <c r="E2030" s="18" t="s">
        <v>122</v>
      </c>
      <c r="F2030" s="19" t="s">
        <v>130</v>
      </c>
    </row>
    <row r="2031" spans="1:6">
      <c r="A2031" s="4" t="str">
        <f t="shared" si="31"/>
        <v>tRNA-Ile2-CAT-1-1|15</v>
      </c>
      <c r="B2031" s="4" t="s">
        <v>65</v>
      </c>
      <c r="C2031" s="4" t="s">
        <v>131</v>
      </c>
      <c r="D2031" s="4">
        <v>15</v>
      </c>
      <c r="E2031" s="18" t="s">
        <v>109</v>
      </c>
      <c r="F2031" s="19" t="s">
        <v>130</v>
      </c>
    </row>
    <row r="2032" spans="1:6">
      <c r="A2032" s="4" t="str">
        <f t="shared" si="31"/>
        <v>tRNA-Ile2-CAT-1-1|16</v>
      </c>
      <c r="B2032" s="4" t="s">
        <v>65</v>
      </c>
      <c r="C2032" s="4" t="s">
        <v>194</v>
      </c>
      <c r="D2032" s="4">
        <v>16</v>
      </c>
      <c r="E2032" s="18" t="s">
        <v>116</v>
      </c>
      <c r="F2032" s="19" t="s">
        <v>130</v>
      </c>
    </row>
    <row r="2033" spans="1:6">
      <c r="A2033" s="4" t="str">
        <f t="shared" si="31"/>
        <v>tRNA-Ile2-CAT-1-1|17</v>
      </c>
      <c r="B2033" s="4" t="s">
        <v>65</v>
      </c>
      <c r="C2033" s="4" t="s">
        <v>195</v>
      </c>
      <c r="D2033" s="4">
        <v>17</v>
      </c>
      <c r="E2033" s="18" t="s">
        <v>114</v>
      </c>
      <c r="F2033" s="19" t="s">
        <v>130</v>
      </c>
    </row>
    <row r="2034" spans="1:6">
      <c r="A2034" s="4" t="str">
        <f t="shared" si="31"/>
        <v>tRNA-Ile2-CAT-1-1|17a</v>
      </c>
      <c r="B2034" s="4" t="s">
        <v>65</v>
      </c>
      <c r="C2034" s="4" t="s">
        <v>196</v>
      </c>
      <c r="D2034" s="4">
        <v>18</v>
      </c>
      <c r="E2034" s="18" t="s">
        <v>122</v>
      </c>
      <c r="F2034" s="19" t="s">
        <v>130</v>
      </c>
    </row>
    <row r="2035" spans="1:6">
      <c r="A2035" s="4" t="str">
        <f t="shared" si="31"/>
        <v>tRNA-Ile2-CAT-1-1|18</v>
      </c>
      <c r="B2035" s="4" t="s">
        <v>65</v>
      </c>
      <c r="C2035" s="4" t="s">
        <v>132</v>
      </c>
      <c r="D2035" s="4">
        <v>19</v>
      </c>
      <c r="E2035" s="18" t="s">
        <v>109</v>
      </c>
      <c r="F2035" s="19" t="s">
        <v>130</v>
      </c>
    </row>
    <row r="2036" spans="1:6">
      <c r="A2036" s="4" t="str">
        <f t="shared" si="31"/>
        <v>tRNA-Ile2-CAT-1-1|19</v>
      </c>
      <c r="B2036" s="4" t="s">
        <v>65</v>
      </c>
      <c r="C2036" s="4" t="s">
        <v>133</v>
      </c>
      <c r="D2036" s="4">
        <v>20</v>
      </c>
      <c r="E2036" s="18" t="s">
        <v>109</v>
      </c>
      <c r="F2036" s="19" t="s">
        <v>130</v>
      </c>
    </row>
    <row r="2037" spans="1:6">
      <c r="A2037" s="4" t="str">
        <f t="shared" si="31"/>
        <v>tRNA-Ile2-CAT-1-1|20</v>
      </c>
      <c r="B2037" s="4" t="s">
        <v>65</v>
      </c>
      <c r="C2037" s="4" t="s">
        <v>134</v>
      </c>
      <c r="D2037" s="4">
        <v>21</v>
      </c>
      <c r="E2037" s="18" t="s">
        <v>116</v>
      </c>
      <c r="F2037" s="19" t="s">
        <v>130</v>
      </c>
    </row>
    <row r="2038" spans="1:6">
      <c r="A2038" s="4" t="str">
        <f t="shared" si="31"/>
        <v>tRNA-Ile2-CAT-1-1|20a</v>
      </c>
      <c r="B2038" s="4" t="s">
        <v>65</v>
      </c>
      <c r="C2038" s="4" t="s">
        <v>135</v>
      </c>
      <c r="D2038" s="4">
        <v>22</v>
      </c>
      <c r="E2038" s="18" t="s">
        <v>116</v>
      </c>
      <c r="F2038" s="19" t="s">
        <v>130</v>
      </c>
    </row>
    <row r="2039" spans="1:6">
      <c r="A2039" s="4" t="str">
        <f t="shared" si="31"/>
        <v>tRNA-Ile2-CAT-1-1|21</v>
      </c>
      <c r="B2039" s="4" t="s">
        <v>65</v>
      </c>
      <c r="C2039" s="4" t="s">
        <v>136</v>
      </c>
      <c r="D2039" s="4">
        <v>23</v>
      </c>
      <c r="E2039" s="18" t="s">
        <v>122</v>
      </c>
      <c r="F2039" s="19" t="s">
        <v>130</v>
      </c>
    </row>
    <row r="2040" spans="1:6">
      <c r="A2040" s="4" t="str">
        <f t="shared" si="31"/>
        <v>tRNA-Ile2-CAT-1-1|22</v>
      </c>
      <c r="B2040" s="4" t="s">
        <v>65</v>
      </c>
      <c r="C2040" s="4" t="s">
        <v>137</v>
      </c>
      <c r="D2040" s="4">
        <v>24</v>
      </c>
      <c r="E2040" s="8" t="s">
        <v>109</v>
      </c>
      <c r="F2040" s="7" t="s">
        <v>125</v>
      </c>
    </row>
    <row r="2041" spans="1:6">
      <c r="A2041" s="4" t="str">
        <f t="shared" si="31"/>
        <v>tRNA-Ile2-CAT-1-1|23</v>
      </c>
      <c r="B2041" s="4" t="s">
        <v>65</v>
      </c>
      <c r="C2041" s="4" t="s">
        <v>138</v>
      </c>
      <c r="D2041" s="4">
        <v>25</v>
      </c>
      <c r="E2041" s="8" t="s">
        <v>122</v>
      </c>
      <c r="F2041" s="7" t="s">
        <v>125</v>
      </c>
    </row>
    <row r="2042" spans="1:6">
      <c r="A2042" s="4" t="str">
        <f t="shared" si="31"/>
        <v>tRNA-Ile2-CAT-1-1|24</v>
      </c>
      <c r="B2042" s="4" t="s">
        <v>65</v>
      </c>
      <c r="C2042" s="4" t="s">
        <v>139</v>
      </c>
      <c r="D2042" s="4">
        <v>26</v>
      </c>
      <c r="E2042" s="8" t="s">
        <v>109</v>
      </c>
      <c r="F2042" s="7" t="s">
        <v>125</v>
      </c>
    </row>
    <row r="2043" spans="1:6">
      <c r="A2043" s="4" t="str">
        <f t="shared" si="31"/>
        <v>tRNA-Ile2-CAT-1-1|25</v>
      </c>
      <c r="B2043" s="4" t="s">
        <v>65</v>
      </c>
      <c r="C2043" s="4" t="s">
        <v>140</v>
      </c>
      <c r="D2043" s="4">
        <v>27</v>
      </c>
      <c r="E2043" s="8" t="s">
        <v>114</v>
      </c>
      <c r="F2043" s="7" t="s">
        <v>125</v>
      </c>
    </row>
    <row r="2044" spans="1:6">
      <c r="A2044" s="4" t="str">
        <f t="shared" si="31"/>
        <v>tRNA-Ile2-CAT-1-1|26</v>
      </c>
      <c r="B2044" s="4" t="s">
        <v>65</v>
      </c>
      <c r="C2044" s="4" t="s">
        <v>141</v>
      </c>
      <c r="D2044" s="4">
        <v>28</v>
      </c>
      <c r="E2044" s="3" t="s">
        <v>109</v>
      </c>
      <c r="F2044" s="4" t="s">
        <v>142</v>
      </c>
    </row>
    <row r="2045" spans="1:6">
      <c r="A2045" s="4" t="str">
        <f t="shared" si="31"/>
        <v>tRNA-Ile2-CAT-1-1|27</v>
      </c>
      <c r="B2045" s="4" t="s">
        <v>65</v>
      </c>
      <c r="C2045" s="4" t="s">
        <v>143</v>
      </c>
      <c r="D2045" s="4">
        <v>29</v>
      </c>
      <c r="E2045" s="20" t="s">
        <v>114</v>
      </c>
      <c r="F2045" s="21" t="s">
        <v>144</v>
      </c>
    </row>
    <row r="2046" spans="1:6">
      <c r="A2046" s="4" t="str">
        <f t="shared" si="31"/>
        <v>tRNA-Ile2-CAT-1-1|28</v>
      </c>
      <c r="B2046" s="4" t="s">
        <v>65</v>
      </c>
      <c r="C2046" s="4" t="s">
        <v>145</v>
      </c>
      <c r="D2046" s="4">
        <v>30</v>
      </c>
      <c r="E2046" s="20" t="s">
        <v>116</v>
      </c>
      <c r="F2046" s="21" t="s">
        <v>144</v>
      </c>
    </row>
    <row r="2047" spans="1:6">
      <c r="A2047" s="4" t="str">
        <f t="shared" si="31"/>
        <v>tRNA-Ile2-CAT-1-1|29</v>
      </c>
      <c r="B2047" s="4" t="s">
        <v>65</v>
      </c>
      <c r="C2047" s="4" t="s">
        <v>146</v>
      </c>
      <c r="D2047" s="4">
        <v>31</v>
      </c>
      <c r="E2047" s="20" t="s">
        <v>114</v>
      </c>
      <c r="F2047" s="21" t="s">
        <v>144</v>
      </c>
    </row>
    <row r="2048" spans="1:6">
      <c r="A2048" s="4" t="str">
        <f t="shared" si="31"/>
        <v>tRNA-Ile2-CAT-1-1|30</v>
      </c>
      <c r="B2048" s="4" t="s">
        <v>65</v>
      </c>
      <c r="C2048" s="4" t="s">
        <v>147</v>
      </c>
      <c r="D2048" s="4">
        <v>32</v>
      </c>
      <c r="E2048" s="20" t="s">
        <v>109</v>
      </c>
      <c r="F2048" s="21" t="s">
        <v>144</v>
      </c>
    </row>
    <row r="2049" spans="1:6">
      <c r="A2049" s="4" t="str">
        <f t="shared" si="31"/>
        <v>tRNA-Ile2-CAT-1-1|31</v>
      </c>
      <c r="B2049" s="4" t="s">
        <v>65</v>
      </c>
      <c r="C2049" s="4" t="s">
        <v>148</v>
      </c>
      <c r="D2049" s="4">
        <v>33</v>
      </c>
      <c r="E2049" s="20" t="s">
        <v>109</v>
      </c>
      <c r="F2049" s="21" t="s">
        <v>144</v>
      </c>
    </row>
    <row r="2050" spans="1:6">
      <c r="A2050" s="4" t="str">
        <f t="shared" ref="A2050:A2113" si="32">B2050&amp;"|"&amp;C2050</f>
        <v>tRNA-Ile2-CAT-1-1|32</v>
      </c>
      <c r="B2050" s="4" t="s">
        <v>65</v>
      </c>
      <c r="C2050" s="4" t="s">
        <v>149</v>
      </c>
      <c r="D2050" s="4">
        <v>34</v>
      </c>
      <c r="E2050" s="18" t="s">
        <v>114</v>
      </c>
      <c r="F2050" s="19" t="s">
        <v>150</v>
      </c>
    </row>
    <row r="2051" spans="1:6">
      <c r="A2051" s="4" t="str">
        <f t="shared" si="32"/>
        <v>tRNA-Ile2-CAT-1-1|33</v>
      </c>
      <c r="B2051" s="4" t="s">
        <v>65</v>
      </c>
      <c r="C2051" s="4" t="s">
        <v>151</v>
      </c>
      <c r="D2051" s="4">
        <v>35</v>
      </c>
      <c r="E2051" s="18" t="s">
        <v>116</v>
      </c>
      <c r="F2051" s="19" t="s">
        <v>150</v>
      </c>
    </row>
    <row r="2052" spans="1:6">
      <c r="A2052" s="4" t="str">
        <f t="shared" si="32"/>
        <v>tRNA-Ile2-CAT-1-1|34</v>
      </c>
      <c r="B2052" s="4" t="s">
        <v>65</v>
      </c>
      <c r="C2052" s="4" t="s">
        <v>152</v>
      </c>
      <c r="D2052" s="4">
        <v>36</v>
      </c>
      <c r="E2052" s="18" t="s">
        <v>114</v>
      </c>
      <c r="F2052" s="19" t="s">
        <v>150</v>
      </c>
    </row>
    <row r="2053" spans="1:6">
      <c r="A2053" s="4" t="str">
        <f t="shared" si="32"/>
        <v>tRNA-Ile2-CAT-1-1|35</v>
      </c>
      <c r="B2053" s="4" t="s">
        <v>65</v>
      </c>
      <c r="C2053" s="4" t="s">
        <v>153</v>
      </c>
      <c r="D2053" s="4">
        <v>37</v>
      </c>
      <c r="E2053" s="18" t="s">
        <v>122</v>
      </c>
      <c r="F2053" s="19" t="s">
        <v>150</v>
      </c>
    </row>
    <row r="2054" spans="1:6">
      <c r="A2054" s="4" t="str">
        <f t="shared" si="32"/>
        <v>tRNA-Ile2-CAT-1-1|36</v>
      </c>
      <c r="B2054" s="4" t="s">
        <v>65</v>
      </c>
      <c r="C2054" s="4" t="s">
        <v>154</v>
      </c>
      <c r="D2054" s="4">
        <v>38</v>
      </c>
      <c r="E2054" s="18" t="s">
        <v>116</v>
      </c>
      <c r="F2054" s="19" t="s">
        <v>150</v>
      </c>
    </row>
    <row r="2055" spans="1:6">
      <c r="A2055" s="4" t="str">
        <f t="shared" si="32"/>
        <v>tRNA-Ile2-CAT-1-1|37</v>
      </c>
      <c r="B2055" s="4" t="s">
        <v>65</v>
      </c>
      <c r="C2055" s="4" t="s">
        <v>155</v>
      </c>
      <c r="D2055" s="4">
        <v>39</v>
      </c>
      <c r="E2055" s="18" t="s">
        <v>122</v>
      </c>
      <c r="F2055" s="19" t="s">
        <v>150</v>
      </c>
    </row>
    <row r="2056" spans="1:6">
      <c r="A2056" s="4" t="str">
        <f t="shared" si="32"/>
        <v>tRNA-Ile2-CAT-1-1|38</v>
      </c>
      <c r="B2056" s="4" t="s">
        <v>65</v>
      </c>
      <c r="C2056" s="4" t="s">
        <v>156</v>
      </c>
      <c r="D2056" s="4">
        <v>40</v>
      </c>
      <c r="E2056" s="18" t="s">
        <v>122</v>
      </c>
      <c r="F2056" s="19" t="s">
        <v>150</v>
      </c>
    </row>
    <row r="2057" spans="1:6">
      <c r="A2057" s="4" t="str">
        <f t="shared" si="32"/>
        <v>tRNA-Ile2-CAT-1-1|39</v>
      </c>
      <c r="B2057" s="4" t="s">
        <v>65</v>
      </c>
      <c r="C2057" s="4" t="s">
        <v>157</v>
      </c>
      <c r="D2057" s="4">
        <v>41</v>
      </c>
      <c r="E2057" s="20" t="s">
        <v>114</v>
      </c>
      <c r="F2057" s="21" t="s">
        <v>144</v>
      </c>
    </row>
    <row r="2058" spans="1:6">
      <c r="A2058" s="4" t="str">
        <f t="shared" si="32"/>
        <v>tRNA-Ile2-CAT-1-1|40</v>
      </c>
      <c r="B2058" s="4" t="s">
        <v>65</v>
      </c>
      <c r="C2058" s="4" t="s">
        <v>158</v>
      </c>
      <c r="D2058" s="4">
        <v>42</v>
      </c>
      <c r="E2058" s="20" t="s">
        <v>114</v>
      </c>
      <c r="F2058" s="21" t="s">
        <v>144</v>
      </c>
    </row>
    <row r="2059" spans="1:6">
      <c r="A2059" s="4" t="str">
        <f t="shared" si="32"/>
        <v>tRNA-Ile2-CAT-1-1|41</v>
      </c>
      <c r="B2059" s="4" t="s">
        <v>65</v>
      </c>
      <c r="C2059" s="4" t="s">
        <v>159</v>
      </c>
      <c r="D2059" s="4">
        <v>43</v>
      </c>
      <c r="E2059" s="20" t="s">
        <v>109</v>
      </c>
      <c r="F2059" s="21" t="s">
        <v>144</v>
      </c>
    </row>
    <row r="2060" spans="1:6">
      <c r="A2060" s="4" t="str">
        <f t="shared" si="32"/>
        <v>tRNA-Ile2-CAT-1-1|42</v>
      </c>
      <c r="B2060" s="4" t="s">
        <v>65</v>
      </c>
      <c r="C2060" s="4" t="s">
        <v>160</v>
      </c>
      <c r="D2060" s="4">
        <v>44</v>
      </c>
      <c r="E2060" s="20" t="s">
        <v>122</v>
      </c>
      <c r="F2060" s="21" t="s">
        <v>144</v>
      </c>
    </row>
    <row r="2061" spans="1:6">
      <c r="A2061" s="4" t="str">
        <f t="shared" si="32"/>
        <v>tRNA-Ile2-CAT-1-1|43</v>
      </c>
      <c r="B2061" s="4" t="s">
        <v>65</v>
      </c>
      <c r="C2061" s="4" t="s">
        <v>161</v>
      </c>
      <c r="D2061" s="4">
        <v>45</v>
      </c>
      <c r="E2061" s="20" t="s">
        <v>109</v>
      </c>
      <c r="F2061" s="21" t="s">
        <v>144</v>
      </c>
    </row>
    <row r="2062" spans="1:6">
      <c r="A2062" s="4" t="str">
        <f t="shared" si="32"/>
        <v>tRNA-Ile2-CAT-1-1|44</v>
      </c>
      <c r="B2062" s="4" t="s">
        <v>65</v>
      </c>
      <c r="C2062" s="4" t="s">
        <v>162</v>
      </c>
      <c r="D2062" s="4">
        <v>46</v>
      </c>
      <c r="E2062" s="18" t="s">
        <v>114</v>
      </c>
      <c r="F2062" s="19" t="s">
        <v>163</v>
      </c>
    </row>
    <row r="2063" spans="1:6">
      <c r="A2063" s="4" t="str">
        <f t="shared" si="32"/>
        <v>tRNA-Ile2-CAT-1-1|45</v>
      </c>
      <c r="B2063" s="4" t="s">
        <v>65</v>
      </c>
      <c r="C2063" s="4" t="s">
        <v>164</v>
      </c>
      <c r="D2063" s="4">
        <v>47</v>
      </c>
      <c r="E2063" s="18" t="s">
        <v>109</v>
      </c>
      <c r="F2063" s="19" t="s">
        <v>163</v>
      </c>
    </row>
    <row r="2064" spans="1:6">
      <c r="A2064" s="4" t="str">
        <f t="shared" si="32"/>
        <v>tRNA-Ile2-CAT-1-1|46</v>
      </c>
      <c r="B2064" s="4" t="s">
        <v>65</v>
      </c>
      <c r="C2064" s="4" t="s">
        <v>165</v>
      </c>
      <c r="D2064" s="4">
        <v>48</v>
      </c>
      <c r="E2064" s="18" t="s">
        <v>109</v>
      </c>
      <c r="F2064" s="19" t="s">
        <v>163</v>
      </c>
    </row>
    <row r="2065" spans="1:6">
      <c r="A2065" s="4" t="str">
        <f t="shared" si="32"/>
        <v>tRNA-Ile2-CAT-1-1|47</v>
      </c>
      <c r="B2065" s="4" t="s">
        <v>65</v>
      </c>
      <c r="C2065" s="4" t="s">
        <v>166</v>
      </c>
      <c r="D2065" s="4">
        <v>49</v>
      </c>
      <c r="E2065" s="18" t="s">
        <v>116</v>
      </c>
      <c r="F2065" s="19" t="s">
        <v>163</v>
      </c>
    </row>
    <row r="2066" spans="1:6">
      <c r="A2066" s="4" t="str">
        <f t="shared" si="32"/>
        <v>tRNA-Ile2-CAT-1-1|48</v>
      </c>
      <c r="B2066" s="4" t="s">
        <v>65</v>
      </c>
      <c r="C2066" s="4" t="s">
        <v>167</v>
      </c>
      <c r="D2066" s="4">
        <v>50</v>
      </c>
      <c r="E2066" s="18" t="s">
        <v>114</v>
      </c>
      <c r="F2066" s="19" t="s">
        <v>163</v>
      </c>
    </row>
    <row r="2067" spans="1:6">
      <c r="A2067" s="4" t="str">
        <f t="shared" si="32"/>
        <v>tRNA-Ile2-CAT-1-1|49</v>
      </c>
      <c r="B2067" s="4" t="s">
        <v>65</v>
      </c>
      <c r="C2067" s="4" t="s">
        <v>168</v>
      </c>
      <c r="D2067" s="4">
        <v>51</v>
      </c>
      <c r="E2067" s="22" t="s">
        <v>122</v>
      </c>
      <c r="F2067" s="10" t="s">
        <v>169</v>
      </c>
    </row>
    <row r="2068" spans="1:6">
      <c r="A2068" s="4" t="str">
        <f t="shared" si="32"/>
        <v>tRNA-Ile2-CAT-1-1|50</v>
      </c>
      <c r="B2068" s="4" t="s">
        <v>65</v>
      </c>
      <c r="C2068" s="4" t="s">
        <v>170</v>
      </c>
      <c r="D2068" s="4">
        <v>52</v>
      </c>
      <c r="E2068" s="22" t="s">
        <v>114</v>
      </c>
      <c r="F2068" s="10" t="s">
        <v>169</v>
      </c>
    </row>
    <row r="2069" spans="1:6">
      <c r="A2069" s="4" t="str">
        <f t="shared" si="32"/>
        <v>tRNA-Ile2-CAT-1-1|51</v>
      </c>
      <c r="B2069" s="4" t="s">
        <v>65</v>
      </c>
      <c r="C2069" s="4" t="s">
        <v>171</v>
      </c>
      <c r="D2069" s="4">
        <v>53</v>
      </c>
      <c r="E2069" s="22" t="s">
        <v>114</v>
      </c>
      <c r="F2069" s="10" t="s">
        <v>169</v>
      </c>
    </row>
    <row r="2070" spans="1:6">
      <c r="A2070" s="4" t="str">
        <f t="shared" si="32"/>
        <v>tRNA-Ile2-CAT-1-1|52</v>
      </c>
      <c r="B2070" s="4" t="s">
        <v>65</v>
      </c>
      <c r="C2070" s="4" t="s">
        <v>172</v>
      </c>
      <c r="D2070" s="4">
        <v>54</v>
      </c>
      <c r="E2070" s="22" t="s">
        <v>109</v>
      </c>
      <c r="F2070" s="10" t="s">
        <v>169</v>
      </c>
    </row>
    <row r="2071" spans="1:6">
      <c r="A2071" s="4" t="str">
        <f t="shared" si="32"/>
        <v>tRNA-Ile2-CAT-1-1|53</v>
      </c>
      <c r="B2071" s="4" t="s">
        <v>65</v>
      </c>
      <c r="C2071" s="4" t="s">
        <v>173</v>
      </c>
      <c r="D2071" s="4">
        <v>55</v>
      </c>
      <c r="E2071" s="22" t="s">
        <v>109</v>
      </c>
      <c r="F2071" s="10" t="s">
        <v>169</v>
      </c>
    </row>
    <row r="2072" spans="1:6">
      <c r="A2072" s="4" t="str">
        <f t="shared" si="32"/>
        <v>tRNA-Ile2-CAT-1-1|54</v>
      </c>
      <c r="B2072" s="4" t="s">
        <v>65</v>
      </c>
      <c r="C2072" s="4" t="s">
        <v>174</v>
      </c>
      <c r="D2072" s="4">
        <v>56</v>
      </c>
      <c r="E2072" s="18" t="s">
        <v>116</v>
      </c>
      <c r="F2072" s="19" t="s">
        <v>175</v>
      </c>
    </row>
    <row r="2073" spans="1:6">
      <c r="A2073" s="4" t="str">
        <f t="shared" si="32"/>
        <v>tRNA-Ile2-CAT-1-1|55</v>
      </c>
      <c r="B2073" s="4" t="s">
        <v>65</v>
      </c>
      <c r="C2073" s="4" t="s">
        <v>176</v>
      </c>
      <c r="D2073" s="4">
        <v>57</v>
      </c>
      <c r="E2073" s="18" t="s">
        <v>116</v>
      </c>
      <c r="F2073" s="19" t="s">
        <v>175</v>
      </c>
    </row>
    <row r="2074" spans="1:6">
      <c r="A2074" s="4" t="str">
        <f t="shared" si="32"/>
        <v>tRNA-Ile2-CAT-1-1|56</v>
      </c>
      <c r="B2074" s="4" t="s">
        <v>65</v>
      </c>
      <c r="C2074" s="4" t="s">
        <v>177</v>
      </c>
      <c r="D2074" s="4">
        <v>58</v>
      </c>
      <c r="E2074" s="18" t="s">
        <v>114</v>
      </c>
      <c r="F2074" s="19" t="s">
        <v>175</v>
      </c>
    </row>
    <row r="2075" spans="1:6">
      <c r="A2075" s="4" t="str">
        <f t="shared" si="32"/>
        <v>tRNA-Ile2-CAT-1-1|57</v>
      </c>
      <c r="B2075" s="4" t="s">
        <v>65</v>
      </c>
      <c r="C2075" s="4" t="s">
        <v>178</v>
      </c>
      <c r="D2075" s="4">
        <v>59</v>
      </c>
      <c r="E2075" s="18" t="s">
        <v>122</v>
      </c>
      <c r="F2075" s="19" t="s">
        <v>175</v>
      </c>
    </row>
    <row r="2076" spans="1:6">
      <c r="A2076" s="4" t="str">
        <f t="shared" si="32"/>
        <v>tRNA-Ile2-CAT-1-1|58</v>
      </c>
      <c r="B2076" s="4" t="s">
        <v>65</v>
      </c>
      <c r="C2076" s="4" t="s">
        <v>179</v>
      </c>
      <c r="D2076" s="4">
        <v>60</v>
      </c>
      <c r="E2076" s="18" t="s">
        <v>122</v>
      </c>
      <c r="F2076" s="19" t="s">
        <v>175</v>
      </c>
    </row>
    <row r="2077" spans="1:6">
      <c r="A2077" s="4" t="str">
        <f t="shared" si="32"/>
        <v>tRNA-Ile2-CAT-1-1|59</v>
      </c>
      <c r="B2077" s="4" t="s">
        <v>65</v>
      </c>
      <c r="C2077" s="4" t="s">
        <v>180</v>
      </c>
      <c r="D2077" s="4">
        <v>61</v>
      </c>
      <c r="E2077" s="18" t="s">
        <v>122</v>
      </c>
      <c r="F2077" s="19" t="s">
        <v>175</v>
      </c>
    </row>
    <row r="2078" spans="1:6">
      <c r="A2078" s="4" t="str">
        <f t="shared" si="32"/>
        <v>tRNA-Ile2-CAT-1-1|60</v>
      </c>
      <c r="B2078" s="4" t="s">
        <v>65</v>
      </c>
      <c r="C2078" s="4" t="s">
        <v>181</v>
      </c>
      <c r="D2078" s="4">
        <v>62</v>
      </c>
      <c r="E2078" s="18" t="s">
        <v>116</v>
      </c>
      <c r="F2078" s="19" t="s">
        <v>175</v>
      </c>
    </row>
    <row r="2079" spans="1:6">
      <c r="A2079" s="4" t="str">
        <f t="shared" si="32"/>
        <v>tRNA-Ile2-CAT-1-1|61</v>
      </c>
      <c r="B2079" s="4" t="s">
        <v>65</v>
      </c>
      <c r="C2079" s="4" t="s">
        <v>182</v>
      </c>
      <c r="D2079" s="4">
        <v>63</v>
      </c>
      <c r="E2079" s="22" t="s">
        <v>114</v>
      </c>
      <c r="F2079" s="10" t="s">
        <v>169</v>
      </c>
    </row>
    <row r="2080" spans="1:6">
      <c r="A2080" s="4" t="str">
        <f t="shared" si="32"/>
        <v>tRNA-Ile2-CAT-1-1|62</v>
      </c>
      <c r="B2080" s="4" t="s">
        <v>65</v>
      </c>
      <c r="C2080" s="4" t="s">
        <v>183</v>
      </c>
      <c r="D2080" s="4">
        <v>64</v>
      </c>
      <c r="E2080" s="22" t="s">
        <v>114</v>
      </c>
      <c r="F2080" s="10" t="s">
        <v>169</v>
      </c>
    </row>
    <row r="2081" spans="1:6">
      <c r="A2081" s="4" t="str">
        <f t="shared" si="32"/>
        <v>tRNA-Ile2-CAT-1-1|63</v>
      </c>
      <c r="B2081" s="4" t="s">
        <v>65</v>
      </c>
      <c r="C2081" s="4" t="s">
        <v>184</v>
      </c>
      <c r="D2081" s="4">
        <v>65</v>
      </c>
      <c r="E2081" s="22" t="s">
        <v>109</v>
      </c>
      <c r="F2081" s="10" t="s">
        <v>169</v>
      </c>
    </row>
    <row r="2082" spans="1:6">
      <c r="A2082" s="4" t="str">
        <f t="shared" si="32"/>
        <v>tRNA-Ile2-CAT-1-1|64</v>
      </c>
      <c r="B2082" s="4" t="s">
        <v>65</v>
      </c>
      <c r="C2082" s="4" t="s">
        <v>185</v>
      </c>
      <c r="D2082" s="4">
        <v>66</v>
      </c>
      <c r="E2082" s="22" t="s">
        <v>109</v>
      </c>
      <c r="F2082" s="10" t="s">
        <v>169</v>
      </c>
    </row>
    <row r="2083" spans="1:6">
      <c r="A2083" s="4" t="str">
        <f t="shared" si="32"/>
        <v>tRNA-Ile2-CAT-1-1|65</v>
      </c>
      <c r="B2083" s="4" t="s">
        <v>65</v>
      </c>
      <c r="C2083" s="4" t="s">
        <v>186</v>
      </c>
      <c r="D2083" s="4">
        <v>67</v>
      </c>
      <c r="E2083" s="22" t="s">
        <v>116</v>
      </c>
      <c r="F2083" s="10" t="s">
        <v>169</v>
      </c>
    </row>
    <row r="2084" spans="1:6">
      <c r="A2084" s="4" t="str">
        <f t="shared" si="32"/>
        <v>tRNA-Ile2-CAT-1-1|66</v>
      </c>
      <c r="B2084" s="4" t="s">
        <v>65</v>
      </c>
      <c r="C2084" s="4" t="s">
        <v>187</v>
      </c>
      <c r="D2084" s="4">
        <v>68</v>
      </c>
      <c r="E2084" s="16" t="s">
        <v>114</v>
      </c>
      <c r="F2084" s="17" t="s">
        <v>110</v>
      </c>
    </row>
    <row r="2085" spans="1:6">
      <c r="A2085" s="4" t="str">
        <f t="shared" si="32"/>
        <v>tRNA-Ile2-CAT-1-1|67</v>
      </c>
      <c r="B2085" s="4" t="s">
        <v>65</v>
      </c>
      <c r="C2085" s="4" t="s">
        <v>188</v>
      </c>
      <c r="D2085" s="4">
        <v>69</v>
      </c>
      <c r="E2085" s="16" t="s">
        <v>122</v>
      </c>
      <c r="F2085" s="17" t="s">
        <v>110</v>
      </c>
    </row>
    <row r="2086" spans="1:6">
      <c r="A2086" s="4" t="str">
        <f t="shared" si="32"/>
        <v>tRNA-Ile2-CAT-1-1|68</v>
      </c>
      <c r="B2086" s="4" t="s">
        <v>65</v>
      </c>
      <c r="C2086" s="4" t="s">
        <v>189</v>
      </c>
      <c r="D2086" s="4">
        <v>70</v>
      </c>
      <c r="E2086" s="16" t="s">
        <v>109</v>
      </c>
      <c r="F2086" s="17" t="s">
        <v>110</v>
      </c>
    </row>
    <row r="2087" spans="1:6">
      <c r="A2087" s="4" t="str">
        <f t="shared" si="32"/>
        <v>tRNA-Ile2-CAT-1-1|69</v>
      </c>
      <c r="B2087" s="4" t="s">
        <v>65</v>
      </c>
      <c r="C2087" s="4" t="s">
        <v>190</v>
      </c>
      <c r="D2087" s="4">
        <v>71</v>
      </c>
      <c r="E2087" s="16" t="s">
        <v>109</v>
      </c>
      <c r="F2087" s="17" t="s">
        <v>110</v>
      </c>
    </row>
    <row r="2088" spans="1:6">
      <c r="A2088" s="4" t="str">
        <f t="shared" si="32"/>
        <v>tRNA-Ile2-CAT-1-1|70</v>
      </c>
      <c r="B2088" s="4" t="s">
        <v>65</v>
      </c>
      <c r="C2088" s="4" t="s">
        <v>191</v>
      </c>
      <c r="D2088" s="4">
        <v>72</v>
      </c>
      <c r="E2088" s="16" t="s">
        <v>114</v>
      </c>
      <c r="F2088" s="17" t="s">
        <v>110</v>
      </c>
    </row>
    <row r="2089" spans="1:6">
      <c r="A2089" s="4" t="str">
        <f t="shared" si="32"/>
        <v>tRNA-Ile2-CAT-1-1|71</v>
      </c>
      <c r="B2089" s="4" t="s">
        <v>65</v>
      </c>
      <c r="C2089" s="4" t="s">
        <v>192</v>
      </c>
      <c r="D2089" s="4">
        <v>73</v>
      </c>
      <c r="E2089" s="16" t="s">
        <v>114</v>
      </c>
      <c r="F2089" s="17" t="s">
        <v>110</v>
      </c>
    </row>
    <row r="2090" spans="1:6">
      <c r="A2090" s="4" t="str">
        <f t="shared" si="32"/>
        <v>tRNA-Ile2-CAT-1-1|72</v>
      </c>
      <c r="B2090" s="4" t="s">
        <v>65</v>
      </c>
      <c r="C2090" s="4" t="s">
        <v>193</v>
      </c>
      <c r="D2090" s="4">
        <v>74</v>
      </c>
      <c r="E2090" s="16" t="s">
        <v>114</v>
      </c>
      <c r="F2090" s="17" t="s">
        <v>110</v>
      </c>
    </row>
    <row r="2091" spans="1:6">
      <c r="A2091" s="4" t="str">
        <f t="shared" si="32"/>
        <v>tRNA-iMet-CAT-1-1|1</v>
      </c>
      <c r="B2091" s="4" t="s">
        <v>66</v>
      </c>
      <c r="C2091" s="4" t="s">
        <v>108</v>
      </c>
      <c r="D2091" s="4">
        <v>1</v>
      </c>
      <c r="E2091" s="16" t="s">
        <v>122</v>
      </c>
      <c r="F2091" s="17" t="s">
        <v>110</v>
      </c>
    </row>
    <row r="2092" spans="1:6">
      <c r="A2092" s="4" t="str">
        <f t="shared" si="32"/>
        <v>tRNA-iMet-CAT-1-1|2</v>
      </c>
      <c r="B2092" s="4" t="s">
        <v>66</v>
      </c>
      <c r="C2092" s="4" t="s">
        <v>111</v>
      </c>
      <c r="D2092" s="4">
        <v>2</v>
      </c>
      <c r="E2092" s="16" t="s">
        <v>109</v>
      </c>
      <c r="F2092" s="17" t="s">
        <v>110</v>
      </c>
    </row>
    <row r="2093" spans="1:6">
      <c r="A2093" s="4" t="str">
        <f t="shared" si="32"/>
        <v>tRNA-iMet-CAT-1-1|3</v>
      </c>
      <c r="B2093" s="4" t="s">
        <v>66</v>
      </c>
      <c r="C2093" s="4" t="s">
        <v>112</v>
      </c>
      <c r="D2093" s="4">
        <v>3</v>
      </c>
      <c r="E2093" s="16" t="s">
        <v>114</v>
      </c>
      <c r="F2093" s="17" t="s">
        <v>110</v>
      </c>
    </row>
    <row r="2094" spans="1:6">
      <c r="A2094" s="4" t="str">
        <f t="shared" si="32"/>
        <v>tRNA-iMet-CAT-1-1|4</v>
      </c>
      <c r="B2094" s="4" t="s">
        <v>66</v>
      </c>
      <c r="C2094" s="4" t="s">
        <v>113</v>
      </c>
      <c r="D2094" s="4">
        <v>4</v>
      </c>
      <c r="E2094" s="16" t="s">
        <v>109</v>
      </c>
      <c r="F2094" s="17" t="s">
        <v>110</v>
      </c>
    </row>
    <row r="2095" spans="1:6">
      <c r="A2095" s="4" t="str">
        <f t="shared" si="32"/>
        <v>tRNA-iMet-CAT-1-1|5</v>
      </c>
      <c r="B2095" s="4" t="s">
        <v>66</v>
      </c>
      <c r="C2095" s="4" t="s">
        <v>115</v>
      </c>
      <c r="D2095" s="4">
        <v>5</v>
      </c>
      <c r="E2095" s="16" t="s">
        <v>109</v>
      </c>
      <c r="F2095" s="17" t="s">
        <v>110</v>
      </c>
    </row>
    <row r="2096" spans="1:6">
      <c r="A2096" s="4" t="str">
        <f t="shared" si="32"/>
        <v>tRNA-iMet-CAT-1-1|6</v>
      </c>
      <c r="B2096" s="4" t="s">
        <v>66</v>
      </c>
      <c r="C2096" s="4" t="s">
        <v>117</v>
      </c>
      <c r="D2096" s="4">
        <v>6</v>
      </c>
      <c r="E2096" s="16" t="s">
        <v>109</v>
      </c>
      <c r="F2096" s="17" t="s">
        <v>110</v>
      </c>
    </row>
    <row r="2097" spans="1:6">
      <c r="A2097" s="4" t="str">
        <f t="shared" si="32"/>
        <v>tRNA-iMet-CAT-1-1|7</v>
      </c>
      <c r="B2097" s="4" t="s">
        <v>66</v>
      </c>
      <c r="C2097" s="4" t="s">
        <v>118</v>
      </c>
      <c r="D2097" s="4">
        <v>7</v>
      </c>
      <c r="E2097" s="16" t="s">
        <v>109</v>
      </c>
      <c r="F2097" s="17" t="s">
        <v>110</v>
      </c>
    </row>
    <row r="2098" spans="1:6">
      <c r="A2098" s="4" t="str">
        <f t="shared" si="32"/>
        <v>tRNA-iMet-CAT-1-1|8</v>
      </c>
      <c r="B2098" s="4" t="s">
        <v>66</v>
      </c>
      <c r="C2098" s="4" t="s">
        <v>119</v>
      </c>
      <c r="D2098" s="4">
        <v>8</v>
      </c>
      <c r="E2098" s="3" t="s">
        <v>116</v>
      </c>
      <c r="F2098" s="4" t="s">
        <v>120</v>
      </c>
    </row>
    <row r="2099" spans="1:6">
      <c r="A2099" s="4" t="str">
        <f t="shared" si="32"/>
        <v>tRNA-iMet-CAT-1-1|9</v>
      </c>
      <c r="B2099" s="4" t="s">
        <v>66</v>
      </c>
      <c r="C2099" s="4" t="s">
        <v>121</v>
      </c>
      <c r="D2099" s="4">
        <v>9</v>
      </c>
      <c r="E2099" s="3" t="s">
        <v>109</v>
      </c>
      <c r="F2099" s="4" t="s">
        <v>123</v>
      </c>
    </row>
    <row r="2100" spans="1:6">
      <c r="A2100" s="4" t="str">
        <f t="shared" si="32"/>
        <v>tRNA-iMet-CAT-1-1|10</v>
      </c>
      <c r="B2100" s="4" t="s">
        <v>66</v>
      </c>
      <c r="C2100" s="4" t="s">
        <v>124</v>
      </c>
      <c r="D2100" s="4">
        <v>10</v>
      </c>
      <c r="E2100" s="8" t="s">
        <v>109</v>
      </c>
      <c r="F2100" s="7" t="s">
        <v>125</v>
      </c>
    </row>
    <row r="2101" spans="1:6">
      <c r="A2101" s="4" t="str">
        <f t="shared" si="32"/>
        <v>tRNA-iMet-CAT-1-1|11</v>
      </c>
      <c r="B2101" s="4" t="s">
        <v>66</v>
      </c>
      <c r="C2101" s="4" t="s">
        <v>126</v>
      </c>
      <c r="D2101" s="4">
        <v>11</v>
      </c>
      <c r="E2101" s="8" t="s">
        <v>109</v>
      </c>
      <c r="F2101" s="7" t="s">
        <v>125</v>
      </c>
    </row>
    <row r="2102" spans="1:6">
      <c r="A2102" s="4" t="str">
        <f t="shared" si="32"/>
        <v>tRNA-iMet-CAT-1-1|12</v>
      </c>
      <c r="B2102" s="4" t="s">
        <v>66</v>
      </c>
      <c r="C2102" s="4" t="s">
        <v>127</v>
      </c>
      <c r="D2102" s="4">
        <v>12</v>
      </c>
      <c r="E2102" s="8" t="s">
        <v>109</v>
      </c>
      <c r="F2102" s="7" t="s">
        <v>125</v>
      </c>
    </row>
    <row r="2103" spans="1:6">
      <c r="A2103" s="4" t="str">
        <f t="shared" si="32"/>
        <v>tRNA-iMet-CAT-1-1|13</v>
      </c>
      <c r="B2103" s="4" t="s">
        <v>66</v>
      </c>
      <c r="C2103" s="4" t="s">
        <v>128</v>
      </c>
      <c r="D2103" s="4">
        <v>13</v>
      </c>
      <c r="E2103" s="8" t="s">
        <v>116</v>
      </c>
      <c r="F2103" s="7" t="s">
        <v>125</v>
      </c>
    </row>
    <row r="2104" spans="1:6">
      <c r="A2104" s="4" t="str">
        <f t="shared" si="32"/>
        <v>tRNA-iMet-CAT-1-1|14</v>
      </c>
      <c r="B2104" s="4" t="s">
        <v>66</v>
      </c>
      <c r="C2104" s="4" t="s">
        <v>129</v>
      </c>
      <c r="D2104" s="4">
        <v>14</v>
      </c>
      <c r="E2104" s="18" t="s">
        <v>122</v>
      </c>
      <c r="F2104" s="19" t="s">
        <v>130</v>
      </c>
    </row>
    <row r="2105" spans="1:6">
      <c r="A2105" s="4" t="str">
        <f t="shared" si="32"/>
        <v>tRNA-iMet-CAT-1-1|15</v>
      </c>
      <c r="B2105" s="4" t="s">
        <v>66</v>
      </c>
      <c r="C2105" s="4" t="s">
        <v>131</v>
      </c>
      <c r="D2105" s="4">
        <v>15</v>
      </c>
      <c r="E2105" s="18" t="s">
        <v>109</v>
      </c>
      <c r="F2105" s="19" t="s">
        <v>130</v>
      </c>
    </row>
    <row r="2106" spans="1:6">
      <c r="A2106" s="4" t="str">
        <f t="shared" si="32"/>
        <v>tRNA-iMet-CAT-1-1|16</v>
      </c>
      <c r="B2106" s="4" t="s">
        <v>66</v>
      </c>
      <c r="C2106" s="4" t="s">
        <v>194</v>
      </c>
      <c r="D2106" s="4">
        <v>16</v>
      </c>
      <c r="E2106" s="18" t="s">
        <v>114</v>
      </c>
      <c r="F2106" s="19" t="s">
        <v>130</v>
      </c>
    </row>
    <row r="2107" spans="1:6">
      <c r="A2107" s="4" t="str">
        <f t="shared" si="32"/>
        <v>tRNA-iMet-CAT-1-1|17</v>
      </c>
      <c r="B2107" s="4" t="s">
        <v>66</v>
      </c>
      <c r="C2107" s="4" t="s">
        <v>195</v>
      </c>
      <c r="D2107" s="4">
        <v>17</v>
      </c>
      <c r="E2107" s="18" t="s">
        <v>114</v>
      </c>
      <c r="F2107" s="19" t="s">
        <v>130</v>
      </c>
    </row>
    <row r="2108" spans="1:6">
      <c r="A2108" s="4" t="str">
        <f t="shared" si="32"/>
        <v>tRNA-iMet-CAT-1-1|17a</v>
      </c>
      <c r="B2108" s="4" t="s">
        <v>66</v>
      </c>
      <c r="C2108" s="4" t="s">
        <v>196</v>
      </c>
      <c r="D2108" s="4">
        <v>18</v>
      </c>
      <c r="E2108" s="18" t="s">
        <v>122</v>
      </c>
      <c r="F2108" s="19" t="s">
        <v>130</v>
      </c>
    </row>
    <row r="2109" spans="1:6">
      <c r="A2109" s="4" t="str">
        <f t="shared" si="32"/>
        <v>tRNA-iMet-CAT-1-1|18</v>
      </c>
      <c r="B2109" s="4" t="s">
        <v>66</v>
      </c>
      <c r="C2109" s="4" t="s">
        <v>132</v>
      </c>
      <c r="D2109" s="4">
        <v>19</v>
      </c>
      <c r="E2109" s="18" t="s">
        <v>109</v>
      </c>
      <c r="F2109" s="19" t="s">
        <v>130</v>
      </c>
    </row>
    <row r="2110" spans="1:6">
      <c r="A2110" s="4" t="str">
        <f t="shared" si="32"/>
        <v>tRNA-iMet-CAT-1-1|19</v>
      </c>
      <c r="B2110" s="4" t="s">
        <v>66</v>
      </c>
      <c r="C2110" s="4" t="s">
        <v>133</v>
      </c>
      <c r="D2110" s="4">
        <v>20</v>
      </c>
      <c r="E2110" s="18" t="s">
        <v>109</v>
      </c>
      <c r="F2110" s="19" t="s">
        <v>130</v>
      </c>
    </row>
    <row r="2111" spans="1:6">
      <c r="A2111" s="4" t="str">
        <f t="shared" si="32"/>
        <v>tRNA-iMet-CAT-1-1|20</v>
      </c>
      <c r="B2111" s="4" t="s">
        <v>66</v>
      </c>
      <c r="C2111" s="4" t="s">
        <v>134</v>
      </c>
      <c r="D2111" s="4">
        <v>21</v>
      </c>
      <c r="E2111" s="18" t="s">
        <v>122</v>
      </c>
      <c r="F2111" s="19" t="s">
        <v>130</v>
      </c>
    </row>
    <row r="2112" spans="1:6">
      <c r="A2112" s="4" t="str">
        <f t="shared" si="32"/>
        <v>tRNA-iMet-CAT-1-1|20a</v>
      </c>
      <c r="B2112" s="4" t="s">
        <v>66</v>
      </c>
      <c r="C2112" s="4" t="s">
        <v>135</v>
      </c>
      <c r="D2112" s="4">
        <v>22</v>
      </c>
      <c r="E2112" s="18" t="s">
        <v>109</v>
      </c>
      <c r="F2112" s="19" t="s">
        <v>130</v>
      </c>
    </row>
    <row r="2113" spans="1:6">
      <c r="A2113" s="4" t="str">
        <f t="shared" si="32"/>
        <v>tRNA-iMet-CAT-1-1|21</v>
      </c>
      <c r="B2113" s="4" t="s">
        <v>66</v>
      </c>
      <c r="C2113" s="4" t="s">
        <v>136</v>
      </c>
      <c r="D2113" s="4">
        <v>23</v>
      </c>
      <c r="E2113" s="18" t="s">
        <v>122</v>
      </c>
      <c r="F2113" s="19" t="s">
        <v>130</v>
      </c>
    </row>
    <row r="2114" spans="1:6">
      <c r="A2114" s="4" t="str">
        <f t="shared" ref="A2114:A2177" si="33">B2114&amp;"|"&amp;C2114</f>
        <v>tRNA-iMet-CAT-1-1|22</v>
      </c>
      <c r="B2114" s="4" t="s">
        <v>66</v>
      </c>
      <c r="C2114" s="4" t="s">
        <v>137</v>
      </c>
      <c r="D2114" s="4">
        <v>24</v>
      </c>
      <c r="E2114" s="8" t="s">
        <v>116</v>
      </c>
      <c r="F2114" s="7" t="s">
        <v>125</v>
      </c>
    </row>
    <row r="2115" spans="1:6">
      <c r="A2115" s="4" t="str">
        <f t="shared" si="33"/>
        <v>tRNA-iMet-CAT-1-1|23</v>
      </c>
      <c r="B2115" s="4" t="s">
        <v>66</v>
      </c>
      <c r="C2115" s="4" t="s">
        <v>138</v>
      </c>
      <c r="D2115" s="4">
        <v>25</v>
      </c>
      <c r="E2115" s="8" t="s">
        <v>114</v>
      </c>
      <c r="F2115" s="7" t="s">
        <v>125</v>
      </c>
    </row>
    <row r="2116" spans="1:6">
      <c r="A2116" s="4" t="str">
        <f t="shared" si="33"/>
        <v>tRNA-iMet-CAT-1-1|24</v>
      </c>
      <c r="B2116" s="4" t="s">
        <v>66</v>
      </c>
      <c r="C2116" s="4" t="s">
        <v>139</v>
      </c>
      <c r="D2116" s="4">
        <v>26</v>
      </c>
      <c r="E2116" s="8" t="s">
        <v>114</v>
      </c>
      <c r="F2116" s="7" t="s">
        <v>125</v>
      </c>
    </row>
    <row r="2117" spans="1:6">
      <c r="A2117" s="4" t="str">
        <f t="shared" si="33"/>
        <v>tRNA-iMet-CAT-1-1|25</v>
      </c>
      <c r="B2117" s="4" t="s">
        <v>66</v>
      </c>
      <c r="C2117" s="4" t="s">
        <v>140</v>
      </c>
      <c r="D2117" s="4">
        <v>27</v>
      </c>
      <c r="E2117" s="8" t="s">
        <v>114</v>
      </c>
      <c r="F2117" s="7" t="s">
        <v>125</v>
      </c>
    </row>
    <row r="2118" spans="1:6">
      <c r="A2118" s="4" t="str">
        <f t="shared" si="33"/>
        <v>tRNA-iMet-CAT-1-1|26</v>
      </c>
      <c r="B2118" s="4" t="s">
        <v>66</v>
      </c>
      <c r="C2118" s="4" t="s">
        <v>141</v>
      </c>
      <c r="D2118" s="4">
        <v>28</v>
      </c>
      <c r="E2118" s="3" t="s">
        <v>109</v>
      </c>
      <c r="F2118" s="4" t="s">
        <v>142</v>
      </c>
    </row>
    <row r="2119" spans="1:6">
      <c r="A2119" s="4" t="str">
        <f t="shared" si="33"/>
        <v>tRNA-iMet-CAT-1-1|27</v>
      </c>
      <c r="B2119" s="4" t="s">
        <v>66</v>
      </c>
      <c r="C2119" s="4" t="s">
        <v>143</v>
      </c>
      <c r="D2119" s="4">
        <v>29</v>
      </c>
      <c r="E2119" s="20" t="s">
        <v>122</v>
      </c>
      <c r="F2119" s="21" t="s">
        <v>144</v>
      </c>
    </row>
    <row r="2120" spans="1:6">
      <c r="A2120" s="4" t="str">
        <f t="shared" si="33"/>
        <v>tRNA-iMet-CAT-1-1|28</v>
      </c>
      <c r="B2120" s="4" t="s">
        <v>66</v>
      </c>
      <c r="C2120" s="4" t="s">
        <v>145</v>
      </c>
      <c r="D2120" s="4">
        <v>30</v>
      </c>
      <c r="E2120" s="20" t="s">
        <v>114</v>
      </c>
      <c r="F2120" s="21" t="s">
        <v>144</v>
      </c>
    </row>
    <row r="2121" spans="1:6">
      <c r="A2121" s="4" t="str">
        <f t="shared" si="33"/>
        <v>tRNA-iMet-CAT-1-1|29</v>
      </c>
      <c r="B2121" s="4" t="s">
        <v>66</v>
      </c>
      <c r="C2121" s="4" t="s">
        <v>146</v>
      </c>
      <c r="D2121" s="4">
        <v>31</v>
      </c>
      <c r="E2121" s="20" t="s">
        <v>109</v>
      </c>
      <c r="F2121" s="21" t="s">
        <v>144</v>
      </c>
    </row>
    <row r="2122" spans="1:6">
      <c r="A2122" s="4" t="str">
        <f t="shared" si="33"/>
        <v>tRNA-iMet-CAT-1-1|30</v>
      </c>
      <c r="B2122" s="4" t="s">
        <v>66</v>
      </c>
      <c r="C2122" s="4" t="s">
        <v>147</v>
      </c>
      <c r="D2122" s="4">
        <v>32</v>
      </c>
      <c r="E2122" s="20" t="s">
        <v>109</v>
      </c>
      <c r="F2122" s="21" t="s">
        <v>144</v>
      </c>
    </row>
    <row r="2123" spans="1:6">
      <c r="A2123" s="4" t="str">
        <f t="shared" si="33"/>
        <v>tRNA-iMet-CAT-1-1|31</v>
      </c>
      <c r="B2123" s="4" t="s">
        <v>66</v>
      </c>
      <c r="C2123" s="4" t="s">
        <v>148</v>
      </c>
      <c r="D2123" s="4">
        <v>33</v>
      </c>
      <c r="E2123" s="20" t="s">
        <v>109</v>
      </c>
      <c r="F2123" s="21" t="s">
        <v>144</v>
      </c>
    </row>
    <row r="2124" spans="1:6">
      <c r="A2124" s="4" t="str">
        <f t="shared" si="33"/>
        <v>tRNA-iMet-CAT-1-1|32</v>
      </c>
      <c r="B2124" s="4" t="s">
        <v>66</v>
      </c>
      <c r="C2124" s="4" t="s">
        <v>149</v>
      </c>
      <c r="D2124" s="4">
        <v>34</v>
      </c>
      <c r="E2124" s="18" t="s">
        <v>114</v>
      </c>
      <c r="F2124" s="19" t="s">
        <v>150</v>
      </c>
    </row>
    <row r="2125" spans="1:6">
      <c r="A2125" s="4" t="str">
        <f t="shared" si="33"/>
        <v>tRNA-iMet-CAT-1-1|33</v>
      </c>
      <c r="B2125" s="4" t="s">
        <v>66</v>
      </c>
      <c r="C2125" s="4" t="s">
        <v>151</v>
      </c>
      <c r="D2125" s="4">
        <v>35</v>
      </c>
      <c r="E2125" s="18" t="s">
        <v>116</v>
      </c>
      <c r="F2125" s="19" t="s">
        <v>150</v>
      </c>
    </row>
    <row r="2126" spans="1:6">
      <c r="A2126" s="4" t="str">
        <f t="shared" si="33"/>
        <v>tRNA-iMet-CAT-1-1|34</v>
      </c>
      <c r="B2126" s="4" t="s">
        <v>66</v>
      </c>
      <c r="C2126" s="4" t="s">
        <v>152</v>
      </c>
      <c r="D2126" s="4">
        <v>36</v>
      </c>
      <c r="E2126" s="18" t="s">
        <v>114</v>
      </c>
      <c r="F2126" s="19" t="s">
        <v>150</v>
      </c>
    </row>
    <row r="2127" spans="1:6">
      <c r="A2127" s="4" t="str">
        <f t="shared" si="33"/>
        <v>tRNA-iMet-CAT-1-1|35</v>
      </c>
      <c r="B2127" s="4" t="s">
        <v>66</v>
      </c>
      <c r="C2127" s="4" t="s">
        <v>153</v>
      </c>
      <c r="D2127" s="4">
        <v>37</v>
      </c>
      <c r="E2127" s="18" t="s">
        <v>122</v>
      </c>
      <c r="F2127" s="19" t="s">
        <v>150</v>
      </c>
    </row>
    <row r="2128" spans="1:6">
      <c r="A2128" s="4" t="str">
        <f t="shared" si="33"/>
        <v>tRNA-iMet-CAT-1-1|36</v>
      </c>
      <c r="B2128" s="4" t="s">
        <v>66</v>
      </c>
      <c r="C2128" s="4" t="s">
        <v>154</v>
      </c>
      <c r="D2128" s="4">
        <v>38</v>
      </c>
      <c r="E2128" s="18" t="s">
        <v>116</v>
      </c>
      <c r="F2128" s="19" t="s">
        <v>150</v>
      </c>
    </row>
    <row r="2129" spans="1:6">
      <c r="A2129" s="4" t="str">
        <f t="shared" si="33"/>
        <v>tRNA-iMet-CAT-1-1|37</v>
      </c>
      <c r="B2129" s="4" t="s">
        <v>66</v>
      </c>
      <c r="C2129" s="4" t="s">
        <v>155</v>
      </c>
      <c r="D2129" s="4">
        <v>39</v>
      </c>
      <c r="E2129" s="18" t="s">
        <v>122</v>
      </c>
      <c r="F2129" s="19" t="s">
        <v>150</v>
      </c>
    </row>
    <row r="2130" spans="1:6">
      <c r="A2130" s="4" t="str">
        <f t="shared" si="33"/>
        <v>tRNA-iMet-CAT-1-1|38</v>
      </c>
      <c r="B2130" s="4" t="s">
        <v>66</v>
      </c>
      <c r="C2130" s="4" t="s">
        <v>156</v>
      </c>
      <c r="D2130" s="4">
        <v>40</v>
      </c>
      <c r="E2130" s="18" t="s">
        <v>122</v>
      </c>
      <c r="F2130" s="19" t="s">
        <v>150</v>
      </c>
    </row>
    <row r="2131" spans="1:6">
      <c r="A2131" s="4" t="str">
        <f t="shared" si="33"/>
        <v>tRNA-iMet-CAT-1-1|39</v>
      </c>
      <c r="B2131" s="4" t="s">
        <v>66</v>
      </c>
      <c r="C2131" s="4" t="s">
        <v>157</v>
      </c>
      <c r="D2131" s="4">
        <v>41</v>
      </c>
      <c r="E2131" s="20" t="s">
        <v>114</v>
      </c>
      <c r="F2131" s="21" t="s">
        <v>144</v>
      </c>
    </row>
    <row r="2132" spans="1:6">
      <c r="A2132" s="4" t="str">
        <f t="shared" si="33"/>
        <v>tRNA-iMet-CAT-1-1|40</v>
      </c>
      <c r="B2132" s="4" t="s">
        <v>66</v>
      </c>
      <c r="C2132" s="4" t="s">
        <v>158</v>
      </c>
      <c r="D2132" s="4">
        <v>42</v>
      </c>
      <c r="E2132" s="20" t="s">
        <v>114</v>
      </c>
      <c r="F2132" s="21" t="s">
        <v>144</v>
      </c>
    </row>
    <row r="2133" spans="1:6">
      <c r="A2133" s="4" t="str">
        <f t="shared" si="33"/>
        <v>tRNA-iMet-CAT-1-1|41</v>
      </c>
      <c r="B2133" s="4" t="s">
        <v>66</v>
      </c>
      <c r="C2133" s="4" t="s">
        <v>159</v>
      </c>
      <c r="D2133" s="4">
        <v>43</v>
      </c>
      <c r="E2133" s="20" t="s">
        <v>114</v>
      </c>
      <c r="F2133" s="21" t="s">
        <v>144</v>
      </c>
    </row>
    <row r="2134" spans="1:6">
      <c r="A2134" s="4" t="str">
        <f t="shared" si="33"/>
        <v>tRNA-iMet-CAT-1-1|42</v>
      </c>
      <c r="B2134" s="4" t="s">
        <v>66</v>
      </c>
      <c r="C2134" s="4" t="s">
        <v>160</v>
      </c>
      <c r="D2134" s="4">
        <v>44</v>
      </c>
      <c r="E2134" s="20" t="s">
        <v>109</v>
      </c>
      <c r="F2134" s="21" t="s">
        <v>144</v>
      </c>
    </row>
    <row r="2135" spans="1:6">
      <c r="A2135" s="4" t="str">
        <f t="shared" si="33"/>
        <v>tRNA-iMet-CAT-1-1|43</v>
      </c>
      <c r="B2135" s="4" t="s">
        <v>66</v>
      </c>
      <c r="C2135" s="4" t="s">
        <v>161</v>
      </c>
      <c r="D2135" s="4">
        <v>45</v>
      </c>
      <c r="E2135" s="20" t="s">
        <v>116</v>
      </c>
      <c r="F2135" s="21" t="s">
        <v>144</v>
      </c>
    </row>
    <row r="2136" spans="1:6">
      <c r="A2136" s="4" t="str">
        <f t="shared" si="33"/>
        <v>tRNA-iMet-CAT-1-1|44</v>
      </c>
      <c r="B2136" s="4" t="s">
        <v>66</v>
      </c>
      <c r="C2136" s="4" t="s">
        <v>162</v>
      </c>
      <c r="D2136" s="4">
        <v>46</v>
      </c>
      <c r="E2136" s="18" t="s">
        <v>122</v>
      </c>
      <c r="F2136" s="19" t="s">
        <v>163</v>
      </c>
    </row>
    <row r="2137" spans="1:6">
      <c r="A2137" s="4" t="str">
        <f t="shared" si="33"/>
        <v>tRNA-iMet-CAT-1-1|45</v>
      </c>
      <c r="B2137" s="4" t="s">
        <v>66</v>
      </c>
      <c r="C2137" s="4" t="s">
        <v>164</v>
      </c>
      <c r="D2137" s="4">
        <v>47</v>
      </c>
      <c r="E2137" s="18" t="s">
        <v>109</v>
      </c>
      <c r="F2137" s="19" t="s">
        <v>163</v>
      </c>
    </row>
    <row r="2138" spans="1:6">
      <c r="A2138" s="4" t="str">
        <f t="shared" si="33"/>
        <v>tRNA-iMet-CAT-1-1|46</v>
      </c>
      <c r="B2138" s="4" t="s">
        <v>66</v>
      </c>
      <c r="C2138" s="4" t="s">
        <v>165</v>
      </c>
      <c r="D2138" s="4">
        <v>48</v>
      </c>
      <c r="E2138" s="18" t="s">
        <v>122</v>
      </c>
      <c r="F2138" s="19" t="s">
        <v>163</v>
      </c>
    </row>
    <row r="2139" spans="1:6">
      <c r="A2139" s="4" t="str">
        <f t="shared" si="33"/>
        <v>tRNA-iMet-CAT-1-1|47</v>
      </c>
      <c r="B2139" s="4" t="s">
        <v>66</v>
      </c>
      <c r="C2139" s="4" t="s">
        <v>166</v>
      </c>
      <c r="D2139" s="4">
        <v>49</v>
      </c>
      <c r="E2139" s="18" t="s">
        <v>114</v>
      </c>
      <c r="F2139" s="19" t="s">
        <v>163</v>
      </c>
    </row>
    <row r="2140" spans="1:6">
      <c r="A2140" s="4" t="str">
        <f t="shared" si="33"/>
        <v>tRNA-iMet-CAT-1-1|48</v>
      </c>
      <c r="B2140" s="4" t="s">
        <v>66</v>
      </c>
      <c r="C2140" s="4" t="s">
        <v>167</v>
      </c>
      <c r="D2140" s="4">
        <v>50</v>
      </c>
      <c r="E2140" s="18" t="s">
        <v>114</v>
      </c>
      <c r="F2140" s="19" t="s">
        <v>163</v>
      </c>
    </row>
    <row r="2141" spans="1:6">
      <c r="A2141" s="4" t="str">
        <f t="shared" si="33"/>
        <v>tRNA-iMet-CAT-1-1|49</v>
      </c>
      <c r="B2141" s="4" t="s">
        <v>66</v>
      </c>
      <c r="C2141" s="4" t="s">
        <v>168</v>
      </c>
      <c r="D2141" s="4">
        <v>51</v>
      </c>
      <c r="E2141" s="22" t="s">
        <v>109</v>
      </c>
      <c r="F2141" s="10" t="s">
        <v>169</v>
      </c>
    </row>
    <row r="2142" spans="1:6">
      <c r="A2142" s="4" t="str">
        <f t="shared" si="33"/>
        <v>tRNA-iMet-CAT-1-1|50</v>
      </c>
      <c r="B2142" s="4" t="s">
        <v>66</v>
      </c>
      <c r="C2142" s="4" t="s">
        <v>170</v>
      </c>
      <c r="D2142" s="4">
        <v>52</v>
      </c>
      <c r="E2142" s="22" t="s">
        <v>122</v>
      </c>
      <c r="F2142" s="10" t="s">
        <v>169</v>
      </c>
    </row>
    <row r="2143" spans="1:6">
      <c r="A2143" s="4" t="str">
        <f t="shared" si="33"/>
        <v>tRNA-iMet-CAT-1-1|51</v>
      </c>
      <c r="B2143" s="4" t="s">
        <v>66</v>
      </c>
      <c r="C2143" s="4" t="s">
        <v>171</v>
      </c>
      <c r="D2143" s="4">
        <v>53</v>
      </c>
      <c r="E2143" s="22" t="s">
        <v>116</v>
      </c>
      <c r="F2143" s="10" t="s">
        <v>169</v>
      </c>
    </row>
    <row r="2144" spans="1:6">
      <c r="A2144" s="4" t="str">
        <f t="shared" si="33"/>
        <v>tRNA-iMet-CAT-1-1|52</v>
      </c>
      <c r="B2144" s="4" t="s">
        <v>66</v>
      </c>
      <c r="C2144" s="4" t="s">
        <v>172</v>
      </c>
      <c r="D2144" s="4">
        <v>54</v>
      </c>
      <c r="E2144" s="22" t="s">
        <v>109</v>
      </c>
      <c r="F2144" s="10" t="s">
        <v>169</v>
      </c>
    </row>
    <row r="2145" spans="1:6">
      <c r="A2145" s="4" t="str">
        <f t="shared" si="33"/>
        <v>tRNA-iMet-CAT-1-1|53</v>
      </c>
      <c r="B2145" s="4" t="s">
        <v>66</v>
      </c>
      <c r="C2145" s="4" t="s">
        <v>173</v>
      </c>
      <c r="D2145" s="4">
        <v>55</v>
      </c>
      <c r="E2145" s="22" t="s">
        <v>109</v>
      </c>
      <c r="F2145" s="10" t="s">
        <v>169</v>
      </c>
    </row>
    <row r="2146" spans="1:6">
      <c r="A2146" s="4" t="str">
        <f t="shared" si="33"/>
        <v>tRNA-iMet-CAT-1-1|54</v>
      </c>
      <c r="B2146" s="4" t="s">
        <v>66</v>
      </c>
      <c r="C2146" s="4" t="s">
        <v>174</v>
      </c>
      <c r="D2146" s="4">
        <v>56</v>
      </c>
      <c r="E2146" s="18" t="s">
        <v>116</v>
      </c>
      <c r="F2146" s="19" t="s">
        <v>175</v>
      </c>
    </row>
    <row r="2147" spans="1:6">
      <c r="A2147" s="4" t="str">
        <f t="shared" si="33"/>
        <v>tRNA-iMet-CAT-1-1|55</v>
      </c>
      <c r="B2147" s="4" t="s">
        <v>66</v>
      </c>
      <c r="C2147" s="4" t="s">
        <v>176</v>
      </c>
      <c r="D2147" s="4">
        <v>57</v>
      </c>
      <c r="E2147" s="18" t="s">
        <v>116</v>
      </c>
      <c r="F2147" s="19" t="s">
        <v>175</v>
      </c>
    </row>
    <row r="2148" spans="1:6">
      <c r="A2148" s="4" t="str">
        <f t="shared" si="33"/>
        <v>tRNA-iMet-CAT-1-1|56</v>
      </c>
      <c r="B2148" s="4" t="s">
        <v>66</v>
      </c>
      <c r="C2148" s="4" t="s">
        <v>177</v>
      </c>
      <c r="D2148" s="4">
        <v>58</v>
      </c>
      <c r="E2148" s="18" t="s">
        <v>114</v>
      </c>
      <c r="F2148" s="19" t="s">
        <v>175</v>
      </c>
    </row>
    <row r="2149" spans="1:6">
      <c r="A2149" s="4" t="str">
        <f t="shared" si="33"/>
        <v>tRNA-iMet-CAT-1-1|57</v>
      </c>
      <c r="B2149" s="4" t="s">
        <v>66</v>
      </c>
      <c r="C2149" s="4" t="s">
        <v>178</v>
      </c>
      <c r="D2149" s="4">
        <v>59</v>
      </c>
      <c r="E2149" s="18" t="s">
        <v>109</v>
      </c>
      <c r="F2149" s="19" t="s">
        <v>175</v>
      </c>
    </row>
    <row r="2150" spans="1:6">
      <c r="A2150" s="4" t="str">
        <f t="shared" si="33"/>
        <v>tRNA-iMet-CAT-1-1|58</v>
      </c>
      <c r="B2150" s="4" t="s">
        <v>66</v>
      </c>
      <c r="C2150" s="4" t="s">
        <v>179</v>
      </c>
      <c r="D2150" s="4">
        <v>60</v>
      </c>
      <c r="E2150" s="18" t="s">
        <v>122</v>
      </c>
      <c r="F2150" s="19" t="s">
        <v>175</v>
      </c>
    </row>
    <row r="2151" spans="1:6">
      <c r="A2151" s="4" t="str">
        <f t="shared" si="33"/>
        <v>tRNA-iMet-CAT-1-1|59</v>
      </c>
      <c r="B2151" s="4" t="s">
        <v>66</v>
      </c>
      <c r="C2151" s="4" t="s">
        <v>180</v>
      </c>
      <c r="D2151" s="4">
        <v>61</v>
      </c>
      <c r="E2151" s="18" t="s">
        <v>122</v>
      </c>
      <c r="F2151" s="19" t="s">
        <v>175</v>
      </c>
    </row>
    <row r="2152" spans="1:6">
      <c r="A2152" s="4" t="str">
        <f t="shared" si="33"/>
        <v>tRNA-iMet-CAT-1-1|60</v>
      </c>
      <c r="B2152" s="4" t="s">
        <v>66</v>
      </c>
      <c r="C2152" s="4" t="s">
        <v>181</v>
      </c>
      <c r="D2152" s="4">
        <v>62</v>
      </c>
      <c r="E2152" s="18" t="s">
        <v>116</v>
      </c>
      <c r="F2152" s="19" t="s">
        <v>175</v>
      </c>
    </row>
    <row r="2153" spans="1:6">
      <c r="A2153" s="4" t="str">
        <f t="shared" si="33"/>
        <v>tRNA-iMet-CAT-1-1|61</v>
      </c>
      <c r="B2153" s="4" t="s">
        <v>66</v>
      </c>
      <c r="C2153" s="4" t="s">
        <v>182</v>
      </c>
      <c r="D2153" s="4">
        <v>63</v>
      </c>
      <c r="E2153" s="22" t="s">
        <v>114</v>
      </c>
      <c r="F2153" s="10" t="s">
        <v>169</v>
      </c>
    </row>
    <row r="2154" spans="1:6">
      <c r="A2154" s="4" t="str">
        <f t="shared" si="33"/>
        <v>tRNA-iMet-CAT-1-1|62</v>
      </c>
      <c r="B2154" s="4" t="s">
        <v>66</v>
      </c>
      <c r="C2154" s="4" t="s">
        <v>183</v>
      </c>
      <c r="D2154" s="4">
        <v>64</v>
      </c>
      <c r="E2154" s="22" t="s">
        <v>114</v>
      </c>
      <c r="F2154" s="10" t="s">
        <v>169</v>
      </c>
    </row>
    <row r="2155" spans="1:6">
      <c r="A2155" s="4" t="str">
        <f t="shared" si="33"/>
        <v>tRNA-iMet-CAT-1-1|63</v>
      </c>
      <c r="B2155" s="4" t="s">
        <v>66</v>
      </c>
      <c r="C2155" s="4" t="s">
        <v>184</v>
      </c>
      <c r="D2155" s="4">
        <v>65</v>
      </c>
      <c r="E2155" s="22" t="s">
        <v>122</v>
      </c>
      <c r="F2155" s="10" t="s">
        <v>169</v>
      </c>
    </row>
    <row r="2156" spans="1:6">
      <c r="A2156" s="4" t="str">
        <f t="shared" si="33"/>
        <v>tRNA-iMet-CAT-1-1|64</v>
      </c>
      <c r="B2156" s="4" t="s">
        <v>66</v>
      </c>
      <c r="C2156" s="4" t="s">
        <v>185</v>
      </c>
      <c r="D2156" s="4">
        <v>66</v>
      </c>
      <c r="E2156" s="22" t="s">
        <v>116</v>
      </c>
      <c r="F2156" s="10" t="s">
        <v>169</v>
      </c>
    </row>
    <row r="2157" spans="1:6">
      <c r="A2157" s="4" t="str">
        <f t="shared" si="33"/>
        <v>tRNA-iMet-CAT-1-1|65</v>
      </c>
      <c r="B2157" s="4" t="s">
        <v>66</v>
      </c>
      <c r="C2157" s="4" t="s">
        <v>186</v>
      </c>
      <c r="D2157" s="4">
        <v>67</v>
      </c>
      <c r="E2157" s="22" t="s">
        <v>114</v>
      </c>
      <c r="F2157" s="10" t="s">
        <v>169</v>
      </c>
    </row>
    <row r="2158" spans="1:6">
      <c r="A2158" s="4" t="str">
        <f t="shared" si="33"/>
        <v>tRNA-iMet-CAT-1-1|66</v>
      </c>
      <c r="B2158" s="4" t="s">
        <v>66</v>
      </c>
      <c r="C2158" s="4" t="s">
        <v>187</v>
      </c>
      <c r="D2158" s="4">
        <v>68</v>
      </c>
      <c r="E2158" s="16" t="s">
        <v>114</v>
      </c>
      <c r="F2158" s="17" t="s">
        <v>110</v>
      </c>
    </row>
    <row r="2159" spans="1:6">
      <c r="A2159" s="4" t="str">
        <f t="shared" si="33"/>
        <v>tRNA-iMet-CAT-1-1|67</v>
      </c>
      <c r="B2159" s="4" t="s">
        <v>66</v>
      </c>
      <c r="C2159" s="4" t="s">
        <v>188</v>
      </c>
      <c r="D2159" s="4">
        <v>69</v>
      </c>
      <c r="E2159" s="16" t="s">
        <v>114</v>
      </c>
      <c r="F2159" s="17" t="s">
        <v>110</v>
      </c>
    </row>
    <row r="2160" spans="1:6">
      <c r="A2160" s="4" t="str">
        <f t="shared" si="33"/>
        <v>tRNA-iMet-CAT-1-1|68</v>
      </c>
      <c r="B2160" s="4" t="s">
        <v>66</v>
      </c>
      <c r="C2160" s="4" t="s">
        <v>189</v>
      </c>
      <c r="D2160" s="4">
        <v>70</v>
      </c>
      <c r="E2160" s="16" t="s">
        <v>114</v>
      </c>
      <c r="F2160" s="17" t="s">
        <v>110</v>
      </c>
    </row>
    <row r="2161" spans="1:6">
      <c r="A2161" s="4" t="str">
        <f t="shared" si="33"/>
        <v>tRNA-iMet-CAT-1-1|69</v>
      </c>
      <c r="B2161" s="4" t="s">
        <v>66</v>
      </c>
      <c r="C2161" s="4" t="s">
        <v>190</v>
      </c>
      <c r="D2161" s="4">
        <v>71</v>
      </c>
      <c r="E2161" s="16" t="s">
        <v>114</v>
      </c>
      <c r="F2161" s="17" t="s">
        <v>110</v>
      </c>
    </row>
    <row r="2162" spans="1:6">
      <c r="A2162" s="4" t="str">
        <f t="shared" si="33"/>
        <v>tRNA-iMet-CAT-1-1|70</v>
      </c>
      <c r="B2162" s="4" t="s">
        <v>66</v>
      </c>
      <c r="C2162" s="4" t="s">
        <v>191</v>
      </c>
      <c r="D2162" s="4">
        <v>72</v>
      </c>
      <c r="E2162" s="16" t="s">
        <v>109</v>
      </c>
      <c r="F2162" s="17" t="s">
        <v>110</v>
      </c>
    </row>
    <row r="2163" spans="1:6">
      <c r="A2163" s="4" t="str">
        <f t="shared" si="33"/>
        <v>tRNA-iMet-CAT-1-1|71</v>
      </c>
      <c r="B2163" s="4" t="s">
        <v>66</v>
      </c>
      <c r="C2163" s="4" t="s">
        <v>192</v>
      </c>
      <c r="D2163" s="4">
        <v>73</v>
      </c>
      <c r="E2163" s="16" t="s">
        <v>114</v>
      </c>
      <c r="F2163" s="17" t="s">
        <v>110</v>
      </c>
    </row>
    <row r="2164" spans="1:6">
      <c r="A2164" s="4" t="str">
        <f t="shared" si="33"/>
        <v>tRNA-iMet-CAT-1-1|72</v>
      </c>
      <c r="B2164" s="4" t="s">
        <v>66</v>
      </c>
      <c r="C2164" s="4" t="s">
        <v>193</v>
      </c>
      <c r="D2164" s="4">
        <v>74</v>
      </c>
      <c r="E2164" s="16" t="s">
        <v>116</v>
      </c>
      <c r="F2164" s="17" t="s">
        <v>110</v>
      </c>
    </row>
    <row r="2165" spans="1:6">
      <c r="A2165" s="4" t="str">
        <f t="shared" si="33"/>
        <v>tRNA-iMet-CAT-1-2|1</v>
      </c>
      <c r="B2165" s="4" t="s">
        <v>67</v>
      </c>
      <c r="C2165" s="4" t="s">
        <v>108</v>
      </c>
      <c r="D2165" s="4">
        <v>1</v>
      </c>
      <c r="E2165" s="16" t="s">
        <v>122</v>
      </c>
      <c r="F2165" s="17" t="s">
        <v>110</v>
      </c>
    </row>
    <row r="2166" spans="1:6">
      <c r="A2166" s="4" t="str">
        <f t="shared" si="33"/>
        <v>tRNA-iMet-CAT-1-2|2</v>
      </c>
      <c r="B2166" s="4" t="s">
        <v>67</v>
      </c>
      <c r="C2166" s="4" t="s">
        <v>111</v>
      </c>
      <c r="D2166" s="4">
        <v>2</v>
      </c>
      <c r="E2166" s="16" t="s">
        <v>109</v>
      </c>
      <c r="F2166" s="17" t="s">
        <v>110</v>
      </c>
    </row>
    <row r="2167" spans="1:6">
      <c r="A2167" s="4" t="str">
        <f t="shared" si="33"/>
        <v>tRNA-iMet-CAT-1-2|3</v>
      </c>
      <c r="B2167" s="4" t="s">
        <v>67</v>
      </c>
      <c r="C2167" s="4" t="s">
        <v>112</v>
      </c>
      <c r="D2167" s="4">
        <v>3</v>
      </c>
      <c r="E2167" s="16" t="s">
        <v>114</v>
      </c>
      <c r="F2167" s="17" t="s">
        <v>110</v>
      </c>
    </row>
    <row r="2168" spans="1:6">
      <c r="A2168" s="4" t="str">
        <f t="shared" si="33"/>
        <v>tRNA-iMet-CAT-1-2|4</v>
      </c>
      <c r="B2168" s="4" t="s">
        <v>67</v>
      </c>
      <c r="C2168" s="4" t="s">
        <v>113</v>
      </c>
      <c r="D2168" s="4">
        <v>4</v>
      </c>
      <c r="E2168" s="16" t="s">
        <v>109</v>
      </c>
      <c r="F2168" s="17" t="s">
        <v>110</v>
      </c>
    </row>
    <row r="2169" spans="1:6">
      <c r="A2169" s="4" t="str">
        <f t="shared" si="33"/>
        <v>tRNA-iMet-CAT-1-2|5</v>
      </c>
      <c r="B2169" s="4" t="s">
        <v>67</v>
      </c>
      <c r="C2169" s="4" t="s">
        <v>115</v>
      </c>
      <c r="D2169" s="4">
        <v>5</v>
      </c>
      <c r="E2169" s="16" t="s">
        <v>109</v>
      </c>
      <c r="F2169" s="17" t="s">
        <v>110</v>
      </c>
    </row>
    <row r="2170" spans="1:6">
      <c r="A2170" s="4" t="str">
        <f t="shared" si="33"/>
        <v>tRNA-iMet-CAT-1-2|6</v>
      </c>
      <c r="B2170" s="4" t="s">
        <v>67</v>
      </c>
      <c r="C2170" s="4" t="s">
        <v>117</v>
      </c>
      <c r="D2170" s="4">
        <v>6</v>
      </c>
      <c r="E2170" s="16" t="s">
        <v>109</v>
      </c>
      <c r="F2170" s="17" t="s">
        <v>110</v>
      </c>
    </row>
    <row r="2171" spans="1:6">
      <c r="A2171" s="4" t="str">
        <f t="shared" si="33"/>
        <v>tRNA-iMet-CAT-1-2|7</v>
      </c>
      <c r="B2171" s="4" t="s">
        <v>67</v>
      </c>
      <c r="C2171" s="4" t="s">
        <v>118</v>
      </c>
      <c r="D2171" s="4">
        <v>7</v>
      </c>
      <c r="E2171" s="16" t="s">
        <v>109</v>
      </c>
      <c r="F2171" s="17" t="s">
        <v>110</v>
      </c>
    </row>
    <row r="2172" spans="1:6">
      <c r="A2172" s="4" t="str">
        <f t="shared" si="33"/>
        <v>tRNA-iMet-CAT-1-2|8</v>
      </c>
      <c r="B2172" s="4" t="s">
        <v>67</v>
      </c>
      <c r="C2172" s="4" t="s">
        <v>119</v>
      </c>
      <c r="D2172" s="4">
        <v>8</v>
      </c>
      <c r="E2172" s="3" t="s">
        <v>116</v>
      </c>
      <c r="F2172" s="4" t="s">
        <v>120</v>
      </c>
    </row>
    <row r="2173" spans="1:6">
      <c r="A2173" s="4" t="str">
        <f t="shared" si="33"/>
        <v>tRNA-iMet-CAT-1-2|9</v>
      </c>
      <c r="B2173" s="4" t="s">
        <v>67</v>
      </c>
      <c r="C2173" s="4" t="s">
        <v>121</v>
      </c>
      <c r="D2173" s="4">
        <v>9</v>
      </c>
      <c r="E2173" s="3" t="s">
        <v>109</v>
      </c>
      <c r="F2173" s="4" t="s">
        <v>123</v>
      </c>
    </row>
    <row r="2174" spans="1:6">
      <c r="A2174" s="4" t="str">
        <f t="shared" si="33"/>
        <v>tRNA-iMet-CAT-1-2|10</v>
      </c>
      <c r="B2174" s="4" t="s">
        <v>67</v>
      </c>
      <c r="C2174" s="4" t="s">
        <v>124</v>
      </c>
      <c r="D2174" s="4">
        <v>10</v>
      </c>
      <c r="E2174" s="8" t="s">
        <v>109</v>
      </c>
      <c r="F2174" s="7" t="s">
        <v>125</v>
      </c>
    </row>
    <row r="2175" spans="1:6">
      <c r="A2175" s="4" t="str">
        <f t="shared" si="33"/>
        <v>tRNA-iMet-CAT-1-2|11</v>
      </c>
      <c r="B2175" s="4" t="s">
        <v>67</v>
      </c>
      <c r="C2175" s="4" t="s">
        <v>126</v>
      </c>
      <c r="D2175" s="4">
        <v>11</v>
      </c>
      <c r="E2175" s="8" t="s">
        <v>109</v>
      </c>
      <c r="F2175" s="7" t="s">
        <v>125</v>
      </c>
    </row>
    <row r="2176" spans="1:6">
      <c r="A2176" s="4" t="str">
        <f t="shared" si="33"/>
        <v>tRNA-iMet-CAT-1-2|12</v>
      </c>
      <c r="B2176" s="4" t="s">
        <v>67</v>
      </c>
      <c r="C2176" s="4" t="s">
        <v>127</v>
      </c>
      <c r="D2176" s="4">
        <v>12</v>
      </c>
      <c r="E2176" s="8" t="s">
        <v>109</v>
      </c>
      <c r="F2176" s="7" t="s">
        <v>125</v>
      </c>
    </row>
    <row r="2177" spans="1:6">
      <c r="A2177" s="4" t="str">
        <f t="shared" si="33"/>
        <v>tRNA-iMet-CAT-1-2|13</v>
      </c>
      <c r="B2177" s="4" t="s">
        <v>67</v>
      </c>
      <c r="C2177" s="4" t="s">
        <v>128</v>
      </c>
      <c r="D2177" s="4">
        <v>13</v>
      </c>
      <c r="E2177" s="8" t="s">
        <v>116</v>
      </c>
      <c r="F2177" s="7" t="s">
        <v>125</v>
      </c>
    </row>
    <row r="2178" spans="1:6">
      <c r="A2178" s="4" t="str">
        <f t="shared" ref="A2178:A2241" si="34">B2178&amp;"|"&amp;C2178</f>
        <v>tRNA-iMet-CAT-1-2|14</v>
      </c>
      <c r="B2178" s="4" t="s">
        <v>67</v>
      </c>
      <c r="C2178" s="4" t="s">
        <v>129</v>
      </c>
      <c r="D2178" s="4">
        <v>14</v>
      </c>
      <c r="E2178" s="18" t="s">
        <v>122</v>
      </c>
      <c r="F2178" s="19" t="s">
        <v>130</v>
      </c>
    </row>
    <row r="2179" spans="1:6">
      <c r="A2179" s="4" t="str">
        <f t="shared" si="34"/>
        <v>tRNA-iMet-CAT-1-2|15</v>
      </c>
      <c r="B2179" s="4" t="s">
        <v>67</v>
      </c>
      <c r="C2179" s="4" t="s">
        <v>131</v>
      </c>
      <c r="D2179" s="4">
        <v>15</v>
      </c>
      <c r="E2179" s="18" t="s">
        <v>109</v>
      </c>
      <c r="F2179" s="19" t="s">
        <v>130</v>
      </c>
    </row>
    <row r="2180" spans="1:6">
      <c r="A2180" s="4" t="str">
        <f t="shared" si="34"/>
        <v>tRNA-iMet-CAT-1-2|16</v>
      </c>
      <c r="B2180" s="4" t="s">
        <v>67</v>
      </c>
      <c r="C2180" s="4" t="s">
        <v>194</v>
      </c>
      <c r="D2180" s="4">
        <v>16</v>
      </c>
      <c r="E2180" s="18" t="s">
        <v>114</v>
      </c>
      <c r="F2180" s="19" t="s">
        <v>130</v>
      </c>
    </row>
    <row r="2181" spans="1:6">
      <c r="A2181" s="4" t="str">
        <f t="shared" si="34"/>
        <v>tRNA-iMet-CAT-1-2|17</v>
      </c>
      <c r="B2181" s="4" t="s">
        <v>67</v>
      </c>
      <c r="C2181" s="4" t="s">
        <v>195</v>
      </c>
      <c r="D2181" s="4">
        <v>17</v>
      </c>
      <c r="E2181" s="18" t="s">
        <v>114</v>
      </c>
      <c r="F2181" s="19" t="s">
        <v>130</v>
      </c>
    </row>
    <row r="2182" spans="1:6">
      <c r="A2182" s="4" t="str">
        <f t="shared" si="34"/>
        <v>tRNA-iMet-CAT-1-2|17a</v>
      </c>
      <c r="B2182" s="4" t="s">
        <v>67</v>
      </c>
      <c r="C2182" s="4" t="s">
        <v>196</v>
      </c>
      <c r="D2182" s="4">
        <v>18</v>
      </c>
      <c r="E2182" s="18" t="s">
        <v>122</v>
      </c>
      <c r="F2182" s="19" t="s">
        <v>130</v>
      </c>
    </row>
    <row r="2183" spans="1:6">
      <c r="A2183" s="4" t="str">
        <f t="shared" si="34"/>
        <v>tRNA-iMet-CAT-1-2|18</v>
      </c>
      <c r="B2183" s="4" t="s">
        <v>67</v>
      </c>
      <c r="C2183" s="4" t="s">
        <v>132</v>
      </c>
      <c r="D2183" s="4">
        <v>19</v>
      </c>
      <c r="E2183" s="18" t="s">
        <v>109</v>
      </c>
      <c r="F2183" s="19" t="s">
        <v>130</v>
      </c>
    </row>
    <row r="2184" spans="1:6">
      <c r="A2184" s="4" t="str">
        <f t="shared" si="34"/>
        <v>tRNA-iMet-CAT-1-2|19</v>
      </c>
      <c r="B2184" s="4" t="s">
        <v>67</v>
      </c>
      <c r="C2184" s="4" t="s">
        <v>133</v>
      </c>
      <c r="D2184" s="4">
        <v>20</v>
      </c>
      <c r="E2184" s="18" t="s">
        <v>109</v>
      </c>
      <c r="F2184" s="19" t="s">
        <v>130</v>
      </c>
    </row>
    <row r="2185" spans="1:6">
      <c r="A2185" s="4" t="str">
        <f t="shared" si="34"/>
        <v>tRNA-iMet-CAT-1-2|20</v>
      </c>
      <c r="B2185" s="4" t="s">
        <v>67</v>
      </c>
      <c r="C2185" s="4" t="s">
        <v>134</v>
      </c>
      <c r="D2185" s="4">
        <v>21</v>
      </c>
      <c r="E2185" s="18" t="s">
        <v>122</v>
      </c>
      <c r="F2185" s="19" t="s">
        <v>130</v>
      </c>
    </row>
    <row r="2186" spans="1:6">
      <c r="A2186" s="4" t="str">
        <f t="shared" si="34"/>
        <v>tRNA-iMet-CAT-1-2|20a</v>
      </c>
      <c r="B2186" s="4" t="s">
        <v>67</v>
      </c>
      <c r="C2186" s="4" t="s">
        <v>135</v>
      </c>
      <c r="D2186" s="4">
        <v>22</v>
      </c>
      <c r="E2186" s="18" t="s">
        <v>109</v>
      </c>
      <c r="F2186" s="19" t="s">
        <v>130</v>
      </c>
    </row>
    <row r="2187" spans="1:6">
      <c r="A2187" s="4" t="str">
        <f t="shared" si="34"/>
        <v>tRNA-iMet-CAT-1-2|21</v>
      </c>
      <c r="B2187" s="4" t="s">
        <v>67</v>
      </c>
      <c r="C2187" s="4" t="s">
        <v>136</v>
      </c>
      <c r="D2187" s="4">
        <v>23</v>
      </c>
      <c r="E2187" s="18" t="s">
        <v>122</v>
      </c>
      <c r="F2187" s="19" t="s">
        <v>130</v>
      </c>
    </row>
    <row r="2188" spans="1:6">
      <c r="A2188" s="4" t="str">
        <f t="shared" si="34"/>
        <v>tRNA-iMet-CAT-1-2|22</v>
      </c>
      <c r="B2188" s="4" t="s">
        <v>67</v>
      </c>
      <c r="C2188" s="4" t="s">
        <v>137</v>
      </c>
      <c r="D2188" s="4">
        <v>24</v>
      </c>
      <c r="E2188" s="8" t="s">
        <v>116</v>
      </c>
      <c r="F2188" s="7" t="s">
        <v>125</v>
      </c>
    </row>
    <row r="2189" spans="1:6">
      <c r="A2189" s="4" t="str">
        <f t="shared" si="34"/>
        <v>tRNA-iMet-CAT-1-2|23</v>
      </c>
      <c r="B2189" s="4" t="s">
        <v>67</v>
      </c>
      <c r="C2189" s="4" t="s">
        <v>138</v>
      </c>
      <c r="D2189" s="4">
        <v>25</v>
      </c>
      <c r="E2189" s="8" t="s">
        <v>114</v>
      </c>
      <c r="F2189" s="7" t="s">
        <v>125</v>
      </c>
    </row>
    <row r="2190" spans="1:6">
      <c r="A2190" s="4" t="str">
        <f t="shared" si="34"/>
        <v>tRNA-iMet-CAT-1-2|24</v>
      </c>
      <c r="B2190" s="4" t="s">
        <v>67</v>
      </c>
      <c r="C2190" s="4" t="s">
        <v>139</v>
      </c>
      <c r="D2190" s="4">
        <v>26</v>
      </c>
      <c r="E2190" s="8" t="s">
        <v>114</v>
      </c>
      <c r="F2190" s="7" t="s">
        <v>125</v>
      </c>
    </row>
    <row r="2191" spans="1:6">
      <c r="A2191" s="4" t="str">
        <f t="shared" si="34"/>
        <v>tRNA-iMet-CAT-1-2|25</v>
      </c>
      <c r="B2191" s="4" t="s">
        <v>67</v>
      </c>
      <c r="C2191" s="4" t="s">
        <v>140</v>
      </c>
      <c r="D2191" s="4">
        <v>27</v>
      </c>
      <c r="E2191" s="8" t="s">
        <v>114</v>
      </c>
      <c r="F2191" s="7" t="s">
        <v>125</v>
      </c>
    </row>
    <row r="2192" spans="1:6">
      <c r="A2192" s="4" t="str">
        <f t="shared" si="34"/>
        <v>tRNA-iMet-CAT-1-2|26</v>
      </c>
      <c r="B2192" s="4" t="s">
        <v>67</v>
      </c>
      <c r="C2192" s="4" t="s">
        <v>141</v>
      </c>
      <c r="D2192" s="4">
        <v>28</v>
      </c>
      <c r="E2192" s="3" t="s">
        <v>109</v>
      </c>
      <c r="F2192" s="4" t="s">
        <v>142</v>
      </c>
    </row>
    <row r="2193" spans="1:6">
      <c r="A2193" s="4" t="str">
        <f t="shared" si="34"/>
        <v>tRNA-iMet-CAT-1-2|27</v>
      </c>
      <c r="B2193" s="4" t="s">
        <v>67</v>
      </c>
      <c r="C2193" s="4" t="s">
        <v>143</v>
      </c>
      <c r="D2193" s="4">
        <v>29</v>
      </c>
      <c r="E2193" s="20" t="s">
        <v>122</v>
      </c>
      <c r="F2193" s="21" t="s">
        <v>144</v>
      </c>
    </row>
    <row r="2194" spans="1:6">
      <c r="A2194" s="4" t="str">
        <f t="shared" si="34"/>
        <v>tRNA-iMet-CAT-1-2|28</v>
      </c>
      <c r="B2194" s="4" t="s">
        <v>67</v>
      </c>
      <c r="C2194" s="4" t="s">
        <v>145</v>
      </c>
      <c r="D2194" s="4">
        <v>30</v>
      </c>
      <c r="E2194" s="20" t="s">
        <v>114</v>
      </c>
      <c r="F2194" s="21" t="s">
        <v>144</v>
      </c>
    </row>
    <row r="2195" spans="1:6">
      <c r="A2195" s="4" t="str">
        <f t="shared" si="34"/>
        <v>tRNA-iMet-CAT-1-2|29</v>
      </c>
      <c r="B2195" s="4" t="s">
        <v>67</v>
      </c>
      <c r="C2195" s="4" t="s">
        <v>146</v>
      </c>
      <c r="D2195" s="4">
        <v>31</v>
      </c>
      <c r="E2195" s="20" t="s">
        <v>109</v>
      </c>
      <c r="F2195" s="21" t="s">
        <v>144</v>
      </c>
    </row>
    <row r="2196" spans="1:6">
      <c r="A2196" s="4" t="str">
        <f t="shared" si="34"/>
        <v>tRNA-iMet-CAT-1-2|30</v>
      </c>
      <c r="B2196" s="4" t="s">
        <v>67</v>
      </c>
      <c r="C2196" s="4" t="s">
        <v>147</v>
      </c>
      <c r="D2196" s="4">
        <v>32</v>
      </c>
      <c r="E2196" s="20" t="s">
        <v>109</v>
      </c>
      <c r="F2196" s="21" t="s">
        <v>144</v>
      </c>
    </row>
    <row r="2197" spans="1:6">
      <c r="A2197" s="4" t="str">
        <f t="shared" si="34"/>
        <v>tRNA-iMet-CAT-1-2|31</v>
      </c>
      <c r="B2197" s="4" t="s">
        <v>67</v>
      </c>
      <c r="C2197" s="4" t="s">
        <v>148</v>
      </c>
      <c r="D2197" s="4">
        <v>33</v>
      </c>
      <c r="E2197" s="20" t="s">
        <v>109</v>
      </c>
      <c r="F2197" s="21" t="s">
        <v>144</v>
      </c>
    </row>
    <row r="2198" spans="1:6">
      <c r="A2198" s="4" t="str">
        <f t="shared" si="34"/>
        <v>tRNA-iMet-CAT-1-2|32</v>
      </c>
      <c r="B2198" s="4" t="s">
        <v>67</v>
      </c>
      <c r="C2198" s="4" t="s">
        <v>149</v>
      </c>
      <c r="D2198" s="4">
        <v>34</v>
      </c>
      <c r="E2198" s="18" t="s">
        <v>114</v>
      </c>
      <c r="F2198" s="19" t="s">
        <v>150</v>
      </c>
    </row>
    <row r="2199" spans="1:6">
      <c r="A2199" s="4" t="str">
        <f t="shared" si="34"/>
        <v>tRNA-iMet-CAT-1-2|33</v>
      </c>
      <c r="B2199" s="4" t="s">
        <v>67</v>
      </c>
      <c r="C2199" s="4" t="s">
        <v>151</v>
      </c>
      <c r="D2199" s="4">
        <v>35</v>
      </c>
      <c r="E2199" s="18" t="s">
        <v>116</v>
      </c>
      <c r="F2199" s="19" t="s">
        <v>150</v>
      </c>
    </row>
    <row r="2200" spans="1:6">
      <c r="A2200" s="4" t="str">
        <f t="shared" si="34"/>
        <v>tRNA-iMet-CAT-1-2|34</v>
      </c>
      <c r="B2200" s="4" t="s">
        <v>67</v>
      </c>
      <c r="C2200" s="4" t="s">
        <v>152</v>
      </c>
      <c r="D2200" s="4">
        <v>36</v>
      </c>
      <c r="E2200" s="18" t="s">
        <v>114</v>
      </c>
      <c r="F2200" s="19" t="s">
        <v>150</v>
      </c>
    </row>
    <row r="2201" spans="1:6">
      <c r="A2201" s="4" t="str">
        <f t="shared" si="34"/>
        <v>tRNA-iMet-CAT-1-2|35</v>
      </c>
      <c r="B2201" s="4" t="s">
        <v>67</v>
      </c>
      <c r="C2201" s="4" t="s">
        <v>153</v>
      </c>
      <c r="D2201" s="4">
        <v>37</v>
      </c>
      <c r="E2201" s="18" t="s">
        <v>122</v>
      </c>
      <c r="F2201" s="19" t="s">
        <v>150</v>
      </c>
    </row>
    <row r="2202" spans="1:6">
      <c r="A2202" s="4" t="str">
        <f t="shared" si="34"/>
        <v>tRNA-iMet-CAT-1-2|36</v>
      </c>
      <c r="B2202" s="4" t="s">
        <v>67</v>
      </c>
      <c r="C2202" s="4" t="s">
        <v>154</v>
      </c>
      <c r="D2202" s="4">
        <v>38</v>
      </c>
      <c r="E2202" s="18" t="s">
        <v>116</v>
      </c>
      <c r="F2202" s="19" t="s">
        <v>150</v>
      </c>
    </row>
    <row r="2203" spans="1:6">
      <c r="A2203" s="4" t="str">
        <f t="shared" si="34"/>
        <v>tRNA-iMet-CAT-1-2|37</v>
      </c>
      <c r="B2203" s="4" t="s">
        <v>67</v>
      </c>
      <c r="C2203" s="4" t="s">
        <v>155</v>
      </c>
      <c r="D2203" s="4">
        <v>39</v>
      </c>
      <c r="E2203" s="18" t="s">
        <v>122</v>
      </c>
      <c r="F2203" s="19" t="s">
        <v>150</v>
      </c>
    </row>
    <row r="2204" spans="1:6">
      <c r="A2204" s="4" t="str">
        <f t="shared" si="34"/>
        <v>tRNA-iMet-CAT-1-2|38</v>
      </c>
      <c r="B2204" s="4" t="s">
        <v>67</v>
      </c>
      <c r="C2204" s="4" t="s">
        <v>156</v>
      </c>
      <c r="D2204" s="4">
        <v>40</v>
      </c>
      <c r="E2204" s="18" t="s">
        <v>122</v>
      </c>
      <c r="F2204" s="19" t="s">
        <v>150</v>
      </c>
    </row>
    <row r="2205" spans="1:6">
      <c r="A2205" s="4" t="str">
        <f t="shared" si="34"/>
        <v>tRNA-iMet-CAT-1-2|39</v>
      </c>
      <c r="B2205" s="4" t="s">
        <v>67</v>
      </c>
      <c r="C2205" s="4" t="s">
        <v>157</v>
      </c>
      <c r="D2205" s="4">
        <v>41</v>
      </c>
      <c r="E2205" s="20" t="s">
        <v>114</v>
      </c>
      <c r="F2205" s="21" t="s">
        <v>144</v>
      </c>
    </row>
    <row r="2206" spans="1:6">
      <c r="A2206" s="4" t="str">
        <f t="shared" si="34"/>
        <v>tRNA-iMet-CAT-1-2|40</v>
      </c>
      <c r="B2206" s="4" t="s">
        <v>67</v>
      </c>
      <c r="C2206" s="4" t="s">
        <v>158</v>
      </c>
      <c r="D2206" s="4">
        <v>42</v>
      </c>
      <c r="E2206" s="20" t="s">
        <v>114</v>
      </c>
      <c r="F2206" s="21" t="s">
        <v>144</v>
      </c>
    </row>
    <row r="2207" spans="1:6">
      <c r="A2207" s="4" t="str">
        <f t="shared" si="34"/>
        <v>tRNA-iMet-CAT-1-2|41</v>
      </c>
      <c r="B2207" s="4" t="s">
        <v>67</v>
      </c>
      <c r="C2207" s="4" t="s">
        <v>159</v>
      </c>
      <c r="D2207" s="4">
        <v>43</v>
      </c>
      <c r="E2207" s="20" t="s">
        <v>114</v>
      </c>
      <c r="F2207" s="21" t="s">
        <v>144</v>
      </c>
    </row>
    <row r="2208" spans="1:6">
      <c r="A2208" s="4" t="str">
        <f t="shared" si="34"/>
        <v>tRNA-iMet-CAT-1-2|42</v>
      </c>
      <c r="B2208" s="4" t="s">
        <v>67</v>
      </c>
      <c r="C2208" s="4" t="s">
        <v>160</v>
      </c>
      <c r="D2208" s="4">
        <v>44</v>
      </c>
      <c r="E2208" s="20" t="s">
        <v>109</v>
      </c>
      <c r="F2208" s="21" t="s">
        <v>144</v>
      </c>
    </row>
    <row r="2209" spans="1:6">
      <c r="A2209" s="4" t="str">
        <f t="shared" si="34"/>
        <v>tRNA-iMet-CAT-1-2|43</v>
      </c>
      <c r="B2209" s="4" t="s">
        <v>67</v>
      </c>
      <c r="C2209" s="4" t="s">
        <v>161</v>
      </c>
      <c r="D2209" s="4">
        <v>45</v>
      </c>
      <c r="E2209" s="20" t="s">
        <v>116</v>
      </c>
      <c r="F2209" s="21" t="s">
        <v>144</v>
      </c>
    </row>
    <row r="2210" spans="1:6">
      <c r="A2210" s="4" t="str">
        <f t="shared" si="34"/>
        <v>tRNA-iMet-CAT-1-2|44</v>
      </c>
      <c r="B2210" s="4" t="s">
        <v>67</v>
      </c>
      <c r="C2210" s="4" t="s">
        <v>162</v>
      </c>
      <c r="D2210" s="4">
        <v>46</v>
      </c>
      <c r="E2210" s="18" t="s">
        <v>122</v>
      </c>
      <c r="F2210" s="19" t="s">
        <v>163</v>
      </c>
    </row>
    <row r="2211" spans="1:6">
      <c r="A2211" s="4" t="str">
        <f t="shared" si="34"/>
        <v>tRNA-iMet-CAT-1-2|45</v>
      </c>
      <c r="B2211" s="4" t="s">
        <v>67</v>
      </c>
      <c r="C2211" s="4" t="s">
        <v>164</v>
      </c>
      <c r="D2211" s="4">
        <v>47</v>
      </c>
      <c r="E2211" s="18" t="s">
        <v>109</v>
      </c>
      <c r="F2211" s="19" t="s">
        <v>163</v>
      </c>
    </row>
    <row r="2212" spans="1:6">
      <c r="A2212" s="4" t="str">
        <f t="shared" si="34"/>
        <v>tRNA-iMet-CAT-1-2|46</v>
      </c>
      <c r="B2212" s="4" t="s">
        <v>67</v>
      </c>
      <c r="C2212" s="4" t="s">
        <v>165</v>
      </c>
      <c r="D2212" s="4">
        <v>48</v>
      </c>
      <c r="E2212" s="18" t="s">
        <v>122</v>
      </c>
      <c r="F2212" s="19" t="s">
        <v>163</v>
      </c>
    </row>
    <row r="2213" spans="1:6">
      <c r="A2213" s="4" t="str">
        <f t="shared" si="34"/>
        <v>tRNA-iMet-CAT-1-2|47</v>
      </c>
      <c r="B2213" s="4" t="s">
        <v>67</v>
      </c>
      <c r="C2213" s="4" t="s">
        <v>166</v>
      </c>
      <c r="D2213" s="4">
        <v>49</v>
      </c>
      <c r="E2213" s="18" t="s">
        <v>114</v>
      </c>
      <c r="F2213" s="19" t="s">
        <v>163</v>
      </c>
    </row>
    <row r="2214" spans="1:6">
      <c r="A2214" s="4" t="str">
        <f t="shared" si="34"/>
        <v>tRNA-iMet-CAT-1-2|48</v>
      </c>
      <c r="B2214" s="4" t="s">
        <v>67</v>
      </c>
      <c r="C2214" s="4" t="s">
        <v>167</v>
      </c>
      <c r="D2214" s="4">
        <v>50</v>
      </c>
      <c r="E2214" s="18" t="s">
        <v>114</v>
      </c>
      <c r="F2214" s="19" t="s">
        <v>163</v>
      </c>
    </row>
    <row r="2215" spans="1:6">
      <c r="A2215" s="4" t="str">
        <f t="shared" si="34"/>
        <v>tRNA-iMet-CAT-1-2|49</v>
      </c>
      <c r="B2215" s="4" t="s">
        <v>67</v>
      </c>
      <c r="C2215" s="4" t="s">
        <v>168</v>
      </c>
      <c r="D2215" s="4">
        <v>51</v>
      </c>
      <c r="E2215" s="22" t="s">
        <v>109</v>
      </c>
      <c r="F2215" s="10" t="s">
        <v>169</v>
      </c>
    </row>
    <row r="2216" spans="1:6">
      <c r="A2216" s="4" t="str">
        <f t="shared" si="34"/>
        <v>tRNA-iMet-CAT-1-2|50</v>
      </c>
      <c r="B2216" s="4" t="s">
        <v>67</v>
      </c>
      <c r="C2216" s="4" t="s">
        <v>170</v>
      </c>
      <c r="D2216" s="4">
        <v>52</v>
      </c>
      <c r="E2216" s="22" t="s">
        <v>122</v>
      </c>
      <c r="F2216" s="10" t="s">
        <v>169</v>
      </c>
    </row>
    <row r="2217" spans="1:6">
      <c r="A2217" s="4" t="str">
        <f t="shared" si="34"/>
        <v>tRNA-iMet-CAT-1-2|51</v>
      </c>
      <c r="B2217" s="4" t="s">
        <v>67</v>
      </c>
      <c r="C2217" s="4" t="s">
        <v>171</v>
      </c>
      <c r="D2217" s="4">
        <v>53</v>
      </c>
      <c r="E2217" s="22" t="s">
        <v>116</v>
      </c>
      <c r="F2217" s="10" t="s">
        <v>169</v>
      </c>
    </row>
    <row r="2218" spans="1:6">
      <c r="A2218" s="4" t="str">
        <f t="shared" si="34"/>
        <v>tRNA-iMet-CAT-1-2|52</v>
      </c>
      <c r="B2218" s="4" t="s">
        <v>67</v>
      </c>
      <c r="C2218" s="4" t="s">
        <v>172</v>
      </c>
      <c r="D2218" s="4">
        <v>54</v>
      </c>
      <c r="E2218" s="22" t="s">
        <v>109</v>
      </c>
      <c r="F2218" s="10" t="s">
        <v>169</v>
      </c>
    </row>
    <row r="2219" spans="1:6">
      <c r="A2219" s="4" t="str">
        <f t="shared" si="34"/>
        <v>tRNA-iMet-CAT-1-2|53</v>
      </c>
      <c r="B2219" s="4" t="s">
        <v>67</v>
      </c>
      <c r="C2219" s="4" t="s">
        <v>173</v>
      </c>
      <c r="D2219" s="4">
        <v>55</v>
      </c>
      <c r="E2219" s="22" t="s">
        <v>109</v>
      </c>
      <c r="F2219" s="10" t="s">
        <v>169</v>
      </c>
    </row>
    <row r="2220" spans="1:6">
      <c r="A2220" s="4" t="str">
        <f t="shared" si="34"/>
        <v>tRNA-iMet-CAT-1-2|54</v>
      </c>
      <c r="B2220" s="4" t="s">
        <v>67</v>
      </c>
      <c r="C2220" s="4" t="s">
        <v>174</v>
      </c>
      <c r="D2220" s="4">
        <v>56</v>
      </c>
      <c r="E2220" s="18" t="s">
        <v>116</v>
      </c>
      <c r="F2220" s="19" t="s">
        <v>175</v>
      </c>
    </row>
    <row r="2221" spans="1:6">
      <c r="A2221" s="4" t="str">
        <f t="shared" si="34"/>
        <v>tRNA-iMet-CAT-1-2|55</v>
      </c>
      <c r="B2221" s="4" t="s">
        <v>67</v>
      </c>
      <c r="C2221" s="4" t="s">
        <v>176</v>
      </c>
      <c r="D2221" s="4">
        <v>57</v>
      </c>
      <c r="E2221" s="18" t="s">
        <v>116</v>
      </c>
      <c r="F2221" s="19" t="s">
        <v>175</v>
      </c>
    </row>
    <row r="2222" spans="1:6">
      <c r="A2222" s="4" t="str">
        <f t="shared" si="34"/>
        <v>tRNA-iMet-CAT-1-2|56</v>
      </c>
      <c r="B2222" s="4" t="s">
        <v>67</v>
      </c>
      <c r="C2222" s="4" t="s">
        <v>177</v>
      </c>
      <c r="D2222" s="4">
        <v>58</v>
      </c>
      <c r="E2222" s="18" t="s">
        <v>114</v>
      </c>
      <c r="F2222" s="19" t="s">
        <v>175</v>
      </c>
    </row>
    <row r="2223" spans="1:6">
      <c r="A2223" s="4" t="str">
        <f t="shared" si="34"/>
        <v>tRNA-iMet-CAT-1-2|57</v>
      </c>
      <c r="B2223" s="4" t="s">
        <v>67</v>
      </c>
      <c r="C2223" s="4" t="s">
        <v>178</v>
      </c>
      <c r="D2223" s="4">
        <v>59</v>
      </c>
      <c r="E2223" s="18" t="s">
        <v>109</v>
      </c>
      <c r="F2223" s="19" t="s">
        <v>175</v>
      </c>
    </row>
    <row r="2224" spans="1:6">
      <c r="A2224" s="4" t="str">
        <f t="shared" si="34"/>
        <v>tRNA-iMet-CAT-1-2|58</v>
      </c>
      <c r="B2224" s="4" t="s">
        <v>67</v>
      </c>
      <c r="C2224" s="4" t="s">
        <v>179</v>
      </c>
      <c r="D2224" s="4">
        <v>60</v>
      </c>
      <c r="E2224" s="18" t="s">
        <v>122</v>
      </c>
      <c r="F2224" s="19" t="s">
        <v>175</v>
      </c>
    </row>
    <row r="2225" spans="1:6">
      <c r="A2225" s="4" t="str">
        <f t="shared" si="34"/>
        <v>tRNA-iMet-CAT-1-2|59</v>
      </c>
      <c r="B2225" s="4" t="s">
        <v>67</v>
      </c>
      <c r="C2225" s="4" t="s">
        <v>180</v>
      </c>
      <c r="D2225" s="4">
        <v>61</v>
      </c>
      <c r="E2225" s="18" t="s">
        <v>122</v>
      </c>
      <c r="F2225" s="19" t="s">
        <v>175</v>
      </c>
    </row>
    <row r="2226" spans="1:6">
      <c r="A2226" s="4" t="str">
        <f t="shared" si="34"/>
        <v>tRNA-iMet-CAT-1-2|60</v>
      </c>
      <c r="B2226" s="4" t="s">
        <v>67</v>
      </c>
      <c r="C2226" s="4" t="s">
        <v>181</v>
      </c>
      <c r="D2226" s="4">
        <v>62</v>
      </c>
      <c r="E2226" s="18" t="s">
        <v>116</v>
      </c>
      <c r="F2226" s="19" t="s">
        <v>175</v>
      </c>
    </row>
    <row r="2227" spans="1:6">
      <c r="A2227" s="4" t="str">
        <f t="shared" si="34"/>
        <v>tRNA-iMet-CAT-1-2|61</v>
      </c>
      <c r="B2227" s="4" t="s">
        <v>67</v>
      </c>
      <c r="C2227" s="4" t="s">
        <v>182</v>
      </c>
      <c r="D2227" s="4">
        <v>63</v>
      </c>
      <c r="E2227" s="22" t="s">
        <v>114</v>
      </c>
      <c r="F2227" s="10" t="s">
        <v>169</v>
      </c>
    </row>
    <row r="2228" spans="1:6">
      <c r="A2228" s="4" t="str">
        <f t="shared" si="34"/>
        <v>tRNA-iMet-CAT-1-2|62</v>
      </c>
      <c r="B2228" s="4" t="s">
        <v>67</v>
      </c>
      <c r="C2228" s="4" t="s">
        <v>183</v>
      </c>
      <c r="D2228" s="4">
        <v>64</v>
      </c>
      <c r="E2228" s="22" t="s">
        <v>114</v>
      </c>
      <c r="F2228" s="10" t="s">
        <v>169</v>
      </c>
    </row>
    <row r="2229" spans="1:6">
      <c r="A2229" s="4" t="str">
        <f t="shared" si="34"/>
        <v>tRNA-iMet-CAT-1-2|63</v>
      </c>
      <c r="B2229" s="4" t="s">
        <v>67</v>
      </c>
      <c r="C2229" s="4" t="s">
        <v>184</v>
      </c>
      <c r="D2229" s="4">
        <v>65</v>
      </c>
      <c r="E2229" s="22" t="s">
        <v>122</v>
      </c>
      <c r="F2229" s="10" t="s">
        <v>169</v>
      </c>
    </row>
    <row r="2230" spans="1:6">
      <c r="A2230" s="4" t="str">
        <f t="shared" si="34"/>
        <v>tRNA-iMet-CAT-1-2|64</v>
      </c>
      <c r="B2230" s="4" t="s">
        <v>67</v>
      </c>
      <c r="C2230" s="4" t="s">
        <v>185</v>
      </c>
      <c r="D2230" s="4">
        <v>66</v>
      </c>
      <c r="E2230" s="22" t="s">
        <v>116</v>
      </c>
      <c r="F2230" s="10" t="s">
        <v>169</v>
      </c>
    </row>
    <row r="2231" spans="1:6">
      <c r="A2231" s="4" t="str">
        <f t="shared" si="34"/>
        <v>tRNA-iMet-CAT-1-2|65</v>
      </c>
      <c r="B2231" s="4" t="s">
        <v>67</v>
      </c>
      <c r="C2231" s="4" t="s">
        <v>186</v>
      </c>
      <c r="D2231" s="4">
        <v>67</v>
      </c>
      <c r="E2231" s="22" t="s">
        <v>114</v>
      </c>
      <c r="F2231" s="10" t="s">
        <v>169</v>
      </c>
    </row>
    <row r="2232" spans="1:6">
      <c r="A2232" s="4" t="str">
        <f t="shared" si="34"/>
        <v>tRNA-iMet-CAT-1-2|66</v>
      </c>
      <c r="B2232" s="4" t="s">
        <v>67</v>
      </c>
      <c r="C2232" s="4" t="s">
        <v>187</v>
      </c>
      <c r="D2232" s="4">
        <v>68</v>
      </c>
      <c r="E2232" s="16" t="s">
        <v>114</v>
      </c>
      <c r="F2232" s="17" t="s">
        <v>110</v>
      </c>
    </row>
    <row r="2233" spans="1:6">
      <c r="A2233" s="4" t="str">
        <f t="shared" si="34"/>
        <v>tRNA-iMet-CAT-1-2|67</v>
      </c>
      <c r="B2233" s="4" t="s">
        <v>67</v>
      </c>
      <c r="C2233" s="4" t="s">
        <v>188</v>
      </c>
      <c r="D2233" s="4">
        <v>69</v>
      </c>
      <c r="E2233" s="16" t="s">
        <v>114</v>
      </c>
      <c r="F2233" s="17" t="s">
        <v>110</v>
      </c>
    </row>
    <row r="2234" spans="1:6">
      <c r="A2234" s="4" t="str">
        <f t="shared" si="34"/>
        <v>tRNA-iMet-CAT-1-2|68</v>
      </c>
      <c r="B2234" s="4" t="s">
        <v>67</v>
      </c>
      <c r="C2234" s="4" t="s">
        <v>189</v>
      </c>
      <c r="D2234" s="4">
        <v>70</v>
      </c>
      <c r="E2234" s="16" t="s">
        <v>114</v>
      </c>
      <c r="F2234" s="17" t="s">
        <v>110</v>
      </c>
    </row>
    <row r="2235" spans="1:6">
      <c r="A2235" s="4" t="str">
        <f t="shared" si="34"/>
        <v>tRNA-iMet-CAT-1-2|69</v>
      </c>
      <c r="B2235" s="4" t="s">
        <v>67</v>
      </c>
      <c r="C2235" s="4" t="s">
        <v>190</v>
      </c>
      <c r="D2235" s="4">
        <v>71</v>
      </c>
      <c r="E2235" s="16" t="s">
        <v>114</v>
      </c>
      <c r="F2235" s="17" t="s">
        <v>110</v>
      </c>
    </row>
    <row r="2236" spans="1:6">
      <c r="A2236" s="4" t="str">
        <f t="shared" si="34"/>
        <v>tRNA-iMet-CAT-1-2|70</v>
      </c>
      <c r="B2236" s="4" t="s">
        <v>67</v>
      </c>
      <c r="C2236" s="4" t="s">
        <v>191</v>
      </c>
      <c r="D2236" s="4">
        <v>72</v>
      </c>
      <c r="E2236" s="16" t="s">
        <v>109</v>
      </c>
      <c r="F2236" s="17" t="s">
        <v>110</v>
      </c>
    </row>
    <row r="2237" spans="1:6">
      <c r="A2237" s="4" t="str">
        <f t="shared" si="34"/>
        <v>tRNA-iMet-CAT-1-2|71</v>
      </c>
      <c r="B2237" s="4" t="s">
        <v>67</v>
      </c>
      <c r="C2237" s="4" t="s">
        <v>192</v>
      </c>
      <c r="D2237" s="4">
        <v>73</v>
      </c>
      <c r="E2237" s="16" t="s">
        <v>114</v>
      </c>
      <c r="F2237" s="17" t="s">
        <v>110</v>
      </c>
    </row>
    <row r="2238" spans="1:6">
      <c r="A2238" s="4" t="str">
        <f t="shared" si="34"/>
        <v>tRNA-iMet-CAT-1-2|72</v>
      </c>
      <c r="B2238" s="4" t="s">
        <v>67</v>
      </c>
      <c r="C2238" s="4" t="s">
        <v>193</v>
      </c>
      <c r="D2238" s="4">
        <v>74</v>
      </c>
      <c r="E2238" s="16" t="s">
        <v>116</v>
      </c>
      <c r="F2238" s="17" t="s">
        <v>110</v>
      </c>
    </row>
    <row r="2239" spans="1:6">
      <c r="A2239" s="4" t="str">
        <f t="shared" si="34"/>
        <v>tRNA-iMet-CAT-1-3|1</v>
      </c>
      <c r="B2239" s="4" t="s">
        <v>68</v>
      </c>
      <c r="C2239" s="4" t="s">
        <v>108</v>
      </c>
      <c r="D2239" s="4">
        <v>1</v>
      </c>
      <c r="E2239" s="16" t="s">
        <v>122</v>
      </c>
      <c r="F2239" s="17" t="s">
        <v>110</v>
      </c>
    </row>
    <row r="2240" spans="1:6">
      <c r="A2240" s="4" t="str">
        <f t="shared" si="34"/>
        <v>tRNA-iMet-CAT-1-3|2</v>
      </c>
      <c r="B2240" s="4" t="s">
        <v>68</v>
      </c>
      <c r="C2240" s="4" t="s">
        <v>111</v>
      </c>
      <c r="D2240" s="4">
        <v>2</v>
      </c>
      <c r="E2240" s="16" t="s">
        <v>109</v>
      </c>
      <c r="F2240" s="17" t="s">
        <v>110</v>
      </c>
    </row>
    <row r="2241" spans="1:6">
      <c r="A2241" s="4" t="str">
        <f t="shared" si="34"/>
        <v>tRNA-iMet-CAT-1-3|3</v>
      </c>
      <c r="B2241" s="4" t="s">
        <v>68</v>
      </c>
      <c r="C2241" s="4" t="s">
        <v>112</v>
      </c>
      <c r="D2241" s="4">
        <v>3</v>
      </c>
      <c r="E2241" s="16" t="s">
        <v>114</v>
      </c>
      <c r="F2241" s="17" t="s">
        <v>110</v>
      </c>
    </row>
    <row r="2242" spans="1:6">
      <c r="A2242" s="4" t="str">
        <f t="shared" ref="A2242:A2305" si="35">B2242&amp;"|"&amp;C2242</f>
        <v>tRNA-iMet-CAT-1-3|4</v>
      </c>
      <c r="B2242" s="4" t="s">
        <v>68</v>
      </c>
      <c r="C2242" s="4" t="s">
        <v>113</v>
      </c>
      <c r="D2242" s="4">
        <v>4</v>
      </c>
      <c r="E2242" s="16" t="s">
        <v>109</v>
      </c>
      <c r="F2242" s="17" t="s">
        <v>110</v>
      </c>
    </row>
    <row r="2243" spans="1:6">
      <c r="A2243" s="4" t="str">
        <f t="shared" si="35"/>
        <v>tRNA-iMet-CAT-1-3|5</v>
      </c>
      <c r="B2243" s="4" t="s">
        <v>68</v>
      </c>
      <c r="C2243" s="4" t="s">
        <v>115</v>
      </c>
      <c r="D2243" s="4">
        <v>5</v>
      </c>
      <c r="E2243" s="16" t="s">
        <v>109</v>
      </c>
      <c r="F2243" s="17" t="s">
        <v>110</v>
      </c>
    </row>
    <row r="2244" spans="1:6">
      <c r="A2244" s="4" t="str">
        <f t="shared" si="35"/>
        <v>tRNA-iMet-CAT-1-3|6</v>
      </c>
      <c r="B2244" s="4" t="s">
        <v>68</v>
      </c>
      <c r="C2244" s="4" t="s">
        <v>117</v>
      </c>
      <c r="D2244" s="4">
        <v>6</v>
      </c>
      <c r="E2244" s="16" t="s">
        <v>109</v>
      </c>
      <c r="F2244" s="17" t="s">
        <v>110</v>
      </c>
    </row>
    <row r="2245" spans="1:6">
      <c r="A2245" s="4" t="str">
        <f t="shared" si="35"/>
        <v>tRNA-iMet-CAT-1-3|7</v>
      </c>
      <c r="B2245" s="4" t="s">
        <v>68</v>
      </c>
      <c r="C2245" s="4" t="s">
        <v>118</v>
      </c>
      <c r="D2245" s="4">
        <v>7</v>
      </c>
      <c r="E2245" s="16" t="s">
        <v>109</v>
      </c>
      <c r="F2245" s="17" t="s">
        <v>110</v>
      </c>
    </row>
    <row r="2246" spans="1:6">
      <c r="A2246" s="4" t="str">
        <f t="shared" si="35"/>
        <v>tRNA-iMet-CAT-1-3|8</v>
      </c>
      <c r="B2246" s="4" t="s">
        <v>68</v>
      </c>
      <c r="C2246" s="4" t="s">
        <v>119</v>
      </c>
      <c r="D2246" s="4">
        <v>8</v>
      </c>
      <c r="E2246" s="3" t="s">
        <v>116</v>
      </c>
      <c r="F2246" s="4" t="s">
        <v>120</v>
      </c>
    </row>
    <row r="2247" spans="1:6">
      <c r="A2247" s="4" t="str">
        <f t="shared" si="35"/>
        <v>tRNA-iMet-CAT-1-3|9</v>
      </c>
      <c r="B2247" s="4" t="s">
        <v>68</v>
      </c>
      <c r="C2247" s="4" t="s">
        <v>121</v>
      </c>
      <c r="D2247" s="4">
        <v>9</v>
      </c>
      <c r="E2247" s="3" t="s">
        <v>109</v>
      </c>
      <c r="F2247" s="4" t="s">
        <v>123</v>
      </c>
    </row>
    <row r="2248" spans="1:6">
      <c r="A2248" s="4" t="str">
        <f t="shared" si="35"/>
        <v>tRNA-iMet-CAT-1-3|10</v>
      </c>
      <c r="B2248" s="4" t="s">
        <v>68</v>
      </c>
      <c r="C2248" s="4" t="s">
        <v>124</v>
      </c>
      <c r="D2248" s="4">
        <v>10</v>
      </c>
      <c r="E2248" s="8" t="s">
        <v>109</v>
      </c>
      <c r="F2248" s="7" t="s">
        <v>125</v>
      </c>
    </row>
    <row r="2249" spans="1:6">
      <c r="A2249" s="4" t="str">
        <f t="shared" si="35"/>
        <v>tRNA-iMet-CAT-1-3|11</v>
      </c>
      <c r="B2249" s="4" t="s">
        <v>68</v>
      </c>
      <c r="C2249" s="4" t="s">
        <v>126</v>
      </c>
      <c r="D2249" s="4">
        <v>11</v>
      </c>
      <c r="E2249" s="8" t="s">
        <v>109</v>
      </c>
      <c r="F2249" s="7" t="s">
        <v>125</v>
      </c>
    </row>
    <row r="2250" spans="1:6">
      <c r="A2250" s="4" t="str">
        <f t="shared" si="35"/>
        <v>tRNA-iMet-CAT-1-3|12</v>
      </c>
      <c r="B2250" s="4" t="s">
        <v>68</v>
      </c>
      <c r="C2250" s="4" t="s">
        <v>127</v>
      </c>
      <c r="D2250" s="4">
        <v>12</v>
      </c>
      <c r="E2250" s="8" t="s">
        <v>109</v>
      </c>
      <c r="F2250" s="7" t="s">
        <v>125</v>
      </c>
    </row>
    <row r="2251" spans="1:6">
      <c r="A2251" s="4" t="str">
        <f t="shared" si="35"/>
        <v>tRNA-iMet-CAT-1-3|13</v>
      </c>
      <c r="B2251" s="4" t="s">
        <v>68</v>
      </c>
      <c r="C2251" s="4" t="s">
        <v>128</v>
      </c>
      <c r="D2251" s="4">
        <v>13</v>
      </c>
      <c r="E2251" s="8" t="s">
        <v>116</v>
      </c>
      <c r="F2251" s="7" t="s">
        <v>125</v>
      </c>
    </row>
    <row r="2252" spans="1:6">
      <c r="A2252" s="4" t="str">
        <f t="shared" si="35"/>
        <v>tRNA-iMet-CAT-1-3|14</v>
      </c>
      <c r="B2252" s="4" t="s">
        <v>68</v>
      </c>
      <c r="C2252" s="4" t="s">
        <v>129</v>
      </c>
      <c r="D2252" s="4">
        <v>14</v>
      </c>
      <c r="E2252" s="18" t="s">
        <v>122</v>
      </c>
      <c r="F2252" s="19" t="s">
        <v>130</v>
      </c>
    </row>
    <row r="2253" spans="1:6">
      <c r="A2253" s="4" t="str">
        <f t="shared" si="35"/>
        <v>tRNA-iMet-CAT-1-3|15</v>
      </c>
      <c r="B2253" s="4" t="s">
        <v>68</v>
      </c>
      <c r="C2253" s="4" t="s">
        <v>131</v>
      </c>
      <c r="D2253" s="4">
        <v>15</v>
      </c>
      <c r="E2253" s="18" t="s">
        <v>109</v>
      </c>
      <c r="F2253" s="19" t="s">
        <v>130</v>
      </c>
    </row>
    <row r="2254" spans="1:6">
      <c r="A2254" s="4" t="str">
        <f t="shared" si="35"/>
        <v>tRNA-iMet-CAT-1-3|16</v>
      </c>
      <c r="B2254" s="4" t="s">
        <v>68</v>
      </c>
      <c r="C2254" s="4" t="s">
        <v>194</v>
      </c>
      <c r="D2254" s="4">
        <v>16</v>
      </c>
      <c r="E2254" s="18" t="s">
        <v>114</v>
      </c>
      <c r="F2254" s="19" t="s">
        <v>130</v>
      </c>
    </row>
    <row r="2255" spans="1:6">
      <c r="A2255" s="4" t="str">
        <f t="shared" si="35"/>
        <v>tRNA-iMet-CAT-1-3|17</v>
      </c>
      <c r="B2255" s="4" t="s">
        <v>68</v>
      </c>
      <c r="C2255" s="4" t="s">
        <v>195</v>
      </c>
      <c r="D2255" s="4">
        <v>17</v>
      </c>
      <c r="E2255" s="18" t="s">
        <v>114</v>
      </c>
      <c r="F2255" s="19" t="s">
        <v>130</v>
      </c>
    </row>
    <row r="2256" spans="1:6">
      <c r="A2256" s="4" t="str">
        <f t="shared" si="35"/>
        <v>tRNA-iMet-CAT-1-3|17a</v>
      </c>
      <c r="B2256" s="4" t="s">
        <v>68</v>
      </c>
      <c r="C2256" s="4" t="s">
        <v>196</v>
      </c>
      <c r="D2256" s="4">
        <v>18</v>
      </c>
      <c r="E2256" s="18" t="s">
        <v>122</v>
      </c>
      <c r="F2256" s="19" t="s">
        <v>130</v>
      </c>
    </row>
    <row r="2257" spans="1:6">
      <c r="A2257" s="4" t="str">
        <f t="shared" si="35"/>
        <v>tRNA-iMet-CAT-1-3|18</v>
      </c>
      <c r="B2257" s="4" t="s">
        <v>68</v>
      </c>
      <c r="C2257" s="4" t="s">
        <v>132</v>
      </c>
      <c r="D2257" s="4">
        <v>19</v>
      </c>
      <c r="E2257" s="18" t="s">
        <v>109</v>
      </c>
      <c r="F2257" s="19" t="s">
        <v>130</v>
      </c>
    </row>
    <row r="2258" spans="1:6">
      <c r="A2258" s="4" t="str">
        <f t="shared" si="35"/>
        <v>tRNA-iMet-CAT-1-3|19</v>
      </c>
      <c r="B2258" s="4" t="s">
        <v>68</v>
      </c>
      <c r="C2258" s="4" t="s">
        <v>133</v>
      </c>
      <c r="D2258" s="4">
        <v>20</v>
      </c>
      <c r="E2258" s="18" t="s">
        <v>109</v>
      </c>
      <c r="F2258" s="19" t="s">
        <v>130</v>
      </c>
    </row>
    <row r="2259" spans="1:6">
      <c r="A2259" s="4" t="str">
        <f t="shared" si="35"/>
        <v>tRNA-iMet-CAT-1-3|20</v>
      </c>
      <c r="B2259" s="4" t="s">
        <v>68</v>
      </c>
      <c r="C2259" s="4" t="s">
        <v>134</v>
      </c>
      <c r="D2259" s="4">
        <v>21</v>
      </c>
      <c r="E2259" s="18" t="s">
        <v>122</v>
      </c>
      <c r="F2259" s="19" t="s">
        <v>130</v>
      </c>
    </row>
    <row r="2260" spans="1:6">
      <c r="A2260" s="4" t="str">
        <f t="shared" si="35"/>
        <v>tRNA-iMet-CAT-1-3|20a</v>
      </c>
      <c r="B2260" s="4" t="s">
        <v>68</v>
      </c>
      <c r="C2260" s="4" t="s">
        <v>135</v>
      </c>
      <c r="D2260" s="4">
        <v>22</v>
      </c>
      <c r="E2260" s="18" t="s">
        <v>109</v>
      </c>
      <c r="F2260" s="19" t="s">
        <v>130</v>
      </c>
    </row>
    <row r="2261" spans="1:6">
      <c r="A2261" s="4" t="str">
        <f t="shared" si="35"/>
        <v>tRNA-iMet-CAT-1-3|21</v>
      </c>
      <c r="B2261" s="4" t="s">
        <v>68</v>
      </c>
      <c r="C2261" s="4" t="s">
        <v>136</v>
      </c>
      <c r="D2261" s="4">
        <v>23</v>
      </c>
      <c r="E2261" s="18" t="s">
        <v>122</v>
      </c>
      <c r="F2261" s="19" t="s">
        <v>130</v>
      </c>
    </row>
    <row r="2262" spans="1:6">
      <c r="A2262" s="4" t="str">
        <f t="shared" si="35"/>
        <v>tRNA-iMet-CAT-1-3|22</v>
      </c>
      <c r="B2262" s="4" t="s">
        <v>68</v>
      </c>
      <c r="C2262" s="4" t="s">
        <v>137</v>
      </c>
      <c r="D2262" s="4">
        <v>24</v>
      </c>
      <c r="E2262" s="8" t="s">
        <v>116</v>
      </c>
      <c r="F2262" s="7" t="s">
        <v>125</v>
      </c>
    </row>
    <row r="2263" spans="1:6">
      <c r="A2263" s="4" t="str">
        <f t="shared" si="35"/>
        <v>tRNA-iMet-CAT-1-3|23</v>
      </c>
      <c r="B2263" s="4" t="s">
        <v>68</v>
      </c>
      <c r="C2263" s="4" t="s">
        <v>138</v>
      </c>
      <c r="D2263" s="4">
        <v>25</v>
      </c>
      <c r="E2263" s="8" t="s">
        <v>114</v>
      </c>
      <c r="F2263" s="7" t="s">
        <v>125</v>
      </c>
    </row>
    <row r="2264" spans="1:6">
      <c r="A2264" s="4" t="str">
        <f t="shared" si="35"/>
        <v>tRNA-iMet-CAT-1-3|24</v>
      </c>
      <c r="B2264" s="4" t="s">
        <v>68</v>
      </c>
      <c r="C2264" s="4" t="s">
        <v>139</v>
      </c>
      <c r="D2264" s="4">
        <v>26</v>
      </c>
      <c r="E2264" s="8" t="s">
        <v>114</v>
      </c>
      <c r="F2264" s="7" t="s">
        <v>125</v>
      </c>
    </row>
    <row r="2265" spans="1:6">
      <c r="A2265" s="4" t="str">
        <f t="shared" si="35"/>
        <v>tRNA-iMet-CAT-1-3|25</v>
      </c>
      <c r="B2265" s="4" t="s">
        <v>68</v>
      </c>
      <c r="C2265" s="4" t="s">
        <v>140</v>
      </c>
      <c r="D2265" s="4">
        <v>27</v>
      </c>
      <c r="E2265" s="8" t="s">
        <v>114</v>
      </c>
      <c r="F2265" s="7" t="s">
        <v>125</v>
      </c>
    </row>
    <row r="2266" spans="1:6">
      <c r="A2266" s="4" t="str">
        <f t="shared" si="35"/>
        <v>tRNA-iMet-CAT-1-3|26</v>
      </c>
      <c r="B2266" s="4" t="s">
        <v>68</v>
      </c>
      <c r="C2266" s="4" t="s">
        <v>141</v>
      </c>
      <c r="D2266" s="4">
        <v>28</v>
      </c>
      <c r="E2266" s="3" t="s">
        <v>109</v>
      </c>
      <c r="F2266" s="4" t="s">
        <v>142</v>
      </c>
    </row>
    <row r="2267" spans="1:6">
      <c r="A2267" s="4" t="str">
        <f t="shared" si="35"/>
        <v>tRNA-iMet-CAT-1-3|27</v>
      </c>
      <c r="B2267" s="4" t="s">
        <v>68</v>
      </c>
      <c r="C2267" s="4" t="s">
        <v>143</v>
      </c>
      <c r="D2267" s="4">
        <v>29</v>
      </c>
      <c r="E2267" s="20" t="s">
        <v>122</v>
      </c>
      <c r="F2267" s="21" t="s">
        <v>144</v>
      </c>
    </row>
    <row r="2268" spans="1:6">
      <c r="A2268" s="4" t="str">
        <f t="shared" si="35"/>
        <v>tRNA-iMet-CAT-1-3|28</v>
      </c>
      <c r="B2268" s="4" t="s">
        <v>68</v>
      </c>
      <c r="C2268" s="4" t="s">
        <v>145</v>
      </c>
      <c r="D2268" s="4">
        <v>30</v>
      </c>
      <c r="E2268" s="20" t="s">
        <v>114</v>
      </c>
      <c r="F2268" s="21" t="s">
        <v>144</v>
      </c>
    </row>
    <row r="2269" spans="1:6">
      <c r="A2269" s="4" t="str">
        <f t="shared" si="35"/>
        <v>tRNA-iMet-CAT-1-3|29</v>
      </c>
      <c r="B2269" s="4" t="s">
        <v>68</v>
      </c>
      <c r="C2269" s="4" t="s">
        <v>146</v>
      </c>
      <c r="D2269" s="4">
        <v>31</v>
      </c>
      <c r="E2269" s="20" t="s">
        <v>109</v>
      </c>
      <c r="F2269" s="21" t="s">
        <v>144</v>
      </c>
    </row>
    <row r="2270" spans="1:6">
      <c r="A2270" s="4" t="str">
        <f t="shared" si="35"/>
        <v>tRNA-iMet-CAT-1-3|30</v>
      </c>
      <c r="B2270" s="4" t="s">
        <v>68</v>
      </c>
      <c r="C2270" s="4" t="s">
        <v>147</v>
      </c>
      <c r="D2270" s="4">
        <v>32</v>
      </c>
      <c r="E2270" s="20" t="s">
        <v>109</v>
      </c>
      <c r="F2270" s="21" t="s">
        <v>144</v>
      </c>
    </row>
    <row r="2271" spans="1:6">
      <c r="A2271" s="4" t="str">
        <f t="shared" si="35"/>
        <v>tRNA-iMet-CAT-1-3|31</v>
      </c>
      <c r="B2271" s="4" t="s">
        <v>68</v>
      </c>
      <c r="C2271" s="4" t="s">
        <v>148</v>
      </c>
      <c r="D2271" s="4">
        <v>33</v>
      </c>
      <c r="E2271" s="20" t="s">
        <v>109</v>
      </c>
      <c r="F2271" s="21" t="s">
        <v>144</v>
      </c>
    </row>
    <row r="2272" spans="1:6">
      <c r="A2272" s="4" t="str">
        <f t="shared" si="35"/>
        <v>tRNA-iMet-CAT-1-3|32</v>
      </c>
      <c r="B2272" s="4" t="s">
        <v>68</v>
      </c>
      <c r="C2272" s="4" t="s">
        <v>149</v>
      </c>
      <c r="D2272" s="4">
        <v>34</v>
      </c>
      <c r="E2272" s="18" t="s">
        <v>114</v>
      </c>
      <c r="F2272" s="19" t="s">
        <v>150</v>
      </c>
    </row>
    <row r="2273" spans="1:6">
      <c r="A2273" s="4" t="str">
        <f t="shared" si="35"/>
        <v>tRNA-iMet-CAT-1-3|33</v>
      </c>
      <c r="B2273" s="4" t="s">
        <v>68</v>
      </c>
      <c r="C2273" s="4" t="s">
        <v>151</v>
      </c>
      <c r="D2273" s="4">
        <v>35</v>
      </c>
      <c r="E2273" s="18" t="s">
        <v>116</v>
      </c>
      <c r="F2273" s="19" t="s">
        <v>150</v>
      </c>
    </row>
    <row r="2274" spans="1:6">
      <c r="A2274" s="4" t="str">
        <f t="shared" si="35"/>
        <v>tRNA-iMet-CAT-1-3|34</v>
      </c>
      <c r="B2274" s="4" t="s">
        <v>68</v>
      </c>
      <c r="C2274" s="4" t="s">
        <v>152</v>
      </c>
      <c r="D2274" s="4">
        <v>36</v>
      </c>
      <c r="E2274" s="18" t="s">
        <v>114</v>
      </c>
      <c r="F2274" s="19" t="s">
        <v>150</v>
      </c>
    </row>
    <row r="2275" spans="1:6">
      <c r="A2275" s="4" t="str">
        <f t="shared" si="35"/>
        <v>tRNA-iMet-CAT-1-3|35</v>
      </c>
      <c r="B2275" s="4" t="s">
        <v>68</v>
      </c>
      <c r="C2275" s="4" t="s">
        <v>153</v>
      </c>
      <c r="D2275" s="4">
        <v>37</v>
      </c>
      <c r="E2275" s="18" t="s">
        <v>122</v>
      </c>
      <c r="F2275" s="19" t="s">
        <v>150</v>
      </c>
    </row>
    <row r="2276" spans="1:6">
      <c r="A2276" s="4" t="str">
        <f t="shared" si="35"/>
        <v>tRNA-iMet-CAT-1-3|36</v>
      </c>
      <c r="B2276" s="4" t="s">
        <v>68</v>
      </c>
      <c r="C2276" s="4" t="s">
        <v>154</v>
      </c>
      <c r="D2276" s="4">
        <v>38</v>
      </c>
      <c r="E2276" s="18" t="s">
        <v>116</v>
      </c>
      <c r="F2276" s="19" t="s">
        <v>150</v>
      </c>
    </row>
    <row r="2277" spans="1:6">
      <c r="A2277" s="4" t="str">
        <f t="shared" si="35"/>
        <v>tRNA-iMet-CAT-1-3|37</v>
      </c>
      <c r="B2277" s="4" t="s">
        <v>68</v>
      </c>
      <c r="C2277" s="4" t="s">
        <v>155</v>
      </c>
      <c r="D2277" s="4">
        <v>39</v>
      </c>
      <c r="E2277" s="18" t="s">
        <v>122</v>
      </c>
      <c r="F2277" s="19" t="s">
        <v>150</v>
      </c>
    </row>
    <row r="2278" spans="1:6">
      <c r="A2278" s="4" t="str">
        <f t="shared" si="35"/>
        <v>tRNA-iMet-CAT-1-3|38</v>
      </c>
      <c r="B2278" s="4" t="s">
        <v>68</v>
      </c>
      <c r="C2278" s="4" t="s">
        <v>156</v>
      </c>
      <c r="D2278" s="4">
        <v>40</v>
      </c>
      <c r="E2278" s="18" t="s">
        <v>122</v>
      </c>
      <c r="F2278" s="19" t="s">
        <v>150</v>
      </c>
    </row>
    <row r="2279" spans="1:6">
      <c r="A2279" s="4" t="str">
        <f t="shared" si="35"/>
        <v>tRNA-iMet-CAT-1-3|39</v>
      </c>
      <c r="B2279" s="4" t="s">
        <v>68</v>
      </c>
      <c r="C2279" s="4" t="s">
        <v>157</v>
      </c>
      <c r="D2279" s="4">
        <v>41</v>
      </c>
      <c r="E2279" s="20" t="s">
        <v>114</v>
      </c>
      <c r="F2279" s="21" t="s">
        <v>144</v>
      </c>
    </row>
    <row r="2280" spans="1:6">
      <c r="A2280" s="4" t="str">
        <f t="shared" si="35"/>
        <v>tRNA-iMet-CAT-1-3|40</v>
      </c>
      <c r="B2280" s="4" t="s">
        <v>68</v>
      </c>
      <c r="C2280" s="4" t="s">
        <v>158</v>
      </c>
      <c r="D2280" s="4">
        <v>42</v>
      </c>
      <c r="E2280" s="20" t="s">
        <v>114</v>
      </c>
      <c r="F2280" s="21" t="s">
        <v>144</v>
      </c>
    </row>
    <row r="2281" spans="1:6">
      <c r="A2281" s="4" t="str">
        <f t="shared" si="35"/>
        <v>tRNA-iMet-CAT-1-3|41</v>
      </c>
      <c r="B2281" s="4" t="s">
        <v>68</v>
      </c>
      <c r="C2281" s="4" t="s">
        <v>159</v>
      </c>
      <c r="D2281" s="4">
        <v>43</v>
      </c>
      <c r="E2281" s="20" t="s">
        <v>114</v>
      </c>
      <c r="F2281" s="21" t="s">
        <v>144</v>
      </c>
    </row>
    <row r="2282" spans="1:6">
      <c r="A2282" s="4" t="str">
        <f t="shared" si="35"/>
        <v>tRNA-iMet-CAT-1-3|42</v>
      </c>
      <c r="B2282" s="4" t="s">
        <v>68</v>
      </c>
      <c r="C2282" s="4" t="s">
        <v>160</v>
      </c>
      <c r="D2282" s="4">
        <v>44</v>
      </c>
      <c r="E2282" s="20" t="s">
        <v>109</v>
      </c>
      <c r="F2282" s="21" t="s">
        <v>144</v>
      </c>
    </row>
    <row r="2283" spans="1:6">
      <c r="A2283" s="4" t="str">
        <f t="shared" si="35"/>
        <v>tRNA-iMet-CAT-1-3|43</v>
      </c>
      <c r="B2283" s="4" t="s">
        <v>68</v>
      </c>
      <c r="C2283" s="4" t="s">
        <v>161</v>
      </c>
      <c r="D2283" s="4">
        <v>45</v>
      </c>
      <c r="E2283" s="20" t="s">
        <v>116</v>
      </c>
      <c r="F2283" s="21" t="s">
        <v>144</v>
      </c>
    </row>
    <row r="2284" spans="1:6">
      <c r="A2284" s="4" t="str">
        <f t="shared" si="35"/>
        <v>tRNA-iMet-CAT-1-3|44</v>
      </c>
      <c r="B2284" s="4" t="s">
        <v>68</v>
      </c>
      <c r="C2284" s="4" t="s">
        <v>162</v>
      </c>
      <c r="D2284" s="4">
        <v>46</v>
      </c>
      <c r="E2284" s="18" t="s">
        <v>122</v>
      </c>
      <c r="F2284" s="19" t="s">
        <v>163</v>
      </c>
    </row>
    <row r="2285" spans="1:6">
      <c r="A2285" s="4" t="str">
        <f t="shared" si="35"/>
        <v>tRNA-iMet-CAT-1-3|45</v>
      </c>
      <c r="B2285" s="4" t="s">
        <v>68</v>
      </c>
      <c r="C2285" s="4" t="s">
        <v>164</v>
      </c>
      <c r="D2285" s="4">
        <v>47</v>
      </c>
      <c r="E2285" s="18" t="s">
        <v>109</v>
      </c>
      <c r="F2285" s="19" t="s">
        <v>163</v>
      </c>
    </row>
    <row r="2286" spans="1:6">
      <c r="A2286" s="4" t="str">
        <f t="shared" si="35"/>
        <v>tRNA-iMet-CAT-1-3|46</v>
      </c>
      <c r="B2286" s="4" t="s">
        <v>68</v>
      </c>
      <c r="C2286" s="4" t="s">
        <v>165</v>
      </c>
      <c r="D2286" s="4">
        <v>48</v>
      </c>
      <c r="E2286" s="18" t="s">
        <v>122</v>
      </c>
      <c r="F2286" s="19" t="s">
        <v>163</v>
      </c>
    </row>
    <row r="2287" spans="1:6">
      <c r="A2287" s="4" t="str">
        <f t="shared" si="35"/>
        <v>tRNA-iMet-CAT-1-3|47</v>
      </c>
      <c r="B2287" s="4" t="s">
        <v>68</v>
      </c>
      <c r="C2287" s="4" t="s">
        <v>166</v>
      </c>
      <c r="D2287" s="4">
        <v>49</v>
      </c>
      <c r="E2287" s="18" t="s">
        <v>114</v>
      </c>
      <c r="F2287" s="19" t="s">
        <v>163</v>
      </c>
    </row>
    <row r="2288" spans="1:6">
      <c r="A2288" s="4" t="str">
        <f t="shared" si="35"/>
        <v>tRNA-iMet-CAT-1-3|48</v>
      </c>
      <c r="B2288" s="4" t="s">
        <v>68</v>
      </c>
      <c r="C2288" s="4" t="s">
        <v>167</v>
      </c>
      <c r="D2288" s="4">
        <v>50</v>
      </c>
      <c r="E2288" s="18" t="s">
        <v>114</v>
      </c>
      <c r="F2288" s="19" t="s">
        <v>163</v>
      </c>
    </row>
    <row r="2289" spans="1:6">
      <c r="A2289" s="4" t="str">
        <f t="shared" si="35"/>
        <v>tRNA-iMet-CAT-1-3|49</v>
      </c>
      <c r="B2289" s="4" t="s">
        <v>68</v>
      </c>
      <c r="C2289" s="4" t="s">
        <v>168</v>
      </c>
      <c r="D2289" s="4">
        <v>51</v>
      </c>
      <c r="E2289" s="22" t="s">
        <v>109</v>
      </c>
      <c r="F2289" s="10" t="s">
        <v>169</v>
      </c>
    </row>
    <row r="2290" spans="1:6">
      <c r="A2290" s="4" t="str">
        <f t="shared" si="35"/>
        <v>tRNA-iMet-CAT-1-3|50</v>
      </c>
      <c r="B2290" s="4" t="s">
        <v>68</v>
      </c>
      <c r="C2290" s="4" t="s">
        <v>170</v>
      </c>
      <c r="D2290" s="4">
        <v>52</v>
      </c>
      <c r="E2290" s="22" t="s">
        <v>122</v>
      </c>
      <c r="F2290" s="10" t="s">
        <v>169</v>
      </c>
    </row>
    <row r="2291" spans="1:6">
      <c r="A2291" s="4" t="str">
        <f t="shared" si="35"/>
        <v>tRNA-iMet-CAT-1-3|51</v>
      </c>
      <c r="B2291" s="4" t="s">
        <v>68</v>
      </c>
      <c r="C2291" s="4" t="s">
        <v>171</v>
      </c>
      <c r="D2291" s="4">
        <v>53</v>
      </c>
      <c r="E2291" s="22" t="s">
        <v>116</v>
      </c>
      <c r="F2291" s="10" t="s">
        <v>169</v>
      </c>
    </row>
    <row r="2292" spans="1:6">
      <c r="A2292" s="4" t="str">
        <f t="shared" si="35"/>
        <v>tRNA-iMet-CAT-1-3|52</v>
      </c>
      <c r="B2292" s="4" t="s">
        <v>68</v>
      </c>
      <c r="C2292" s="4" t="s">
        <v>172</v>
      </c>
      <c r="D2292" s="4">
        <v>54</v>
      </c>
      <c r="E2292" s="22" t="s">
        <v>109</v>
      </c>
      <c r="F2292" s="10" t="s">
        <v>169</v>
      </c>
    </row>
    <row r="2293" spans="1:6">
      <c r="A2293" s="4" t="str">
        <f t="shared" si="35"/>
        <v>tRNA-iMet-CAT-1-3|53</v>
      </c>
      <c r="B2293" s="4" t="s">
        <v>68</v>
      </c>
      <c r="C2293" s="4" t="s">
        <v>173</v>
      </c>
      <c r="D2293" s="4">
        <v>55</v>
      </c>
      <c r="E2293" s="22" t="s">
        <v>109</v>
      </c>
      <c r="F2293" s="10" t="s">
        <v>169</v>
      </c>
    </row>
    <row r="2294" spans="1:6">
      <c r="A2294" s="4" t="str">
        <f t="shared" si="35"/>
        <v>tRNA-iMet-CAT-1-3|54</v>
      </c>
      <c r="B2294" s="4" t="s">
        <v>68</v>
      </c>
      <c r="C2294" s="4" t="s">
        <v>174</v>
      </c>
      <c r="D2294" s="4">
        <v>56</v>
      </c>
      <c r="E2294" s="18" t="s">
        <v>116</v>
      </c>
      <c r="F2294" s="19" t="s">
        <v>175</v>
      </c>
    </row>
    <row r="2295" spans="1:6">
      <c r="A2295" s="4" t="str">
        <f t="shared" si="35"/>
        <v>tRNA-iMet-CAT-1-3|55</v>
      </c>
      <c r="B2295" s="4" t="s">
        <v>68</v>
      </c>
      <c r="C2295" s="4" t="s">
        <v>176</v>
      </c>
      <c r="D2295" s="4">
        <v>57</v>
      </c>
      <c r="E2295" s="18" t="s">
        <v>116</v>
      </c>
      <c r="F2295" s="19" t="s">
        <v>175</v>
      </c>
    </row>
    <row r="2296" spans="1:6">
      <c r="A2296" s="4" t="str">
        <f t="shared" si="35"/>
        <v>tRNA-iMet-CAT-1-3|56</v>
      </c>
      <c r="B2296" s="4" t="s">
        <v>68</v>
      </c>
      <c r="C2296" s="4" t="s">
        <v>177</v>
      </c>
      <c r="D2296" s="4">
        <v>58</v>
      </c>
      <c r="E2296" s="18" t="s">
        <v>114</v>
      </c>
      <c r="F2296" s="19" t="s">
        <v>175</v>
      </c>
    </row>
    <row r="2297" spans="1:6">
      <c r="A2297" s="4" t="str">
        <f t="shared" si="35"/>
        <v>tRNA-iMet-CAT-1-3|57</v>
      </c>
      <c r="B2297" s="4" t="s">
        <v>68</v>
      </c>
      <c r="C2297" s="4" t="s">
        <v>178</v>
      </c>
      <c r="D2297" s="4">
        <v>59</v>
      </c>
      <c r="E2297" s="18" t="s">
        <v>109</v>
      </c>
      <c r="F2297" s="19" t="s">
        <v>175</v>
      </c>
    </row>
    <row r="2298" spans="1:6">
      <c r="A2298" s="4" t="str">
        <f t="shared" si="35"/>
        <v>tRNA-iMet-CAT-1-3|58</v>
      </c>
      <c r="B2298" s="4" t="s">
        <v>68</v>
      </c>
      <c r="C2298" s="4" t="s">
        <v>179</v>
      </c>
      <c r="D2298" s="4">
        <v>60</v>
      </c>
      <c r="E2298" s="18" t="s">
        <v>122</v>
      </c>
      <c r="F2298" s="19" t="s">
        <v>175</v>
      </c>
    </row>
    <row r="2299" spans="1:6">
      <c r="A2299" s="4" t="str">
        <f t="shared" si="35"/>
        <v>tRNA-iMet-CAT-1-3|59</v>
      </c>
      <c r="B2299" s="4" t="s">
        <v>68</v>
      </c>
      <c r="C2299" s="4" t="s">
        <v>180</v>
      </c>
      <c r="D2299" s="4">
        <v>61</v>
      </c>
      <c r="E2299" s="18" t="s">
        <v>122</v>
      </c>
      <c r="F2299" s="19" t="s">
        <v>175</v>
      </c>
    </row>
    <row r="2300" spans="1:6">
      <c r="A2300" s="4" t="str">
        <f t="shared" si="35"/>
        <v>tRNA-iMet-CAT-1-3|60</v>
      </c>
      <c r="B2300" s="4" t="s">
        <v>68</v>
      </c>
      <c r="C2300" s="4" t="s">
        <v>181</v>
      </c>
      <c r="D2300" s="4">
        <v>62</v>
      </c>
      <c r="E2300" s="18" t="s">
        <v>116</v>
      </c>
      <c r="F2300" s="19" t="s">
        <v>175</v>
      </c>
    </row>
    <row r="2301" spans="1:6">
      <c r="A2301" s="4" t="str">
        <f t="shared" si="35"/>
        <v>tRNA-iMet-CAT-1-3|61</v>
      </c>
      <c r="B2301" s="4" t="s">
        <v>68</v>
      </c>
      <c r="C2301" s="4" t="s">
        <v>182</v>
      </c>
      <c r="D2301" s="4">
        <v>63</v>
      </c>
      <c r="E2301" s="22" t="s">
        <v>114</v>
      </c>
      <c r="F2301" s="10" t="s">
        <v>169</v>
      </c>
    </row>
    <row r="2302" spans="1:6">
      <c r="A2302" s="4" t="str">
        <f t="shared" si="35"/>
        <v>tRNA-iMet-CAT-1-3|62</v>
      </c>
      <c r="B2302" s="4" t="s">
        <v>68</v>
      </c>
      <c r="C2302" s="4" t="s">
        <v>183</v>
      </c>
      <c r="D2302" s="4">
        <v>64</v>
      </c>
      <c r="E2302" s="22" t="s">
        <v>114</v>
      </c>
      <c r="F2302" s="10" t="s">
        <v>169</v>
      </c>
    </row>
    <row r="2303" spans="1:6">
      <c r="A2303" s="4" t="str">
        <f t="shared" si="35"/>
        <v>tRNA-iMet-CAT-1-3|63</v>
      </c>
      <c r="B2303" s="4" t="s">
        <v>68</v>
      </c>
      <c r="C2303" s="4" t="s">
        <v>184</v>
      </c>
      <c r="D2303" s="4">
        <v>65</v>
      </c>
      <c r="E2303" s="22" t="s">
        <v>122</v>
      </c>
      <c r="F2303" s="10" t="s">
        <v>169</v>
      </c>
    </row>
    <row r="2304" spans="1:6">
      <c r="A2304" s="4" t="str">
        <f t="shared" si="35"/>
        <v>tRNA-iMet-CAT-1-3|64</v>
      </c>
      <c r="B2304" s="4" t="s">
        <v>68</v>
      </c>
      <c r="C2304" s="4" t="s">
        <v>185</v>
      </c>
      <c r="D2304" s="4">
        <v>66</v>
      </c>
      <c r="E2304" s="22" t="s">
        <v>116</v>
      </c>
      <c r="F2304" s="10" t="s">
        <v>169</v>
      </c>
    </row>
    <row r="2305" spans="1:6">
      <c r="A2305" s="4" t="str">
        <f t="shared" si="35"/>
        <v>tRNA-iMet-CAT-1-3|65</v>
      </c>
      <c r="B2305" s="4" t="s">
        <v>68</v>
      </c>
      <c r="C2305" s="4" t="s">
        <v>186</v>
      </c>
      <c r="D2305" s="4">
        <v>67</v>
      </c>
      <c r="E2305" s="22" t="s">
        <v>114</v>
      </c>
      <c r="F2305" s="10" t="s">
        <v>169</v>
      </c>
    </row>
    <row r="2306" spans="1:6">
      <c r="A2306" s="4" t="str">
        <f t="shared" ref="A2306:A2369" si="36">B2306&amp;"|"&amp;C2306</f>
        <v>tRNA-iMet-CAT-1-3|66</v>
      </c>
      <c r="B2306" s="4" t="s">
        <v>68</v>
      </c>
      <c r="C2306" s="4" t="s">
        <v>187</v>
      </c>
      <c r="D2306" s="4">
        <v>68</v>
      </c>
      <c r="E2306" s="16" t="s">
        <v>114</v>
      </c>
      <c r="F2306" s="17" t="s">
        <v>110</v>
      </c>
    </row>
    <row r="2307" spans="1:6">
      <c r="A2307" s="4" t="str">
        <f t="shared" si="36"/>
        <v>tRNA-iMet-CAT-1-3|67</v>
      </c>
      <c r="B2307" s="4" t="s">
        <v>68</v>
      </c>
      <c r="C2307" s="4" t="s">
        <v>188</v>
      </c>
      <c r="D2307" s="4">
        <v>69</v>
      </c>
      <c r="E2307" s="16" t="s">
        <v>114</v>
      </c>
      <c r="F2307" s="17" t="s">
        <v>110</v>
      </c>
    </row>
    <row r="2308" spans="1:6">
      <c r="A2308" s="4" t="str">
        <f t="shared" si="36"/>
        <v>tRNA-iMet-CAT-1-3|68</v>
      </c>
      <c r="B2308" s="4" t="s">
        <v>68</v>
      </c>
      <c r="C2308" s="4" t="s">
        <v>189</v>
      </c>
      <c r="D2308" s="4">
        <v>70</v>
      </c>
      <c r="E2308" s="16" t="s">
        <v>114</v>
      </c>
      <c r="F2308" s="17" t="s">
        <v>110</v>
      </c>
    </row>
    <row r="2309" spans="1:6">
      <c r="A2309" s="4" t="str">
        <f t="shared" si="36"/>
        <v>tRNA-iMet-CAT-1-3|69</v>
      </c>
      <c r="B2309" s="4" t="s">
        <v>68</v>
      </c>
      <c r="C2309" s="4" t="s">
        <v>190</v>
      </c>
      <c r="D2309" s="4">
        <v>71</v>
      </c>
      <c r="E2309" s="16" t="s">
        <v>114</v>
      </c>
      <c r="F2309" s="17" t="s">
        <v>110</v>
      </c>
    </row>
    <row r="2310" spans="1:6">
      <c r="A2310" s="4" t="str">
        <f t="shared" si="36"/>
        <v>tRNA-iMet-CAT-1-3|70</v>
      </c>
      <c r="B2310" s="4" t="s">
        <v>68</v>
      </c>
      <c r="C2310" s="4" t="s">
        <v>191</v>
      </c>
      <c r="D2310" s="4">
        <v>72</v>
      </c>
      <c r="E2310" s="16" t="s">
        <v>109</v>
      </c>
      <c r="F2310" s="17" t="s">
        <v>110</v>
      </c>
    </row>
    <row r="2311" spans="1:6">
      <c r="A2311" s="4" t="str">
        <f t="shared" si="36"/>
        <v>tRNA-iMet-CAT-1-3|71</v>
      </c>
      <c r="B2311" s="4" t="s">
        <v>68</v>
      </c>
      <c r="C2311" s="4" t="s">
        <v>192</v>
      </c>
      <c r="D2311" s="4">
        <v>73</v>
      </c>
      <c r="E2311" s="16" t="s">
        <v>114</v>
      </c>
      <c r="F2311" s="17" t="s">
        <v>110</v>
      </c>
    </row>
    <row r="2312" spans="1:6">
      <c r="A2312" s="4" t="str">
        <f t="shared" si="36"/>
        <v>tRNA-iMet-CAT-1-3|72</v>
      </c>
      <c r="B2312" s="4" t="s">
        <v>68</v>
      </c>
      <c r="C2312" s="4" t="s">
        <v>193</v>
      </c>
      <c r="D2312" s="4">
        <v>74</v>
      </c>
      <c r="E2312" s="16" t="s">
        <v>116</v>
      </c>
      <c r="F2312" s="17" t="s">
        <v>110</v>
      </c>
    </row>
    <row r="2313" spans="1:6">
      <c r="A2313" s="4" t="str">
        <f t="shared" si="36"/>
        <v>tRNA-Leu-CAA-1-1|1</v>
      </c>
      <c r="B2313" s="4" t="s">
        <v>69</v>
      </c>
      <c r="C2313" s="4" t="s">
        <v>108</v>
      </c>
      <c r="D2313" s="4">
        <v>1</v>
      </c>
      <c r="E2313" s="16" t="s">
        <v>109</v>
      </c>
      <c r="F2313" s="17" t="s">
        <v>110</v>
      </c>
    </row>
    <row r="2314" spans="1:6">
      <c r="A2314" s="4" t="str">
        <f t="shared" si="36"/>
        <v>tRNA-Leu-CAA-1-1|2</v>
      </c>
      <c r="B2314" s="4" t="s">
        <v>69</v>
      </c>
      <c r="C2314" s="4" t="s">
        <v>111</v>
      </c>
      <c r="D2314" s="4">
        <v>2</v>
      </c>
      <c r="E2314" s="16" t="s">
        <v>114</v>
      </c>
      <c r="F2314" s="17" t="s">
        <v>110</v>
      </c>
    </row>
    <row r="2315" spans="1:6">
      <c r="A2315" s="4" t="str">
        <f t="shared" si="36"/>
        <v>tRNA-Leu-CAA-1-1|3</v>
      </c>
      <c r="B2315" s="4" t="s">
        <v>69</v>
      </c>
      <c r="C2315" s="4" t="s">
        <v>112</v>
      </c>
      <c r="D2315" s="4">
        <v>3</v>
      </c>
      <c r="E2315" s="16" t="s">
        <v>109</v>
      </c>
      <c r="F2315" s="17" t="s">
        <v>110</v>
      </c>
    </row>
    <row r="2316" spans="1:6">
      <c r="A2316" s="4" t="str">
        <f t="shared" si="36"/>
        <v>tRNA-Leu-CAA-1-1|4</v>
      </c>
      <c r="B2316" s="4" t="s">
        <v>69</v>
      </c>
      <c r="C2316" s="4" t="s">
        <v>113</v>
      </c>
      <c r="D2316" s="4">
        <v>4</v>
      </c>
      <c r="E2316" s="16" t="s">
        <v>109</v>
      </c>
      <c r="F2316" s="17" t="s">
        <v>110</v>
      </c>
    </row>
    <row r="2317" spans="1:6">
      <c r="A2317" s="4" t="str">
        <f t="shared" si="36"/>
        <v>tRNA-Leu-CAA-1-1|5</v>
      </c>
      <c r="B2317" s="4" t="s">
        <v>69</v>
      </c>
      <c r="C2317" s="4" t="s">
        <v>115</v>
      </c>
      <c r="D2317" s="4">
        <v>5</v>
      </c>
      <c r="E2317" s="16" t="s">
        <v>109</v>
      </c>
      <c r="F2317" s="17" t="s">
        <v>110</v>
      </c>
    </row>
    <row r="2318" spans="1:6">
      <c r="A2318" s="4" t="str">
        <f t="shared" si="36"/>
        <v>tRNA-Leu-CAA-1-1|6</v>
      </c>
      <c r="B2318" s="4" t="s">
        <v>69</v>
      </c>
      <c r="C2318" s="4" t="s">
        <v>117</v>
      </c>
      <c r="D2318" s="4">
        <v>6</v>
      </c>
      <c r="E2318" s="16" t="s">
        <v>122</v>
      </c>
      <c r="F2318" s="17" t="s">
        <v>110</v>
      </c>
    </row>
    <row r="2319" spans="1:6">
      <c r="A2319" s="4" t="str">
        <f t="shared" si="36"/>
        <v>tRNA-Leu-CAA-1-1|7</v>
      </c>
      <c r="B2319" s="4" t="s">
        <v>69</v>
      </c>
      <c r="C2319" s="4" t="s">
        <v>118</v>
      </c>
      <c r="D2319" s="4">
        <v>7</v>
      </c>
      <c r="E2319" s="16" t="s">
        <v>109</v>
      </c>
      <c r="F2319" s="17" t="s">
        <v>110</v>
      </c>
    </row>
    <row r="2320" spans="1:6">
      <c r="A2320" s="4" t="str">
        <f t="shared" si="36"/>
        <v>tRNA-Leu-CAA-1-1|8</v>
      </c>
      <c r="B2320" s="4" t="s">
        <v>69</v>
      </c>
      <c r="C2320" s="4" t="s">
        <v>119</v>
      </c>
      <c r="D2320" s="4">
        <v>8</v>
      </c>
      <c r="E2320" s="3" t="s">
        <v>116</v>
      </c>
      <c r="F2320" s="4" t="s">
        <v>120</v>
      </c>
    </row>
    <row r="2321" spans="1:6">
      <c r="A2321" s="4" t="str">
        <f t="shared" si="36"/>
        <v>tRNA-Leu-CAA-1-1|9</v>
      </c>
      <c r="B2321" s="4" t="s">
        <v>69</v>
      </c>
      <c r="C2321" s="4" t="s">
        <v>121</v>
      </c>
      <c r="D2321" s="4">
        <v>9</v>
      </c>
      <c r="E2321" s="3" t="s">
        <v>122</v>
      </c>
      <c r="F2321" s="4" t="s">
        <v>123</v>
      </c>
    </row>
    <row r="2322" spans="1:6">
      <c r="A2322" s="4" t="str">
        <f t="shared" si="36"/>
        <v>tRNA-Leu-CAA-1-1|10</v>
      </c>
      <c r="B2322" s="4" t="s">
        <v>69</v>
      </c>
      <c r="C2322" s="4" t="s">
        <v>124</v>
      </c>
      <c r="D2322" s="4">
        <v>10</v>
      </c>
      <c r="E2322" s="8" t="s">
        <v>122</v>
      </c>
      <c r="F2322" s="7" t="s">
        <v>125</v>
      </c>
    </row>
    <row r="2323" spans="1:6">
      <c r="A2323" s="4" t="str">
        <f t="shared" si="36"/>
        <v>tRNA-Leu-CAA-1-1|11</v>
      </c>
      <c r="B2323" s="4" t="s">
        <v>69</v>
      </c>
      <c r="C2323" s="4" t="s">
        <v>126</v>
      </c>
      <c r="D2323" s="4">
        <v>11</v>
      </c>
      <c r="E2323" s="8" t="s">
        <v>114</v>
      </c>
      <c r="F2323" s="7" t="s">
        <v>125</v>
      </c>
    </row>
    <row r="2324" spans="1:6">
      <c r="A2324" s="4" t="str">
        <f t="shared" si="36"/>
        <v>tRNA-Leu-CAA-1-1|12</v>
      </c>
      <c r="B2324" s="4" t="s">
        <v>69</v>
      </c>
      <c r="C2324" s="4" t="s">
        <v>127</v>
      </c>
      <c r="D2324" s="4">
        <v>12</v>
      </c>
      <c r="E2324" s="8" t="s">
        <v>114</v>
      </c>
      <c r="F2324" s="7" t="s">
        <v>125</v>
      </c>
    </row>
    <row r="2325" spans="1:6">
      <c r="A2325" s="4" t="str">
        <f t="shared" si="36"/>
        <v>tRNA-Leu-CAA-1-1|13</v>
      </c>
      <c r="B2325" s="4" t="s">
        <v>69</v>
      </c>
      <c r="C2325" s="4" t="s">
        <v>128</v>
      </c>
      <c r="D2325" s="4">
        <v>13</v>
      </c>
      <c r="E2325" s="8" t="s">
        <v>122</v>
      </c>
      <c r="F2325" s="7" t="s">
        <v>125</v>
      </c>
    </row>
    <row r="2326" spans="1:6">
      <c r="A2326" s="4" t="str">
        <f t="shared" si="36"/>
        <v>tRNA-Leu-CAA-1-1|14</v>
      </c>
      <c r="B2326" s="4" t="s">
        <v>69</v>
      </c>
      <c r="C2326" s="4" t="s">
        <v>129</v>
      </c>
      <c r="D2326" s="4">
        <v>14</v>
      </c>
      <c r="E2326" s="18" t="s">
        <v>122</v>
      </c>
      <c r="F2326" s="19" t="s">
        <v>130</v>
      </c>
    </row>
    <row r="2327" spans="1:6">
      <c r="A2327" s="4" t="str">
        <f t="shared" si="36"/>
        <v>tRNA-Leu-CAA-1-1|15</v>
      </c>
      <c r="B2327" s="4" t="s">
        <v>69</v>
      </c>
      <c r="C2327" s="4" t="s">
        <v>131</v>
      </c>
      <c r="D2327" s="4">
        <v>15</v>
      </c>
      <c r="E2327" s="18" t="s">
        <v>109</v>
      </c>
      <c r="F2327" s="19" t="s">
        <v>130</v>
      </c>
    </row>
    <row r="2328" spans="1:6">
      <c r="A2328" s="4" t="str">
        <f t="shared" si="36"/>
        <v>tRNA-Leu-CAA-1-1|16</v>
      </c>
      <c r="B2328" s="4" t="s">
        <v>69</v>
      </c>
      <c r="C2328" s="4" t="s">
        <v>194</v>
      </c>
      <c r="D2328" s="4">
        <v>16</v>
      </c>
      <c r="E2328" s="18" t="s">
        <v>114</v>
      </c>
      <c r="F2328" s="19" t="s">
        <v>130</v>
      </c>
    </row>
    <row r="2329" spans="1:6">
      <c r="A2329" s="4" t="str">
        <f t="shared" si="36"/>
        <v>tRNA-Leu-CAA-1-1|18</v>
      </c>
      <c r="B2329" s="4" t="s">
        <v>69</v>
      </c>
      <c r="C2329" s="4" t="s">
        <v>132</v>
      </c>
      <c r="D2329" s="4">
        <v>17</v>
      </c>
      <c r="E2329" s="18" t="s">
        <v>109</v>
      </c>
      <c r="F2329" s="19" t="s">
        <v>130</v>
      </c>
    </row>
    <row r="2330" spans="1:6">
      <c r="A2330" s="4" t="str">
        <f t="shared" si="36"/>
        <v>tRNA-Leu-CAA-1-1|19</v>
      </c>
      <c r="B2330" s="4" t="s">
        <v>69</v>
      </c>
      <c r="C2330" s="4" t="s">
        <v>133</v>
      </c>
      <c r="D2330" s="4">
        <v>18</v>
      </c>
      <c r="E2330" s="18" t="s">
        <v>109</v>
      </c>
      <c r="F2330" s="19" t="s">
        <v>130</v>
      </c>
    </row>
    <row r="2331" spans="1:6">
      <c r="A2331" s="4" t="str">
        <f t="shared" si="36"/>
        <v>tRNA-Leu-CAA-1-1|20</v>
      </c>
      <c r="B2331" s="4" t="s">
        <v>69</v>
      </c>
      <c r="C2331" s="4" t="s">
        <v>134</v>
      </c>
      <c r="D2331" s="4">
        <v>19</v>
      </c>
      <c r="E2331" s="18" t="s">
        <v>116</v>
      </c>
      <c r="F2331" s="19" t="s">
        <v>130</v>
      </c>
    </row>
    <row r="2332" spans="1:6">
      <c r="A2332" s="4" t="str">
        <f t="shared" si="36"/>
        <v>tRNA-Leu-CAA-1-1|20a</v>
      </c>
      <c r="B2332" s="4" t="s">
        <v>69</v>
      </c>
      <c r="C2332" s="4" t="s">
        <v>135</v>
      </c>
      <c r="D2332" s="4">
        <v>20</v>
      </c>
      <c r="E2332" s="18" t="s">
        <v>114</v>
      </c>
      <c r="F2332" s="19" t="s">
        <v>130</v>
      </c>
    </row>
    <row r="2333" spans="1:6">
      <c r="A2333" s="4" t="str">
        <f t="shared" si="36"/>
        <v>tRNA-Leu-CAA-1-1|20b</v>
      </c>
      <c r="B2333" s="4" t="s">
        <v>69</v>
      </c>
      <c r="C2333" s="4" t="s">
        <v>197</v>
      </c>
      <c r="D2333" s="4">
        <v>21</v>
      </c>
      <c r="E2333" s="18" t="s">
        <v>122</v>
      </c>
      <c r="F2333" s="19" t="s">
        <v>130</v>
      </c>
    </row>
    <row r="2334" spans="1:6">
      <c r="A2334" s="4" t="str">
        <f t="shared" si="36"/>
        <v>tRNA-Leu-CAA-1-1|21</v>
      </c>
      <c r="B2334" s="4" t="s">
        <v>69</v>
      </c>
      <c r="C2334" s="4" t="s">
        <v>136</v>
      </c>
      <c r="D2334" s="4">
        <v>22</v>
      </c>
      <c r="E2334" s="18" t="s">
        <v>122</v>
      </c>
      <c r="F2334" s="19" t="s">
        <v>130</v>
      </c>
    </row>
    <row r="2335" spans="1:6">
      <c r="A2335" s="4" t="str">
        <f t="shared" si="36"/>
        <v>tRNA-Leu-CAA-1-1|22</v>
      </c>
      <c r="B2335" s="4" t="s">
        <v>69</v>
      </c>
      <c r="C2335" s="4" t="s">
        <v>137</v>
      </c>
      <c r="D2335" s="4">
        <v>23</v>
      </c>
      <c r="E2335" s="8" t="s">
        <v>114</v>
      </c>
      <c r="F2335" s="7" t="s">
        <v>125</v>
      </c>
    </row>
    <row r="2336" spans="1:6">
      <c r="A2336" s="4" t="str">
        <f t="shared" si="36"/>
        <v>tRNA-Leu-CAA-1-1|23</v>
      </c>
      <c r="B2336" s="4" t="s">
        <v>69</v>
      </c>
      <c r="C2336" s="4" t="s">
        <v>138</v>
      </c>
      <c r="D2336" s="4">
        <v>24</v>
      </c>
      <c r="E2336" s="8" t="s">
        <v>109</v>
      </c>
      <c r="F2336" s="7" t="s">
        <v>125</v>
      </c>
    </row>
    <row r="2337" spans="1:6">
      <c r="A2337" s="4" t="str">
        <f t="shared" si="36"/>
        <v>tRNA-Leu-CAA-1-1|24</v>
      </c>
      <c r="B2337" s="4" t="s">
        <v>69</v>
      </c>
      <c r="C2337" s="4" t="s">
        <v>139</v>
      </c>
      <c r="D2337" s="4">
        <v>25</v>
      </c>
      <c r="E2337" s="8" t="s">
        <v>109</v>
      </c>
      <c r="F2337" s="7" t="s">
        <v>125</v>
      </c>
    </row>
    <row r="2338" spans="1:6">
      <c r="A2338" s="4" t="str">
        <f t="shared" si="36"/>
        <v>tRNA-Leu-CAA-1-1|25</v>
      </c>
      <c r="B2338" s="4" t="s">
        <v>69</v>
      </c>
      <c r="C2338" s="4" t="s">
        <v>140</v>
      </c>
      <c r="D2338" s="4">
        <v>26</v>
      </c>
      <c r="E2338" s="8" t="s">
        <v>116</v>
      </c>
      <c r="F2338" s="7" t="s">
        <v>125</v>
      </c>
    </row>
    <row r="2339" spans="1:6">
      <c r="A2339" s="4" t="str">
        <f t="shared" si="36"/>
        <v>tRNA-Leu-CAA-1-1|26</v>
      </c>
      <c r="B2339" s="4" t="s">
        <v>69</v>
      </c>
      <c r="C2339" s="4" t="s">
        <v>141</v>
      </c>
      <c r="D2339" s="4">
        <v>27</v>
      </c>
      <c r="E2339" s="3" t="s">
        <v>109</v>
      </c>
      <c r="F2339" s="4" t="s">
        <v>142</v>
      </c>
    </row>
    <row r="2340" spans="1:6">
      <c r="A2340" s="4" t="str">
        <f t="shared" si="36"/>
        <v>tRNA-Leu-CAA-1-1|27</v>
      </c>
      <c r="B2340" s="4" t="s">
        <v>69</v>
      </c>
      <c r="C2340" s="4" t="s">
        <v>143</v>
      </c>
      <c r="D2340" s="4">
        <v>28</v>
      </c>
      <c r="E2340" s="20" t="s">
        <v>109</v>
      </c>
      <c r="F2340" s="21" t="s">
        <v>144</v>
      </c>
    </row>
    <row r="2341" spans="1:6">
      <c r="A2341" s="4" t="str">
        <f t="shared" si="36"/>
        <v>tRNA-Leu-CAA-1-1|28</v>
      </c>
      <c r="B2341" s="4" t="s">
        <v>69</v>
      </c>
      <c r="C2341" s="4" t="s">
        <v>145</v>
      </c>
      <c r="D2341" s="4">
        <v>29</v>
      </c>
      <c r="E2341" s="20" t="s">
        <v>114</v>
      </c>
      <c r="F2341" s="21" t="s">
        <v>144</v>
      </c>
    </row>
    <row r="2342" spans="1:6">
      <c r="A2342" s="4" t="str">
        <f t="shared" si="36"/>
        <v>tRNA-Leu-CAA-1-1|29</v>
      </c>
      <c r="B2342" s="4" t="s">
        <v>69</v>
      </c>
      <c r="C2342" s="4" t="s">
        <v>146</v>
      </c>
      <c r="D2342" s="4">
        <v>30</v>
      </c>
      <c r="E2342" s="20" t="s">
        <v>122</v>
      </c>
      <c r="F2342" s="21" t="s">
        <v>144</v>
      </c>
    </row>
    <row r="2343" spans="1:6">
      <c r="A2343" s="4" t="str">
        <f t="shared" si="36"/>
        <v>tRNA-Leu-CAA-1-1|30</v>
      </c>
      <c r="B2343" s="4" t="s">
        <v>69</v>
      </c>
      <c r="C2343" s="4" t="s">
        <v>147</v>
      </c>
      <c r="D2343" s="4">
        <v>31</v>
      </c>
      <c r="E2343" s="20" t="s">
        <v>109</v>
      </c>
      <c r="F2343" s="21" t="s">
        <v>144</v>
      </c>
    </row>
    <row r="2344" spans="1:6">
      <c r="A2344" s="4" t="str">
        <f t="shared" si="36"/>
        <v>tRNA-Leu-CAA-1-1|31</v>
      </c>
      <c r="B2344" s="4" t="s">
        <v>69</v>
      </c>
      <c r="C2344" s="4" t="s">
        <v>148</v>
      </c>
      <c r="D2344" s="4">
        <v>32</v>
      </c>
      <c r="E2344" s="20" t="s">
        <v>122</v>
      </c>
      <c r="F2344" s="21" t="s">
        <v>144</v>
      </c>
    </row>
    <row r="2345" spans="1:6">
      <c r="A2345" s="4" t="str">
        <f t="shared" si="36"/>
        <v>tRNA-Leu-CAA-1-1|32</v>
      </c>
      <c r="B2345" s="4" t="s">
        <v>69</v>
      </c>
      <c r="C2345" s="4" t="s">
        <v>149</v>
      </c>
      <c r="D2345" s="4">
        <v>33</v>
      </c>
      <c r="E2345" s="18" t="s">
        <v>114</v>
      </c>
      <c r="F2345" s="19" t="s">
        <v>150</v>
      </c>
    </row>
    <row r="2346" spans="1:6">
      <c r="A2346" s="4" t="str">
        <f t="shared" si="36"/>
        <v>tRNA-Leu-CAA-1-1|33</v>
      </c>
      <c r="B2346" s="4" t="s">
        <v>69</v>
      </c>
      <c r="C2346" s="4" t="s">
        <v>151</v>
      </c>
      <c r="D2346" s="4">
        <v>34</v>
      </c>
      <c r="E2346" s="18" t="s">
        <v>116</v>
      </c>
      <c r="F2346" s="19" t="s">
        <v>150</v>
      </c>
    </row>
    <row r="2347" spans="1:6">
      <c r="A2347" s="4" t="str">
        <f t="shared" si="36"/>
        <v>tRNA-Leu-CAA-1-1|34</v>
      </c>
      <c r="B2347" s="4" t="s">
        <v>69</v>
      </c>
      <c r="C2347" s="4" t="s">
        <v>152</v>
      </c>
      <c r="D2347" s="4">
        <v>35</v>
      </c>
      <c r="E2347" s="18" t="s">
        <v>114</v>
      </c>
      <c r="F2347" s="19" t="s">
        <v>150</v>
      </c>
    </row>
    <row r="2348" spans="1:6">
      <c r="A2348" s="4" t="str">
        <f t="shared" si="36"/>
        <v>tRNA-Leu-CAA-1-1|35</v>
      </c>
      <c r="B2348" s="4" t="s">
        <v>69</v>
      </c>
      <c r="C2348" s="4" t="s">
        <v>153</v>
      </c>
      <c r="D2348" s="4">
        <v>36</v>
      </c>
      <c r="E2348" s="18" t="s">
        <v>122</v>
      </c>
      <c r="F2348" s="19" t="s">
        <v>150</v>
      </c>
    </row>
    <row r="2349" spans="1:6">
      <c r="A2349" s="4" t="str">
        <f t="shared" si="36"/>
        <v>tRNA-Leu-CAA-1-1|36</v>
      </c>
      <c r="B2349" s="4" t="s">
        <v>69</v>
      </c>
      <c r="C2349" s="4" t="s">
        <v>154</v>
      </c>
      <c r="D2349" s="4">
        <v>37</v>
      </c>
      <c r="E2349" s="18" t="s">
        <v>122</v>
      </c>
      <c r="F2349" s="19" t="s">
        <v>150</v>
      </c>
    </row>
    <row r="2350" spans="1:6">
      <c r="A2350" s="4" t="str">
        <f t="shared" si="36"/>
        <v>tRNA-Leu-CAA-1-1|37</v>
      </c>
      <c r="B2350" s="4" t="s">
        <v>69</v>
      </c>
      <c r="C2350" s="4" t="s">
        <v>155</v>
      </c>
      <c r="D2350" s="4">
        <v>38</v>
      </c>
      <c r="E2350" s="18" t="s">
        <v>109</v>
      </c>
      <c r="F2350" s="19" t="s">
        <v>150</v>
      </c>
    </row>
    <row r="2351" spans="1:6">
      <c r="A2351" s="4" t="str">
        <f t="shared" si="36"/>
        <v>tRNA-Leu-CAA-1-1|38</v>
      </c>
      <c r="B2351" s="4" t="s">
        <v>69</v>
      </c>
      <c r="C2351" s="4" t="s">
        <v>156</v>
      </c>
      <c r="D2351" s="4">
        <v>39</v>
      </c>
      <c r="E2351" s="18" t="s">
        <v>122</v>
      </c>
      <c r="F2351" s="19" t="s">
        <v>150</v>
      </c>
    </row>
    <row r="2352" spans="1:6">
      <c r="A2352" s="4" t="str">
        <f t="shared" si="36"/>
        <v>tRNA-Leu-CAA-1-1|39</v>
      </c>
      <c r="B2352" s="4" t="s">
        <v>69</v>
      </c>
      <c r="C2352" s="4" t="s">
        <v>157</v>
      </c>
      <c r="D2352" s="4">
        <v>40</v>
      </c>
      <c r="E2352" s="20" t="s">
        <v>116</v>
      </c>
      <c r="F2352" s="21" t="s">
        <v>144</v>
      </c>
    </row>
    <row r="2353" spans="1:6">
      <c r="A2353" s="4" t="str">
        <f t="shared" si="36"/>
        <v>tRNA-Leu-CAA-1-1|40</v>
      </c>
      <c r="B2353" s="4" t="s">
        <v>69</v>
      </c>
      <c r="C2353" s="4" t="s">
        <v>158</v>
      </c>
      <c r="D2353" s="4">
        <v>41</v>
      </c>
      <c r="E2353" s="20" t="s">
        <v>114</v>
      </c>
      <c r="F2353" s="21" t="s">
        <v>144</v>
      </c>
    </row>
    <row r="2354" spans="1:6">
      <c r="A2354" s="4" t="str">
        <f t="shared" si="36"/>
        <v>tRNA-Leu-CAA-1-1|41</v>
      </c>
      <c r="B2354" s="4" t="s">
        <v>69</v>
      </c>
      <c r="C2354" s="4" t="s">
        <v>159</v>
      </c>
      <c r="D2354" s="4">
        <v>42</v>
      </c>
      <c r="E2354" s="20" t="s">
        <v>116</v>
      </c>
      <c r="F2354" s="21" t="s">
        <v>144</v>
      </c>
    </row>
    <row r="2355" spans="1:6">
      <c r="A2355" s="4" t="str">
        <f t="shared" si="36"/>
        <v>tRNA-Leu-CAA-1-1|42</v>
      </c>
      <c r="B2355" s="4" t="s">
        <v>69</v>
      </c>
      <c r="C2355" s="4" t="s">
        <v>160</v>
      </c>
      <c r="D2355" s="4">
        <v>43</v>
      </c>
      <c r="E2355" s="20" t="s">
        <v>109</v>
      </c>
      <c r="F2355" s="21" t="s">
        <v>144</v>
      </c>
    </row>
    <row r="2356" spans="1:6">
      <c r="A2356" s="4" t="str">
        <f t="shared" si="36"/>
        <v>tRNA-Leu-CAA-1-1|43</v>
      </c>
      <c r="B2356" s="4" t="s">
        <v>69</v>
      </c>
      <c r="C2356" s="4" t="s">
        <v>161</v>
      </c>
      <c r="D2356" s="4">
        <v>44</v>
      </c>
      <c r="E2356" s="20" t="s">
        <v>116</v>
      </c>
      <c r="F2356" s="21" t="s">
        <v>144</v>
      </c>
    </row>
    <row r="2357" spans="1:6">
      <c r="A2357" s="4" t="str">
        <f t="shared" si="36"/>
        <v>tRNA-Leu-CAA-1-1|44</v>
      </c>
      <c r="B2357" s="4" t="s">
        <v>69</v>
      </c>
      <c r="C2357" s="4" t="s">
        <v>162</v>
      </c>
      <c r="D2357" s="4">
        <v>45</v>
      </c>
      <c r="E2357" s="18" t="s">
        <v>116</v>
      </c>
      <c r="F2357" s="19" t="s">
        <v>163</v>
      </c>
    </row>
    <row r="2358" spans="1:6">
      <c r="A2358" s="4" t="str">
        <f t="shared" si="36"/>
        <v>tRNA-Leu-CAA-1-1|45</v>
      </c>
      <c r="B2358" s="4" t="s">
        <v>69</v>
      </c>
      <c r="C2358" s="4" t="s">
        <v>164</v>
      </c>
      <c r="D2358" s="4">
        <v>46</v>
      </c>
      <c r="E2358" s="18" t="s">
        <v>114</v>
      </c>
      <c r="F2358" s="19" t="s">
        <v>163</v>
      </c>
    </row>
    <row r="2359" spans="1:6">
      <c r="A2359" s="4" t="str">
        <f t="shared" si="36"/>
        <v>tRNA-Leu-CAA-1-1|e1</v>
      </c>
      <c r="B2359" s="4" t="s">
        <v>69</v>
      </c>
      <c r="C2359" s="4" t="s">
        <v>198</v>
      </c>
      <c r="D2359" s="4">
        <v>47</v>
      </c>
      <c r="E2359" s="18" t="s">
        <v>109</v>
      </c>
      <c r="F2359" s="19" t="s">
        <v>163</v>
      </c>
    </row>
    <row r="2360" spans="1:6">
      <c r="A2360" s="4" t="str">
        <f t="shared" si="36"/>
        <v>tRNA-Leu-CAA-1-1|e2</v>
      </c>
      <c r="B2360" s="4" t="s">
        <v>69</v>
      </c>
      <c r="C2360" s="4" t="s">
        <v>199</v>
      </c>
      <c r="D2360" s="4">
        <v>48</v>
      </c>
      <c r="E2360" s="18" t="s">
        <v>116</v>
      </c>
      <c r="F2360" s="19" t="s">
        <v>163</v>
      </c>
    </row>
    <row r="2361" spans="1:6">
      <c r="A2361" s="4" t="str">
        <f t="shared" si="36"/>
        <v>tRNA-Leu-CAA-1-1|e3</v>
      </c>
      <c r="B2361" s="4" t="s">
        <v>69</v>
      </c>
      <c r="C2361" s="4" t="s">
        <v>200</v>
      </c>
      <c r="D2361" s="4">
        <v>49</v>
      </c>
      <c r="E2361" s="18" t="s">
        <v>109</v>
      </c>
      <c r="F2361" s="19" t="s">
        <v>163</v>
      </c>
    </row>
    <row r="2362" spans="1:6">
      <c r="A2362" s="4" t="str">
        <f t="shared" si="36"/>
        <v>tRNA-Leu-CAA-1-1|e4</v>
      </c>
      <c r="B2362" s="4" t="s">
        <v>69</v>
      </c>
      <c r="C2362" s="4" t="s">
        <v>201</v>
      </c>
      <c r="D2362" s="4">
        <v>50</v>
      </c>
      <c r="E2362" s="18" t="s">
        <v>114</v>
      </c>
      <c r="F2362" s="19" t="s">
        <v>163</v>
      </c>
    </row>
    <row r="2363" spans="1:6">
      <c r="A2363" s="4" t="str">
        <f t="shared" si="36"/>
        <v>tRNA-Leu-CAA-1-1|e5</v>
      </c>
      <c r="B2363" s="4" t="s">
        <v>69</v>
      </c>
      <c r="C2363" s="4" t="s">
        <v>202</v>
      </c>
      <c r="D2363" s="4">
        <v>51</v>
      </c>
      <c r="E2363" s="18" t="s">
        <v>122</v>
      </c>
      <c r="F2363" s="19" t="s">
        <v>163</v>
      </c>
    </row>
    <row r="2364" spans="1:6">
      <c r="A2364" s="4" t="str">
        <f t="shared" si="36"/>
        <v>tRNA-Leu-CAA-1-1|e6</v>
      </c>
      <c r="B2364" s="4" t="s">
        <v>69</v>
      </c>
      <c r="C2364" s="4" t="s">
        <v>203</v>
      </c>
      <c r="D2364" s="4">
        <v>52</v>
      </c>
      <c r="E2364" s="18" t="s">
        <v>109</v>
      </c>
      <c r="F2364" s="19" t="s">
        <v>163</v>
      </c>
    </row>
    <row r="2365" spans="1:6">
      <c r="A2365" s="4" t="str">
        <f t="shared" si="36"/>
        <v>tRNA-Leu-CAA-1-1|e7</v>
      </c>
      <c r="B2365" s="4" t="s">
        <v>69</v>
      </c>
      <c r="C2365" s="4" t="s">
        <v>204</v>
      </c>
      <c r="D2365" s="4">
        <v>53</v>
      </c>
      <c r="E2365" s="18" t="s">
        <v>122</v>
      </c>
      <c r="F2365" s="19" t="s">
        <v>163</v>
      </c>
    </row>
    <row r="2366" spans="1:6">
      <c r="A2366" s="4" t="str">
        <f t="shared" si="36"/>
        <v>tRNA-Leu-CAA-1-1|e8</v>
      </c>
      <c r="B2366" s="4" t="s">
        <v>69</v>
      </c>
      <c r="C2366" s="4" t="s">
        <v>205</v>
      </c>
      <c r="D2366" s="4">
        <v>54</v>
      </c>
      <c r="E2366" s="18" t="s">
        <v>114</v>
      </c>
      <c r="F2366" s="19" t="s">
        <v>163</v>
      </c>
    </row>
    <row r="2367" spans="1:6">
      <c r="A2367" s="4" t="str">
        <f t="shared" si="36"/>
        <v>tRNA-Leu-CAA-1-1|e9</v>
      </c>
      <c r="B2367" s="4" t="s">
        <v>69</v>
      </c>
      <c r="C2367" s="4" t="s">
        <v>206</v>
      </c>
      <c r="D2367" s="4">
        <v>55</v>
      </c>
      <c r="E2367" s="18" t="s">
        <v>109</v>
      </c>
      <c r="F2367" s="19" t="s">
        <v>163</v>
      </c>
    </row>
    <row r="2368" spans="1:6">
      <c r="A2368" s="4" t="str">
        <f t="shared" si="36"/>
        <v>tRNA-Leu-CAA-1-1|46</v>
      </c>
      <c r="B2368" s="4" t="s">
        <v>69</v>
      </c>
      <c r="C2368" s="4" t="s">
        <v>165</v>
      </c>
      <c r="D2368" s="4">
        <v>56</v>
      </c>
      <c r="E2368" s="18" t="s">
        <v>116</v>
      </c>
      <c r="F2368" s="19" t="s">
        <v>163</v>
      </c>
    </row>
    <row r="2369" spans="1:6">
      <c r="A2369" s="4" t="str">
        <f t="shared" si="36"/>
        <v>tRNA-Leu-CAA-1-1|47</v>
      </c>
      <c r="B2369" s="4" t="s">
        <v>69</v>
      </c>
      <c r="C2369" s="4" t="s">
        <v>166</v>
      </c>
      <c r="D2369" s="4">
        <v>57</v>
      </c>
      <c r="E2369" s="18" t="s">
        <v>116</v>
      </c>
      <c r="F2369" s="19" t="s">
        <v>163</v>
      </c>
    </row>
    <row r="2370" spans="1:6">
      <c r="A2370" s="4" t="str">
        <f t="shared" ref="A2370:A2433" si="37">B2370&amp;"|"&amp;C2370</f>
        <v>tRNA-Leu-CAA-1-1|48</v>
      </c>
      <c r="B2370" s="4" t="s">
        <v>69</v>
      </c>
      <c r="C2370" s="4" t="s">
        <v>167</v>
      </c>
      <c r="D2370" s="4">
        <v>58</v>
      </c>
      <c r="E2370" s="18" t="s">
        <v>114</v>
      </c>
      <c r="F2370" s="19" t="s">
        <v>163</v>
      </c>
    </row>
    <row r="2371" spans="1:6">
      <c r="A2371" s="4" t="str">
        <f t="shared" si="37"/>
        <v>tRNA-Leu-CAA-1-1|49</v>
      </c>
      <c r="B2371" s="4" t="s">
        <v>69</v>
      </c>
      <c r="C2371" s="4" t="s">
        <v>168</v>
      </c>
      <c r="D2371" s="4">
        <v>59</v>
      </c>
      <c r="E2371" s="22" t="s">
        <v>122</v>
      </c>
      <c r="F2371" s="10" t="s">
        <v>169</v>
      </c>
    </row>
    <row r="2372" spans="1:6">
      <c r="A2372" s="4" t="str">
        <f t="shared" si="37"/>
        <v>tRNA-Leu-CAA-1-1|50</v>
      </c>
      <c r="B2372" s="4" t="s">
        <v>69</v>
      </c>
      <c r="C2372" s="4" t="s">
        <v>170</v>
      </c>
      <c r="D2372" s="4">
        <v>60</v>
      </c>
      <c r="E2372" s="22" t="s">
        <v>109</v>
      </c>
      <c r="F2372" s="10" t="s">
        <v>169</v>
      </c>
    </row>
    <row r="2373" spans="1:6">
      <c r="A2373" s="4" t="str">
        <f t="shared" si="37"/>
        <v>tRNA-Leu-CAA-1-1|51</v>
      </c>
      <c r="B2373" s="4" t="s">
        <v>69</v>
      </c>
      <c r="C2373" s="4" t="s">
        <v>171</v>
      </c>
      <c r="D2373" s="4">
        <v>61</v>
      </c>
      <c r="E2373" s="22" t="s">
        <v>109</v>
      </c>
      <c r="F2373" s="10" t="s">
        <v>169</v>
      </c>
    </row>
    <row r="2374" spans="1:6">
      <c r="A2374" s="4" t="str">
        <f t="shared" si="37"/>
        <v>tRNA-Leu-CAA-1-1|52</v>
      </c>
      <c r="B2374" s="4" t="s">
        <v>69</v>
      </c>
      <c r="C2374" s="4" t="s">
        <v>172</v>
      </c>
      <c r="D2374" s="4">
        <v>62</v>
      </c>
      <c r="E2374" s="22" t="s">
        <v>109</v>
      </c>
      <c r="F2374" s="10" t="s">
        <v>169</v>
      </c>
    </row>
    <row r="2375" spans="1:6">
      <c r="A2375" s="4" t="str">
        <f t="shared" si="37"/>
        <v>tRNA-Leu-CAA-1-1|53</v>
      </c>
      <c r="B2375" s="4" t="s">
        <v>69</v>
      </c>
      <c r="C2375" s="4" t="s">
        <v>173</v>
      </c>
      <c r="D2375" s="4">
        <v>63</v>
      </c>
      <c r="E2375" s="22" t="s">
        <v>109</v>
      </c>
      <c r="F2375" s="10" t="s">
        <v>169</v>
      </c>
    </row>
    <row r="2376" spans="1:6">
      <c r="A2376" s="4" t="str">
        <f t="shared" si="37"/>
        <v>tRNA-Leu-CAA-1-1|54</v>
      </c>
      <c r="B2376" s="4" t="s">
        <v>69</v>
      </c>
      <c r="C2376" s="4" t="s">
        <v>174</v>
      </c>
      <c r="D2376" s="4">
        <v>64</v>
      </c>
      <c r="E2376" s="18" t="s">
        <v>116</v>
      </c>
      <c r="F2376" s="19" t="s">
        <v>175</v>
      </c>
    </row>
    <row r="2377" spans="1:6">
      <c r="A2377" s="4" t="str">
        <f t="shared" si="37"/>
        <v>tRNA-Leu-CAA-1-1|55</v>
      </c>
      <c r="B2377" s="4" t="s">
        <v>69</v>
      </c>
      <c r="C2377" s="4" t="s">
        <v>176</v>
      </c>
      <c r="D2377" s="4">
        <v>65</v>
      </c>
      <c r="E2377" s="18" t="s">
        <v>116</v>
      </c>
      <c r="F2377" s="19" t="s">
        <v>175</v>
      </c>
    </row>
    <row r="2378" spans="1:6">
      <c r="A2378" s="4" t="str">
        <f t="shared" si="37"/>
        <v>tRNA-Leu-CAA-1-1|56</v>
      </c>
      <c r="B2378" s="4" t="s">
        <v>69</v>
      </c>
      <c r="C2378" s="4" t="s">
        <v>177</v>
      </c>
      <c r="D2378" s="4">
        <v>66</v>
      </c>
      <c r="E2378" s="18" t="s">
        <v>114</v>
      </c>
      <c r="F2378" s="19" t="s">
        <v>175</v>
      </c>
    </row>
    <row r="2379" spans="1:6">
      <c r="A2379" s="4" t="str">
        <f t="shared" si="37"/>
        <v>tRNA-Leu-CAA-1-1|57</v>
      </c>
      <c r="B2379" s="4" t="s">
        <v>69</v>
      </c>
      <c r="C2379" s="4" t="s">
        <v>178</v>
      </c>
      <c r="D2379" s="4">
        <v>67</v>
      </c>
      <c r="E2379" s="18" t="s">
        <v>109</v>
      </c>
      <c r="F2379" s="19" t="s">
        <v>175</v>
      </c>
    </row>
    <row r="2380" spans="1:6">
      <c r="A2380" s="4" t="str">
        <f t="shared" si="37"/>
        <v>tRNA-Leu-CAA-1-1|58</v>
      </c>
      <c r="B2380" s="4" t="s">
        <v>69</v>
      </c>
      <c r="C2380" s="4" t="s">
        <v>179</v>
      </c>
      <c r="D2380" s="4">
        <v>68</v>
      </c>
      <c r="E2380" s="18" t="s">
        <v>122</v>
      </c>
      <c r="F2380" s="19" t="s">
        <v>175</v>
      </c>
    </row>
    <row r="2381" spans="1:6">
      <c r="A2381" s="4" t="str">
        <f t="shared" si="37"/>
        <v>tRNA-Leu-CAA-1-1|59</v>
      </c>
      <c r="B2381" s="4" t="s">
        <v>69</v>
      </c>
      <c r="C2381" s="4" t="s">
        <v>180</v>
      </c>
      <c r="D2381" s="4">
        <v>69</v>
      </c>
      <c r="E2381" s="18" t="s">
        <v>122</v>
      </c>
      <c r="F2381" s="19" t="s">
        <v>175</v>
      </c>
    </row>
    <row r="2382" spans="1:6">
      <c r="A2382" s="4" t="str">
        <f t="shared" si="37"/>
        <v>tRNA-Leu-CAA-1-1|60</v>
      </c>
      <c r="B2382" s="4" t="s">
        <v>69</v>
      </c>
      <c r="C2382" s="4" t="s">
        <v>181</v>
      </c>
      <c r="D2382" s="4">
        <v>70</v>
      </c>
      <c r="E2382" s="18" t="s">
        <v>116</v>
      </c>
      <c r="F2382" s="19" t="s">
        <v>175</v>
      </c>
    </row>
    <row r="2383" spans="1:6">
      <c r="A2383" s="4" t="str">
        <f t="shared" si="37"/>
        <v>tRNA-Leu-CAA-1-1|61</v>
      </c>
      <c r="B2383" s="4" t="s">
        <v>69</v>
      </c>
      <c r="C2383" s="4" t="s">
        <v>182</v>
      </c>
      <c r="D2383" s="4">
        <v>71</v>
      </c>
      <c r="E2383" s="22" t="s">
        <v>114</v>
      </c>
      <c r="F2383" s="10" t="s">
        <v>169</v>
      </c>
    </row>
    <row r="2384" spans="1:6">
      <c r="A2384" s="4" t="str">
        <f t="shared" si="37"/>
        <v>tRNA-Leu-CAA-1-1|62</v>
      </c>
      <c r="B2384" s="4" t="s">
        <v>69</v>
      </c>
      <c r="C2384" s="4" t="s">
        <v>183</v>
      </c>
      <c r="D2384" s="4">
        <v>72</v>
      </c>
      <c r="E2384" s="22" t="s">
        <v>114</v>
      </c>
      <c r="F2384" s="10" t="s">
        <v>169</v>
      </c>
    </row>
    <row r="2385" spans="1:6">
      <c r="A2385" s="4" t="str">
        <f t="shared" si="37"/>
        <v>tRNA-Leu-CAA-1-1|63</v>
      </c>
      <c r="B2385" s="4" t="s">
        <v>69</v>
      </c>
      <c r="C2385" s="4" t="s">
        <v>184</v>
      </c>
      <c r="D2385" s="4">
        <v>73</v>
      </c>
      <c r="E2385" s="22" t="s">
        <v>114</v>
      </c>
      <c r="F2385" s="10" t="s">
        <v>169</v>
      </c>
    </row>
    <row r="2386" spans="1:6">
      <c r="A2386" s="4" t="str">
        <f t="shared" si="37"/>
        <v>tRNA-Leu-CAA-1-1|64</v>
      </c>
      <c r="B2386" s="4" t="s">
        <v>69</v>
      </c>
      <c r="C2386" s="4" t="s">
        <v>185</v>
      </c>
      <c r="D2386" s="4">
        <v>74</v>
      </c>
      <c r="E2386" s="22" t="s">
        <v>116</v>
      </c>
      <c r="F2386" s="10" t="s">
        <v>169</v>
      </c>
    </row>
    <row r="2387" spans="1:6">
      <c r="A2387" s="4" t="str">
        <f t="shared" si="37"/>
        <v>tRNA-Leu-CAA-1-1|65</v>
      </c>
      <c r="B2387" s="4" t="s">
        <v>69</v>
      </c>
      <c r="C2387" s="4" t="s">
        <v>186</v>
      </c>
      <c r="D2387" s="4">
        <v>75</v>
      </c>
      <c r="E2387" s="22" t="s">
        <v>116</v>
      </c>
      <c r="F2387" s="10" t="s">
        <v>169</v>
      </c>
    </row>
    <row r="2388" spans="1:6">
      <c r="A2388" s="4" t="str">
        <f t="shared" si="37"/>
        <v>tRNA-Leu-CAA-1-1|66</v>
      </c>
      <c r="B2388" s="4" t="s">
        <v>69</v>
      </c>
      <c r="C2388" s="4" t="s">
        <v>187</v>
      </c>
      <c r="D2388" s="4">
        <v>76</v>
      </c>
      <c r="E2388" s="16" t="s">
        <v>114</v>
      </c>
      <c r="F2388" s="17" t="s">
        <v>110</v>
      </c>
    </row>
    <row r="2389" spans="1:6">
      <c r="A2389" s="4" t="str">
        <f t="shared" si="37"/>
        <v>tRNA-Leu-CAA-1-1|67</v>
      </c>
      <c r="B2389" s="4" t="s">
        <v>69</v>
      </c>
      <c r="C2389" s="4" t="s">
        <v>188</v>
      </c>
      <c r="D2389" s="4">
        <v>77</v>
      </c>
      <c r="E2389" s="16" t="s">
        <v>116</v>
      </c>
      <c r="F2389" s="17" t="s">
        <v>110</v>
      </c>
    </row>
    <row r="2390" spans="1:6">
      <c r="A2390" s="4" t="str">
        <f t="shared" si="37"/>
        <v>tRNA-Leu-CAA-1-1|68</v>
      </c>
      <c r="B2390" s="4" t="s">
        <v>69</v>
      </c>
      <c r="C2390" s="4" t="s">
        <v>189</v>
      </c>
      <c r="D2390" s="4">
        <v>78</v>
      </c>
      <c r="E2390" s="16" t="s">
        <v>114</v>
      </c>
      <c r="F2390" s="17" t="s">
        <v>110</v>
      </c>
    </row>
    <row r="2391" spans="1:6">
      <c r="A2391" s="4" t="str">
        <f t="shared" si="37"/>
        <v>tRNA-Leu-CAA-1-1|69</v>
      </c>
      <c r="B2391" s="4" t="s">
        <v>69</v>
      </c>
      <c r="C2391" s="4" t="s">
        <v>190</v>
      </c>
      <c r="D2391" s="4">
        <v>79</v>
      </c>
      <c r="E2391" s="16" t="s">
        <v>114</v>
      </c>
      <c r="F2391" s="17" t="s">
        <v>110</v>
      </c>
    </row>
    <row r="2392" spans="1:6">
      <c r="A2392" s="4" t="str">
        <f t="shared" si="37"/>
        <v>tRNA-Leu-CAA-1-1|70</v>
      </c>
      <c r="B2392" s="4" t="s">
        <v>69</v>
      </c>
      <c r="C2392" s="4" t="s">
        <v>191</v>
      </c>
      <c r="D2392" s="4">
        <v>80</v>
      </c>
      <c r="E2392" s="16" t="s">
        <v>114</v>
      </c>
      <c r="F2392" s="17" t="s">
        <v>110</v>
      </c>
    </row>
    <row r="2393" spans="1:6">
      <c r="A2393" s="4" t="str">
        <f t="shared" si="37"/>
        <v>tRNA-Leu-CAA-1-1|71</v>
      </c>
      <c r="B2393" s="4" t="s">
        <v>69</v>
      </c>
      <c r="C2393" s="4" t="s">
        <v>192</v>
      </c>
      <c r="D2393" s="4">
        <v>81</v>
      </c>
      <c r="E2393" s="16" t="s">
        <v>109</v>
      </c>
      <c r="F2393" s="17" t="s">
        <v>110</v>
      </c>
    </row>
    <row r="2394" spans="1:6">
      <c r="A2394" s="4" t="str">
        <f t="shared" si="37"/>
        <v>tRNA-Leu-CAA-1-1|72</v>
      </c>
      <c r="B2394" s="4" t="s">
        <v>69</v>
      </c>
      <c r="C2394" s="4" t="s">
        <v>193</v>
      </c>
      <c r="D2394" s="4">
        <v>82</v>
      </c>
      <c r="E2394" s="16" t="s">
        <v>114</v>
      </c>
      <c r="F2394" s="17" t="s">
        <v>110</v>
      </c>
    </row>
    <row r="2395" spans="1:6">
      <c r="A2395" s="4" t="str">
        <f t="shared" si="37"/>
        <v>tRNA-Leu-CAG-1-1|1</v>
      </c>
      <c r="B2395" s="4" t="s">
        <v>70</v>
      </c>
      <c r="C2395" s="4" t="s">
        <v>108</v>
      </c>
      <c r="D2395" s="4">
        <v>1</v>
      </c>
      <c r="E2395" s="16" t="s">
        <v>109</v>
      </c>
      <c r="F2395" s="17" t="s">
        <v>110</v>
      </c>
    </row>
    <row r="2396" spans="1:6">
      <c r="A2396" s="4" t="str">
        <f t="shared" si="37"/>
        <v>tRNA-Leu-CAG-1-1|2</v>
      </c>
      <c r="B2396" s="4" t="s">
        <v>70</v>
      </c>
      <c r="C2396" s="4" t="s">
        <v>111</v>
      </c>
      <c r="D2396" s="4">
        <v>2</v>
      </c>
      <c r="E2396" s="16" t="s">
        <v>114</v>
      </c>
      <c r="F2396" s="17" t="s">
        <v>110</v>
      </c>
    </row>
    <row r="2397" spans="1:6">
      <c r="A2397" s="4" t="str">
        <f t="shared" si="37"/>
        <v>tRNA-Leu-CAG-1-1|3</v>
      </c>
      <c r="B2397" s="4" t="s">
        <v>70</v>
      </c>
      <c r="C2397" s="4" t="s">
        <v>112</v>
      </c>
      <c r="D2397" s="4">
        <v>3</v>
      </c>
      <c r="E2397" s="16" t="s">
        <v>109</v>
      </c>
      <c r="F2397" s="17" t="s">
        <v>110</v>
      </c>
    </row>
    <row r="2398" spans="1:6">
      <c r="A2398" s="4" t="str">
        <f t="shared" si="37"/>
        <v>tRNA-Leu-CAG-1-1|4</v>
      </c>
      <c r="B2398" s="4" t="s">
        <v>70</v>
      </c>
      <c r="C2398" s="4" t="s">
        <v>113</v>
      </c>
      <c r="D2398" s="4">
        <v>4</v>
      </c>
      <c r="E2398" s="16" t="s">
        <v>122</v>
      </c>
      <c r="F2398" s="17" t="s">
        <v>110</v>
      </c>
    </row>
    <row r="2399" spans="1:6">
      <c r="A2399" s="4" t="str">
        <f t="shared" si="37"/>
        <v>tRNA-Leu-CAG-1-1|5</v>
      </c>
      <c r="B2399" s="4" t="s">
        <v>70</v>
      </c>
      <c r="C2399" s="4" t="s">
        <v>115</v>
      </c>
      <c r="D2399" s="4">
        <v>5</v>
      </c>
      <c r="E2399" s="16" t="s">
        <v>109</v>
      </c>
      <c r="F2399" s="17" t="s">
        <v>110</v>
      </c>
    </row>
    <row r="2400" spans="1:6">
      <c r="A2400" s="4" t="str">
        <f t="shared" si="37"/>
        <v>tRNA-Leu-CAG-1-1|6</v>
      </c>
      <c r="B2400" s="4" t="s">
        <v>70</v>
      </c>
      <c r="C2400" s="4" t="s">
        <v>117</v>
      </c>
      <c r="D2400" s="4">
        <v>6</v>
      </c>
      <c r="E2400" s="16" t="s">
        <v>122</v>
      </c>
      <c r="F2400" s="17" t="s">
        <v>110</v>
      </c>
    </row>
    <row r="2401" spans="1:6">
      <c r="A2401" s="4" t="str">
        <f t="shared" si="37"/>
        <v>tRNA-Leu-CAG-1-1|7</v>
      </c>
      <c r="B2401" s="4" t="s">
        <v>70</v>
      </c>
      <c r="C2401" s="4" t="s">
        <v>118</v>
      </c>
      <c r="D2401" s="4">
        <v>7</v>
      </c>
      <c r="E2401" s="16" t="s">
        <v>109</v>
      </c>
      <c r="F2401" s="17" t="s">
        <v>110</v>
      </c>
    </row>
    <row r="2402" spans="1:6">
      <c r="A2402" s="4" t="str">
        <f t="shared" si="37"/>
        <v>tRNA-Leu-CAG-1-1|8</v>
      </c>
      <c r="B2402" s="4" t="s">
        <v>70</v>
      </c>
      <c r="C2402" s="4" t="s">
        <v>119</v>
      </c>
      <c r="D2402" s="4">
        <v>8</v>
      </c>
      <c r="E2402" s="3" t="s">
        <v>116</v>
      </c>
      <c r="F2402" s="4" t="s">
        <v>120</v>
      </c>
    </row>
    <row r="2403" spans="1:6">
      <c r="A2403" s="4" t="str">
        <f t="shared" si="37"/>
        <v>tRNA-Leu-CAG-1-1|9</v>
      </c>
      <c r="B2403" s="4" t="s">
        <v>70</v>
      </c>
      <c r="C2403" s="4" t="s">
        <v>121</v>
      </c>
      <c r="D2403" s="4">
        <v>9</v>
      </c>
      <c r="E2403" s="3" t="s">
        <v>116</v>
      </c>
      <c r="F2403" s="4" t="s">
        <v>123</v>
      </c>
    </row>
    <row r="2404" spans="1:6">
      <c r="A2404" s="4" t="str">
        <f t="shared" si="37"/>
        <v>tRNA-Leu-CAG-1-1|10</v>
      </c>
      <c r="B2404" s="4" t="s">
        <v>70</v>
      </c>
      <c r="C2404" s="4" t="s">
        <v>124</v>
      </c>
      <c r="D2404" s="4">
        <v>10</v>
      </c>
      <c r="E2404" s="8" t="s">
        <v>109</v>
      </c>
      <c r="F2404" s="7" t="s">
        <v>125</v>
      </c>
    </row>
    <row r="2405" spans="1:6">
      <c r="A2405" s="4" t="str">
        <f t="shared" si="37"/>
        <v>tRNA-Leu-CAG-1-1|11</v>
      </c>
      <c r="B2405" s="4" t="s">
        <v>70</v>
      </c>
      <c r="C2405" s="4" t="s">
        <v>126</v>
      </c>
      <c r="D2405" s="4">
        <v>11</v>
      </c>
      <c r="E2405" s="8" t="s">
        <v>114</v>
      </c>
      <c r="F2405" s="7" t="s">
        <v>125</v>
      </c>
    </row>
    <row r="2406" spans="1:6">
      <c r="A2406" s="4" t="str">
        <f t="shared" si="37"/>
        <v>tRNA-Leu-CAG-1-1|12</v>
      </c>
      <c r="B2406" s="4" t="s">
        <v>70</v>
      </c>
      <c r="C2406" s="4" t="s">
        <v>127</v>
      </c>
      <c r="D2406" s="4">
        <v>12</v>
      </c>
      <c r="E2406" s="8" t="s">
        <v>114</v>
      </c>
      <c r="F2406" s="7" t="s">
        <v>125</v>
      </c>
    </row>
    <row r="2407" spans="1:6">
      <c r="A2407" s="4" t="str">
        <f t="shared" si="37"/>
        <v>tRNA-Leu-CAG-1-1|13</v>
      </c>
      <c r="B2407" s="4" t="s">
        <v>70</v>
      </c>
      <c r="C2407" s="4" t="s">
        <v>128</v>
      </c>
      <c r="D2407" s="4">
        <v>13</v>
      </c>
      <c r="E2407" s="8" t="s">
        <v>114</v>
      </c>
      <c r="F2407" s="7" t="s">
        <v>125</v>
      </c>
    </row>
    <row r="2408" spans="1:6">
      <c r="A2408" s="4" t="str">
        <f t="shared" si="37"/>
        <v>tRNA-Leu-CAG-1-1|14</v>
      </c>
      <c r="B2408" s="4" t="s">
        <v>70</v>
      </c>
      <c r="C2408" s="4" t="s">
        <v>129</v>
      </c>
      <c r="D2408" s="4">
        <v>14</v>
      </c>
      <c r="E2408" s="18" t="s">
        <v>122</v>
      </c>
      <c r="F2408" s="19" t="s">
        <v>130</v>
      </c>
    </row>
    <row r="2409" spans="1:6">
      <c r="A2409" s="4" t="str">
        <f t="shared" si="37"/>
        <v>tRNA-Leu-CAG-1-1|15</v>
      </c>
      <c r="B2409" s="4" t="s">
        <v>70</v>
      </c>
      <c r="C2409" s="4" t="s">
        <v>131</v>
      </c>
      <c r="D2409" s="4">
        <v>15</v>
      </c>
      <c r="E2409" s="18" t="s">
        <v>109</v>
      </c>
      <c r="F2409" s="19" t="s">
        <v>130</v>
      </c>
    </row>
    <row r="2410" spans="1:6">
      <c r="A2410" s="4" t="str">
        <f t="shared" si="37"/>
        <v>tRNA-Leu-CAG-1-1|16</v>
      </c>
      <c r="B2410" s="4" t="s">
        <v>70</v>
      </c>
      <c r="C2410" s="4" t="s">
        <v>194</v>
      </c>
      <c r="D2410" s="4">
        <v>16</v>
      </c>
      <c r="E2410" s="18" t="s">
        <v>114</v>
      </c>
      <c r="F2410" s="19" t="s">
        <v>130</v>
      </c>
    </row>
    <row r="2411" spans="1:6">
      <c r="A2411" s="4" t="str">
        <f t="shared" si="37"/>
        <v>tRNA-Leu-CAG-1-1|17</v>
      </c>
      <c r="B2411" s="4" t="s">
        <v>70</v>
      </c>
      <c r="C2411" s="4" t="s">
        <v>195</v>
      </c>
      <c r="D2411" s="4">
        <v>17</v>
      </c>
      <c r="E2411" s="18" t="s">
        <v>114</v>
      </c>
      <c r="F2411" s="19" t="s">
        <v>130</v>
      </c>
    </row>
    <row r="2412" spans="1:6">
      <c r="A2412" s="4" t="str">
        <f t="shared" si="37"/>
        <v>tRNA-Leu-CAG-1-1|17a</v>
      </c>
      <c r="B2412" s="4" t="s">
        <v>70</v>
      </c>
      <c r="C2412" s="4" t="s">
        <v>196</v>
      </c>
      <c r="D2412" s="4">
        <v>18</v>
      </c>
      <c r="E2412" s="18" t="s">
        <v>122</v>
      </c>
      <c r="F2412" s="19" t="s">
        <v>130</v>
      </c>
    </row>
    <row r="2413" spans="1:6">
      <c r="A2413" s="4" t="str">
        <f t="shared" si="37"/>
        <v>tRNA-Leu-CAG-1-1|18</v>
      </c>
      <c r="B2413" s="4" t="s">
        <v>70</v>
      </c>
      <c r="C2413" s="4" t="s">
        <v>132</v>
      </c>
      <c r="D2413" s="4">
        <v>19</v>
      </c>
      <c r="E2413" s="18" t="s">
        <v>109</v>
      </c>
      <c r="F2413" s="19" t="s">
        <v>130</v>
      </c>
    </row>
    <row r="2414" spans="1:6">
      <c r="A2414" s="4" t="str">
        <f t="shared" si="37"/>
        <v>tRNA-Leu-CAG-1-1|19</v>
      </c>
      <c r="B2414" s="4" t="s">
        <v>70</v>
      </c>
      <c r="C2414" s="4" t="s">
        <v>133</v>
      </c>
      <c r="D2414" s="4">
        <v>20</v>
      </c>
      <c r="E2414" s="18" t="s">
        <v>109</v>
      </c>
      <c r="F2414" s="19" t="s">
        <v>130</v>
      </c>
    </row>
    <row r="2415" spans="1:6">
      <c r="A2415" s="4" t="str">
        <f t="shared" si="37"/>
        <v>tRNA-Leu-CAG-1-1|20</v>
      </c>
      <c r="B2415" s="4" t="s">
        <v>70</v>
      </c>
      <c r="C2415" s="4" t="s">
        <v>134</v>
      </c>
      <c r="D2415" s="4">
        <v>21</v>
      </c>
      <c r="E2415" s="18" t="s">
        <v>116</v>
      </c>
      <c r="F2415" s="19" t="s">
        <v>130</v>
      </c>
    </row>
    <row r="2416" spans="1:6">
      <c r="A2416" s="4" t="str">
        <f t="shared" si="37"/>
        <v>tRNA-Leu-CAG-1-1|20a</v>
      </c>
      <c r="B2416" s="4" t="s">
        <v>70</v>
      </c>
      <c r="C2416" s="4" t="s">
        <v>135</v>
      </c>
      <c r="D2416" s="4">
        <v>22</v>
      </c>
      <c r="E2416" s="18" t="s">
        <v>114</v>
      </c>
      <c r="F2416" s="19" t="s">
        <v>130</v>
      </c>
    </row>
    <row r="2417" spans="1:6">
      <c r="A2417" s="4" t="str">
        <f t="shared" si="37"/>
        <v>tRNA-Leu-CAG-1-1|20b</v>
      </c>
      <c r="B2417" s="4" t="s">
        <v>70</v>
      </c>
      <c r="C2417" s="4" t="s">
        <v>197</v>
      </c>
      <c r="D2417" s="4">
        <v>23</v>
      </c>
      <c r="E2417" s="18" t="s">
        <v>122</v>
      </c>
      <c r="F2417" s="19" t="s">
        <v>130</v>
      </c>
    </row>
    <row r="2418" spans="1:6">
      <c r="A2418" s="4" t="str">
        <f t="shared" si="37"/>
        <v>tRNA-Leu-CAG-1-1|21</v>
      </c>
      <c r="B2418" s="4" t="s">
        <v>70</v>
      </c>
      <c r="C2418" s="4" t="s">
        <v>136</v>
      </c>
      <c r="D2418" s="4">
        <v>24</v>
      </c>
      <c r="E2418" s="18" t="s">
        <v>122</v>
      </c>
      <c r="F2418" s="19" t="s">
        <v>130</v>
      </c>
    </row>
    <row r="2419" spans="1:6">
      <c r="A2419" s="4" t="str">
        <f t="shared" si="37"/>
        <v>tRNA-Leu-CAG-1-1|22</v>
      </c>
      <c r="B2419" s="4" t="s">
        <v>70</v>
      </c>
      <c r="C2419" s="4" t="s">
        <v>137</v>
      </c>
      <c r="D2419" s="4">
        <v>25</v>
      </c>
      <c r="E2419" s="8" t="s">
        <v>122</v>
      </c>
      <c r="F2419" s="7" t="s">
        <v>125</v>
      </c>
    </row>
    <row r="2420" spans="1:6">
      <c r="A2420" s="4" t="str">
        <f t="shared" si="37"/>
        <v>tRNA-Leu-CAG-1-1|23</v>
      </c>
      <c r="B2420" s="4" t="s">
        <v>70</v>
      </c>
      <c r="C2420" s="4" t="s">
        <v>138</v>
      </c>
      <c r="D2420" s="4">
        <v>26</v>
      </c>
      <c r="E2420" s="8" t="s">
        <v>109</v>
      </c>
      <c r="F2420" s="7" t="s">
        <v>125</v>
      </c>
    </row>
    <row r="2421" spans="1:6">
      <c r="A2421" s="4" t="str">
        <f t="shared" si="37"/>
        <v>tRNA-Leu-CAG-1-1|24</v>
      </c>
      <c r="B2421" s="4" t="s">
        <v>70</v>
      </c>
      <c r="C2421" s="4" t="s">
        <v>139</v>
      </c>
      <c r="D2421" s="4">
        <v>27</v>
      </c>
      <c r="E2421" s="8" t="s">
        <v>109</v>
      </c>
      <c r="F2421" s="7" t="s">
        <v>125</v>
      </c>
    </row>
    <row r="2422" spans="1:6">
      <c r="A2422" s="4" t="str">
        <f t="shared" si="37"/>
        <v>tRNA-Leu-CAG-1-1|25</v>
      </c>
      <c r="B2422" s="4" t="s">
        <v>70</v>
      </c>
      <c r="C2422" s="4" t="s">
        <v>140</v>
      </c>
      <c r="D2422" s="4">
        <v>28</v>
      </c>
      <c r="E2422" s="8" t="s">
        <v>114</v>
      </c>
      <c r="F2422" s="7" t="s">
        <v>125</v>
      </c>
    </row>
    <row r="2423" spans="1:6">
      <c r="A2423" s="4" t="str">
        <f t="shared" si="37"/>
        <v>tRNA-Leu-CAG-1-1|26</v>
      </c>
      <c r="B2423" s="4" t="s">
        <v>70</v>
      </c>
      <c r="C2423" s="4" t="s">
        <v>141</v>
      </c>
      <c r="D2423" s="4">
        <v>29</v>
      </c>
      <c r="E2423" s="3" t="s">
        <v>109</v>
      </c>
      <c r="F2423" s="4" t="s">
        <v>142</v>
      </c>
    </row>
    <row r="2424" spans="1:6">
      <c r="A2424" s="4" t="str">
        <f t="shared" si="37"/>
        <v>tRNA-Leu-CAG-1-1|27</v>
      </c>
      <c r="B2424" s="4" t="s">
        <v>70</v>
      </c>
      <c r="C2424" s="4" t="s">
        <v>143</v>
      </c>
      <c r="D2424" s="4">
        <v>30</v>
      </c>
      <c r="E2424" s="20" t="s">
        <v>114</v>
      </c>
      <c r="F2424" s="21" t="s">
        <v>144</v>
      </c>
    </row>
    <row r="2425" spans="1:6">
      <c r="A2425" s="4" t="str">
        <f t="shared" si="37"/>
        <v>tRNA-Leu-CAG-1-1|28</v>
      </c>
      <c r="B2425" s="4" t="s">
        <v>70</v>
      </c>
      <c r="C2425" s="4" t="s">
        <v>145</v>
      </c>
      <c r="D2425" s="4">
        <v>31</v>
      </c>
      <c r="E2425" s="20" t="s">
        <v>114</v>
      </c>
      <c r="F2425" s="21" t="s">
        <v>144</v>
      </c>
    </row>
    <row r="2426" spans="1:6">
      <c r="A2426" s="4" t="str">
        <f t="shared" si="37"/>
        <v>tRNA-Leu-CAG-1-1|29</v>
      </c>
      <c r="B2426" s="4" t="s">
        <v>70</v>
      </c>
      <c r="C2426" s="4" t="s">
        <v>146</v>
      </c>
      <c r="D2426" s="4">
        <v>32</v>
      </c>
      <c r="E2426" s="20" t="s">
        <v>122</v>
      </c>
      <c r="F2426" s="21" t="s">
        <v>144</v>
      </c>
    </row>
    <row r="2427" spans="1:6">
      <c r="A2427" s="4" t="str">
        <f t="shared" si="37"/>
        <v>tRNA-Leu-CAG-1-1|30</v>
      </c>
      <c r="B2427" s="4" t="s">
        <v>70</v>
      </c>
      <c r="C2427" s="4" t="s">
        <v>147</v>
      </c>
      <c r="D2427" s="4">
        <v>33</v>
      </c>
      <c r="E2427" s="20" t="s">
        <v>109</v>
      </c>
      <c r="F2427" s="21" t="s">
        <v>144</v>
      </c>
    </row>
    <row r="2428" spans="1:6">
      <c r="A2428" s="4" t="str">
        <f t="shared" si="37"/>
        <v>tRNA-Leu-CAG-1-1|31</v>
      </c>
      <c r="B2428" s="4" t="s">
        <v>70</v>
      </c>
      <c r="C2428" s="4" t="s">
        <v>148</v>
      </c>
      <c r="D2428" s="4">
        <v>34</v>
      </c>
      <c r="E2428" s="20" t="s">
        <v>109</v>
      </c>
      <c r="F2428" s="21" t="s">
        <v>144</v>
      </c>
    </row>
    <row r="2429" spans="1:6">
      <c r="A2429" s="4" t="str">
        <f t="shared" si="37"/>
        <v>tRNA-Leu-CAG-1-1|32</v>
      </c>
      <c r="B2429" s="4" t="s">
        <v>70</v>
      </c>
      <c r="C2429" s="4" t="s">
        <v>149</v>
      </c>
      <c r="D2429" s="4">
        <v>35</v>
      </c>
      <c r="E2429" s="18" t="s">
        <v>116</v>
      </c>
      <c r="F2429" s="19" t="s">
        <v>150</v>
      </c>
    </row>
    <row r="2430" spans="1:6">
      <c r="A2430" s="4" t="str">
        <f t="shared" si="37"/>
        <v>tRNA-Leu-CAG-1-1|33</v>
      </c>
      <c r="B2430" s="4" t="s">
        <v>70</v>
      </c>
      <c r="C2430" s="4" t="s">
        <v>151</v>
      </c>
      <c r="D2430" s="4">
        <v>36</v>
      </c>
      <c r="E2430" s="18" t="s">
        <v>116</v>
      </c>
      <c r="F2430" s="19" t="s">
        <v>150</v>
      </c>
    </row>
    <row r="2431" spans="1:6">
      <c r="A2431" s="4" t="str">
        <f t="shared" si="37"/>
        <v>tRNA-Leu-CAG-1-1|34</v>
      </c>
      <c r="B2431" s="4" t="s">
        <v>70</v>
      </c>
      <c r="C2431" s="4" t="s">
        <v>152</v>
      </c>
      <c r="D2431" s="4">
        <v>37</v>
      </c>
      <c r="E2431" s="18" t="s">
        <v>114</v>
      </c>
      <c r="F2431" s="19" t="s">
        <v>150</v>
      </c>
    </row>
    <row r="2432" spans="1:6">
      <c r="A2432" s="4" t="str">
        <f t="shared" si="37"/>
        <v>tRNA-Leu-CAG-1-1|35</v>
      </c>
      <c r="B2432" s="4" t="s">
        <v>70</v>
      </c>
      <c r="C2432" s="4" t="s">
        <v>153</v>
      </c>
      <c r="D2432" s="4">
        <v>38</v>
      </c>
      <c r="E2432" s="18" t="s">
        <v>122</v>
      </c>
      <c r="F2432" s="19" t="s">
        <v>150</v>
      </c>
    </row>
    <row r="2433" spans="1:6">
      <c r="A2433" s="4" t="str">
        <f t="shared" si="37"/>
        <v>tRNA-Leu-CAG-1-1|36</v>
      </c>
      <c r="B2433" s="4" t="s">
        <v>70</v>
      </c>
      <c r="C2433" s="4" t="s">
        <v>154</v>
      </c>
      <c r="D2433" s="4">
        <v>39</v>
      </c>
      <c r="E2433" s="18" t="s">
        <v>109</v>
      </c>
      <c r="F2433" s="19" t="s">
        <v>150</v>
      </c>
    </row>
    <row r="2434" spans="1:6">
      <c r="A2434" s="4" t="str">
        <f t="shared" ref="A2434:A2497" si="38">B2434&amp;"|"&amp;C2434</f>
        <v>tRNA-Leu-CAG-1-1|37</v>
      </c>
      <c r="B2434" s="4" t="s">
        <v>70</v>
      </c>
      <c r="C2434" s="4" t="s">
        <v>155</v>
      </c>
      <c r="D2434" s="4">
        <v>40</v>
      </c>
      <c r="E2434" s="18" t="s">
        <v>122</v>
      </c>
      <c r="F2434" s="19" t="s">
        <v>150</v>
      </c>
    </row>
    <row r="2435" spans="1:6">
      <c r="A2435" s="4" t="str">
        <f t="shared" si="38"/>
        <v>tRNA-Leu-CAG-1-1|38</v>
      </c>
      <c r="B2435" s="4" t="s">
        <v>70</v>
      </c>
      <c r="C2435" s="4" t="s">
        <v>156</v>
      </c>
      <c r="D2435" s="4">
        <v>41</v>
      </c>
      <c r="E2435" s="18" t="s">
        <v>109</v>
      </c>
      <c r="F2435" s="19" t="s">
        <v>150</v>
      </c>
    </row>
    <row r="2436" spans="1:6">
      <c r="A2436" s="4" t="str">
        <f t="shared" si="38"/>
        <v>tRNA-Leu-CAG-1-1|39</v>
      </c>
      <c r="B2436" s="4" t="s">
        <v>70</v>
      </c>
      <c r="C2436" s="4" t="s">
        <v>157</v>
      </c>
      <c r="D2436" s="4">
        <v>42</v>
      </c>
      <c r="E2436" s="20" t="s">
        <v>114</v>
      </c>
      <c r="F2436" s="21" t="s">
        <v>144</v>
      </c>
    </row>
    <row r="2437" spans="1:6">
      <c r="A2437" s="4" t="str">
        <f t="shared" si="38"/>
        <v>tRNA-Leu-CAG-1-1|40</v>
      </c>
      <c r="B2437" s="4" t="s">
        <v>70</v>
      </c>
      <c r="C2437" s="4" t="s">
        <v>158</v>
      </c>
      <c r="D2437" s="4">
        <v>43</v>
      </c>
      <c r="E2437" s="20" t="s">
        <v>114</v>
      </c>
      <c r="F2437" s="21" t="s">
        <v>144</v>
      </c>
    </row>
    <row r="2438" spans="1:6">
      <c r="A2438" s="4" t="str">
        <f t="shared" si="38"/>
        <v>tRNA-Leu-CAG-1-1|41</v>
      </c>
      <c r="B2438" s="4" t="s">
        <v>70</v>
      </c>
      <c r="C2438" s="4" t="s">
        <v>159</v>
      </c>
      <c r="D2438" s="4">
        <v>44</v>
      </c>
      <c r="E2438" s="20" t="s">
        <v>116</v>
      </c>
      <c r="F2438" s="21" t="s">
        <v>144</v>
      </c>
    </row>
    <row r="2439" spans="1:6">
      <c r="A2439" s="4" t="str">
        <f t="shared" si="38"/>
        <v>tRNA-Leu-CAG-1-1|42</v>
      </c>
      <c r="B2439" s="4" t="s">
        <v>70</v>
      </c>
      <c r="C2439" s="4" t="s">
        <v>160</v>
      </c>
      <c r="D2439" s="4">
        <v>45</v>
      </c>
      <c r="E2439" s="20" t="s">
        <v>109</v>
      </c>
      <c r="F2439" s="21" t="s">
        <v>144</v>
      </c>
    </row>
    <row r="2440" spans="1:6">
      <c r="A2440" s="4" t="str">
        <f t="shared" si="38"/>
        <v>tRNA-Leu-CAG-1-1|43</v>
      </c>
      <c r="B2440" s="4" t="s">
        <v>70</v>
      </c>
      <c r="C2440" s="4" t="s">
        <v>161</v>
      </c>
      <c r="D2440" s="4">
        <v>46</v>
      </c>
      <c r="E2440" s="20" t="s">
        <v>109</v>
      </c>
      <c r="F2440" s="21" t="s">
        <v>144</v>
      </c>
    </row>
    <row r="2441" spans="1:6">
      <c r="A2441" s="4" t="str">
        <f t="shared" si="38"/>
        <v>tRNA-Leu-CAG-1-1|44</v>
      </c>
      <c r="B2441" s="4" t="s">
        <v>70</v>
      </c>
      <c r="C2441" s="4" t="s">
        <v>162</v>
      </c>
      <c r="D2441" s="4">
        <v>47</v>
      </c>
      <c r="E2441" s="18" t="s">
        <v>116</v>
      </c>
      <c r="F2441" s="19" t="s">
        <v>163</v>
      </c>
    </row>
    <row r="2442" spans="1:6">
      <c r="A2442" s="4" t="str">
        <f t="shared" si="38"/>
        <v>tRNA-Leu-CAG-1-1|45</v>
      </c>
      <c r="B2442" s="4" t="s">
        <v>70</v>
      </c>
      <c r="C2442" s="4" t="s">
        <v>164</v>
      </c>
      <c r="D2442" s="4">
        <v>48</v>
      </c>
      <c r="E2442" s="18" t="s">
        <v>116</v>
      </c>
      <c r="F2442" s="19" t="s">
        <v>163</v>
      </c>
    </row>
    <row r="2443" spans="1:6">
      <c r="A2443" s="4" t="str">
        <f t="shared" si="38"/>
        <v>tRNA-Leu-CAG-1-1|e1</v>
      </c>
      <c r="B2443" s="4" t="s">
        <v>70</v>
      </c>
      <c r="C2443" s="4" t="s">
        <v>198</v>
      </c>
      <c r="D2443" s="4">
        <v>49</v>
      </c>
      <c r="E2443" s="18" t="s">
        <v>116</v>
      </c>
      <c r="F2443" s="19" t="s">
        <v>163</v>
      </c>
    </row>
    <row r="2444" spans="1:6">
      <c r="A2444" s="4" t="str">
        <f t="shared" si="38"/>
        <v>tRNA-Leu-CAG-1-1|e2</v>
      </c>
      <c r="B2444" s="4" t="s">
        <v>70</v>
      </c>
      <c r="C2444" s="4" t="s">
        <v>199</v>
      </c>
      <c r="D2444" s="4">
        <v>50</v>
      </c>
      <c r="E2444" s="18" t="s">
        <v>114</v>
      </c>
      <c r="F2444" s="19" t="s">
        <v>163</v>
      </c>
    </row>
    <row r="2445" spans="1:6">
      <c r="A2445" s="4" t="str">
        <f t="shared" si="38"/>
        <v>tRNA-Leu-CAG-1-1|e3</v>
      </c>
      <c r="B2445" s="4" t="s">
        <v>70</v>
      </c>
      <c r="C2445" s="4" t="s">
        <v>200</v>
      </c>
      <c r="D2445" s="4">
        <v>51</v>
      </c>
      <c r="E2445" s="18" t="s">
        <v>109</v>
      </c>
      <c r="F2445" s="19" t="s">
        <v>163</v>
      </c>
    </row>
    <row r="2446" spans="1:6">
      <c r="A2446" s="4" t="str">
        <f t="shared" si="38"/>
        <v>tRNA-Leu-CAG-1-1|e4</v>
      </c>
      <c r="B2446" s="4" t="s">
        <v>70</v>
      </c>
      <c r="C2446" s="4" t="s">
        <v>201</v>
      </c>
      <c r="D2446" s="4">
        <v>52</v>
      </c>
      <c r="E2446" s="18" t="s">
        <v>116</v>
      </c>
      <c r="F2446" s="19" t="s">
        <v>163</v>
      </c>
    </row>
    <row r="2447" spans="1:6">
      <c r="A2447" s="4" t="str">
        <f t="shared" si="38"/>
        <v>tRNA-Leu-CAG-1-1|e5</v>
      </c>
      <c r="B2447" s="4" t="s">
        <v>70</v>
      </c>
      <c r="C2447" s="4" t="s">
        <v>202</v>
      </c>
      <c r="D2447" s="4">
        <v>53</v>
      </c>
      <c r="E2447" s="18" t="s">
        <v>122</v>
      </c>
      <c r="F2447" s="19" t="s">
        <v>163</v>
      </c>
    </row>
    <row r="2448" spans="1:6">
      <c r="A2448" s="4" t="str">
        <f t="shared" si="38"/>
        <v>tRNA-Leu-CAG-1-1|e6</v>
      </c>
      <c r="B2448" s="4" t="s">
        <v>70</v>
      </c>
      <c r="C2448" s="4" t="s">
        <v>203</v>
      </c>
      <c r="D2448" s="4">
        <v>54</v>
      </c>
      <c r="E2448" s="18" t="s">
        <v>109</v>
      </c>
      <c r="F2448" s="19" t="s">
        <v>163</v>
      </c>
    </row>
    <row r="2449" spans="1:6">
      <c r="A2449" s="4" t="str">
        <f t="shared" si="38"/>
        <v>tRNA-Leu-CAG-1-1|e7</v>
      </c>
      <c r="B2449" s="4" t="s">
        <v>70</v>
      </c>
      <c r="C2449" s="4" t="s">
        <v>204</v>
      </c>
      <c r="D2449" s="4">
        <v>55</v>
      </c>
      <c r="E2449" s="18" t="s">
        <v>109</v>
      </c>
      <c r="F2449" s="19" t="s">
        <v>163</v>
      </c>
    </row>
    <row r="2450" spans="1:6">
      <c r="A2450" s="4" t="str">
        <f t="shared" si="38"/>
        <v>tRNA-Leu-CAG-1-1|e8</v>
      </c>
      <c r="B2450" s="4" t="s">
        <v>70</v>
      </c>
      <c r="C2450" s="4" t="s">
        <v>205</v>
      </c>
      <c r="D2450" s="4">
        <v>56</v>
      </c>
      <c r="E2450" s="18" t="s">
        <v>122</v>
      </c>
      <c r="F2450" s="19" t="s">
        <v>163</v>
      </c>
    </row>
    <row r="2451" spans="1:6">
      <c r="A2451" s="4" t="str">
        <f t="shared" si="38"/>
        <v>tRNA-Leu-CAG-1-1|e9</v>
      </c>
      <c r="B2451" s="4" t="s">
        <v>70</v>
      </c>
      <c r="C2451" s="4" t="s">
        <v>206</v>
      </c>
      <c r="D2451" s="4">
        <v>57</v>
      </c>
      <c r="E2451" s="18" t="s">
        <v>122</v>
      </c>
      <c r="F2451" s="19" t="s">
        <v>163</v>
      </c>
    </row>
    <row r="2452" spans="1:6">
      <c r="A2452" s="4" t="str">
        <f t="shared" si="38"/>
        <v>tRNA-Leu-CAG-1-1|46</v>
      </c>
      <c r="B2452" s="4" t="s">
        <v>70</v>
      </c>
      <c r="C2452" s="4" t="s">
        <v>165</v>
      </c>
      <c r="D2452" s="4">
        <v>58</v>
      </c>
      <c r="E2452" s="18" t="s">
        <v>116</v>
      </c>
      <c r="F2452" s="19" t="s">
        <v>163</v>
      </c>
    </row>
    <row r="2453" spans="1:6">
      <c r="A2453" s="4" t="str">
        <f t="shared" si="38"/>
        <v>tRNA-Leu-CAG-1-1|47</v>
      </c>
      <c r="B2453" s="4" t="s">
        <v>70</v>
      </c>
      <c r="C2453" s="4" t="s">
        <v>166</v>
      </c>
      <c r="D2453" s="4">
        <v>59</v>
      </c>
      <c r="E2453" s="18" t="s">
        <v>116</v>
      </c>
      <c r="F2453" s="19" t="s">
        <v>163</v>
      </c>
    </row>
    <row r="2454" spans="1:6">
      <c r="A2454" s="4" t="str">
        <f t="shared" si="38"/>
        <v>tRNA-Leu-CAG-1-1|48</v>
      </c>
      <c r="B2454" s="4" t="s">
        <v>70</v>
      </c>
      <c r="C2454" s="4" t="s">
        <v>167</v>
      </c>
      <c r="D2454" s="4">
        <v>60</v>
      </c>
      <c r="E2454" s="18" t="s">
        <v>114</v>
      </c>
      <c r="F2454" s="19" t="s">
        <v>163</v>
      </c>
    </row>
    <row r="2455" spans="1:6">
      <c r="A2455" s="4" t="str">
        <f t="shared" si="38"/>
        <v>tRNA-Leu-CAG-1-1|49</v>
      </c>
      <c r="B2455" s="4" t="s">
        <v>70</v>
      </c>
      <c r="C2455" s="4" t="s">
        <v>168</v>
      </c>
      <c r="D2455" s="4">
        <v>61</v>
      </c>
      <c r="E2455" s="22" t="s">
        <v>109</v>
      </c>
      <c r="F2455" s="10" t="s">
        <v>169</v>
      </c>
    </row>
    <row r="2456" spans="1:6">
      <c r="A2456" s="4" t="str">
        <f t="shared" si="38"/>
        <v>tRNA-Leu-CAG-1-1|50</v>
      </c>
      <c r="B2456" s="4" t="s">
        <v>70</v>
      </c>
      <c r="C2456" s="4" t="s">
        <v>170</v>
      </c>
      <c r="D2456" s="4">
        <v>62</v>
      </c>
      <c r="E2456" s="22" t="s">
        <v>116</v>
      </c>
      <c r="F2456" s="10" t="s">
        <v>169</v>
      </c>
    </row>
    <row r="2457" spans="1:6">
      <c r="A2457" s="4" t="str">
        <f t="shared" si="38"/>
        <v>tRNA-Leu-CAG-1-1|51</v>
      </c>
      <c r="B2457" s="4" t="s">
        <v>70</v>
      </c>
      <c r="C2457" s="4" t="s">
        <v>171</v>
      </c>
      <c r="D2457" s="4">
        <v>63</v>
      </c>
      <c r="E2457" s="22" t="s">
        <v>109</v>
      </c>
      <c r="F2457" s="10" t="s">
        <v>169</v>
      </c>
    </row>
    <row r="2458" spans="1:6">
      <c r="A2458" s="4" t="str">
        <f t="shared" si="38"/>
        <v>tRNA-Leu-CAG-1-1|52</v>
      </c>
      <c r="B2458" s="4" t="s">
        <v>70</v>
      </c>
      <c r="C2458" s="4" t="s">
        <v>172</v>
      </c>
      <c r="D2458" s="4">
        <v>64</v>
      </c>
      <c r="E2458" s="22" t="s">
        <v>114</v>
      </c>
      <c r="F2458" s="10" t="s">
        <v>169</v>
      </c>
    </row>
    <row r="2459" spans="1:6">
      <c r="A2459" s="4" t="str">
        <f t="shared" si="38"/>
        <v>tRNA-Leu-CAG-1-1|53</v>
      </c>
      <c r="B2459" s="4" t="s">
        <v>70</v>
      </c>
      <c r="C2459" s="4" t="s">
        <v>173</v>
      </c>
      <c r="D2459" s="4">
        <v>65</v>
      </c>
      <c r="E2459" s="22" t="s">
        <v>109</v>
      </c>
      <c r="F2459" s="10" t="s">
        <v>169</v>
      </c>
    </row>
    <row r="2460" spans="1:6">
      <c r="A2460" s="4" t="str">
        <f t="shared" si="38"/>
        <v>tRNA-Leu-CAG-1-1|54</v>
      </c>
      <c r="B2460" s="4" t="s">
        <v>70</v>
      </c>
      <c r="C2460" s="4" t="s">
        <v>174</v>
      </c>
      <c r="D2460" s="4">
        <v>66</v>
      </c>
      <c r="E2460" s="18" t="s">
        <v>116</v>
      </c>
      <c r="F2460" s="19" t="s">
        <v>175</v>
      </c>
    </row>
    <row r="2461" spans="1:6">
      <c r="A2461" s="4" t="str">
        <f t="shared" si="38"/>
        <v>tRNA-Leu-CAG-1-1|55</v>
      </c>
      <c r="B2461" s="4" t="s">
        <v>70</v>
      </c>
      <c r="C2461" s="4" t="s">
        <v>176</v>
      </c>
      <c r="D2461" s="4">
        <v>67</v>
      </c>
      <c r="E2461" s="18" t="s">
        <v>116</v>
      </c>
      <c r="F2461" s="19" t="s">
        <v>175</v>
      </c>
    </row>
    <row r="2462" spans="1:6">
      <c r="A2462" s="4" t="str">
        <f t="shared" si="38"/>
        <v>tRNA-Leu-CAG-1-1|56</v>
      </c>
      <c r="B2462" s="4" t="s">
        <v>70</v>
      </c>
      <c r="C2462" s="4" t="s">
        <v>177</v>
      </c>
      <c r="D2462" s="4">
        <v>68</v>
      </c>
      <c r="E2462" s="18" t="s">
        <v>114</v>
      </c>
      <c r="F2462" s="19" t="s">
        <v>175</v>
      </c>
    </row>
    <row r="2463" spans="1:6">
      <c r="A2463" s="4" t="str">
        <f t="shared" si="38"/>
        <v>tRNA-Leu-CAG-1-1|57</v>
      </c>
      <c r="B2463" s="4" t="s">
        <v>70</v>
      </c>
      <c r="C2463" s="4" t="s">
        <v>178</v>
      </c>
      <c r="D2463" s="4">
        <v>69</v>
      </c>
      <c r="E2463" s="18" t="s">
        <v>109</v>
      </c>
      <c r="F2463" s="19" t="s">
        <v>175</v>
      </c>
    </row>
    <row r="2464" spans="1:6">
      <c r="A2464" s="4" t="str">
        <f t="shared" si="38"/>
        <v>tRNA-Leu-CAG-1-1|58</v>
      </c>
      <c r="B2464" s="4" t="s">
        <v>70</v>
      </c>
      <c r="C2464" s="4" t="s">
        <v>179</v>
      </c>
      <c r="D2464" s="4">
        <v>70</v>
      </c>
      <c r="E2464" s="18" t="s">
        <v>122</v>
      </c>
      <c r="F2464" s="19" t="s">
        <v>175</v>
      </c>
    </row>
    <row r="2465" spans="1:6">
      <c r="A2465" s="4" t="str">
        <f t="shared" si="38"/>
        <v>tRNA-Leu-CAG-1-1|59</v>
      </c>
      <c r="B2465" s="4" t="s">
        <v>70</v>
      </c>
      <c r="C2465" s="4" t="s">
        <v>180</v>
      </c>
      <c r="D2465" s="4">
        <v>71</v>
      </c>
      <c r="E2465" s="18" t="s">
        <v>122</v>
      </c>
      <c r="F2465" s="19" t="s">
        <v>175</v>
      </c>
    </row>
    <row r="2466" spans="1:6">
      <c r="A2466" s="4" t="str">
        <f t="shared" si="38"/>
        <v>tRNA-Leu-CAG-1-1|60</v>
      </c>
      <c r="B2466" s="4" t="s">
        <v>70</v>
      </c>
      <c r="C2466" s="4" t="s">
        <v>181</v>
      </c>
      <c r="D2466" s="4">
        <v>72</v>
      </c>
      <c r="E2466" s="18" t="s">
        <v>116</v>
      </c>
      <c r="F2466" s="19" t="s">
        <v>175</v>
      </c>
    </row>
    <row r="2467" spans="1:6">
      <c r="A2467" s="4" t="str">
        <f t="shared" si="38"/>
        <v>tRNA-Leu-CAG-1-1|61</v>
      </c>
      <c r="B2467" s="4" t="s">
        <v>70</v>
      </c>
      <c r="C2467" s="4" t="s">
        <v>182</v>
      </c>
      <c r="D2467" s="4">
        <v>73</v>
      </c>
      <c r="E2467" s="22" t="s">
        <v>114</v>
      </c>
      <c r="F2467" s="10" t="s">
        <v>169</v>
      </c>
    </row>
    <row r="2468" spans="1:6">
      <c r="A2468" s="4" t="str">
        <f t="shared" si="38"/>
        <v>tRNA-Leu-CAG-1-1|62</v>
      </c>
      <c r="B2468" s="4" t="s">
        <v>70</v>
      </c>
      <c r="C2468" s="4" t="s">
        <v>183</v>
      </c>
      <c r="D2468" s="4">
        <v>74</v>
      </c>
      <c r="E2468" s="22" t="s">
        <v>109</v>
      </c>
      <c r="F2468" s="10" t="s">
        <v>169</v>
      </c>
    </row>
    <row r="2469" spans="1:6">
      <c r="A2469" s="4" t="str">
        <f t="shared" si="38"/>
        <v>tRNA-Leu-CAG-1-1|63</v>
      </c>
      <c r="B2469" s="4" t="s">
        <v>70</v>
      </c>
      <c r="C2469" s="4" t="s">
        <v>184</v>
      </c>
      <c r="D2469" s="4">
        <v>75</v>
      </c>
      <c r="E2469" s="22" t="s">
        <v>114</v>
      </c>
      <c r="F2469" s="10" t="s">
        <v>169</v>
      </c>
    </row>
    <row r="2470" spans="1:6">
      <c r="A2470" s="4" t="str">
        <f t="shared" si="38"/>
        <v>tRNA-Leu-CAG-1-1|64</v>
      </c>
      <c r="B2470" s="4" t="s">
        <v>70</v>
      </c>
      <c r="C2470" s="4" t="s">
        <v>185</v>
      </c>
      <c r="D2470" s="4">
        <v>76</v>
      </c>
      <c r="E2470" s="22" t="s">
        <v>122</v>
      </c>
      <c r="F2470" s="10" t="s">
        <v>169</v>
      </c>
    </row>
    <row r="2471" spans="1:6">
      <c r="A2471" s="4" t="str">
        <f t="shared" si="38"/>
        <v>tRNA-Leu-CAG-1-1|65</v>
      </c>
      <c r="B2471" s="4" t="s">
        <v>70</v>
      </c>
      <c r="C2471" s="4" t="s">
        <v>186</v>
      </c>
      <c r="D2471" s="4">
        <v>77</v>
      </c>
      <c r="E2471" s="22" t="s">
        <v>114</v>
      </c>
      <c r="F2471" s="10" t="s">
        <v>169</v>
      </c>
    </row>
    <row r="2472" spans="1:6">
      <c r="A2472" s="4" t="str">
        <f t="shared" si="38"/>
        <v>tRNA-Leu-CAG-1-1|66</v>
      </c>
      <c r="B2472" s="4" t="s">
        <v>70</v>
      </c>
      <c r="C2472" s="4" t="s">
        <v>187</v>
      </c>
      <c r="D2472" s="4">
        <v>78</v>
      </c>
      <c r="E2472" s="16" t="s">
        <v>114</v>
      </c>
      <c r="F2472" s="17" t="s">
        <v>110</v>
      </c>
    </row>
    <row r="2473" spans="1:6">
      <c r="A2473" s="4" t="str">
        <f t="shared" si="38"/>
        <v>tRNA-Leu-CAG-1-1|67</v>
      </c>
      <c r="B2473" s="4" t="s">
        <v>70</v>
      </c>
      <c r="C2473" s="4" t="s">
        <v>188</v>
      </c>
      <c r="D2473" s="4">
        <v>79</v>
      </c>
      <c r="E2473" s="16" t="s">
        <v>116</v>
      </c>
      <c r="F2473" s="17" t="s">
        <v>110</v>
      </c>
    </row>
    <row r="2474" spans="1:6">
      <c r="A2474" s="4" t="str">
        <f t="shared" si="38"/>
        <v>tRNA-Leu-CAG-1-1|68</v>
      </c>
      <c r="B2474" s="4" t="s">
        <v>70</v>
      </c>
      <c r="C2474" s="4" t="s">
        <v>189</v>
      </c>
      <c r="D2474" s="4">
        <v>80</v>
      </c>
      <c r="E2474" s="16" t="s">
        <v>114</v>
      </c>
      <c r="F2474" s="17" t="s">
        <v>110</v>
      </c>
    </row>
    <row r="2475" spans="1:6">
      <c r="A2475" s="4" t="str">
        <f t="shared" si="38"/>
        <v>tRNA-Leu-CAG-1-1|69</v>
      </c>
      <c r="B2475" s="4" t="s">
        <v>70</v>
      </c>
      <c r="C2475" s="4" t="s">
        <v>190</v>
      </c>
      <c r="D2475" s="4">
        <v>81</v>
      </c>
      <c r="E2475" s="16" t="s">
        <v>116</v>
      </c>
      <c r="F2475" s="17" t="s">
        <v>110</v>
      </c>
    </row>
    <row r="2476" spans="1:6">
      <c r="A2476" s="4" t="str">
        <f t="shared" si="38"/>
        <v>tRNA-Leu-CAG-1-1|70</v>
      </c>
      <c r="B2476" s="4" t="s">
        <v>70</v>
      </c>
      <c r="C2476" s="4" t="s">
        <v>191</v>
      </c>
      <c r="D2476" s="4">
        <v>82</v>
      </c>
      <c r="E2476" s="16" t="s">
        <v>114</v>
      </c>
      <c r="F2476" s="17" t="s">
        <v>110</v>
      </c>
    </row>
    <row r="2477" spans="1:6">
      <c r="A2477" s="4" t="str">
        <f t="shared" si="38"/>
        <v>tRNA-Leu-CAG-1-1|71</v>
      </c>
      <c r="B2477" s="4" t="s">
        <v>70</v>
      </c>
      <c r="C2477" s="4" t="s">
        <v>192</v>
      </c>
      <c r="D2477" s="4">
        <v>83</v>
      </c>
      <c r="E2477" s="16" t="s">
        <v>109</v>
      </c>
      <c r="F2477" s="17" t="s">
        <v>110</v>
      </c>
    </row>
    <row r="2478" spans="1:6">
      <c r="A2478" s="4" t="str">
        <f t="shared" si="38"/>
        <v>tRNA-Leu-CAG-1-1|72</v>
      </c>
      <c r="B2478" s="4" t="s">
        <v>70</v>
      </c>
      <c r="C2478" s="4" t="s">
        <v>193</v>
      </c>
      <c r="D2478" s="4">
        <v>84</v>
      </c>
      <c r="E2478" s="16" t="s">
        <v>114</v>
      </c>
      <c r="F2478" s="17" t="s">
        <v>110</v>
      </c>
    </row>
    <row r="2479" spans="1:6">
      <c r="A2479" s="4" t="str">
        <f t="shared" si="38"/>
        <v>tRNA-Leu-GAG-1-1|1</v>
      </c>
      <c r="B2479" s="4" t="s">
        <v>71</v>
      </c>
      <c r="C2479" s="4" t="s">
        <v>108</v>
      </c>
      <c r="D2479" s="4">
        <v>1</v>
      </c>
      <c r="E2479" s="16" t="s">
        <v>109</v>
      </c>
      <c r="F2479" s="17" t="s">
        <v>110</v>
      </c>
    </row>
    <row r="2480" spans="1:6">
      <c r="A2480" s="4" t="str">
        <f t="shared" si="38"/>
        <v>tRNA-Leu-GAG-1-1|2</v>
      </c>
      <c r="B2480" s="4" t="s">
        <v>71</v>
      </c>
      <c r="C2480" s="4" t="s">
        <v>111</v>
      </c>
      <c r="D2480" s="4">
        <v>2</v>
      </c>
      <c r="E2480" s="16" t="s">
        <v>114</v>
      </c>
      <c r="F2480" s="17" t="s">
        <v>110</v>
      </c>
    </row>
    <row r="2481" spans="1:6">
      <c r="A2481" s="4" t="str">
        <f t="shared" si="38"/>
        <v>tRNA-Leu-GAG-1-1|3</v>
      </c>
      <c r="B2481" s="4" t="s">
        <v>71</v>
      </c>
      <c r="C2481" s="4" t="s">
        <v>112</v>
      </c>
      <c r="D2481" s="4">
        <v>3</v>
      </c>
      <c r="E2481" s="16" t="s">
        <v>109</v>
      </c>
      <c r="F2481" s="17" t="s">
        <v>110</v>
      </c>
    </row>
    <row r="2482" spans="1:6">
      <c r="A2482" s="4" t="str">
        <f t="shared" si="38"/>
        <v>tRNA-Leu-GAG-1-1|4</v>
      </c>
      <c r="B2482" s="4" t="s">
        <v>71</v>
      </c>
      <c r="C2482" s="4" t="s">
        <v>113</v>
      </c>
      <c r="D2482" s="4">
        <v>4</v>
      </c>
      <c r="E2482" s="16" t="s">
        <v>122</v>
      </c>
      <c r="F2482" s="17" t="s">
        <v>110</v>
      </c>
    </row>
    <row r="2483" spans="1:6">
      <c r="A2483" s="4" t="str">
        <f t="shared" si="38"/>
        <v>tRNA-Leu-GAG-1-1|5</v>
      </c>
      <c r="B2483" s="4" t="s">
        <v>71</v>
      </c>
      <c r="C2483" s="4" t="s">
        <v>115</v>
      </c>
      <c r="D2483" s="4">
        <v>5</v>
      </c>
      <c r="E2483" s="16" t="s">
        <v>109</v>
      </c>
      <c r="F2483" s="17" t="s">
        <v>110</v>
      </c>
    </row>
    <row r="2484" spans="1:6">
      <c r="A2484" s="4" t="str">
        <f t="shared" si="38"/>
        <v>tRNA-Leu-GAG-1-1|6</v>
      </c>
      <c r="B2484" s="4" t="s">
        <v>71</v>
      </c>
      <c r="C2484" s="4" t="s">
        <v>117</v>
      </c>
      <c r="D2484" s="4">
        <v>6</v>
      </c>
      <c r="E2484" s="16" t="s">
        <v>109</v>
      </c>
      <c r="F2484" s="17" t="s">
        <v>110</v>
      </c>
    </row>
    <row r="2485" spans="1:6">
      <c r="A2485" s="4" t="str">
        <f t="shared" si="38"/>
        <v>tRNA-Leu-GAG-1-1|7</v>
      </c>
      <c r="B2485" s="4" t="s">
        <v>71</v>
      </c>
      <c r="C2485" s="4" t="s">
        <v>118</v>
      </c>
      <c r="D2485" s="4">
        <v>7</v>
      </c>
      <c r="E2485" s="16" t="s">
        <v>109</v>
      </c>
      <c r="F2485" s="17" t="s">
        <v>110</v>
      </c>
    </row>
    <row r="2486" spans="1:6">
      <c r="A2486" s="4" t="str">
        <f t="shared" si="38"/>
        <v>tRNA-Leu-GAG-1-1|8</v>
      </c>
      <c r="B2486" s="4" t="s">
        <v>71</v>
      </c>
      <c r="C2486" s="4" t="s">
        <v>119</v>
      </c>
      <c r="D2486" s="4">
        <v>8</v>
      </c>
      <c r="E2486" s="3" t="s">
        <v>116</v>
      </c>
      <c r="F2486" s="4" t="s">
        <v>120</v>
      </c>
    </row>
    <row r="2487" spans="1:6">
      <c r="A2487" s="4" t="str">
        <f t="shared" si="38"/>
        <v>tRNA-Leu-GAG-1-1|9</v>
      </c>
      <c r="B2487" s="4" t="s">
        <v>71</v>
      </c>
      <c r="C2487" s="4" t="s">
        <v>121</v>
      </c>
      <c r="D2487" s="4">
        <v>9</v>
      </c>
      <c r="E2487" s="3" t="s">
        <v>116</v>
      </c>
      <c r="F2487" s="4" t="s">
        <v>123</v>
      </c>
    </row>
    <row r="2488" spans="1:6">
      <c r="A2488" s="4" t="str">
        <f t="shared" si="38"/>
        <v>tRNA-Leu-GAG-1-1|10</v>
      </c>
      <c r="B2488" s="4" t="s">
        <v>71</v>
      </c>
      <c r="C2488" s="4" t="s">
        <v>124</v>
      </c>
      <c r="D2488" s="4">
        <v>10</v>
      </c>
      <c r="E2488" s="8" t="s">
        <v>109</v>
      </c>
      <c r="F2488" s="7" t="s">
        <v>125</v>
      </c>
    </row>
    <row r="2489" spans="1:6">
      <c r="A2489" s="4" t="str">
        <f t="shared" si="38"/>
        <v>tRNA-Leu-GAG-1-1|11</v>
      </c>
      <c r="B2489" s="4" t="s">
        <v>71</v>
      </c>
      <c r="C2489" s="4" t="s">
        <v>126</v>
      </c>
      <c r="D2489" s="4">
        <v>11</v>
      </c>
      <c r="E2489" s="8" t="s">
        <v>114</v>
      </c>
      <c r="F2489" s="7" t="s">
        <v>125</v>
      </c>
    </row>
    <row r="2490" spans="1:6">
      <c r="A2490" s="4" t="str">
        <f t="shared" si="38"/>
        <v>tRNA-Leu-GAG-1-1|12</v>
      </c>
      <c r="B2490" s="4" t="s">
        <v>71</v>
      </c>
      <c r="C2490" s="4" t="s">
        <v>127</v>
      </c>
      <c r="D2490" s="4">
        <v>12</v>
      </c>
      <c r="E2490" s="8" t="s">
        <v>114</v>
      </c>
      <c r="F2490" s="7" t="s">
        <v>125</v>
      </c>
    </row>
    <row r="2491" spans="1:6">
      <c r="A2491" s="4" t="str">
        <f t="shared" si="38"/>
        <v>tRNA-Leu-GAG-1-1|13</v>
      </c>
      <c r="B2491" s="4" t="s">
        <v>71</v>
      </c>
      <c r="C2491" s="4" t="s">
        <v>128</v>
      </c>
      <c r="D2491" s="4">
        <v>13</v>
      </c>
      <c r="E2491" s="8" t="s">
        <v>114</v>
      </c>
      <c r="F2491" s="7" t="s">
        <v>125</v>
      </c>
    </row>
    <row r="2492" spans="1:6">
      <c r="A2492" s="4" t="str">
        <f t="shared" si="38"/>
        <v>tRNA-Leu-GAG-1-1|14</v>
      </c>
      <c r="B2492" s="4" t="s">
        <v>71</v>
      </c>
      <c r="C2492" s="4" t="s">
        <v>129</v>
      </c>
      <c r="D2492" s="4">
        <v>14</v>
      </c>
      <c r="E2492" s="18" t="s">
        <v>122</v>
      </c>
      <c r="F2492" s="19" t="s">
        <v>130</v>
      </c>
    </row>
    <row r="2493" spans="1:6">
      <c r="A2493" s="4" t="str">
        <f t="shared" si="38"/>
        <v>tRNA-Leu-GAG-1-1|15</v>
      </c>
      <c r="B2493" s="4" t="s">
        <v>71</v>
      </c>
      <c r="C2493" s="4" t="s">
        <v>131</v>
      </c>
      <c r="D2493" s="4">
        <v>15</v>
      </c>
      <c r="E2493" s="18" t="s">
        <v>109</v>
      </c>
      <c r="F2493" s="19" t="s">
        <v>130</v>
      </c>
    </row>
    <row r="2494" spans="1:6">
      <c r="A2494" s="4" t="str">
        <f t="shared" si="38"/>
        <v>tRNA-Leu-GAG-1-1|16</v>
      </c>
      <c r="B2494" s="4" t="s">
        <v>71</v>
      </c>
      <c r="C2494" s="4" t="s">
        <v>194</v>
      </c>
      <c r="D2494" s="4">
        <v>16</v>
      </c>
      <c r="E2494" s="18" t="s">
        <v>114</v>
      </c>
      <c r="F2494" s="19" t="s">
        <v>130</v>
      </c>
    </row>
    <row r="2495" spans="1:6">
      <c r="A2495" s="4" t="str">
        <f t="shared" si="38"/>
        <v>tRNA-Leu-GAG-1-1|17</v>
      </c>
      <c r="B2495" s="4" t="s">
        <v>71</v>
      </c>
      <c r="C2495" s="4" t="s">
        <v>195</v>
      </c>
      <c r="D2495" s="4">
        <v>17</v>
      </c>
      <c r="E2495" s="18" t="s">
        <v>114</v>
      </c>
      <c r="F2495" s="19" t="s">
        <v>130</v>
      </c>
    </row>
    <row r="2496" spans="1:6">
      <c r="A2496" s="4" t="str">
        <f t="shared" si="38"/>
        <v>tRNA-Leu-GAG-1-1|17a</v>
      </c>
      <c r="B2496" s="4" t="s">
        <v>71</v>
      </c>
      <c r="C2496" s="4" t="s">
        <v>196</v>
      </c>
      <c r="D2496" s="4">
        <v>18</v>
      </c>
      <c r="E2496" s="18" t="s">
        <v>122</v>
      </c>
      <c r="F2496" s="19" t="s">
        <v>130</v>
      </c>
    </row>
    <row r="2497" spans="1:6">
      <c r="A2497" s="4" t="str">
        <f t="shared" si="38"/>
        <v>tRNA-Leu-GAG-1-1|18</v>
      </c>
      <c r="B2497" s="4" t="s">
        <v>71</v>
      </c>
      <c r="C2497" s="4" t="s">
        <v>132</v>
      </c>
      <c r="D2497" s="4">
        <v>19</v>
      </c>
      <c r="E2497" s="18" t="s">
        <v>109</v>
      </c>
      <c r="F2497" s="19" t="s">
        <v>130</v>
      </c>
    </row>
    <row r="2498" spans="1:6">
      <c r="A2498" s="4" t="str">
        <f t="shared" ref="A2498:A2561" si="39">B2498&amp;"|"&amp;C2498</f>
        <v>tRNA-Leu-GAG-1-1|19</v>
      </c>
      <c r="B2498" s="4" t="s">
        <v>71</v>
      </c>
      <c r="C2498" s="4" t="s">
        <v>133</v>
      </c>
      <c r="D2498" s="4">
        <v>20</v>
      </c>
      <c r="E2498" s="18" t="s">
        <v>109</v>
      </c>
      <c r="F2498" s="19" t="s">
        <v>130</v>
      </c>
    </row>
    <row r="2499" spans="1:6">
      <c r="A2499" s="4" t="str">
        <f t="shared" si="39"/>
        <v>tRNA-Leu-GAG-1-1|20</v>
      </c>
      <c r="B2499" s="4" t="s">
        <v>71</v>
      </c>
      <c r="C2499" s="4" t="s">
        <v>134</v>
      </c>
      <c r="D2499" s="4">
        <v>21</v>
      </c>
      <c r="E2499" s="18" t="s">
        <v>116</v>
      </c>
      <c r="F2499" s="19" t="s">
        <v>130</v>
      </c>
    </row>
    <row r="2500" spans="1:6">
      <c r="A2500" s="4" t="str">
        <f t="shared" si="39"/>
        <v>tRNA-Leu-GAG-1-1|20a</v>
      </c>
      <c r="B2500" s="4" t="s">
        <v>71</v>
      </c>
      <c r="C2500" s="4" t="s">
        <v>135</v>
      </c>
      <c r="D2500" s="4">
        <v>22</v>
      </c>
      <c r="E2500" s="18" t="s">
        <v>114</v>
      </c>
      <c r="F2500" s="19" t="s">
        <v>130</v>
      </c>
    </row>
    <row r="2501" spans="1:6">
      <c r="A2501" s="4" t="str">
        <f t="shared" si="39"/>
        <v>tRNA-Leu-GAG-1-1|20b</v>
      </c>
      <c r="B2501" s="4" t="s">
        <v>71</v>
      </c>
      <c r="C2501" s="4" t="s">
        <v>197</v>
      </c>
      <c r="D2501" s="4">
        <v>23</v>
      </c>
      <c r="E2501" s="18" t="s">
        <v>122</v>
      </c>
      <c r="F2501" s="19" t="s">
        <v>130</v>
      </c>
    </row>
    <row r="2502" spans="1:6">
      <c r="A2502" s="4" t="str">
        <f t="shared" si="39"/>
        <v>tRNA-Leu-GAG-1-1|21</v>
      </c>
      <c r="B2502" s="4" t="s">
        <v>71</v>
      </c>
      <c r="C2502" s="4" t="s">
        <v>136</v>
      </c>
      <c r="D2502" s="4">
        <v>24</v>
      </c>
      <c r="E2502" s="18" t="s">
        <v>122</v>
      </c>
      <c r="F2502" s="19" t="s">
        <v>130</v>
      </c>
    </row>
    <row r="2503" spans="1:6">
      <c r="A2503" s="4" t="str">
        <f t="shared" si="39"/>
        <v>tRNA-Leu-GAG-1-1|22</v>
      </c>
      <c r="B2503" s="4" t="s">
        <v>71</v>
      </c>
      <c r="C2503" s="4" t="s">
        <v>137</v>
      </c>
      <c r="D2503" s="4">
        <v>25</v>
      </c>
      <c r="E2503" s="8" t="s">
        <v>122</v>
      </c>
      <c r="F2503" s="7" t="s">
        <v>125</v>
      </c>
    </row>
    <row r="2504" spans="1:6">
      <c r="A2504" s="4" t="str">
        <f t="shared" si="39"/>
        <v>tRNA-Leu-GAG-1-1|23</v>
      </c>
      <c r="B2504" s="4" t="s">
        <v>71</v>
      </c>
      <c r="C2504" s="4" t="s">
        <v>138</v>
      </c>
      <c r="D2504" s="4">
        <v>26</v>
      </c>
      <c r="E2504" s="8" t="s">
        <v>109</v>
      </c>
      <c r="F2504" s="7" t="s">
        <v>125</v>
      </c>
    </row>
    <row r="2505" spans="1:6">
      <c r="A2505" s="4" t="str">
        <f t="shared" si="39"/>
        <v>tRNA-Leu-GAG-1-1|24</v>
      </c>
      <c r="B2505" s="4" t="s">
        <v>71</v>
      </c>
      <c r="C2505" s="4" t="s">
        <v>139</v>
      </c>
      <c r="D2505" s="4">
        <v>27</v>
      </c>
      <c r="E2505" s="8" t="s">
        <v>109</v>
      </c>
      <c r="F2505" s="7" t="s">
        <v>125</v>
      </c>
    </row>
    <row r="2506" spans="1:6">
      <c r="A2506" s="4" t="str">
        <f t="shared" si="39"/>
        <v>tRNA-Leu-GAG-1-1|25</v>
      </c>
      <c r="B2506" s="4" t="s">
        <v>71</v>
      </c>
      <c r="C2506" s="4" t="s">
        <v>140</v>
      </c>
      <c r="D2506" s="4">
        <v>28</v>
      </c>
      <c r="E2506" s="8" t="s">
        <v>114</v>
      </c>
      <c r="F2506" s="7" t="s">
        <v>125</v>
      </c>
    </row>
    <row r="2507" spans="1:6">
      <c r="A2507" s="4" t="str">
        <f t="shared" si="39"/>
        <v>tRNA-Leu-GAG-1-1|26</v>
      </c>
      <c r="B2507" s="4" t="s">
        <v>71</v>
      </c>
      <c r="C2507" s="4" t="s">
        <v>141</v>
      </c>
      <c r="D2507" s="4">
        <v>29</v>
      </c>
      <c r="E2507" s="3" t="s">
        <v>109</v>
      </c>
      <c r="F2507" s="4" t="s">
        <v>142</v>
      </c>
    </row>
    <row r="2508" spans="1:6">
      <c r="A2508" s="4" t="str">
        <f t="shared" si="39"/>
        <v>tRNA-Leu-GAG-1-1|27</v>
      </c>
      <c r="B2508" s="4" t="s">
        <v>71</v>
      </c>
      <c r="C2508" s="4" t="s">
        <v>143</v>
      </c>
      <c r="D2508" s="4">
        <v>30</v>
      </c>
      <c r="E2508" s="20" t="s">
        <v>114</v>
      </c>
      <c r="F2508" s="21" t="s">
        <v>144</v>
      </c>
    </row>
    <row r="2509" spans="1:6">
      <c r="A2509" s="4" t="str">
        <f t="shared" si="39"/>
        <v>tRNA-Leu-GAG-1-1|28</v>
      </c>
      <c r="B2509" s="4" t="s">
        <v>71</v>
      </c>
      <c r="C2509" s="4" t="s">
        <v>145</v>
      </c>
      <c r="D2509" s="4">
        <v>31</v>
      </c>
      <c r="E2509" s="20" t="s">
        <v>116</v>
      </c>
      <c r="F2509" s="21" t="s">
        <v>144</v>
      </c>
    </row>
    <row r="2510" spans="1:6">
      <c r="A2510" s="4" t="str">
        <f t="shared" si="39"/>
        <v>tRNA-Leu-GAG-1-1|29</v>
      </c>
      <c r="B2510" s="4" t="s">
        <v>71</v>
      </c>
      <c r="C2510" s="4" t="s">
        <v>146</v>
      </c>
      <c r="D2510" s="4">
        <v>32</v>
      </c>
      <c r="E2510" s="20" t="s">
        <v>122</v>
      </c>
      <c r="F2510" s="21" t="s">
        <v>144</v>
      </c>
    </row>
    <row r="2511" spans="1:6">
      <c r="A2511" s="4" t="str">
        <f t="shared" si="39"/>
        <v>tRNA-Leu-GAG-1-1|30</v>
      </c>
      <c r="B2511" s="4" t="s">
        <v>71</v>
      </c>
      <c r="C2511" s="4" t="s">
        <v>147</v>
      </c>
      <c r="D2511" s="4">
        <v>33</v>
      </c>
      <c r="E2511" s="20" t="s">
        <v>109</v>
      </c>
      <c r="F2511" s="21" t="s">
        <v>144</v>
      </c>
    </row>
    <row r="2512" spans="1:6">
      <c r="A2512" s="4" t="str">
        <f t="shared" si="39"/>
        <v>tRNA-Leu-GAG-1-1|31</v>
      </c>
      <c r="B2512" s="4" t="s">
        <v>71</v>
      </c>
      <c r="C2512" s="4" t="s">
        <v>148</v>
      </c>
      <c r="D2512" s="4">
        <v>34</v>
      </c>
      <c r="E2512" s="20" t="s">
        <v>109</v>
      </c>
      <c r="F2512" s="21" t="s">
        <v>144</v>
      </c>
    </row>
    <row r="2513" spans="1:6">
      <c r="A2513" s="4" t="str">
        <f t="shared" si="39"/>
        <v>tRNA-Leu-GAG-1-1|32</v>
      </c>
      <c r="B2513" s="4" t="s">
        <v>71</v>
      </c>
      <c r="C2513" s="4" t="s">
        <v>149</v>
      </c>
      <c r="D2513" s="4">
        <v>35</v>
      </c>
      <c r="E2513" s="18" t="s">
        <v>116</v>
      </c>
      <c r="F2513" s="19" t="s">
        <v>150</v>
      </c>
    </row>
    <row r="2514" spans="1:6">
      <c r="A2514" s="4" t="str">
        <f t="shared" si="39"/>
        <v>tRNA-Leu-GAG-1-1|33</v>
      </c>
      <c r="B2514" s="4" t="s">
        <v>71</v>
      </c>
      <c r="C2514" s="4" t="s">
        <v>151</v>
      </c>
      <c r="D2514" s="4">
        <v>36</v>
      </c>
      <c r="E2514" s="18" t="s">
        <v>116</v>
      </c>
      <c r="F2514" s="19" t="s">
        <v>150</v>
      </c>
    </row>
    <row r="2515" spans="1:6">
      <c r="A2515" s="4" t="str">
        <f t="shared" si="39"/>
        <v>tRNA-Leu-GAG-1-1|34</v>
      </c>
      <c r="B2515" s="4" t="s">
        <v>71</v>
      </c>
      <c r="C2515" s="4" t="s">
        <v>152</v>
      </c>
      <c r="D2515" s="4">
        <v>37</v>
      </c>
      <c r="E2515" s="18" t="s">
        <v>109</v>
      </c>
      <c r="F2515" s="19" t="s">
        <v>150</v>
      </c>
    </row>
    <row r="2516" spans="1:6">
      <c r="A2516" s="4" t="str">
        <f t="shared" si="39"/>
        <v>tRNA-Leu-GAG-1-1|35</v>
      </c>
      <c r="B2516" s="4" t="s">
        <v>71</v>
      </c>
      <c r="C2516" s="4" t="s">
        <v>153</v>
      </c>
      <c r="D2516" s="4">
        <v>38</v>
      </c>
      <c r="E2516" s="18" t="s">
        <v>122</v>
      </c>
      <c r="F2516" s="19" t="s">
        <v>150</v>
      </c>
    </row>
    <row r="2517" spans="1:6">
      <c r="A2517" s="4" t="str">
        <f t="shared" si="39"/>
        <v>tRNA-Leu-GAG-1-1|36</v>
      </c>
      <c r="B2517" s="4" t="s">
        <v>71</v>
      </c>
      <c r="C2517" s="4" t="s">
        <v>154</v>
      </c>
      <c r="D2517" s="4">
        <v>39</v>
      </c>
      <c r="E2517" s="18" t="s">
        <v>109</v>
      </c>
      <c r="F2517" s="19" t="s">
        <v>150</v>
      </c>
    </row>
    <row r="2518" spans="1:6">
      <c r="A2518" s="4" t="str">
        <f t="shared" si="39"/>
        <v>tRNA-Leu-GAG-1-1|37</v>
      </c>
      <c r="B2518" s="4" t="s">
        <v>71</v>
      </c>
      <c r="C2518" s="4" t="s">
        <v>155</v>
      </c>
      <c r="D2518" s="4">
        <v>40</v>
      </c>
      <c r="E2518" s="18" t="s">
        <v>109</v>
      </c>
      <c r="F2518" s="19" t="s">
        <v>150</v>
      </c>
    </row>
    <row r="2519" spans="1:6">
      <c r="A2519" s="4" t="str">
        <f t="shared" si="39"/>
        <v>tRNA-Leu-GAG-1-1|38</v>
      </c>
      <c r="B2519" s="4" t="s">
        <v>71</v>
      </c>
      <c r="C2519" s="4" t="s">
        <v>156</v>
      </c>
      <c r="D2519" s="4">
        <v>41</v>
      </c>
      <c r="E2519" s="18" t="s">
        <v>109</v>
      </c>
      <c r="F2519" s="19" t="s">
        <v>150</v>
      </c>
    </row>
    <row r="2520" spans="1:6">
      <c r="A2520" s="4" t="str">
        <f t="shared" si="39"/>
        <v>tRNA-Leu-GAG-1-1|39</v>
      </c>
      <c r="B2520" s="4" t="s">
        <v>71</v>
      </c>
      <c r="C2520" s="4" t="s">
        <v>157</v>
      </c>
      <c r="D2520" s="4">
        <v>42</v>
      </c>
      <c r="E2520" s="20" t="s">
        <v>114</v>
      </c>
      <c r="F2520" s="21" t="s">
        <v>144</v>
      </c>
    </row>
    <row r="2521" spans="1:6">
      <c r="A2521" s="4" t="str">
        <f t="shared" si="39"/>
        <v>tRNA-Leu-GAG-1-1|40</v>
      </c>
      <c r="B2521" s="4" t="s">
        <v>71</v>
      </c>
      <c r="C2521" s="4" t="s">
        <v>158</v>
      </c>
      <c r="D2521" s="4">
        <v>43</v>
      </c>
      <c r="E2521" s="20" t="s">
        <v>114</v>
      </c>
      <c r="F2521" s="21" t="s">
        <v>144</v>
      </c>
    </row>
    <row r="2522" spans="1:6">
      <c r="A2522" s="4" t="str">
        <f t="shared" si="39"/>
        <v>tRNA-Leu-GAG-1-1|41</v>
      </c>
      <c r="B2522" s="4" t="s">
        <v>71</v>
      </c>
      <c r="C2522" s="4" t="s">
        <v>159</v>
      </c>
      <c r="D2522" s="4">
        <v>44</v>
      </c>
      <c r="E2522" s="20" t="s">
        <v>116</v>
      </c>
      <c r="F2522" s="21" t="s">
        <v>144</v>
      </c>
    </row>
    <row r="2523" spans="1:6">
      <c r="A2523" s="4" t="str">
        <f t="shared" si="39"/>
        <v>tRNA-Leu-GAG-1-1|42</v>
      </c>
      <c r="B2523" s="4" t="s">
        <v>71</v>
      </c>
      <c r="C2523" s="4" t="s">
        <v>160</v>
      </c>
      <c r="D2523" s="4">
        <v>45</v>
      </c>
      <c r="E2523" s="20" t="s">
        <v>122</v>
      </c>
      <c r="F2523" s="21" t="s">
        <v>144</v>
      </c>
    </row>
    <row r="2524" spans="1:6">
      <c r="A2524" s="4" t="str">
        <f t="shared" si="39"/>
        <v>tRNA-Leu-GAG-1-1|43</v>
      </c>
      <c r="B2524" s="4" t="s">
        <v>71</v>
      </c>
      <c r="C2524" s="4" t="s">
        <v>161</v>
      </c>
      <c r="D2524" s="4">
        <v>46</v>
      </c>
      <c r="E2524" s="20" t="s">
        <v>109</v>
      </c>
      <c r="F2524" s="21" t="s">
        <v>144</v>
      </c>
    </row>
    <row r="2525" spans="1:6">
      <c r="A2525" s="4" t="str">
        <f t="shared" si="39"/>
        <v>tRNA-Leu-GAG-1-1|44</v>
      </c>
      <c r="B2525" s="4" t="s">
        <v>71</v>
      </c>
      <c r="C2525" s="4" t="s">
        <v>162</v>
      </c>
      <c r="D2525" s="4">
        <v>47</v>
      </c>
      <c r="E2525" s="18" t="s">
        <v>116</v>
      </c>
      <c r="F2525" s="19" t="s">
        <v>163</v>
      </c>
    </row>
    <row r="2526" spans="1:6">
      <c r="A2526" s="4" t="str">
        <f t="shared" si="39"/>
        <v>tRNA-Leu-GAG-1-1|45</v>
      </c>
      <c r="B2526" s="4" t="s">
        <v>71</v>
      </c>
      <c r="C2526" s="4" t="s">
        <v>164</v>
      </c>
      <c r="D2526" s="4">
        <v>48</v>
      </c>
      <c r="E2526" s="18" t="s">
        <v>116</v>
      </c>
      <c r="F2526" s="19" t="s">
        <v>163</v>
      </c>
    </row>
    <row r="2527" spans="1:6">
      <c r="A2527" s="4" t="str">
        <f t="shared" si="39"/>
        <v>tRNA-Leu-GAG-1-1|e1</v>
      </c>
      <c r="B2527" s="4" t="s">
        <v>71</v>
      </c>
      <c r="C2527" s="4" t="s">
        <v>198</v>
      </c>
      <c r="D2527" s="4">
        <v>49</v>
      </c>
      <c r="E2527" s="18" t="s">
        <v>116</v>
      </c>
      <c r="F2527" s="19" t="s">
        <v>163</v>
      </c>
    </row>
    <row r="2528" spans="1:6">
      <c r="A2528" s="4" t="str">
        <f t="shared" si="39"/>
        <v>tRNA-Leu-GAG-1-1|e2</v>
      </c>
      <c r="B2528" s="4" t="s">
        <v>71</v>
      </c>
      <c r="C2528" s="4" t="s">
        <v>199</v>
      </c>
      <c r="D2528" s="4">
        <v>50</v>
      </c>
      <c r="E2528" s="18" t="s">
        <v>114</v>
      </c>
      <c r="F2528" s="19" t="s">
        <v>163</v>
      </c>
    </row>
    <row r="2529" spans="1:6">
      <c r="A2529" s="4" t="str">
        <f t="shared" si="39"/>
        <v>tRNA-Leu-GAG-1-1|e3</v>
      </c>
      <c r="B2529" s="4" t="s">
        <v>71</v>
      </c>
      <c r="C2529" s="4" t="s">
        <v>200</v>
      </c>
      <c r="D2529" s="4">
        <v>51</v>
      </c>
      <c r="E2529" s="18" t="s">
        <v>109</v>
      </c>
      <c r="F2529" s="19" t="s">
        <v>163</v>
      </c>
    </row>
    <row r="2530" spans="1:6">
      <c r="A2530" s="4" t="str">
        <f t="shared" si="39"/>
        <v>tRNA-Leu-GAG-1-1|e4</v>
      </c>
      <c r="B2530" s="4" t="s">
        <v>71</v>
      </c>
      <c r="C2530" s="4" t="s">
        <v>201</v>
      </c>
      <c r="D2530" s="4">
        <v>52</v>
      </c>
      <c r="E2530" s="18" t="s">
        <v>116</v>
      </c>
      <c r="F2530" s="19" t="s">
        <v>163</v>
      </c>
    </row>
    <row r="2531" spans="1:6">
      <c r="A2531" s="4" t="str">
        <f t="shared" si="39"/>
        <v>tRNA-Leu-GAG-1-1|e5</v>
      </c>
      <c r="B2531" s="4" t="s">
        <v>71</v>
      </c>
      <c r="C2531" s="4" t="s">
        <v>202</v>
      </c>
      <c r="D2531" s="4">
        <v>53</v>
      </c>
      <c r="E2531" s="18" t="s">
        <v>122</v>
      </c>
      <c r="F2531" s="19" t="s">
        <v>163</v>
      </c>
    </row>
    <row r="2532" spans="1:6">
      <c r="A2532" s="4" t="str">
        <f t="shared" si="39"/>
        <v>tRNA-Leu-GAG-1-1|e6</v>
      </c>
      <c r="B2532" s="4" t="s">
        <v>71</v>
      </c>
      <c r="C2532" s="4" t="s">
        <v>203</v>
      </c>
      <c r="D2532" s="4">
        <v>54</v>
      </c>
      <c r="E2532" s="18" t="s">
        <v>109</v>
      </c>
      <c r="F2532" s="19" t="s">
        <v>163</v>
      </c>
    </row>
    <row r="2533" spans="1:6">
      <c r="A2533" s="4" t="str">
        <f t="shared" si="39"/>
        <v>tRNA-Leu-GAG-1-1|e7</v>
      </c>
      <c r="B2533" s="4" t="s">
        <v>71</v>
      </c>
      <c r="C2533" s="4" t="s">
        <v>204</v>
      </c>
      <c r="D2533" s="4">
        <v>55</v>
      </c>
      <c r="E2533" s="18" t="s">
        <v>109</v>
      </c>
      <c r="F2533" s="19" t="s">
        <v>163</v>
      </c>
    </row>
    <row r="2534" spans="1:6">
      <c r="A2534" s="4" t="str">
        <f t="shared" si="39"/>
        <v>tRNA-Leu-GAG-1-1|e8</v>
      </c>
      <c r="B2534" s="4" t="s">
        <v>71</v>
      </c>
      <c r="C2534" s="4" t="s">
        <v>205</v>
      </c>
      <c r="D2534" s="4">
        <v>56</v>
      </c>
      <c r="E2534" s="18" t="s">
        <v>122</v>
      </c>
      <c r="F2534" s="19" t="s">
        <v>163</v>
      </c>
    </row>
    <row r="2535" spans="1:6">
      <c r="A2535" s="4" t="str">
        <f t="shared" si="39"/>
        <v>tRNA-Leu-GAG-1-1|e9</v>
      </c>
      <c r="B2535" s="4" t="s">
        <v>71</v>
      </c>
      <c r="C2535" s="4" t="s">
        <v>206</v>
      </c>
      <c r="D2535" s="4">
        <v>57</v>
      </c>
      <c r="E2535" s="18" t="s">
        <v>122</v>
      </c>
      <c r="F2535" s="19" t="s">
        <v>163</v>
      </c>
    </row>
    <row r="2536" spans="1:6">
      <c r="A2536" s="4" t="str">
        <f t="shared" si="39"/>
        <v>tRNA-Leu-GAG-1-1|46</v>
      </c>
      <c r="B2536" s="4" t="s">
        <v>71</v>
      </c>
      <c r="C2536" s="4" t="s">
        <v>165</v>
      </c>
      <c r="D2536" s="4">
        <v>58</v>
      </c>
      <c r="E2536" s="18" t="s">
        <v>116</v>
      </c>
      <c r="F2536" s="19" t="s">
        <v>163</v>
      </c>
    </row>
    <row r="2537" spans="1:6">
      <c r="A2537" s="4" t="str">
        <f t="shared" si="39"/>
        <v>tRNA-Leu-GAG-1-1|47</v>
      </c>
      <c r="B2537" s="4" t="s">
        <v>71</v>
      </c>
      <c r="C2537" s="4" t="s">
        <v>166</v>
      </c>
      <c r="D2537" s="4">
        <v>59</v>
      </c>
      <c r="E2537" s="18" t="s">
        <v>116</v>
      </c>
      <c r="F2537" s="19" t="s">
        <v>163</v>
      </c>
    </row>
    <row r="2538" spans="1:6">
      <c r="A2538" s="4" t="str">
        <f t="shared" si="39"/>
        <v>tRNA-Leu-GAG-1-1|48</v>
      </c>
      <c r="B2538" s="4" t="s">
        <v>71</v>
      </c>
      <c r="C2538" s="4" t="s">
        <v>167</v>
      </c>
      <c r="D2538" s="4">
        <v>60</v>
      </c>
      <c r="E2538" s="18" t="s">
        <v>114</v>
      </c>
      <c r="F2538" s="19" t="s">
        <v>163</v>
      </c>
    </row>
    <row r="2539" spans="1:6">
      <c r="A2539" s="4" t="str">
        <f t="shared" si="39"/>
        <v>tRNA-Leu-GAG-1-1|49</v>
      </c>
      <c r="B2539" s="4" t="s">
        <v>71</v>
      </c>
      <c r="C2539" s="4" t="s">
        <v>168</v>
      </c>
      <c r="D2539" s="4">
        <v>61</v>
      </c>
      <c r="E2539" s="22" t="s">
        <v>109</v>
      </c>
      <c r="F2539" s="10" t="s">
        <v>169</v>
      </c>
    </row>
    <row r="2540" spans="1:6">
      <c r="A2540" s="4" t="str">
        <f t="shared" si="39"/>
        <v>tRNA-Leu-GAG-1-1|50</v>
      </c>
      <c r="B2540" s="4" t="s">
        <v>71</v>
      </c>
      <c r="C2540" s="4" t="s">
        <v>170</v>
      </c>
      <c r="D2540" s="4">
        <v>62</v>
      </c>
      <c r="E2540" s="22" t="s">
        <v>116</v>
      </c>
      <c r="F2540" s="10" t="s">
        <v>169</v>
      </c>
    </row>
    <row r="2541" spans="1:6">
      <c r="A2541" s="4" t="str">
        <f t="shared" si="39"/>
        <v>tRNA-Leu-GAG-1-1|51</v>
      </c>
      <c r="B2541" s="4" t="s">
        <v>71</v>
      </c>
      <c r="C2541" s="4" t="s">
        <v>171</v>
      </c>
      <c r="D2541" s="4">
        <v>63</v>
      </c>
      <c r="E2541" s="22" t="s">
        <v>109</v>
      </c>
      <c r="F2541" s="10" t="s">
        <v>169</v>
      </c>
    </row>
    <row r="2542" spans="1:6">
      <c r="A2542" s="4" t="str">
        <f t="shared" si="39"/>
        <v>tRNA-Leu-GAG-1-1|52</v>
      </c>
      <c r="B2542" s="4" t="s">
        <v>71</v>
      </c>
      <c r="C2542" s="4" t="s">
        <v>172</v>
      </c>
      <c r="D2542" s="4">
        <v>64</v>
      </c>
      <c r="E2542" s="22" t="s">
        <v>109</v>
      </c>
      <c r="F2542" s="10" t="s">
        <v>169</v>
      </c>
    </row>
    <row r="2543" spans="1:6">
      <c r="A2543" s="4" t="str">
        <f t="shared" si="39"/>
        <v>tRNA-Leu-GAG-1-1|53</v>
      </c>
      <c r="B2543" s="4" t="s">
        <v>71</v>
      </c>
      <c r="C2543" s="4" t="s">
        <v>173</v>
      </c>
      <c r="D2543" s="4">
        <v>65</v>
      </c>
      <c r="E2543" s="22" t="s">
        <v>109</v>
      </c>
      <c r="F2543" s="10" t="s">
        <v>169</v>
      </c>
    </row>
    <row r="2544" spans="1:6">
      <c r="A2544" s="4" t="str">
        <f t="shared" si="39"/>
        <v>tRNA-Leu-GAG-1-1|54</v>
      </c>
      <c r="B2544" s="4" t="s">
        <v>71</v>
      </c>
      <c r="C2544" s="4" t="s">
        <v>174</v>
      </c>
      <c r="D2544" s="4">
        <v>66</v>
      </c>
      <c r="E2544" s="18" t="s">
        <v>116</v>
      </c>
      <c r="F2544" s="19" t="s">
        <v>175</v>
      </c>
    </row>
    <row r="2545" spans="1:6">
      <c r="A2545" s="4" t="str">
        <f t="shared" si="39"/>
        <v>tRNA-Leu-GAG-1-1|55</v>
      </c>
      <c r="B2545" s="4" t="s">
        <v>71</v>
      </c>
      <c r="C2545" s="4" t="s">
        <v>176</v>
      </c>
      <c r="D2545" s="4">
        <v>67</v>
      </c>
      <c r="E2545" s="18" t="s">
        <v>116</v>
      </c>
      <c r="F2545" s="19" t="s">
        <v>175</v>
      </c>
    </row>
    <row r="2546" spans="1:6">
      <c r="A2546" s="4" t="str">
        <f t="shared" si="39"/>
        <v>tRNA-Leu-GAG-1-1|56</v>
      </c>
      <c r="B2546" s="4" t="s">
        <v>71</v>
      </c>
      <c r="C2546" s="4" t="s">
        <v>177</v>
      </c>
      <c r="D2546" s="4">
        <v>68</v>
      </c>
      <c r="E2546" s="18" t="s">
        <v>114</v>
      </c>
      <c r="F2546" s="19" t="s">
        <v>175</v>
      </c>
    </row>
    <row r="2547" spans="1:6">
      <c r="A2547" s="4" t="str">
        <f t="shared" si="39"/>
        <v>tRNA-Leu-GAG-1-1|57</v>
      </c>
      <c r="B2547" s="4" t="s">
        <v>71</v>
      </c>
      <c r="C2547" s="4" t="s">
        <v>178</v>
      </c>
      <c r="D2547" s="4">
        <v>69</v>
      </c>
      <c r="E2547" s="18" t="s">
        <v>109</v>
      </c>
      <c r="F2547" s="19" t="s">
        <v>175</v>
      </c>
    </row>
    <row r="2548" spans="1:6">
      <c r="A2548" s="4" t="str">
        <f t="shared" si="39"/>
        <v>tRNA-Leu-GAG-1-1|58</v>
      </c>
      <c r="B2548" s="4" t="s">
        <v>71</v>
      </c>
      <c r="C2548" s="4" t="s">
        <v>179</v>
      </c>
      <c r="D2548" s="4">
        <v>70</v>
      </c>
      <c r="E2548" s="18" t="s">
        <v>122</v>
      </c>
      <c r="F2548" s="19" t="s">
        <v>175</v>
      </c>
    </row>
    <row r="2549" spans="1:6">
      <c r="A2549" s="4" t="str">
        <f t="shared" si="39"/>
        <v>tRNA-Leu-GAG-1-1|59</v>
      </c>
      <c r="B2549" s="4" t="s">
        <v>71</v>
      </c>
      <c r="C2549" s="4" t="s">
        <v>180</v>
      </c>
      <c r="D2549" s="4">
        <v>71</v>
      </c>
      <c r="E2549" s="18" t="s">
        <v>122</v>
      </c>
      <c r="F2549" s="19" t="s">
        <v>175</v>
      </c>
    </row>
    <row r="2550" spans="1:6">
      <c r="A2550" s="4" t="str">
        <f t="shared" si="39"/>
        <v>tRNA-Leu-GAG-1-1|60</v>
      </c>
      <c r="B2550" s="4" t="s">
        <v>71</v>
      </c>
      <c r="C2550" s="4" t="s">
        <v>181</v>
      </c>
      <c r="D2550" s="4">
        <v>72</v>
      </c>
      <c r="E2550" s="18" t="s">
        <v>116</v>
      </c>
      <c r="F2550" s="19" t="s">
        <v>175</v>
      </c>
    </row>
    <row r="2551" spans="1:6">
      <c r="A2551" s="4" t="str">
        <f t="shared" si="39"/>
        <v>tRNA-Leu-GAG-1-1|61</v>
      </c>
      <c r="B2551" s="4" t="s">
        <v>71</v>
      </c>
      <c r="C2551" s="4" t="s">
        <v>182</v>
      </c>
      <c r="D2551" s="4">
        <v>73</v>
      </c>
      <c r="E2551" s="22" t="s">
        <v>114</v>
      </c>
      <c r="F2551" s="10" t="s">
        <v>169</v>
      </c>
    </row>
    <row r="2552" spans="1:6">
      <c r="A2552" s="4" t="str">
        <f t="shared" si="39"/>
        <v>tRNA-Leu-GAG-1-1|62</v>
      </c>
      <c r="B2552" s="4" t="s">
        <v>71</v>
      </c>
      <c r="C2552" s="4" t="s">
        <v>183</v>
      </c>
      <c r="D2552" s="4">
        <v>74</v>
      </c>
      <c r="E2552" s="22" t="s">
        <v>114</v>
      </c>
      <c r="F2552" s="10" t="s">
        <v>169</v>
      </c>
    </row>
    <row r="2553" spans="1:6">
      <c r="A2553" s="4" t="str">
        <f t="shared" si="39"/>
        <v>tRNA-Leu-GAG-1-1|63</v>
      </c>
      <c r="B2553" s="4" t="s">
        <v>71</v>
      </c>
      <c r="C2553" s="4" t="s">
        <v>184</v>
      </c>
      <c r="D2553" s="4">
        <v>75</v>
      </c>
      <c r="E2553" s="22" t="s">
        <v>114</v>
      </c>
      <c r="F2553" s="10" t="s">
        <v>169</v>
      </c>
    </row>
    <row r="2554" spans="1:6">
      <c r="A2554" s="4" t="str">
        <f t="shared" si="39"/>
        <v>tRNA-Leu-GAG-1-1|64</v>
      </c>
      <c r="B2554" s="4" t="s">
        <v>71</v>
      </c>
      <c r="C2554" s="4" t="s">
        <v>185</v>
      </c>
      <c r="D2554" s="4">
        <v>76</v>
      </c>
      <c r="E2554" s="22" t="s">
        <v>122</v>
      </c>
      <c r="F2554" s="10" t="s">
        <v>169</v>
      </c>
    </row>
    <row r="2555" spans="1:6">
      <c r="A2555" s="4" t="str">
        <f t="shared" si="39"/>
        <v>tRNA-Leu-GAG-1-1|65</v>
      </c>
      <c r="B2555" s="4" t="s">
        <v>71</v>
      </c>
      <c r="C2555" s="4" t="s">
        <v>186</v>
      </c>
      <c r="D2555" s="4">
        <v>77</v>
      </c>
      <c r="E2555" s="22" t="s">
        <v>116</v>
      </c>
      <c r="F2555" s="10" t="s">
        <v>169</v>
      </c>
    </row>
    <row r="2556" spans="1:6">
      <c r="A2556" s="4" t="str">
        <f t="shared" si="39"/>
        <v>tRNA-Leu-GAG-1-1|66</v>
      </c>
      <c r="B2556" s="4" t="s">
        <v>71</v>
      </c>
      <c r="C2556" s="4" t="s">
        <v>187</v>
      </c>
      <c r="D2556" s="4">
        <v>78</v>
      </c>
      <c r="E2556" s="16" t="s">
        <v>114</v>
      </c>
      <c r="F2556" s="17" t="s">
        <v>110</v>
      </c>
    </row>
    <row r="2557" spans="1:6">
      <c r="A2557" s="4" t="str">
        <f t="shared" si="39"/>
        <v>tRNA-Leu-GAG-1-1|67</v>
      </c>
      <c r="B2557" s="4" t="s">
        <v>71</v>
      </c>
      <c r="C2557" s="4" t="s">
        <v>188</v>
      </c>
      <c r="D2557" s="4">
        <v>79</v>
      </c>
      <c r="E2557" s="16" t="s">
        <v>114</v>
      </c>
      <c r="F2557" s="17" t="s">
        <v>110</v>
      </c>
    </row>
    <row r="2558" spans="1:6">
      <c r="A2558" s="4" t="str">
        <f t="shared" si="39"/>
        <v>tRNA-Leu-GAG-1-1|68</v>
      </c>
      <c r="B2558" s="4" t="s">
        <v>71</v>
      </c>
      <c r="C2558" s="4" t="s">
        <v>189</v>
      </c>
      <c r="D2558" s="4">
        <v>80</v>
      </c>
      <c r="E2558" s="16" t="s">
        <v>114</v>
      </c>
      <c r="F2558" s="17" t="s">
        <v>110</v>
      </c>
    </row>
    <row r="2559" spans="1:6">
      <c r="A2559" s="4" t="str">
        <f t="shared" si="39"/>
        <v>tRNA-Leu-GAG-1-1|69</v>
      </c>
      <c r="B2559" s="4" t="s">
        <v>71</v>
      </c>
      <c r="C2559" s="4" t="s">
        <v>190</v>
      </c>
      <c r="D2559" s="4">
        <v>81</v>
      </c>
      <c r="E2559" s="16" t="s">
        <v>116</v>
      </c>
      <c r="F2559" s="17" t="s">
        <v>110</v>
      </c>
    </row>
    <row r="2560" spans="1:6">
      <c r="A2560" s="4" t="str">
        <f t="shared" si="39"/>
        <v>tRNA-Leu-GAG-1-1|70</v>
      </c>
      <c r="B2560" s="4" t="s">
        <v>71</v>
      </c>
      <c r="C2560" s="4" t="s">
        <v>191</v>
      </c>
      <c r="D2560" s="4">
        <v>82</v>
      </c>
      <c r="E2560" s="16" t="s">
        <v>114</v>
      </c>
      <c r="F2560" s="17" t="s">
        <v>110</v>
      </c>
    </row>
    <row r="2561" spans="1:6">
      <c r="A2561" s="4" t="str">
        <f t="shared" si="39"/>
        <v>tRNA-Leu-GAG-1-1|71</v>
      </c>
      <c r="B2561" s="4" t="s">
        <v>71</v>
      </c>
      <c r="C2561" s="4" t="s">
        <v>192</v>
      </c>
      <c r="D2561" s="4">
        <v>83</v>
      </c>
      <c r="E2561" s="16" t="s">
        <v>109</v>
      </c>
      <c r="F2561" s="17" t="s">
        <v>110</v>
      </c>
    </row>
    <row r="2562" spans="1:6">
      <c r="A2562" s="4" t="str">
        <f t="shared" ref="A2562:A2625" si="40">B2562&amp;"|"&amp;C2562</f>
        <v>tRNA-Leu-GAG-1-1|72</v>
      </c>
      <c r="B2562" s="4" t="s">
        <v>71</v>
      </c>
      <c r="C2562" s="4" t="s">
        <v>193</v>
      </c>
      <c r="D2562" s="4">
        <v>84</v>
      </c>
      <c r="E2562" s="16" t="s">
        <v>114</v>
      </c>
      <c r="F2562" s="17" t="s">
        <v>110</v>
      </c>
    </row>
    <row r="2563" spans="1:6">
      <c r="A2563" s="4" t="str">
        <f t="shared" si="40"/>
        <v>tRNA-Leu-GAG-1-2|1</v>
      </c>
      <c r="B2563" s="4" t="s">
        <v>72</v>
      </c>
      <c r="C2563" s="4" t="s">
        <v>108</v>
      </c>
      <c r="D2563" s="4">
        <v>1</v>
      </c>
      <c r="E2563" s="16" t="s">
        <v>109</v>
      </c>
      <c r="F2563" s="17" t="s">
        <v>110</v>
      </c>
    </row>
    <row r="2564" spans="1:6">
      <c r="A2564" s="4" t="str">
        <f t="shared" si="40"/>
        <v>tRNA-Leu-GAG-1-2|2</v>
      </c>
      <c r="B2564" s="4" t="s">
        <v>72</v>
      </c>
      <c r="C2564" s="4" t="s">
        <v>111</v>
      </c>
      <c r="D2564" s="4">
        <v>2</v>
      </c>
      <c r="E2564" s="16" t="s">
        <v>114</v>
      </c>
      <c r="F2564" s="17" t="s">
        <v>110</v>
      </c>
    </row>
    <row r="2565" spans="1:6">
      <c r="A2565" s="4" t="str">
        <f t="shared" si="40"/>
        <v>tRNA-Leu-GAG-1-2|3</v>
      </c>
      <c r="B2565" s="4" t="s">
        <v>72</v>
      </c>
      <c r="C2565" s="4" t="s">
        <v>112</v>
      </c>
      <c r="D2565" s="4">
        <v>3</v>
      </c>
      <c r="E2565" s="16" t="s">
        <v>109</v>
      </c>
      <c r="F2565" s="17" t="s">
        <v>110</v>
      </c>
    </row>
    <row r="2566" spans="1:6">
      <c r="A2566" s="4" t="str">
        <f t="shared" si="40"/>
        <v>tRNA-Leu-GAG-1-2|4</v>
      </c>
      <c r="B2566" s="4" t="s">
        <v>72</v>
      </c>
      <c r="C2566" s="4" t="s">
        <v>113</v>
      </c>
      <c r="D2566" s="4">
        <v>4</v>
      </c>
      <c r="E2566" s="16" t="s">
        <v>122</v>
      </c>
      <c r="F2566" s="17" t="s">
        <v>110</v>
      </c>
    </row>
    <row r="2567" spans="1:6">
      <c r="A2567" s="4" t="str">
        <f t="shared" si="40"/>
        <v>tRNA-Leu-GAG-1-2|5</v>
      </c>
      <c r="B2567" s="4" t="s">
        <v>72</v>
      </c>
      <c r="C2567" s="4" t="s">
        <v>115</v>
      </c>
      <c r="D2567" s="4">
        <v>5</v>
      </c>
      <c r="E2567" s="16" t="s">
        <v>109</v>
      </c>
      <c r="F2567" s="17" t="s">
        <v>110</v>
      </c>
    </row>
    <row r="2568" spans="1:6">
      <c r="A2568" s="4" t="str">
        <f t="shared" si="40"/>
        <v>tRNA-Leu-GAG-1-2|6</v>
      </c>
      <c r="B2568" s="4" t="s">
        <v>72</v>
      </c>
      <c r="C2568" s="4" t="s">
        <v>117</v>
      </c>
      <c r="D2568" s="4">
        <v>6</v>
      </c>
      <c r="E2568" s="16" t="s">
        <v>109</v>
      </c>
      <c r="F2568" s="17" t="s">
        <v>110</v>
      </c>
    </row>
    <row r="2569" spans="1:6">
      <c r="A2569" s="4" t="str">
        <f t="shared" si="40"/>
        <v>tRNA-Leu-GAG-1-2|7</v>
      </c>
      <c r="B2569" s="4" t="s">
        <v>72</v>
      </c>
      <c r="C2569" s="4" t="s">
        <v>118</v>
      </c>
      <c r="D2569" s="4">
        <v>7</v>
      </c>
      <c r="E2569" s="16" t="s">
        <v>109</v>
      </c>
      <c r="F2569" s="17" t="s">
        <v>110</v>
      </c>
    </row>
    <row r="2570" spans="1:6">
      <c r="A2570" s="4" t="str">
        <f t="shared" si="40"/>
        <v>tRNA-Leu-GAG-1-2|8</v>
      </c>
      <c r="B2570" s="4" t="s">
        <v>72</v>
      </c>
      <c r="C2570" s="4" t="s">
        <v>119</v>
      </c>
      <c r="D2570" s="4">
        <v>8</v>
      </c>
      <c r="E2570" s="3" t="s">
        <v>116</v>
      </c>
      <c r="F2570" s="4" t="s">
        <v>120</v>
      </c>
    </row>
    <row r="2571" spans="1:6">
      <c r="A2571" s="4" t="str">
        <f t="shared" si="40"/>
        <v>tRNA-Leu-GAG-1-2|9</v>
      </c>
      <c r="B2571" s="4" t="s">
        <v>72</v>
      </c>
      <c r="C2571" s="4" t="s">
        <v>121</v>
      </c>
      <c r="D2571" s="4">
        <v>9</v>
      </c>
      <c r="E2571" s="3" t="s">
        <v>116</v>
      </c>
      <c r="F2571" s="4" t="s">
        <v>123</v>
      </c>
    </row>
    <row r="2572" spans="1:6">
      <c r="A2572" s="4" t="str">
        <f t="shared" si="40"/>
        <v>tRNA-Leu-GAG-1-2|10</v>
      </c>
      <c r="B2572" s="4" t="s">
        <v>72</v>
      </c>
      <c r="C2572" s="4" t="s">
        <v>124</v>
      </c>
      <c r="D2572" s="4">
        <v>10</v>
      </c>
      <c r="E2572" s="8" t="s">
        <v>109</v>
      </c>
      <c r="F2572" s="7" t="s">
        <v>125</v>
      </c>
    </row>
    <row r="2573" spans="1:6">
      <c r="A2573" s="4" t="str">
        <f t="shared" si="40"/>
        <v>tRNA-Leu-GAG-1-2|11</v>
      </c>
      <c r="B2573" s="4" t="s">
        <v>72</v>
      </c>
      <c r="C2573" s="4" t="s">
        <v>126</v>
      </c>
      <c r="D2573" s="4">
        <v>11</v>
      </c>
      <c r="E2573" s="8" t="s">
        <v>114</v>
      </c>
      <c r="F2573" s="7" t="s">
        <v>125</v>
      </c>
    </row>
    <row r="2574" spans="1:6">
      <c r="A2574" s="4" t="str">
        <f t="shared" si="40"/>
        <v>tRNA-Leu-GAG-1-2|12</v>
      </c>
      <c r="B2574" s="4" t="s">
        <v>72</v>
      </c>
      <c r="C2574" s="4" t="s">
        <v>127</v>
      </c>
      <c r="D2574" s="4">
        <v>12</v>
      </c>
      <c r="E2574" s="8" t="s">
        <v>114</v>
      </c>
      <c r="F2574" s="7" t="s">
        <v>125</v>
      </c>
    </row>
    <row r="2575" spans="1:6">
      <c r="A2575" s="4" t="str">
        <f t="shared" si="40"/>
        <v>tRNA-Leu-GAG-1-2|13</v>
      </c>
      <c r="B2575" s="4" t="s">
        <v>72</v>
      </c>
      <c r="C2575" s="4" t="s">
        <v>128</v>
      </c>
      <c r="D2575" s="4">
        <v>13</v>
      </c>
      <c r="E2575" s="8" t="s">
        <v>114</v>
      </c>
      <c r="F2575" s="7" t="s">
        <v>125</v>
      </c>
    </row>
    <row r="2576" spans="1:6">
      <c r="A2576" s="4" t="str">
        <f t="shared" si="40"/>
        <v>tRNA-Leu-GAG-1-2|14</v>
      </c>
      <c r="B2576" s="4" t="s">
        <v>72</v>
      </c>
      <c r="C2576" s="4" t="s">
        <v>129</v>
      </c>
      <c r="D2576" s="4">
        <v>14</v>
      </c>
      <c r="E2576" s="18" t="s">
        <v>122</v>
      </c>
      <c r="F2576" s="19" t="s">
        <v>130</v>
      </c>
    </row>
    <row r="2577" spans="1:6">
      <c r="A2577" s="4" t="str">
        <f t="shared" si="40"/>
        <v>tRNA-Leu-GAG-1-2|15</v>
      </c>
      <c r="B2577" s="4" t="s">
        <v>72</v>
      </c>
      <c r="C2577" s="4" t="s">
        <v>131</v>
      </c>
      <c r="D2577" s="4">
        <v>15</v>
      </c>
      <c r="E2577" s="18" t="s">
        <v>109</v>
      </c>
      <c r="F2577" s="19" t="s">
        <v>130</v>
      </c>
    </row>
    <row r="2578" spans="1:6">
      <c r="A2578" s="4" t="str">
        <f t="shared" si="40"/>
        <v>tRNA-Leu-GAG-1-2|16</v>
      </c>
      <c r="B2578" s="4" t="s">
        <v>72</v>
      </c>
      <c r="C2578" s="4" t="s">
        <v>194</v>
      </c>
      <c r="D2578" s="4">
        <v>16</v>
      </c>
      <c r="E2578" s="18" t="s">
        <v>114</v>
      </c>
      <c r="F2578" s="19" t="s">
        <v>130</v>
      </c>
    </row>
    <row r="2579" spans="1:6">
      <c r="A2579" s="4" t="str">
        <f t="shared" si="40"/>
        <v>tRNA-Leu-GAG-1-2|17</v>
      </c>
      <c r="B2579" s="4" t="s">
        <v>72</v>
      </c>
      <c r="C2579" s="4" t="s">
        <v>195</v>
      </c>
      <c r="D2579" s="4">
        <v>17</v>
      </c>
      <c r="E2579" s="18" t="s">
        <v>114</v>
      </c>
      <c r="F2579" s="19" t="s">
        <v>130</v>
      </c>
    </row>
    <row r="2580" spans="1:6">
      <c r="A2580" s="4" t="str">
        <f t="shared" si="40"/>
        <v>tRNA-Leu-GAG-1-2|17a</v>
      </c>
      <c r="B2580" s="4" t="s">
        <v>72</v>
      </c>
      <c r="C2580" s="4" t="s">
        <v>196</v>
      </c>
      <c r="D2580" s="4">
        <v>18</v>
      </c>
      <c r="E2580" s="18" t="s">
        <v>122</v>
      </c>
      <c r="F2580" s="19" t="s">
        <v>130</v>
      </c>
    </row>
    <row r="2581" spans="1:6">
      <c r="A2581" s="4" t="str">
        <f t="shared" si="40"/>
        <v>tRNA-Leu-GAG-1-2|18</v>
      </c>
      <c r="B2581" s="4" t="s">
        <v>72</v>
      </c>
      <c r="C2581" s="4" t="s">
        <v>132</v>
      </c>
      <c r="D2581" s="4">
        <v>19</v>
      </c>
      <c r="E2581" s="18" t="s">
        <v>109</v>
      </c>
      <c r="F2581" s="19" t="s">
        <v>130</v>
      </c>
    </row>
    <row r="2582" spans="1:6">
      <c r="A2582" s="4" t="str">
        <f t="shared" si="40"/>
        <v>tRNA-Leu-GAG-1-2|19</v>
      </c>
      <c r="B2582" s="4" t="s">
        <v>72</v>
      </c>
      <c r="C2582" s="4" t="s">
        <v>133</v>
      </c>
      <c r="D2582" s="4">
        <v>20</v>
      </c>
      <c r="E2582" s="18" t="s">
        <v>109</v>
      </c>
      <c r="F2582" s="19" t="s">
        <v>130</v>
      </c>
    </row>
    <row r="2583" spans="1:6">
      <c r="A2583" s="4" t="str">
        <f t="shared" si="40"/>
        <v>tRNA-Leu-GAG-1-2|20</v>
      </c>
      <c r="B2583" s="4" t="s">
        <v>72</v>
      </c>
      <c r="C2583" s="4" t="s">
        <v>134</v>
      </c>
      <c r="D2583" s="4">
        <v>21</v>
      </c>
      <c r="E2583" s="18" t="s">
        <v>116</v>
      </c>
      <c r="F2583" s="19" t="s">
        <v>130</v>
      </c>
    </row>
    <row r="2584" spans="1:6">
      <c r="A2584" s="4" t="str">
        <f t="shared" si="40"/>
        <v>tRNA-Leu-GAG-1-2|20a</v>
      </c>
      <c r="B2584" s="4" t="s">
        <v>72</v>
      </c>
      <c r="C2584" s="4" t="s">
        <v>135</v>
      </c>
      <c r="D2584" s="4">
        <v>22</v>
      </c>
      <c r="E2584" s="18" t="s">
        <v>114</v>
      </c>
      <c r="F2584" s="19" t="s">
        <v>130</v>
      </c>
    </row>
    <row r="2585" spans="1:6">
      <c r="A2585" s="4" t="str">
        <f t="shared" si="40"/>
        <v>tRNA-Leu-GAG-1-2|20b</v>
      </c>
      <c r="B2585" s="4" t="s">
        <v>72</v>
      </c>
      <c r="C2585" s="4" t="s">
        <v>197</v>
      </c>
      <c r="D2585" s="4">
        <v>23</v>
      </c>
      <c r="E2585" s="18" t="s">
        <v>122</v>
      </c>
      <c r="F2585" s="19" t="s">
        <v>130</v>
      </c>
    </row>
    <row r="2586" spans="1:6">
      <c r="A2586" s="4" t="str">
        <f t="shared" si="40"/>
        <v>tRNA-Leu-GAG-1-2|21</v>
      </c>
      <c r="B2586" s="4" t="s">
        <v>72</v>
      </c>
      <c r="C2586" s="4" t="s">
        <v>136</v>
      </c>
      <c r="D2586" s="4">
        <v>24</v>
      </c>
      <c r="E2586" s="18" t="s">
        <v>122</v>
      </c>
      <c r="F2586" s="19" t="s">
        <v>130</v>
      </c>
    </row>
    <row r="2587" spans="1:6">
      <c r="A2587" s="4" t="str">
        <f t="shared" si="40"/>
        <v>tRNA-Leu-GAG-1-2|22</v>
      </c>
      <c r="B2587" s="4" t="s">
        <v>72</v>
      </c>
      <c r="C2587" s="4" t="s">
        <v>137</v>
      </c>
      <c r="D2587" s="4">
        <v>25</v>
      </c>
      <c r="E2587" s="8" t="s">
        <v>122</v>
      </c>
      <c r="F2587" s="7" t="s">
        <v>125</v>
      </c>
    </row>
    <row r="2588" spans="1:6">
      <c r="A2588" s="4" t="str">
        <f t="shared" si="40"/>
        <v>tRNA-Leu-GAG-1-2|23</v>
      </c>
      <c r="B2588" s="4" t="s">
        <v>72</v>
      </c>
      <c r="C2588" s="4" t="s">
        <v>138</v>
      </c>
      <c r="D2588" s="4">
        <v>26</v>
      </c>
      <c r="E2588" s="8" t="s">
        <v>109</v>
      </c>
      <c r="F2588" s="7" t="s">
        <v>125</v>
      </c>
    </row>
    <row r="2589" spans="1:6">
      <c r="A2589" s="4" t="str">
        <f t="shared" si="40"/>
        <v>tRNA-Leu-GAG-1-2|24</v>
      </c>
      <c r="B2589" s="4" t="s">
        <v>72</v>
      </c>
      <c r="C2589" s="4" t="s">
        <v>139</v>
      </c>
      <c r="D2589" s="4">
        <v>27</v>
      </c>
      <c r="E2589" s="8" t="s">
        <v>109</v>
      </c>
      <c r="F2589" s="7" t="s">
        <v>125</v>
      </c>
    </row>
    <row r="2590" spans="1:6">
      <c r="A2590" s="4" t="str">
        <f t="shared" si="40"/>
        <v>tRNA-Leu-GAG-1-2|25</v>
      </c>
      <c r="B2590" s="4" t="s">
        <v>72</v>
      </c>
      <c r="C2590" s="4" t="s">
        <v>140</v>
      </c>
      <c r="D2590" s="4">
        <v>28</v>
      </c>
      <c r="E2590" s="8" t="s">
        <v>114</v>
      </c>
      <c r="F2590" s="7" t="s">
        <v>125</v>
      </c>
    </row>
    <row r="2591" spans="1:6">
      <c r="A2591" s="4" t="str">
        <f t="shared" si="40"/>
        <v>tRNA-Leu-GAG-1-2|26</v>
      </c>
      <c r="B2591" s="4" t="s">
        <v>72</v>
      </c>
      <c r="C2591" s="4" t="s">
        <v>141</v>
      </c>
      <c r="D2591" s="4">
        <v>29</v>
      </c>
      <c r="E2591" s="3" t="s">
        <v>109</v>
      </c>
      <c r="F2591" s="4" t="s">
        <v>142</v>
      </c>
    </row>
    <row r="2592" spans="1:6">
      <c r="A2592" s="4" t="str">
        <f t="shared" si="40"/>
        <v>tRNA-Leu-GAG-1-2|27</v>
      </c>
      <c r="B2592" s="4" t="s">
        <v>72</v>
      </c>
      <c r="C2592" s="4" t="s">
        <v>143</v>
      </c>
      <c r="D2592" s="4">
        <v>30</v>
      </c>
      <c r="E2592" s="20" t="s">
        <v>114</v>
      </c>
      <c r="F2592" s="21" t="s">
        <v>144</v>
      </c>
    </row>
    <row r="2593" spans="1:6">
      <c r="A2593" s="4" t="str">
        <f t="shared" si="40"/>
        <v>tRNA-Leu-GAG-1-2|28</v>
      </c>
      <c r="B2593" s="4" t="s">
        <v>72</v>
      </c>
      <c r="C2593" s="4" t="s">
        <v>145</v>
      </c>
      <c r="D2593" s="4">
        <v>31</v>
      </c>
      <c r="E2593" s="20" t="s">
        <v>116</v>
      </c>
      <c r="F2593" s="21" t="s">
        <v>144</v>
      </c>
    </row>
    <row r="2594" spans="1:6">
      <c r="A2594" s="4" t="str">
        <f t="shared" si="40"/>
        <v>tRNA-Leu-GAG-1-2|29</v>
      </c>
      <c r="B2594" s="4" t="s">
        <v>72</v>
      </c>
      <c r="C2594" s="4" t="s">
        <v>146</v>
      </c>
      <c r="D2594" s="4">
        <v>32</v>
      </c>
      <c r="E2594" s="20" t="s">
        <v>122</v>
      </c>
      <c r="F2594" s="21" t="s">
        <v>144</v>
      </c>
    </row>
    <row r="2595" spans="1:6">
      <c r="A2595" s="4" t="str">
        <f t="shared" si="40"/>
        <v>tRNA-Leu-GAG-1-2|30</v>
      </c>
      <c r="B2595" s="4" t="s">
        <v>72</v>
      </c>
      <c r="C2595" s="4" t="s">
        <v>147</v>
      </c>
      <c r="D2595" s="4">
        <v>33</v>
      </c>
      <c r="E2595" s="20" t="s">
        <v>109</v>
      </c>
      <c r="F2595" s="21" t="s">
        <v>144</v>
      </c>
    </row>
    <row r="2596" spans="1:6">
      <c r="A2596" s="4" t="str">
        <f t="shared" si="40"/>
        <v>tRNA-Leu-GAG-1-2|31</v>
      </c>
      <c r="B2596" s="4" t="s">
        <v>72</v>
      </c>
      <c r="C2596" s="4" t="s">
        <v>148</v>
      </c>
      <c r="D2596" s="4">
        <v>34</v>
      </c>
      <c r="E2596" s="20" t="s">
        <v>109</v>
      </c>
      <c r="F2596" s="21" t="s">
        <v>144</v>
      </c>
    </row>
    <row r="2597" spans="1:6">
      <c r="A2597" s="4" t="str">
        <f t="shared" si="40"/>
        <v>tRNA-Leu-GAG-1-2|32</v>
      </c>
      <c r="B2597" s="4" t="s">
        <v>72</v>
      </c>
      <c r="C2597" s="4" t="s">
        <v>149</v>
      </c>
      <c r="D2597" s="4">
        <v>35</v>
      </c>
      <c r="E2597" s="18" t="s">
        <v>116</v>
      </c>
      <c r="F2597" s="19" t="s">
        <v>150</v>
      </c>
    </row>
    <row r="2598" spans="1:6">
      <c r="A2598" s="4" t="str">
        <f t="shared" si="40"/>
        <v>tRNA-Leu-GAG-1-2|33</v>
      </c>
      <c r="B2598" s="4" t="s">
        <v>72</v>
      </c>
      <c r="C2598" s="4" t="s">
        <v>151</v>
      </c>
      <c r="D2598" s="4">
        <v>36</v>
      </c>
      <c r="E2598" s="18" t="s">
        <v>116</v>
      </c>
      <c r="F2598" s="19" t="s">
        <v>150</v>
      </c>
    </row>
    <row r="2599" spans="1:6">
      <c r="A2599" s="4" t="str">
        <f t="shared" si="40"/>
        <v>tRNA-Leu-GAG-1-2|34</v>
      </c>
      <c r="B2599" s="4" t="s">
        <v>72</v>
      </c>
      <c r="C2599" s="4" t="s">
        <v>152</v>
      </c>
      <c r="D2599" s="4">
        <v>37</v>
      </c>
      <c r="E2599" s="18" t="s">
        <v>109</v>
      </c>
      <c r="F2599" s="19" t="s">
        <v>150</v>
      </c>
    </row>
    <row r="2600" spans="1:6">
      <c r="A2600" s="4" t="str">
        <f t="shared" si="40"/>
        <v>tRNA-Leu-GAG-1-2|35</v>
      </c>
      <c r="B2600" s="4" t="s">
        <v>72</v>
      </c>
      <c r="C2600" s="4" t="s">
        <v>153</v>
      </c>
      <c r="D2600" s="4">
        <v>38</v>
      </c>
      <c r="E2600" s="18" t="s">
        <v>122</v>
      </c>
      <c r="F2600" s="19" t="s">
        <v>150</v>
      </c>
    </row>
    <row r="2601" spans="1:6">
      <c r="A2601" s="4" t="str">
        <f t="shared" si="40"/>
        <v>tRNA-Leu-GAG-1-2|36</v>
      </c>
      <c r="B2601" s="4" t="s">
        <v>72</v>
      </c>
      <c r="C2601" s="4" t="s">
        <v>154</v>
      </c>
      <c r="D2601" s="4">
        <v>39</v>
      </c>
      <c r="E2601" s="18" t="s">
        <v>109</v>
      </c>
      <c r="F2601" s="19" t="s">
        <v>150</v>
      </c>
    </row>
    <row r="2602" spans="1:6">
      <c r="A2602" s="4" t="str">
        <f t="shared" si="40"/>
        <v>tRNA-Leu-GAG-1-2|37</v>
      </c>
      <c r="B2602" s="4" t="s">
        <v>72</v>
      </c>
      <c r="C2602" s="4" t="s">
        <v>155</v>
      </c>
      <c r="D2602" s="4">
        <v>40</v>
      </c>
      <c r="E2602" s="18" t="s">
        <v>109</v>
      </c>
      <c r="F2602" s="19" t="s">
        <v>150</v>
      </c>
    </row>
    <row r="2603" spans="1:6">
      <c r="A2603" s="4" t="str">
        <f t="shared" si="40"/>
        <v>tRNA-Leu-GAG-1-2|38</v>
      </c>
      <c r="B2603" s="4" t="s">
        <v>72</v>
      </c>
      <c r="C2603" s="4" t="s">
        <v>156</v>
      </c>
      <c r="D2603" s="4">
        <v>41</v>
      </c>
      <c r="E2603" s="18" t="s">
        <v>109</v>
      </c>
      <c r="F2603" s="19" t="s">
        <v>150</v>
      </c>
    </row>
    <row r="2604" spans="1:6">
      <c r="A2604" s="4" t="str">
        <f t="shared" si="40"/>
        <v>tRNA-Leu-GAG-1-2|39</v>
      </c>
      <c r="B2604" s="4" t="s">
        <v>72</v>
      </c>
      <c r="C2604" s="4" t="s">
        <v>157</v>
      </c>
      <c r="D2604" s="4">
        <v>42</v>
      </c>
      <c r="E2604" s="20" t="s">
        <v>114</v>
      </c>
      <c r="F2604" s="21" t="s">
        <v>144</v>
      </c>
    </row>
    <row r="2605" spans="1:6">
      <c r="A2605" s="4" t="str">
        <f t="shared" si="40"/>
        <v>tRNA-Leu-GAG-1-2|40</v>
      </c>
      <c r="B2605" s="4" t="s">
        <v>72</v>
      </c>
      <c r="C2605" s="4" t="s">
        <v>158</v>
      </c>
      <c r="D2605" s="4">
        <v>43</v>
      </c>
      <c r="E2605" s="20" t="s">
        <v>114</v>
      </c>
      <c r="F2605" s="21" t="s">
        <v>144</v>
      </c>
    </row>
    <row r="2606" spans="1:6">
      <c r="A2606" s="4" t="str">
        <f t="shared" si="40"/>
        <v>tRNA-Leu-GAG-1-2|41</v>
      </c>
      <c r="B2606" s="4" t="s">
        <v>72</v>
      </c>
      <c r="C2606" s="4" t="s">
        <v>159</v>
      </c>
      <c r="D2606" s="4">
        <v>44</v>
      </c>
      <c r="E2606" s="20" t="s">
        <v>116</v>
      </c>
      <c r="F2606" s="21" t="s">
        <v>144</v>
      </c>
    </row>
    <row r="2607" spans="1:6">
      <c r="A2607" s="4" t="str">
        <f t="shared" si="40"/>
        <v>tRNA-Leu-GAG-1-2|42</v>
      </c>
      <c r="B2607" s="4" t="s">
        <v>72</v>
      </c>
      <c r="C2607" s="4" t="s">
        <v>160</v>
      </c>
      <c r="D2607" s="4">
        <v>45</v>
      </c>
      <c r="E2607" s="20" t="s">
        <v>122</v>
      </c>
      <c r="F2607" s="21" t="s">
        <v>144</v>
      </c>
    </row>
    <row r="2608" spans="1:6">
      <c r="A2608" s="4" t="str">
        <f t="shared" si="40"/>
        <v>tRNA-Leu-GAG-1-2|43</v>
      </c>
      <c r="B2608" s="4" t="s">
        <v>72</v>
      </c>
      <c r="C2608" s="4" t="s">
        <v>161</v>
      </c>
      <c r="D2608" s="4">
        <v>46</v>
      </c>
      <c r="E2608" s="20" t="s">
        <v>109</v>
      </c>
      <c r="F2608" s="21" t="s">
        <v>144</v>
      </c>
    </row>
    <row r="2609" spans="1:6">
      <c r="A2609" s="4" t="str">
        <f t="shared" si="40"/>
        <v>tRNA-Leu-GAG-1-2|44</v>
      </c>
      <c r="B2609" s="4" t="s">
        <v>72</v>
      </c>
      <c r="C2609" s="4" t="s">
        <v>162</v>
      </c>
      <c r="D2609" s="4">
        <v>47</v>
      </c>
      <c r="E2609" s="18" t="s">
        <v>116</v>
      </c>
      <c r="F2609" s="19" t="s">
        <v>163</v>
      </c>
    </row>
    <row r="2610" spans="1:6">
      <c r="A2610" s="4" t="str">
        <f t="shared" si="40"/>
        <v>tRNA-Leu-GAG-1-2|45</v>
      </c>
      <c r="B2610" s="4" t="s">
        <v>72</v>
      </c>
      <c r="C2610" s="4" t="s">
        <v>164</v>
      </c>
      <c r="D2610" s="4">
        <v>48</v>
      </c>
      <c r="E2610" s="18" t="s">
        <v>116</v>
      </c>
      <c r="F2610" s="19" t="s">
        <v>163</v>
      </c>
    </row>
    <row r="2611" spans="1:6">
      <c r="A2611" s="4" t="str">
        <f t="shared" si="40"/>
        <v>tRNA-Leu-GAG-1-2|e1</v>
      </c>
      <c r="B2611" s="4" t="s">
        <v>72</v>
      </c>
      <c r="C2611" s="4" t="s">
        <v>198</v>
      </c>
      <c r="D2611" s="4">
        <v>49</v>
      </c>
      <c r="E2611" s="18" t="s">
        <v>116</v>
      </c>
      <c r="F2611" s="19" t="s">
        <v>163</v>
      </c>
    </row>
    <row r="2612" spans="1:6">
      <c r="A2612" s="4" t="str">
        <f t="shared" si="40"/>
        <v>tRNA-Leu-GAG-1-2|e2</v>
      </c>
      <c r="B2612" s="4" t="s">
        <v>72</v>
      </c>
      <c r="C2612" s="4" t="s">
        <v>199</v>
      </c>
      <c r="D2612" s="4">
        <v>50</v>
      </c>
      <c r="E2612" s="18" t="s">
        <v>114</v>
      </c>
      <c r="F2612" s="19" t="s">
        <v>163</v>
      </c>
    </row>
    <row r="2613" spans="1:6">
      <c r="A2613" s="4" t="str">
        <f t="shared" si="40"/>
        <v>tRNA-Leu-GAG-1-2|e3</v>
      </c>
      <c r="B2613" s="4" t="s">
        <v>72</v>
      </c>
      <c r="C2613" s="4" t="s">
        <v>200</v>
      </c>
      <c r="D2613" s="4">
        <v>51</v>
      </c>
      <c r="E2613" s="18" t="s">
        <v>109</v>
      </c>
      <c r="F2613" s="19" t="s">
        <v>163</v>
      </c>
    </row>
    <row r="2614" spans="1:6">
      <c r="A2614" s="4" t="str">
        <f t="shared" si="40"/>
        <v>tRNA-Leu-GAG-1-2|e4</v>
      </c>
      <c r="B2614" s="4" t="s">
        <v>72</v>
      </c>
      <c r="C2614" s="4" t="s">
        <v>201</v>
      </c>
      <c r="D2614" s="4">
        <v>52</v>
      </c>
      <c r="E2614" s="18" t="s">
        <v>116</v>
      </c>
      <c r="F2614" s="19" t="s">
        <v>163</v>
      </c>
    </row>
    <row r="2615" spans="1:6">
      <c r="A2615" s="4" t="str">
        <f t="shared" si="40"/>
        <v>tRNA-Leu-GAG-1-2|e5</v>
      </c>
      <c r="B2615" s="4" t="s">
        <v>72</v>
      </c>
      <c r="C2615" s="4" t="s">
        <v>202</v>
      </c>
      <c r="D2615" s="4">
        <v>53</v>
      </c>
      <c r="E2615" s="18" t="s">
        <v>122</v>
      </c>
      <c r="F2615" s="19" t="s">
        <v>163</v>
      </c>
    </row>
    <row r="2616" spans="1:6">
      <c r="A2616" s="4" t="str">
        <f t="shared" si="40"/>
        <v>tRNA-Leu-GAG-1-2|e6</v>
      </c>
      <c r="B2616" s="4" t="s">
        <v>72</v>
      </c>
      <c r="C2616" s="4" t="s">
        <v>203</v>
      </c>
      <c r="D2616" s="4">
        <v>54</v>
      </c>
      <c r="E2616" s="18" t="s">
        <v>109</v>
      </c>
      <c r="F2616" s="19" t="s">
        <v>163</v>
      </c>
    </row>
    <row r="2617" spans="1:6">
      <c r="A2617" s="4" t="str">
        <f t="shared" si="40"/>
        <v>tRNA-Leu-GAG-1-2|e7</v>
      </c>
      <c r="B2617" s="4" t="s">
        <v>72</v>
      </c>
      <c r="C2617" s="4" t="s">
        <v>204</v>
      </c>
      <c r="D2617" s="4">
        <v>55</v>
      </c>
      <c r="E2617" s="18" t="s">
        <v>109</v>
      </c>
      <c r="F2617" s="19" t="s">
        <v>163</v>
      </c>
    </row>
    <row r="2618" spans="1:6">
      <c r="A2618" s="4" t="str">
        <f t="shared" si="40"/>
        <v>tRNA-Leu-GAG-1-2|e8</v>
      </c>
      <c r="B2618" s="4" t="s">
        <v>72</v>
      </c>
      <c r="C2618" s="4" t="s">
        <v>205</v>
      </c>
      <c r="D2618" s="4">
        <v>56</v>
      </c>
      <c r="E2618" s="18" t="s">
        <v>122</v>
      </c>
      <c r="F2618" s="19" t="s">
        <v>163</v>
      </c>
    </row>
    <row r="2619" spans="1:6">
      <c r="A2619" s="4" t="str">
        <f t="shared" si="40"/>
        <v>tRNA-Leu-GAG-1-2|e9</v>
      </c>
      <c r="B2619" s="4" t="s">
        <v>72</v>
      </c>
      <c r="C2619" s="4" t="s">
        <v>206</v>
      </c>
      <c r="D2619" s="4">
        <v>57</v>
      </c>
      <c r="E2619" s="18" t="s">
        <v>122</v>
      </c>
      <c r="F2619" s="19" t="s">
        <v>163</v>
      </c>
    </row>
    <row r="2620" spans="1:6">
      <c r="A2620" s="4" t="str">
        <f t="shared" si="40"/>
        <v>tRNA-Leu-GAG-1-2|46</v>
      </c>
      <c r="B2620" s="4" t="s">
        <v>72</v>
      </c>
      <c r="C2620" s="4" t="s">
        <v>165</v>
      </c>
      <c r="D2620" s="4">
        <v>58</v>
      </c>
      <c r="E2620" s="18" t="s">
        <v>116</v>
      </c>
      <c r="F2620" s="19" t="s">
        <v>163</v>
      </c>
    </row>
    <row r="2621" spans="1:6">
      <c r="A2621" s="4" t="str">
        <f t="shared" si="40"/>
        <v>tRNA-Leu-GAG-1-2|47</v>
      </c>
      <c r="B2621" s="4" t="s">
        <v>72</v>
      </c>
      <c r="C2621" s="4" t="s">
        <v>166</v>
      </c>
      <c r="D2621" s="4">
        <v>59</v>
      </c>
      <c r="E2621" s="18" t="s">
        <v>116</v>
      </c>
      <c r="F2621" s="19" t="s">
        <v>163</v>
      </c>
    </row>
    <row r="2622" spans="1:6">
      <c r="A2622" s="4" t="str">
        <f t="shared" si="40"/>
        <v>tRNA-Leu-GAG-1-2|48</v>
      </c>
      <c r="B2622" s="4" t="s">
        <v>72</v>
      </c>
      <c r="C2622" s="4" t="s">
        <v>167</v>
      </c>
      <c r="D2622" s="4">
        <v>60</v>
      </c>
      <c r="E2622" s="18" t="s">
        <v>114</v>
      </c>
      <c r="F2622" s="19" t="s">
        <v>163</v>
      </c>
    </row>
    <row r="2623" spans="1:6">
      <c r="A2623" s="4" t="str">
        <f t="shared" si="40"/>
        <v>tRNA-Leu-GAG-1-2|49</v>
      </c>
      <c r="B2623" s="4" t="s">
        <v>72</v>
      </c>
      <c r="C2623" s="4" t="s">
        <v>168</v>
      </c>
      <c r="D2623" s="4">
        <v>61</v>
      </c>
      <c r="E2623" s="22" t="s">
        <v>109</v>
      </c>
      <c r="F2623" s="10" t="s">
        <v>169</v>
      </c>
    </row>
    <row r="2624" spans="1:6">
      <c r="A2624" s="4" t="str">
        <f t="shared" si="40"/>
        <v>tRNA-Leu-GAG-1-2|50</v>
      </c>
      <c r="B2624" s="4" t="s">
        <v>72</v>
      </c>
      <c r="C2624" s="4" t="s">
        <v>170</v>
      </c>
      <c r="D2624" s="4">
        <v>62</v>
      </c>
      <c r="E2624" s="22" t="s">
        <v>116</v>
      </c>
      <c r="F2624" s="10" t="s">
        <v>169</v>
      </c>
    </row>
    <row r="2625" spans="1:6">
      <c r="A2625" s="4" t="str">
        <f t="shared" si="40"/>
        <v>tRNA-Leu-GAG-1-2|51</v>
      </c>
      <c r="B2625" s="4" t="s">
        <v>72</v>
      </c>
      <c r="C2625" s="4" t="s">
        <v>171</v>
      </c>
      <c r="D2625" s="4">
        <v>63</v>
      </c>
      <c r="E2625" s="22" t="s">
        <v>109</v>
      </c>
      <c r="F2625" s="10" t="s">
        <v>169</v>
      </c>
    </row>
    <row r="2626" spans="1:6">
      <c r="A2626" s="4" t="str">
        <f t="shared" ref="A2626:A2689" si="41">B2626&amp;"|"&amp;C2626</f>
        <v>tRNA-Leu-GAG-1-2|52</v>
      </c>
      <c r="B2626" s="4" t="s">
        <v>72</v>
      </c>
      <c r="C2626" s="4" t="s">
        <v>172</v>
      </c>
      <c r="D2626" s="4">
        <v>64</v>
      </c>
      <c r="E2626" s="22" t="s">
        <v>109</v>
      </c>
      <c r="F2626" s="10" t="s">
        <v>169</v>
      </c>
    </row>
    <row r="2627" spans="1:6">
      <c r="A2627" s="4" t="str">
        <f t="shared" si="41"/>
        <v>tRNA-Leu-GAG-1-2|53</v>
      </c>
      <c r="B2627" s="4" t="s">
        <v>72</v>
      </c>
      <c r="C2627" s="4" t="s">
        <v>173</v>
      </c>
      <c r="D2627" s="4">
        <v>65</v>
      </c>
      <c r="E2627" s="22" t="s">
        <v>109</v>
      </c>
      <c r="F2627" s="10" t="s">
        <v>169</v>
      </c>
    </row>
    <row r="2628" spans="1:6">
      <c r="A2628" s="4" t="str">
        <f t="shared" si="41"/>
        <v>tRNA-Leu-GAG-1-2|54</v>
      </c>
      <c r="B2628" s="4" t="s">
        <v>72</v>
      </c>
      <c r="C2628" s="4" t="s">
        <v>174</v>
      </c>
      <c r="D2628" s="4">
        <v>66</v>
      </c>
      <c r="E2628" s="18" t="s">
        <v>116</v>
      </c>
      <c r="F2628" s="19" t="s">
        <v>175</v>
      </c>
    </row>
    <row r="2629" spans="1:6">
      <c r="A2629" s="4" t="str">
        <f t="shared" si="41"/>
        <v>tRNA-Leu-GAG-1-2|55</v>
      </c>
      <c r="B2629" s="4" t="s">
        <v>72</v>
      </c>
      <c r="C2629" s="4" t="s">
        <v>176</v>
      </c>
      <c r="D2629" s="4">
        <v>67</v>
      </c>
      <c r="E2629" s="18" t="s">
        <v>116</v>
      </c>
      <c r="F2629" s="19" t="s">
        <v>175</v>
      </c>
    </row>
    <row r="2630" spans="1:6">
      <c r="A2630" s="4" t="str">
        <f t="shared" si="41"/>
        <v>tRNA-Leu-GAG-1-2|56</v>
      </c>
      <c r="B2630" s="4" t="s">
        <v>72</v>
      </c>
      <c r="C2630" s="4" t="s">
        <v>177</v>
      </c>
      <c r="D2630" s="4">
        <v>68</v>
      </c>
      <c r="E2630" s="18" t="s">
        <v>114</v>
      </c>
      <c r="F2630" s="19" t="s">
        <v>175</v>
      </c>
    </row>
    <row r="2631" spans="1:6">
      <c r="A2631" s="4" t="str">
        <f t="shared" si="41"/>
        <v>tRNA-Leu-GAG-1-2|57</v>
      </c>
      <c r="B2631" s="4" t="s">
        <v>72</v>
      </c>
      <c r="C2631" s="4" t="s">
        <v>178</v>
      </c>
      <c r="D2631" s="4">
        <v>69</v>
      </c>
      <c r="E2631" s="18" t="s">
        <v>109</v>
      </c>
      <c r="F2631" s="19" t="s">
        <v>175</v>
      </c>
    </row>
    <row r="2632" spans="1:6">
      <c r="A2632" s="4" t="str">
        <f t="shared" si="41"/>
        <v>tRNA-Leu-GAG-1-2|58</v>
      </c>
      <c r="B2632" s="4" t="s">
        <v>72</v>
      </c>
      <c r="C2632" s="4" t="s">
        <v>179</v>
      </c>
      <c r="D2632" s="4">
        <v>70</v>
      </c>
      <c r="E2632" s="18" t="s">
        <v>122</v>
      </c>
      <c r="F2632" s="19" t="s">
        <v>175</v>
      </c>
    </row>
    <row r="2633" spans="1:6">
      <c r="A2633" s="4" t="str">
        <f t="shared" si="41"/>
        <v>tRNA-Leu-GAG-1-2|59</v>
      </c>
      <c r="B2633" s="4" t="s">
        <v>72</v>
      </c>
      <c r="C2633" s="4" t="s">
        <v>180</v>
      </c>
      <c r="D2633" s="4">
        <v>71</v>
      </c>
      <c r="E2633" s="18" t="s">
        <v>122</v>
      </c>
      <c r="F2633" s="19" t="s">
        <v>175</v>
      </c>
    </row>
    <row r="2634" spans="1:6">
      <c r="A2634" s="4" t="str">
        <f t="shared" si="41"/>
        <v>tRNA-Leu-GAG-1-2|60</v>
      </c>
      <c r="B2634" s="4" t="s">
        <v>72</v>
      </c>
      <c r="C2634" s="4" t="s">
        <v>181</v>
      </c>
      <c r="D2634" s="4">
        <v>72</v>
      </c>
      <c r="E2634" s="18" t="s">
        <v>116</v>
      </c>
      <c r="F2634" s="19" t="s">
        <v>175</v>
      </c>
    </row>
    <row r="2635" spans="1:6">
      <c r="A2635" s="4" t="str">
        <f t="shared" si="41"/>
        <v>tRNA-Leu-GAG-1-2|61</v>
      </c>
      <c r="B2635" s="4" t="s">
        <v>72</v>
      </c>
      <c r="C2635" s="4" t="s">
        <v>182</v>
      </c>
      <c r="D2635" s="4">
        <v>73</v>
      </c>
      <c r="E2635" s="22" t="s">
        <v>114</v>
      </c>
      <c r="F2635" s="10" t="s">
        <v>169</v>
      </c>
    </row>
    <row r="2636" spans="1:6">
      <c r="A2636" s="4" t="str">
        <f t="shared" si="41"/>
        <v>tRNA-Leu-GAG-1-2|62</v>
      </c>
      <c r="B2636" s="4" t="s">
        <v>72</v>
      </c>
      <c r="C2636" s="4" t="s">
        <v>183</v>
      </c>
      <c r="D2636" s="4">
        <v>74</v>
      </c>
      <c r="E2636" s="22" t="s">
        <v>114</v>
      </c>
      <c r="F2636" s="10" t="s">
        <v>169</v>
      </c>
    </row>
    <row r="2637" spans="1:6">
      <c r="A2637" s="4" t="str">
        <f t="shared" si="41"/>
        <v>tRNA-Leu-GAG-1-2|63</v>
      </c>
      <c r="B2637" s="4" t="s">
        <v>72</v>
      </c>
      <c r="C2637" s="4" t="s">
        <v>184</v>
      </c>
      <c r="D2637" s="4">
        <v>75</v>
      </c>
      <c r="E2637" s="22" t="s">
        <v>114</v>
      </c>
      <c r="F2637" s="10" t="s">
        <v>169</v>
      </c>
    </row>
    <row r="2638" spans="1:6">
      <c r="A2638" s="4" t="str">
        <f t="shared" si="41"/>
        <v>tRNA-Leu-GAG-1-2|64</v>
      </c>
      <c r="B2638" s="4" t="s">
        <v>72</v>
      </c>
      <c r="C2638" s="4" t="s">
        <v>185</v>
      </c>
      <c r="D2638" s="4">
        <v>76</v>
      </c>
      <c r="E2638" s="22" t="s">
        <v>122</v>
      </c>
      <c r="F2638" s="10" t="s">
        <v>169</v>
      </c>
    </row>
    <row r="2639" spans="1:6">
      <c r="A2639" s="4" t="str">
        <f t="shared" si="41"/>
        <v>tRNA-Leu-GAG-1-2|65</v>
      </c>
      <c r="B2639" s="4" t="s">
        <v>72</v>
      </c>
      <c r="C2639" s="4" t="s">
        <v>186</v>
      </c>
      <c r="D2639" s="4">
        <v>77</v>
      </c>
      <c r="E2639" s="22" t="s">
        <v>116</v>
      </c>
      <c r="F2639" s="10" t="s">
        <v>169</v>
      </c>
    </row>
    <row r="2640" spans="1:6">
      <c r="A2640" s="4" t="str">
        <f t="shared" si="41"/>
        <v>tRNA-Leu-GAG-1-2|66</v>
      </c>
      <c r="B2640" s="4" t="s">
        <v>72</v>
      </c>
      <c r="C2640" s="4" t="s">
        <v>187</v>
      </c>
      <c r="D2640" s="4">
        <v>78</v>
      </c>
      <c r="E2640" s="16" t="s">
        <v>114</v>
      </c>
      <c r="F2640" s="17" t="s">
        <v>110</v>
      </c>
    </row>
    <row r="2641" spans="1:6">
      <c r="A2641" s="4" t="str">
        <f t="shared" si="41"/>
        <v>tRNA-Leu-GAG-1-2|67</v>
      </c>
      <c r="B2641" s="4" t="s">
        <v>72</v>
      </c>
      <c r="C2641" s="4" t="s">
        <v>188</v>
      </c>
      <c r="D2641" s="4">
        <v>79</v>
      </c>
      <c r="E2641" s="16" t="s">
        <v>114</v>
      </c>
      <c r="F2641" s="17" t="s">
        <v>110</v>
      </c>
    </row>
    <row r="2642" spans="1:6">
      <c r="A2642" s="4" t="str">
        <f t="shared" si="41"/>
        <v>tRNA-Leu-GAG-1-2|68</v>
      </c>
      <c r="B2642" s="4" t="s">
        <v>72</v>
      </c>
      <c r="C2642" s="4" t="s">
        <v>189</v>
      </c>
      <c r="D2642" s="4">
        <v>80</v>
      </c>
      <c r="E2642" s="16" t="s">
        <v>114</v>
      </c>
      <c r="F2642" s="17" t="s">
        <v>110</v>
      </c>
    </row>
    <row r="2643" spans="1:6">
      <c r="A2643" s="4" t="str">
        <f t="shared" si="41"/>
        <v>tRNA-Leu-GAG-1-2|69</v>
      </c>
      <c r="B2643" s="4" t="s">
        <v>72</v>
      </c>
      <c r="C2643" s="4" t="s">
        <v>190</v>
      </c>
      <c r="D2643" s="4">
        <v>81</v>
      </c>
      <c r="E2643" s="16" t="s">
        <v>116</v>
      </c>
      <c r="F2643" s="17" t="s">
        <v>110</v>
      </c>
    </row>
    <row r="2644" spans="1:6">
      <c r="A2644" s="4" t="str">
        <f t="shared" si="41"/>
        <v>tRNA-Leu-GAG-1-2|70</v>
      </c>
      <c r="B2644" s="4" t="s">
        <v>72</v>
      </c>
      <c r="C2644" s="4" t="s">
        <v>191</v>
      </c>
      <c r="D2644" s="4">
        <v>82</v>
      </c>
      <c r="E2644" s="16" t="s">
        <v>114</v>
      </c>
      <c r="F2644" s="17" t="s">
        <v>110</v>
      </c>
    </row>
    <row r="2645" spans="1:6">
      <c r="A2645" s="4" t="str">
        <f t="shared" si="41"/>
        <v>tRNA-Leu-GAG-1-2|71</v>
      </c>
      <c r="B2645" s="4" t="s">
        <v>72</v>
      </c>
      <c r="C2645" s="4" t="s">
        <v>192</v>
      </c>
      <c r="D2645" s="4">
        <v>83</v>
      </c>
      <c r="E2645" s="16" t="s">
        <v>109</v>
      </c>
      <c r="F2645" s="17" t="s">
        <v>110</v>
      </c>
    </row>
    <row r="2646" spans="1:6">
      <c r="A2646" s="4" t="str">
        <f t="shared" si="41"/>
        <v>tRNA-Leu-GAG-1-2|72</v>
      </c>
      <c r="B2646" s="4" t="s">
        <v>72</v>
      </c>
      <c r="C2646" s="4" t="s">
        <v>193</v>
      </c>
      <c r="D2646" s="4">
        <v>84</v>
      </c>
      <c r="E2646" s="16" t="s">
        <v>114</v>
      </c>
      <c r="F2646" s="17" t="s">
        <v>110</v>
      </c>
    </row>
    <row r="2647" spans="1:6">
      <c r="A2647" s="4" t="str">
        <f t="shared" si="41"/>
        <v>tRNA-Leu-TAA-1-1|1</v>
      </c>
      <c r="B2647" s="4" t="s">
        <v>73</v>
      </c>
      <c r="C2647" s="4" t="s">
        <v>108</v>
      </c>
      <c r="D2647" s="4">
        <v>1</v>
      </c>
      <c r="E2647" s="16" t="s">
        <v>109</v>
      </c>
      <c r="F2647" s="17" t="s">
        <v>110</v>
      </c>
    </row>
    <row r="2648" spans="1:6">
      <c r="A2648" s="4" t="str">
        <f t="shared" si="41"/>
        <v>tRNA-Leu-TAA-1-1|2</v>
      </c>
      <c r="B2648" s="4" t="s">
        <v>73</v>
      </c>
      <c r="C2648" s="4" t="s">
        <v>111</v>
      </c>
      <c r="D2648" s="4">
        <v>2</v>
      </c>
      <c r="E2648" s="16" t="s">
        <v>114</v>
      </c>
      <c r="F2648" s="17" t="s">
        <v>110</v>
      </c>
    </row>
    <row r="2649" spans="1:6">
      <c r="A2649" s="4" t="str">
        <f t="shared" si="41"/>
        <v>tRNA-Leu-TAA-1-1|3</v>
      </c>
      <c r="B2649" s="4" t="s">
        <v>73</v>
      </c>
      <c r="C2649" s="4" t="s">
        <v>112</v>
      </c>
      <c r="D2649" s="4">
        <v>3</v>
      </c>
      <c r="E2649" s="16" t="s">
        <v>109</v>
      </c>
      <c r="F2649" s="17" t="s">
        <v>110</v>
      </c>
    </row>
    <row r="2650" spans="1:6">
      <c r="A2650" s="4" t="str">
        <f t="shared" si="41"/>
        <v>tRNA-Leu-TAA-1-1|4</v>
      </c>
      <c r="B2650" s="4" t="s">
        <v>73</v>
      </c>
      <c r="C2650" s="4" t="s">
        <v>113</v>
      </c>
      <c r="D2650" s="4">
        <v>4</v>
      </c>
      <c r="E2650" s="16" t="s">
        <v>122</v>
      </c>
      <c r="F2650" s="17" t="s">
        <v>110</v>
      </c>
    </row>
    <row r="2651" spans="1:6">
      <c r="A2651" s="4" t="str">
        <f t="shared" si="41"/>
        <v>tRNA-Leu-TAA-1-1|5</v>
      </c>
      <c r="B2651" s="4" t="s">
        <v>73</v>
      </c>
      <c r="C2651" s="4" t="s">
        <v>115</v>
      </c>
      <c r="D2651" s="4">
        <v>5</v>
      </c>
      <c r="E2651" s="16" t="s">
        <v>109</v>
      </c>
      <c r="F2651" s="17" t="s">
        <v>110</v>
      </c>
    </row>
    <row r="2652" spans="1:6">
      <c r="A2652" s="4" t="str">
        <f t="shared" si="41"/>
        <v>tRNA-Leu-TAA-1-1|6</v>
      </c>
      <c r="B2652" s="4" t="s">
        <v>73</v>
      </c>
      <c r="C2652" s="4" t="s">
        <v>117</v>
      </c>
      <c r="D2652" s="4">
        <v>6</v>
      </c>
      <c r="E2652" s="16" t="s">
        <v>109</v>
      </c>
      <c r="F2652" s="17" t="s">
        <v>110</v>
      </c>
    </row>
    <row r="2653" spans="1:6">
      <c r="A2653" s="4" t="str">
        <f t="shared" si="41"/>
        <v>tRNA-Leu-TAA-1-1|7</v>
      </c>
      <c r="B2653" s="4" t="s">
        <v>73</v>
      </c>
      <c r="C2653" s="4" t="s">
        <v>118</v>
      </c>
      <c r="D2653" s="4">
        <v>7</v>
      </c>
      <c r="E2653" s="16" t="s">
        <v>109</v>
      </c>
      <c r="F2653" s="17" t="s">
        <v>110</v>
      </c>
    </row>
    <row r="2654" spans="1:6">
      <c r="A2654" s="4" t="str">
        <f t="shared" si="41"/>
        <v>tRNA-Leu-TAA-1-1|8</v>
      </c>
      <c r="B2654" s="4" t="s">
        <v>73</v>
      </c>
      <c r="C2654" s="4" t="s">
        <v>119</v>
      </c>
      <c r="D2654" s="4">
        <v>8</v>
      </c>
      <c r="E2654" s="3" t="s">
        <v>116</v>
      </c>
      <c r="F2654" s="4" t="s">
        <v>120</v>
      </c>
    </row>
    <row r="2655" spans="1:6">
      <c r="A2655" s="4" t="str">
        <f t="shared" si="41"/>
        <v>tRNA-Leu-TAA-1-1|9</v>
      </c>
      <c r="B2655" s="4" t="s">
        <v>73</v>
      </c>
      <c r="C2655" s="4" t="s">
        <v>121</v>
      </c>
      <c r="D2655" s="4">
        <v>9</v>
      </c>
      <c r="E2655" s="3" t="s">
        <v>116</v>
      </c>
      <c r="F2655" s="4" t="s">
        <v>123</v>
      </c>
    </row>
    <row r="2656" spans="1:6">
      <c r="A2656" s="4" t="str">
        <f t="shared" si="41"/>
        <v>tRNA-Leu-TAA-1-1|10</v>
      </c>
      <c r="B2656" s="4" t="s">
        <v>73</v>
      </c>
      <c r="C2656" s="4" t="s">
        <v>124</v>
      </c>
      <c r="D2656" s="4">
        <v>10</v>
      </c>
      <c r="E2656" s="8" t="s">
        <v>109</v>
      </c>
      <c r="F2656" s="7" t="s">
        <v>125</v>
      </c>
    </row>
    <row r="2657" spans="1:6">
      <c r="A2657" s="4" t="str">
        <f t="shared" si="41"/>
        <v>tRNA-Leu-TAA-1-1|11</v>
      </c>
      <c r="B2657" s="4" t="s">
        <v>73</v>
      </c>
      <c r="C2657" s="4" t="s">
        <v>126</v>
      </c>
      <c r="D2657" s="4">
        <v>11</v>
      </c>
      <c r="E2657" s="8" t="s">
        <v>114</v>
      </c>
      <c r="F2657" s="7" t="s">
        <v>125</v>
      </c>
    </row>
    <row r="2658" spans="1:6">
      <c r="A2658" s="4" t="str">
        <f t="shared" si="41"/>
        <v>tRNA-Leu-TAA-1-1|12</v>
      </c>
      <c r="B2658" s="4" t="s">
        <v>73</v>
      </c>
      <c r="C2658" s="4" t="s">
        <v>127</v>
      </c>
      <c r="D2658" s="4">
        <v>12</v>
      </c>
      <c r="E2658" s="8" t="s">
        <v>114</v>
      </c>
      <c r="F2658" s="7" t="s">
        <v>125</v>
      </c>
    </row>
    <row r="2659" spans="1:6">
      <c r="A2659" s="4" t="str">
        <f t="shared" si="41"/>
        <v>tRNA-Leu-TAA-1-1|13</v>
      </c>
      <c r="B2659" s="4" t="s">
        <v>73</v>
      </c>
      <c r="C2659" s="4" t="s">
        <v>128</v>
      </c>
      <c r="D2659" s="4">
        <v>13</v>
      </c>
      <c r="E2659" s="8" t="s">
        <v>114</v>
      </c>
      <c r="F2659" s="7" t="s">
        <v>125</v>
      </c>
    </row>
    <row r="2660" spans="1:6">
      <c r="A2660" s="4" t="str">
        <f t="shared" si="41"/>
        <v>tRNA-Leu-TAA-1-1|14</v>
      </c>
      <c r="B2660" s="4" t="s">
        <v>73</v>
      </c>
      <c r="C2660" s="4" t="s">
        <v>129</v>
      </c>
      <c r="D2660" s="4">
        <v>14</v>
      </c>
      <c r="E2660" s="18" t="s">
        <v>122</v>
      </c>
      <c r="F2660" s="19" t="s">
        <v>130</v>
      </c>
    </row>
    <row r="2661" spans="1:6">
      <c r="A2661" s="4" t="str">
        <f t="shared" si="41"/>
        <v>tRNA-Leu-TAA-1-1|15</v>
      </c>
      <c r="B2661" s="4" t="s">
        <v>73</v>
      </c>
      <c r="C2661" s="4" t="s">
        <v>131</v>
      </c>
      <c r="D2661" s="4">
        <v>15</v>
      </c>
      <c r="E2661" s="18" t="s">
        <v>109</v>
      </c>
      <c r="F2661" s="19" t="s">
        <v>130</v>
      </c>
    </row>
    <row r="2662" spans="1:6">
      <c r="A2662" s="4" t="str">
        <f t="shared" si="41"/>
        <v>tRNA-Leu-TAA-1-1|16</v>
      </c>
      <c r="B2662" s="4" t="s">
        <v>73</v>
      </c>
      <c r="C2662" s="4" t="s">
        <v>194</v>
      </c>
      <c r="D2662" s="4">
        <v>16</v>
      </c>
      <c r="E2662" s="18" t="s">
        <v>114</v>
      </c>
      <c r="F2662" s="19" t="s">
        <v>130</v>
      </c>
    </row>
    <row r="2663" spans="1:6">
      <c r="A2663" s="4" t="str">
        <f t="shared" si="41"/>
        <v>tRNA-Leu-TAA-1-1|17</v>
      </c>
      <c r="B2663" s="4" t="s">
        <v>73</v>
      </c>
      <c r="C2663" s="4" t="s">
        <v>195</v>
      </c>
      <c r="D2663" s="4">
        <v>17</v>
      </c>
      <c r="E2663" s="18" t="s">
        <v>122</v>
      </c>
      <c r="F2663" s="19" t="s">
        <v>130</v>
      </c>
    </row>
    <row r="2664" spans="1:6">
      <c r="A2664" s="4" t="str">
        <f t="shared" si="41"/>
        <v>tRNA-Leu-TAA-1-1|17a</v>
      </c>
      <c r="B2664" s="4" t="s">
        <v>73</v>
      </c>
      <c r="C2664" s="4" t="s">
        <v>196</v>
      </c>
      <c r="D2664" s="4">
        <v>18</v>
      </c>
      <c r="E2664" s="18" t="s">
        <v>114</v>
      </c>
      <c r="F2664" s="19" t="s">
        <v>130</v>
      </c>
    </row>
    <row r="2665" spans="1:6">
      <c r="A2665" s="4" t="str">
        <f t="shared" si="41"/>
        <v>tRNA-Leu-TAA-1-1|18</v>
      </c>
      <c r="B2665" s="4" t="s">
        <v>73</v>
      </c>
      <c r="C2665" s="4" t="s">
        <v>132</v>
      </c>
      <c r="D2665" s="4">
        <v>19</v>
      </c>
      <c r="E2665" s="18" t="s">
        <v>109</v>
      </c>
      <c r="F2665" s="19" t="s">
        <v>130</v>
      </c>
    </row>
    <row r="2666" spans="1:6">
      <c r="A2666" s="4" t="str">
        <f t="shared" si="41"/>
        <v>tRNA-Leu-TAA-1-1|19</v>
      </c>
      <c r="B2666" s="4" t="s">
        <v>73</v>
      </c>
      <c r="C2666" s="4" t="s">
        <v>133</v>
      </c>
      <c r="D2666" s="4">
        <v>20</v>
      </c>
      <c r="E2666" s="18" t="s">
        <v>109</v>
      </c>
      <c r="F2666" s="19" t="s">
        <v>130</v>
      </c>
    </row>
    <row r="2667" spans="1:6">
      <c r="A2667" s="4" t="str">
        <f t="shared" si="41"/>
        <v>tRNA-Leu-TAA-1-1|20</v>
      </c>
      <c r="B2667" s="4" t="s">
        <v>73</v>
      </c>
      <c r="C2667" s="4" t="s">
        <v>134</v>
      </c>
      <c r="D2667" s="4">
        <v>21</v>
      </c>
      <c r="E2667" s="18" t="s">
        <v>116</v>
      </c>
      <c r="F2667" s="19" t="s">
        <v>130</v>
      </c>
    </row>
    <row r="2668" spans="1:6">
      <c r="A2668" s="4" t="str">
        <f t="shared" si="41"/>
        <v>tRNA-Leu-TAA-1-1|20a</v>
      </c>
      <c r="B2668" s="4" t="s">
        <v>73</v>
      </c>
      <c r="C2668" s="4" t="s">
        <v>135</v>
      </c>
      <c r="D2668" s="4">
        <v>22</v>
      </c>
      <c r="E2668" s="18" t="s">
        <v>114</v>
      </c>
      <c r="F2668" s="19" t="s">
        <v>130</v>
      </c>
    </row>
    <row r="2669" spans="1:6">
      <c r="A2669" s="4" t="str">
        <f t="shared" si="41"/>
        <v>tRNA-Leu-TAA-1-1|20b</v>
      </c>
      <c r="B2669" s="4" t="s">
        <v>73</v>
      </c>
      <c r="C2669" s="4" t="s">
        <v>197</v>
      </c>
      <c r="D2669" s="4">
        <v>23</v>
      </c>
      <c r="E2669" s="18" t="s">
        <v>122</v>
      </c>
      <c r="F2669" s="19" t="s">
        <v>130</v>
      </c>
    </row>
    <row r="2670" spans="1:6">
      <c r="A2670" s="4" t="str">
        <f t="shared" si="41"/>
        <v>tRNA-Leu-TAA-1-1|21</v>
      </c>
      <c r="B2670" s="4" t="s">
        <v>73</v>
      </c>
      <c r="C2670" s="4" t="s">
        <v>136</v>
      </c>
      <c r="D2670" s="4">
        <v>24</v>
      </c>
      <c r="E2670" s="18" t="s">
        <v>122</v>
      </c>
      <c r="F2670" s="19" t="s">
        <v>130</v>
      </c>
    </row>
    <row r="2671" spans="1:6">
      <c r="A2671" s="4" t="str">
        <f t="shared" si="41"/>
        <v>tRNA-Leu-TAA-1-1|22</v>
      </c>
      <c r="B2671" s="4" t="s">
        <v>73</v>
      </c>
      <c r="C2671" s="4" t="s">
        <v>137</v>
      </c>
      <c r="D2671" s="4">
        <v>25</v>
      </c>
      <c r="E2671" s="8" t="s">
        <v>122</v>
      </c>
      <c r="F2671" s="7" t="s">
        <v>125</v>
      </c>
    </row>
    <row r="2672" spans="1:6">
      <c r="A2672" s="4" t="str">
        <f t="shared" si="41"/>
        <v>tRNA-Leu-TAA-1-1|23</v>
      </c>
      <c r="B2672" s="4" t="s">
        <v>73</v>
      </c>
      <c r="C2672" s="4" t="s">
        <v>138</v>
      </c>
      <c r="D2672" s="4">
        <v>26</v>
      </c>
      <c r="E2672" s="8" t="s">
        <v>109</v>
      </c>
      <c r="F2672" s="7" t="s">
        <v>125</v>
      </c>
    </row>
    <row r="2673" spans="1:6">
      <c r="A2673" s="4" t="str">
        <f t="shared" si="41"/>
        <v>tRNA-Leu-TAA-1-1|24</v>
      </c>
      <c r="B2673" s="4" t="s">
        <v>73</v>
      </c>
      <c r="C2673" s="4" t="s">
        <v>139</v>
      </c>
      <c r="D2673" s="4">
        <v>27</v>
      </c>
      <c r="E2673" s="8" t="s">
        <v>109</v>
      </c>
      <c r="F2673" s="7" t="s">
        <v>125</v>
      </c>
    </row>
    <row r="2674" spans="1:6">
      <c r="A2674" s="4" t="str">
        <f t="shared" si="41"/>
        <v>tRNA-Leu-TAA-1-1|25</v>
      </c>
      <c r="B2674" s="4" t="s">
        <v>73</v>
      </c>
      <c r="C2674" s="4" t="s">
        <v>140</v>
      </c>
      <c r="D2674" s="4">
        <v>28</v>
      </c>
      <c r="E2674" s="8" t="s">
        <v>114</v>
      </c>
      <c r="F2674" s="7" t="s">
        <v>125</v>
      </c>
    </row>
    <row r="2675" spans="1:6">
      <c r="A2675" s="4" t="str">
        <f t="shared" si="41"/>
        <v>tRNA-Leu-TAA-1-1|26</v>
      </c>
      <c r="B2675" s="4" t="s">
        <v>73</v>
      </c>
      <c r="C2675" s="4" t="s">
        <v>141</v>
      </c>
      <c r="D2675" s="4">
        <v>29</v>
      </c>
      <c r="E2675" s="3" t="s">
        <v>109</v>
      </c>
      <c r="F2675" s="4" t="s">
        <v>142</v>
      </c>
    </row>
    <row r="2676" spans="1:6">
      <c r="A2676" s="4" t="str">
        <f t="shared" si="41"/>
        <v>tRNA-Leu-TAA-1-1|27</v>
      </c>
      <c r="B2676" s="4" t="s">
        <v>73</v>
      </c>
      <c r="C2676" s="4" t="s">
        <v>143</v>
      </c>
      <c r="D2676" s="4">
        <v>30</v>
      </c>
      <c r="E2676" s="20" t="s">
        <v>114</v>
      </c>
      <c r="F2676" s="21" t="s">
        <v>144</v>
      </c>
    </row>
    <row r="2677" spans="1:6">
      <c r="A2677" s="4" t="str">
        <f t="shared" si="41"/>
        <v>tRNA-Leu-TAA-1-1|28</v>
      </c>
      <c r="B2677" s="4" t="s">
        <v>73</v>
      </c>
      <c r="C2677" s="4" t="s">
        <v>145</v>
      </c>
      <c r="D2677" s="4">
        <v>31</v>
      </c>
      <c r="E2677" s="20" t="s">
        <v>114</v>
      </c>
      <c r="F2677" s="21" t="s">
        <v>144</v>
      </c>
    </row>
    <row r="2678" spans="1:6">
      <c r="A2678" s="4" t="str">
        <f t="shared" si="41"/>
        <v>tRNA-Leu-TAA-1-1|29</v>
      </c>
      <c r="B2678" s="4" t="s">
        <v>73</v>
      </c>
      <c r="C2678" s="4" t="s">
        <v>146</v>
      </c>
      <c r="D2678" s="4">
        <v>32</v>
      </c>
      <c r="E2678" s="20" t="s">
        <v>109</v>
      </c>
      <c r="F2678" s="21" t="s">
        <v>144</v>
      </c>
    </row>
    <row r="2679" spans="1:6">
      <c r="A2679" s="4" t="str">
        <f t="shared" si="41"/>
        <v>tRNA-Leu-TAA-1-1|30</v>
      </c>
      <c r="B2679" s="4" t="s">
        <v>73</v>
      </c>
      <c r="C2679" s="4" t="s">
        <v>147</v>
      </c>
      <c r="D2679" s="4">
        <v>33</v>
      </c>
      <c r="E2679" s="20" t="s">
        <v>109</v>
      </c>
      <c r="F2679" s="21" t="s">
        <v>144</v>
      </c>
    </row>
    <row r="2680" spans="1:6">
      <c r="A2680" s="4" t="str">
        <f t="shared" si="41"/>
        <v>tRNA-Leu-TAA-1-1|31</v>
      </c>
      <c r="B2680" s="4" t="s">
        <v>73</v>
      </c>
      <c r="C2680" s="4" t="s">
        <v>148</v>
      </c>
      <c r="D2680" s="4">
        <v>34</v>
      </c>
      <c r="E2680" s="20" t="s">
        <v>122</v>
      </c>
      <c r="F2680" s="21" t="s">
        <v>144</v>
      </c>
    </row>
    <row r="2681" spans="1:6">
      <c r="A2681" s="4" t="str">
        <f t="shared" si="41"/>
        <v>tRNA-Leu-TAA-1-1|32</v>
      </c>
      <c r="B2681" s="4" t="s">
        <v>73</v>
      </c>
      <c r="C2681" s="4" t="s">
        <v>149</v>
      </c>
      <c r="D2681" s="4">
        <v>35</v>
      </c>
      <c r="E2681" s="18" t="s">
        <v>114</v>
      </c>
      <c r="F2681" s="19" t="s">
        <v>150</v>
      </c>
    </row>
    <row r="2682" spans="1:6">
      <c r="A2682" s="4" t="str">
        <f t="shared" si="41"/>
        <v>tRNA-Leu-TAA-1-1|33</v>
      </c>
      <c r="B2682" s="4" t="s">
        <v>73</v>
      </c>
      <c r="C2682" s="4" t="s">
        <v>151</v>
      </c>
      <c r="D2682" s="4">
        <v>36</v>
      </c>
      <c r="E2682" s="18" t="s">
        <v>116</v>
      </c>
      <c r="F2682" s="19" t="s">
        <v>150</v>
      </c>
    </row>
    <row r="2683" spans="1:6">
      <c r="A2683" s="4" t="str">
        <f t="shared" si="41"/>
        <v>tRNA-Leu-TAA-1-1|34</v>
      </c>
      <c r="B2683" s="4" t="s">
        <v>73</v>
      </c>
      <c r="C2683" s="4" t="s">
        <v>152</v>
      </c>
      <c r="D2683" s="4">
        <v>37</v>
      </c>
      <c r="E2683" s="18" t="s">
        <v>116</v>
      </c>
      <c r="F2683" s="19" t="s">
        <v>150</v>
      </c>
    </row>
    <row r="2684" spans="1:6">
      <c r="A2684" s="4" t="str">
        <f t="shared" si="41"/>
        <v>tRNA-Leu-TAA-1-1|35</v>
      </c>
      <c r="B2684" s="4" t="s">
        <v>73</v>
      </c>
      <c r="C2684" s="4" t="s">
        <v>153</v>
      </c>
      <c r="D2684" s="4">
        <v>38</v>
      </c>
      <c r="E2684" s="18" t="s">
        <v>122</v>
      </c>
      <c r="F2684" s="19" t="s">
        <v>150</v>
      </c>
    </row>
    <row r="2685" spans="1:6">
      <c r="A2685" s="4" t="str">
        <f t="shared" si="41"/>
        <v>tRNA-Leu-TAA-1-1|36</v>
      </c>
      <c r="B2685" s="4" t="s">
        <v>73</v>
      </c>
      <c r="C2685" s="4" t="s">
        <v>154</v>
      </c>
      <c r="D2685" s="4">
        <v>39</v>
      </c>
      <c r="E2685" s="18" t="s">
        <v>122</v>
      </c>
      <c r="F2685" s="19" t="s">
        <v>150</v>
      </c>
    </row>
    <row r="2686" spans="1:6">
      <c r="A2686" s="4" t="str">
        <f t="shared" si="41"/>
        <v>tRNA-Leu-TAA-1-1|37</v>
      </c>
      <c r="B2686" s="4" t="s">
        <v>73</v>
      </c>
      <c r="C2686" s="4" t="s">
        <v>155</v>
      </c>
      <c r="D2686" s="4">
        <v>40</v>
      </c>
      <c r="E2686" s="18" t="s">
        <v>109</v>
      </c>
      <c r="F2686" s="19" t="s">
        <v>150</v>
      </c>
    </row>
    <row r="2687" spans="1:6">
      <c r="A2687" s="4" t="str">
        <f t="shared" si="41"/>
        <v>tRNA-Leu-TAA-1-1|38</v>
      </c>
      <c r="B2687" s="4" t="s">
        <v>73</v>
      </c>
      <c r="C2687" s="4" t="s">
        <v>156</v>
      </c>
      <c r="D2687" s="4">
        <v>41</v>
      </c>
      <c r="E2687" s="18" t="s">
        <v>122</v>
      </c>
      <c r="F2687" s="19" t="s">
        <v>150</v>
      </c>
    </row>
    <row r="2688" spans="1:6">
      <c r="A2688" s="4" t="str">
        <f t="shared" si="41"/>
        <v>tRNA-Leu-TAA-1-1|39</v>
      </c>
      <c r="B2688" s="4" t="s">
        <v>73</v>
      </c>
      <c r="C2688" s="4" t="s">
        <v>157</v>
      </c>
      <c r="D2688" s="4">
        <v>42</v>
      </c>
      <c r="E2688" s="20" t="s">
        <v>116</v>
      </c>
      <c r="F2688" s="21" t="s">
        <v>144</v>
      </c>
    </row>
    <row r="2689" spans="1:6">
      <c r="A2689" s="4" t="str">
        <f t="shared" si="41"/>
        <v>tRNA-Leu-TAA-1-1|40</v>
      </c>
      <c r="B2689" s="4" t="s">
        <v>73</v>
      </c>
      <c r="C2689" s="4" t="s">
        <v>158</v>
      </c>
      <c r="D2689" s="4">
        <v>43</v>
      </c>
      <c r="E2689" s="20" t="s">
        <v>114</v>
      </c>
      <c r="F2689" s="21" t="s">
        <v>144</v>
      </c>
    </row>
    <row r="2690" spans="1:6">
      <c r="A2690" s="4" t="str">
        <f t="shared" ref="A2690:A2753" si="42">B2690&amp;"|"&amp;C2690</f>
        <v>tRNA-Leu-TAA-1-1|41</v>
      </c>
      <c r="B2690" s="4" t="s">
        <v>73</v>
      </c>
      <c r="C2690" s="4" t="s">
        <v>159</v>
      </c>
      <c r="D2690" s="4">
        <v>44</v>
      </c>
      <c r="E2690" s="20" t="s">
        <v>114</v>
      </c>
      <c r="F2690" s="21" t="s">
        <v>144</v>
      </c>
    </row>
    <row r="2691" spans="1:6">
      <c r="A2691" s="4" t="str">
        <f t="shared" si="42"/>
        <v>tRNA-Leu-TAA-1-1|42</v>
      </c>
      <c r="B2691" s="4" t="s">
        <v>73</v>
      </c>
      <c r="C2691" s="4" t="s">
        <v>160</v>
      </c>
      <c r="D2691" s="4">
        <v>45</v>
      </c>
      <c r="E2691" s="20" t="s">
        <v>109</v>
      </c>
      <c r="F2691" s="21" t="s">
        <v>144</v>
      </c>
    </row>
    <row r="2692" spans="1:6">
      <c r="A2692" s="4" t="str">
        <f t="shared" si="42"/>
        <v>tRNA-Leu-TAA-1-1|43</v>
      </c>
      <c r="B2692" s="4" t="s">
        <v>73</v>
      </c>
      <c r="C2692" s="4" t="s">
        <v>161</v>
      </c>
      <c r="D2692" s="4">
        <v>46</v>
      </c>
      <c r="E2692" s="20" t="s">
        <v>109</v>
      </c>
      <c r="F2692" s="21" t="s">
        <v>144</v>
      </c>
    </row>
    <row r="2693" spans="1:6">
      <c r="A2693" s="4" t="str">
        <f t="shared" si="42"/>
        <v>tRNA-Leu-TAA-1-1|44</v>
      </c>
      <c r="B2693" s="4" t="s">
        <v>73</v>
      </c>
      <c r="C2693" s="4" t="s">
        <v>162</v>
      </c>
      <c r="D2693" s="4">
        <v>47</v>
      </c>
      <c r="E2693" s="18" t="s">
        <v>116</v>
      </c>
      <c r="F2693" s="19" t="s">
        <v>163</v>
      </c>
    </row>
    <row r="2694" spans="1:6">
      <c r="A2694" s="4" t="str">
        <f t="shared" si="42"/>
        <v>tRNA-Leu-TAA-1-1|45</v>
      </c>
      <c r="B2694" s="4" t="s">
        <v>73</v>
      </c>
      <c r="C2694" s="4" t="s">
        <v>164</v>
      </c>
      <c r="D2694" s="4">
        <v>48</v>
      </c>
      <c r="E2694" s="18" t="s">
        <v>122</v>
      </c>
      <c r="F2694" s="19" t="s">
        <v>163</v>
      </c>
    </row>
    <row r="2695" spans="1:6">
      <c r="A2695" s="4" t="str">
        <f t="shared" si="42"/>
        <v>tRNA-Leu-TAA-1-1|e1</v>
      </c>
      <c r="B2695" s="4" t="s">
        <v>73</v>
      </c>
      <c r="C2695" s="4" t="s">
        <v>198</v>
      </c>
      <c r="D2695" s="4">
        <v>49</v>
      </c>
      <c r="E2695" s="18" t="s">
        <v>116</v>
      </c>
      <c r="F2695" s="19" t="s">
        <v>163</v>
      </c>
    </row>
    <row r="2696" spans="1:6">
      <c r="A2696" s="4" t="str">
        <f t="shared" si="42"/>
        <v>tRNA-Leu-TAA-1-1|e2</v>
      </c>
      <c r="B2696" s="4" t="s">
        <v>73</v>
      </c>
      <c r="C2696" s="4" t="s">
        <v>199</v>
      </c>
      <c r="D2696" s="4">
        <v>50</v>
      </c>
      <c r="E2696" s="18" t="s">
        <v>114</v>
      </c>
      <c r="F2696" s="19" t="s">
        <v>163</v>
      </c>
    </row>
    <row r="2697" spans="1:6">
      <c r="A2697" s="4" t="str">
        <f t="shared" si="42"/>
        <v>tRNA-Leu-TAA-1-1|e3</v>
      </c>
      <c r="B2697" s="4" t="s">
        <v>73</v>
      </c>
      <c r="C2697" s="4" t="s">
        <v>200</v>
      </c>
      <c r="D2697" s="4">
        <v>51</v>
      </c>
      <c r="E2697" s="18" t="s">
        <v>109</v>
      </c>
      <c r="F2697" s="19" t="s">
        <v>163</v>
      </c>
    </row>
    <row r="2698" spans="1:6">
      <c r="A2698" s="4" t="str">
        <f t="shared" si="42"/>
        <v>tRNA-Leu-TAA-1-1|e4</v>
      </c>
      <c r="B2698" s="4" t="s">
        <v>73</v>
      </c>
      <c r="C2698" s="4" t="s">
        <v>201</v>
      </c>
      <c r="D2698" s="4">
        <v>52</v>
      </c>
      <c r="E2698" s="18" t="s">
        <v>122</v>
      </c>
      <c r="F2698" s="19" t="s">
        <v>163</v>
      </c>
    </row>
    <row r="2699" spans="1:6">
      <c r="A2699" s="4" t="str">
        <f t="shared" si="42"/>
        <v>tRNA-Leu-TAA-1-1|e5</v>
      </c>
      <c r="B2699" s="4" t="s">
        <v>73</v>
      </c>
      <c r="C2699" s="4" t="s">
        <v>202</v>
      </c>
      <c r="D2699" s="4">
        <v>53</v>
      </c>
      <c r="E2699" s="18" t="s">
        <v>122</v>
      </c>
      <c r="F2699" s="19" t="s">
        <v>163</v>
      </c>
    </row>
    <row r="2700" spans="1:6">
      <c r="A2700" s="4" t="str">
        <f t="shared" si="42"/>
        <v>tRNA-Leu-TAA-1-1|e6</v>
      </c>
      <c r="B2700" s="4" t="s">
        <v>73</v>
      </c>
      <c r="C2700" s="4" t="s">
        <v>203</v>
      </c>
      <c r="D2700" s="4">
        <v>54</v>
      </c>
      <c r="E2700" s="18" t="s">
        <v>109</v>
      </c>
      <c r="F2700" s="19" t="s">
        <v>163</v>
      </c>
    </row>
    <row r="2701" spans="1:6">
      <c r="A2701" s="4" t="str">
        <f t="shared" si="42"/>
        <v>tRNA-Leu-TAA-1-1|e7</v>
      </c>
      <c r="B2701" s="4" t="s">
        <v>73</v>
      </c>
      <c r="C2701" s="4" t="s">
        <v>204</v>
      </c>
      <c r="D2701" s="4">
        <v>55</v>
      </c>
      <c r="E2701" s="18" t="s">
        <v>109</v>
      </c>
      <c r="F2701" s="19" t="s">
        <v>163</v>
      </c>
    </row>
    <row r="2702" spans="1:6">
      <c r="A2702" s="4" t="str">
        <f t="shared" si="42"/>
        <v>tRNA-Leu-TAA-1-1|e8</v>
      </c>
      <c r="B2702" s="4" t="s">
        <v>73</v>
      </c>
      <c r="C2702" s="4" t="s">
        <v>205</v>
      </c>
      <c r="D2702" s="4">
        <v>56</v>
      </c>
      <c r="E2702" s="18" t="s">
        <v>122</v>
      </c>
      <c r="F2702" s="19" t="s">
        <v>163</v>
      </c>
    </row>
    <row r="2703" spans="1:6">
      <c r="A2703" s="4" t="str">
        <f t="shared" si="42"/>
        <v>tRNA-Leu-TAA-1-1|e9</v>
      </c>
      <c r="B2703" s="4" t="s">
        <v>73</v>
      </c>
      <c r="C2703" s="4" t="s">
        <v>206</v>
      </c>
      <c r="D2703" s="4">
        <v>57</v>
      </c>
      <c r="E2703" s="18" t="s">
        <v>116</v>
      </c>
      <c r="F2703" s="19" t="s">
        <v>163</v>
      </c>
    </row>
    <row r="2704" spans="1:6">
      <c r="A2704" s="4" t="str">
        <f t="shared" si="42"/>
        <v>tRNA-Leu-TAA-1-1|46</v>
      </c>
      <c r="B2704" s="4" t="s">
        <v>73</v>
      </c>
      <c r="C2704" s="4" t="s">
        <v>165</v>
      </c>
      <c r="D2704" s="4">
        <v>58</v>
      </c>
      <c r="E2704" s="18" t="s">
        <v>116</v>
      </c>
      <c r="F2704" s="19" t="s">
        <v>163</v>
      </c>
    </row>
    <row r="2705" spans="1:6">
      <c r="A2705" s="4" t="str">
        <f t="shared" si="42"/>
        <v>tRNA-Leu-TAA-1-1|47</v>
      </c>
      <c r="B2705" s="4" t="s">
        <v>73</v>
      </c>
      <c r="C2705" s="4" t="s">
        <v>166</v>
      </c>
      <c r="D2705" s="4">
        <v>59</v>
      </c>
      <c r="E2705" s="18" t="s">
        <v>116</v>
      </c>
      <c r="F2705" s="19" t="s">
        <v>163</v>
      </c>
    </row>
    <row r="2706" spans="1:6">
      <c r="A2706" s="4" t="str">
        <f t="shared" si="42"/>
        <v>tRNA-Leu-TAA-1-1|48</v>
      </c>
      <c r="B2706" s="4" t="s">
        <v>73</v>
      </c>
      <c r="C2706" s="4" t="s">
        <v>167</v>
      </c>
      <c r="D2706" s="4">
        <v>60</v>
      </c>
      <c r="E2706" s="18" t="s">
        <v>114</v>
      </c>
      <c r="F2706" s="19" t="s">
        <v>163</v>
      </c>
    </row>
    <row r="2707" spans="1:6">
      <c r="A2707" s="4" t="str">
        <f t="shared" si="42"/>
        <v>tRNA-Leu-TAA-1-1|49</v>
      </c>
      <c r="B2707" s="4" t="s">
        <v>73</v>
      </c>
      <c r="C2707" s="4" t="s">
        <v>168</v>
      </c>
      <c r="D2707" s="4">
        <v>61</v>
      </c>
      <c r="E2707" s="22" t="s">
        <v>109</v>
      </c>
      <c r="F2707" s="10" t="s">
        <v>169</v>
      </c>
    </row>
    <row r="2708" spans="1:6">
      <c r="A2708" s="4" t="str">
        <f t="shared" si="42"/>
        <v>tRNA-Leu-TAA-1-1|50</v>
      </c>
      <c r="B2708" s="4" t="s">
        <v>73</v>
      </c>
      <c r="C2708" s="4" t="s">
        <v>170</v>
      </c>
      <c r="D2708" s="4">
        <v>62</v>
      </c>
      <c r="E2708" s="22" t="s">
        <v>116</v>
      </c>
      <c r="F2708" s="10" t="s">
        <v>169</v>
      </c>
    </row>
    <row r="2709" spans="1:6">
      <c r="A2709" s="4" t="str">
        <f t="shared" si="42"/>
        <v>tRNA-Leu-TAA-1-1|51</v>
      </c>
      <c r="B2709" s="4" t="s">
        <v>73</v>
      </c>
      <c r="C2709" s="4" t="s">
        <v>171</v>
      </c>
      <c r="D2709" s="4">
        <v>63</v>
      </c>
      <c r="E2709" s="22" t="s">
        <v>109</v>
      </c>
      <c r="F2709" s="10" t="s">
        <v>169</v>
      </c>
    </row>
    <row r="2710" spans="1:6">
      <c r="A2710" s="4" t="str">
        <f t="shared" si="42"/>
        <v>tRNA-Leu-TAA-1-1|52</v>
      </c>
      <c r="B2710" s="4" t="s">
        <v>73</v>
      </c>
      <c r="C2710" s="4" t="s">
        <v>172</v>
      </c>
      <c r="D2710" s="4">
        <v>64</v>
      </c>
      <c r="E2710" s="22" t="s">
        <v>109</v>
      </c>
      <c r="F2710" s="10" t="s">
        <v>169</v>
      </c>
    </row>
    <row r="2711" spans="1:6">
      <c r="A2711" s="4" t="str">
        <f t="shared" si="42"/>
        <v>tRNA-Leu-TAA-1-1|53</v>
      </c>
      <c r="B2711" s="4" t="s">
        <v>73</v>
      </c>
      <c r="C2711" s="4" t="s">
        <v>173</v>
      </c>
      <c r="D2711" s="4">
        <v>65</v>
      </c>
      <c r="E2711" s="22" t="s">
        <v>109</v>
      </c>
      <c r="F2711" s="10" t="s">
        <v>169</v>
      </c>
    </row>
    <row r="2712" spans="1:6">
      <c r="A2712" s="4" t="str">
        <f t="shared" si="42"/>
        <v>tRNA-Leu-TAA-1-1|54</v>
      </c>
      <c r="B2712" s="4" t="s">
        <v>73</v>
      </c>
      <c r="C2712" s="4" t="s">
        <v>174</v>
      </c>
      <c r="D2712" s="4">
        <v>66</v>
      </c>
      <c r="E2712" s="18" t="s">
        <v>116</v>
      </c>
      <c r="F2712" s="19" t="s">
        <v>175</v>
      </c>
    </row>
    <row r="2713" spans="1:6">
      <c r="A2713" s="4" t="str">
        <f t="shared" si="42"/>
        <v>tRNA-Leu-TAA-1-1|55</v>
      </c>
      <c r="B2713" s="4" t="s">
        <v>73</v>
      </c>
      <c r="C2713" s="4" t="s">
        <v>176</v>
      </c>
      <c r="D2713" s="4">
        <v>67</v>
      </c>
      <c r="E2713" s="18" t="s">
        <v>116</v>
      </c>
      <c r="F2713" s="19" t="s">
        <v>175</v>
      </c>
    </row>
    <row r="2714" spans="1:6">
      <c r="A2714" s="4" t="str">
        <f t="shared" si="42"/>
        <v>tRNA-Leu-TAA-1-1|56</v>
      </c>
      <c r="B2714" s="4" t="s">
        <v>73</v>
      </c>
      <c r="C2714" s="4" t="s">
        <v>177</v>
      </c>
      <c r="D2714" s="4">
        <v>68</v>
      </c>
      <c r="E2714" s="18" t="s">
        <v>114</v>
      </c>
      <c r="F2714" s="19" t="s">
        <v>175</v>
      </c>
    </row>
    <row r="2715" spans="1:6">
      <c r="A2715" s="4" t="str">
        <f t="shared" si="42"/>
        <v>tRNA-Leu-TAA-1-1|57</v>
      </c>
      <c r="B2715" s="4" t="s">
        <v>73</v>
      </c>
      <c r="C2715" s="4" t="s">
        <v>178</v>
      </c>
      <c r="D2715" s="4">
        <v>69</v>
      </c>
      <c r="E2715" s="18" t="s">
        <v>109</v>
      </c>
      <c r="F2715" s="19" t="s">
        <v>175</v>
      </c>
    </row>
    <row r="2716" spans="1:6">
      <c r="A2716" s="4" t="str">
        <f t="shared" si="42"/>
        <v>tRNA-Leu-TAA-1-1|58</v>
      </c>
      <c r="B2716" s="4" t="s">
        <v>73</v>
      </c>
      <c r="C2716" s="4" t="s">
        <v>179</v>
      </c>
      <c r="D2716" s="4">
        <v>70</v>
      </c>
      <c r="E2716" s="18" t="s">
        <v>122</v>
      </c>
      <c r="F2716" s="19" t="s">
        <v>175</v>
      </c>
    </row>
    <row r="2717" spans="1:6">
      <c r="A2717" s="4" t="str">
        <f t="shared" si="42"/>
        <v>tRNA-Leu-TAA-1-1|59</v>
      </c>
      <c r="B2717" s="4" t="s">
        <v>73</v>
      </c>
      <c r="C2717" s="4" t="s">
        <v>180</v>
      </c>
      <c r="D2717" s="4">
        <v>71</v>
      </c>
      <c r="E2717" s="18" t="s">
        <v>122</v>
      </c>
      <c r="F2717" s="19" t="s">
        <v>175</v>
      </c>
    </row>
    <row r="2718" spans="1:6">
      <c r="A2718" s="4" t="str">
        <f t="shared" si="42"/>
        <v>tRNA-Leu-TAA-1-1|60</v>
      </c>
      <c r="B2718" s="4" t="s">
        <v>73</v>
      </c>
      <c r="C2718" s="4" t="s">
        <v>181</v>
      </c>
      <c r="D2718" s="4">
        <v>72</v>
      </c>
      <c r="E2718" s="18" t="s">
        <v>116</v>
      </c>
      <c r="F2718" s="19" t="s">
        <v>175</v>
      </c>
    </row>
    <row r="2719" spans="1:6">
      <c r="A2719" s="4" t="str">
        <f t="shared" si="42"/>
        <v>tRNA-Leu-TAA-1-1|61</v>
      </c>
      <c r="B2719" s="4" t="s">
        <v>73</v>
      </c>
      <c r="C2719" s="4" t="s">
        <v>182</v>
      </c>
      <c r="D2719" s="4">
        <v>73</v>
      </c>
      <c r="E2719" s="22" t="s">
        <v>114</v>
      </c>
      <c r="F2719" s="10" t="s">
        <v>169</v>
      </c>
    </row>
    <row r="2720" spans="1:6">
      <c r="A2720" s="4" t="str">
        <f t="shared" si="42"/>
        <v>tRNA-Leu-TAA-1-1|62</v>
      </c>
      <c r="B2720" s="4" t="s">
        <v>73</v>
      </c>
      <c r="C2720" s="4" t="s">
        <v>183</v>
      </c>
      <c r="D2720" s="4">
        <v>74</v>
      </c>
      <c r="E2720" s="22" t="s">
        <v>114</v>
      </c>
      <c r="F2720" s="10" t="s">
        <v>169</v>
      </c>
    </row>
    <row r="2721" spans="1:6">
      <c r="A2721" s="4" t="str">
        <f t="shared" si="42"/>
        <v>tRNA-Leu-TAA-1-1|63</v>
      </c>
      <c r="B2721" s="4" t="s">
        <v>73</v>
      </c>
      <c r="C2721" s="4" t="s">
        <v>184</v>
      </c>
      <c r="D2721" s="4">
        <v>75</v>
      </c>
      <c r="E2721" s="22" t="s">
        <v>114</v>
      </c>
      <c r="F2721" s="10" t="s">
        <v>169</v>
      </c>
    </row>
    <row r="2722" spans="1:6">
      <c r="A2722" s="4" t="str">
        <f t="shared" si="42"/>
        <v>tRNA-Leu-TAA-1-1|64</v>
      </c>
      <c r="B2722" s="4" t="s">
        <v>73</v>
      </c>
      <c r="C2722" s="4" t="s">
        <v>185</v>
      </c>
      <c r="D2722" s="4">
        <v>76</v>
      </c>
      <c r="E2722" s="22" t="s">
        <v>122</v>
      </c>
      <c r="F2722" s="10" t="s">
        <v>169</v>
      </c>
    </row>
    <row r="2723" spans="1:6">
      <c r="A2723" s="4" t="str">
        <f t="shared" si="42"/>
        <v>tRNA-Leu-TAA-1-1|65</v>
      </c>
      <c r="B2723" s="4" t="s">
        <v>73</v>
      </c>
      <c r="C2723" s="4" t="s">
        <v>186</v>
      </c>
      <c r="D2723" s="4">
        <v>77</v>
      </c>
      <c r="E2723" s="22" t="s">
        <v>114</v>
      </c>
      <c r="F2723" s="10" t="s">
        <v>169</v>
      </c>
    </row>
    <row r="2724" spans="1:6">
      <c r="A2724" s="4" t="str">
        <f t="shared" si="42"/>
        <v>tRNA-Leu-TAA-1-1|66</v>
      </c>
      <c r="B2724" s="4" t="s">
        <v>73</v>
      </c>
      <c r="C2724" s="4" t="s">
        <v>187</v>
      </c>
      <c r="D2724" s="4">
        <v>78</v>
      </c>
      <c r="E2724" s="16" t="s">
        <v>114</v>
      </c>
      <c r="F2724" s="17" t="s">
        <v>110</v>
      </c>
    </row>
    <row r="2725" spans="1:6">
      <c r="A2725" s="4" t="str">
        <f t="shared" si="42"/>
        <v>tRNA-Leu-TAA-1-1|67</v>
      </c>
      <c r="B2725" s="4" t="s">
        <v>73</v>
      </c>
      <c r="C2725" s="4" t="s">
        <v>188</v>
      </c>
      <c r="D2725" s="4">
        <v>79</v>
      </c>
      <c r="E2725" s="16" t="s">
        <v>114</v>
      </c>
      <c r="F2725" s="17" t="s">
        <v>110</v>
      </c>
    </row>
    <row r="2726" spans="1:6">
      <c r="A2726" s="4" t="str">
        <f t="shared" si="42"/>
        <v>tRNA-Leu-TAA-1-1|68</v>
      </c>
      <c r="B2726" s="4" t="s">
        <v>73</v>
      </c>
      <c r="C2726" s="4" t="s">
        <v>189</v>
      </c>
      <c r="D2726" s="4">
        <v>80</v>
      </c>
      <c r="E2726" s="16" t="s">
        <v>114</v>
      </c>
      <c r="F2726" s="17" t="s">
        <v>110</v>
      </c>
    </row>
    <row r="2727" spans="1:6">
      <c r="A2727" s="4" t="str">
        <f t="shared" si="42"/>
        <v>tRNA-Leu-TAA-1-1|69</v>
      </c>
      <c r="B2727" s="4" t="s">
        <v>73</v>
      </c>
      <c r="C2727" s="4" t="s">
        <v>190</v>
      </c>
      <c r="D2727" s="4">
        <v>81</v>
      </c>
      <c r="E2727" s="16" t="s">
        <v>116</v>
      </c>
      <c r="F2727" s="17" t="s">
        <v>110</v>
      </c>
    </row>
    <row r="2728" spans="1:6">
      <c r="A2728" s="4" t="str">
        <f t="shared" si="42"/>
        <v>tRNA-Leu-TAA-1-1|70</v>
      </c>
      <c r="B2728" s="4" t="s">
        <v>73</v>
      </c>
      <c r="C2728" s="4" t="s">
        <v>191</v>
      </c>
      <c r="D2728" s="4">
        <v>82</v>
      </c>
      <c r="E2728" s="16" t="s">
        <v>114</v>
      </c>
      <c r="F2728" s="17" t="s">
        <v>110</v>
      </c>
    </row>
    <row r="2729" spans="1:6">
      <c r="A2729" s="4" t="str">
        <f t="shared" si="42"/>
        <v>tRNA-Leu-TAA-1-1|71</v>
      </c>
      <c r="B2729" s="4" t="s">
        <v>73</v>
      </c>
      <c r="C2729" s="4" t="s">
        <v>192</v>
      </c>
      <c r="D2729" s="4">
        <v>83</v>
      </c>
      <c r="E2729" s="16" t="s">
        <v>109</v>
      </c>
      <c r="F2729" s="17" t="s">
        <v>110</v>
      </c>
    </row>
    <row r="2730" spans="1:6">
      <c r="A2730" s="4" t="str">
        <f t="shared" si="42"/>
        <v>tRNA-Leu-TAA-1-1|72</v>
      </c>
      <c r="B2730" s="4" t="s">
        <v>73</v>
      </c>
      <c r="C2730" s="4" t="s">
        <v>193</v>
      </c>
      <c r="D2730" s="4">
        <v>84</v>
      </c>
      <c r="E2730" s="16" t="s">
        <v>114</v>
      </c>
      <c r="F2730" s="17" t="s">
        <v>110</v>
      </c>
    </row>
    <row r="2731" spans="1:6">
      <c r="A2731" s="4" t="str">
        <f t="shared" si="42"/>
        <v>tRNA-Leu-TAA-2-1|1</v>
      </c>
      <c r="B2731" s="4" t="s">
        <v>74</v>
      </c>
      <c r="C2731" s="4" t="s">
        <v>108</v>
      </c>
      <c r="D2731" s="4">
        <v>1</v>
      </c>
      <c r="E2731" s="16" t="s">
        <v>109</v>
      </c>
      <c r="F2731" s="17" t="s">
        <v>110</v>
      </c>
    </row>
    <row r="2732" spans="1:6">
      <c r="A2732" s="4" t="str">
        <f t="shared" si="42"/>
        <v>tRNA-Leu-TAA-2-1|2</v>
      </c>
      <c r="B2732" s="4" t="s">
        <v>74</v>
      </c>
      <c r="C2732" s="4" t="s">
        <v>111</v>
      </c>
      <c r="D2732" s="4">
        <v>2</v>
      </c>
      <c r="E2732" s="16" t="s">
        <v>114</v>
      </c>
      <c r="F2732" s="17" t="s">
        <v>110</v>
      </c>
    </row>
    <row r="2733" spans="1:6">
      <c r="A2733" s="4" t="str">
        <f t="shared" si="42"/>
        <v>tRNA-Leu-TAA-2-1|3</v>
      </c>
      <c r="B2733" s="4" t="s">
        <v>74</v>
      </c>
      <c r="C2733" s="4" t="s">
        <v>112</v>
      </c>
      <c r="D2733" s="4">
        <v>3</v>
      </c>
      <c r="E2733" s="16" t="s">
        <v>109</v>
      </c>
      <c r="F2733" s="17" t="s">
        <v>110</v>
      </c>
    </row>
    <row r="2734" spans="1:6">
      <c r="A2734" s="4" t="str">
        <f t="shared" si="42"/>
        <v>tRNA-Leu-TAA-2-1|4</v>
      </c>
      <c r="B2734" s="4" t="s">
        <v>74</v>
      </c>
      <c r="C2734" s="4" t="s">
        <v>113</v>
      </c>
      <c r="D2734" s="4">
        <v>4</v>
      </c>
      <c r="E2734" s="16" t="s">
        <v>122</v>
      </c>
      <c r="F2734" s="17" t="s">
        <v>110</v>
      </c>
    </row>
    <row r="2735" spans="1:6">
      <c r="A2735" s="4" t="str">
        <f t="shared" si="42"/>
        <v>tRNA-Leu-TAA-2-1|5</v>
      </c>
      <c r="B2735" s="4" t="s">
        <v>74</v>
      </c>
      <c r="C2735" s="4" t="s">
        <v>115</v>
      </c>
      <c r="D2735" s="4">
        <v>5</v>
      </c>
      <c r="E2735" s="16" t="s">
        <v>109</v>
      </c>
      <c r="F2735" s="17" t="s">
        <v>110</v>
      </c>
    </row>
    <row r="2736" spans="1:6">
      <c r="A2736" s="4" t="str">
        <f t="shared" si="42"/>
        <v>tRNA-Leu-TAA-2-1|6</v>
      </c>
      <c r="B2736" s="4" t="s">
        <v>74</v>
      </c>
      <c r="C2736" s="4" t="s">
        <v>117</v>
      </c>
      <c r="D2736" s="4">
        <v>6</v>
      </c>
      <c r="E2736" s="16" t="s">
        <v>109</v>
      </c>
      <c r="F2736" s="17" t="s">
        <v>110</v>
      </c>
    </row>
    <row r="2737" spans="1:6">
      <c r="A2737" s="4" t="str">
        <f t="shared" si="42"/>
        <v>tRNA-Leu-TAA-2-1|7</v>
      </c>
      <c r="B2737" s="4" t="s">
        <v>74</v>
      </c>
      <c r="C2737" s="4" t="s">
        <v>118</v>
      </c>
      <c r="D2737" s="4">
        <v>7</v>
      </c>
      <c r="E2737" s="16" t="s">
        <v>109</v>
      </c>
      <c r="F2737" s="17" t="s">
        <v>110</v>
      </c>
    </row>
    <row r="2738" spans="1:6">
      <c r="A2738" s="4" t="str">
        <f t="shared" si="42"/>
        <v>tRNA-Leu-TAA-2-1|8</v>
      </c>
      <c r="B2738" s="4" t="s">
        <v>74</v>
      </c>
      <c r="C2738" s="4" t="s">
        <v>119</v>
      </c>
      <c r="D2738" s="4">
        <v>8</v>
      </c>
      <c r="E2738" s="3" t="s">
        <v>116</v>
      </c>
      <c r="F2738" s="4" t="s">
        <v>120</v>
      </c>
    </row>
    <row r="2739" spans="1:6">
      <c r="A2739" s="4" t="str">
        <f t="shared" si="42"/>
        <v>tRNA-Leu-TAA-2-1|9</v>
      </c>
      <c r="B2739" s="4" t="s">
        <v>74</v>
      </c>
      <c r="C2739" s="4" t="s">
        <v>121</v>
      </c>
      <c r="D2739" s="4">
        <v>9</v>
      </c>
      <c r="E2739" s="3" t="s">
        <v>116</v>
      </c>
      <c r="F2739" s="4" t="s">
        <v>123</v>
      </c>
    </row>
    <row r="2740" spans="1:6">
      <c r="A2740" s="4" t="str">
        <f t="shared" si="42"/>
        <v>tRNA-Leu-TAA-2-1|10</v>
      </c>
      <c r="B2740" s="4" t="s">
        <v>74</v>
      </c>
      <c r="C2740" s="4" t="s">
        <v>124</v>
      </c>
      <c r="D2740" s="4">
        <v>10</v>
      </c>
      <c r="E2740" s="8" t="s">
        <v>109</v>
      </c>
      <c r="F2740" s="7" t="s">
        <v>125</v>
      </c>
    </row>
    <row r="2741" spans="1:6">
      <c r="A2741" s="4" t="str">
        <f t="shared" si="42"/>
        <v>tRNA-Leu-TAA-2-1|11</v>
      </c>
      <c r="B2741" s="4" t="s">
        <v>74</v>
      </c>
      <c r="C2741" s="4" t="s">
        <v>126</v>
      </c>
      <c r="D2741" s="4">
        <v>11</v>
      </c>
      <c r="E2741" s="8" t="s">
        <v>114</v>
      </c>
      <c r="F2741" s="7" t="s">
        <v>125</v>
      </c>
    </row>
    <row r="2742" spans="1:6">
      <c r="A2742" s="4" t="str">
        <f t="shared" si="42"/>
        <v>tRNA-Leu-TAA-2-1|12</v>
      </c>
      <c r="B2742" s="4" t="s">
        <v>74</v>
      </c>
      <c r="C2742" s="4" t="s">
        <v>127</v>
      </c>
      <c r="D2742" s="4">
        <v>12</v>
      </c>
      <c r="E2742" s="8" t="s">
        <v>114</v>
      </c>
      <c r="F2742" s="7" t="s">
        <v>125</v>
      </c>
    </row>
    <row r="2743" spans="1:6">
      <c r="A2743" s="4" t="str">
        <f t="shared" si="42"/>
        <v>tRNA-Leu-TAA-2-1|13</v>
      </c>
      <c r="B2743" s="4" t="s">
        <v>74</v>
      </c>
      <c r="C2743" s="4" t="s">
        <v>128</v>
      </c>
      <c r="D2743" s="4">
        <v>13</v>
      </c>
      <c r="E2743" s="8" t="s">
        <v>114</v>
      </c>
      <c r="F2743" s="7" t="s">
        <v>125</v>
      </c>
    </row>
    <row r="2744" spans="1:6">
      <c r="A2744" s="4" t="str">
        <f t="shared" si="42"/>
        <v>tRNA-Leu-TAA-2-1|14</v>
      </c>
      <c r="B2744" s="4" t="s">
        <v>74</v>
      </c>
      <c r="C2744" s="4" t="s">
        <v>129</v>
      </c>
      <c r="D2744" s="4">
        <v>14</v>
      </c>
      <c r="E2744" s="18" t="s">
        <v>122</v>
      </c>
      <c r="F2744" s="19" t="s">
        <v>130</v>
      </c>
    </row>
    <row r="2745" spans="1:6">
      <c r="A2745" s="4" t="str">
        <f t="shared" si="42"/>
        <v>tRNA-Leu-TAA-2-1|15</v>
      </c>
      <c r="B2745" s="4" t="s">
        <v>74</v>
      </c>
      <c r="C2745" s="4" t="s">
        <v>131</v>
      </c>
      <c r="D2745" s="4">
        <v>15</v>
      </c>
      <c r="E2745" s="18" t="s">
        <v>109</v>
      </c>
      <c r="F2745" s="19" t="s">
        <v>130</v>
      </c>
    </row>
    <row r="2746" spans="1:6">
      <c r="A2746" s="4" t="str">
        <f t="shared" si="42"/>
        <v>tRNA-Leu-TAA-2-1|16</v>
      </c>
      <c r="B2746" s="4" t="s">
        <v>74</v>
      </c>
      <c r="C2746" s="4" t="s">
        <v>194</v>
      </c>
      <c r="D2746" s="4">
        <v>16</v>
      </c>
      <c r="E2746" s="18" t="s">
        <v>114</v>
      </c>
      <c r="F2746" s="19" t="s">
        <v>130</v>
      </c>
    </row>
    <row r="2747" spans="1:6">
      <c r="A2747" s="4" t="str">
        <f t="shared" si="42"/>
        <v>tRNA-Leu-TAA-2-1|17</v>
      </c>
      <c r="B2747" s="4" t="s">
        <v>74</v>
      </c>
      <c r="C2747" s="4" t="s">
        <v>195</v>
      </c>
      <c r="D2747" s="4">
        <v>17</v>
      </c>
      <c r="E2747" s="18" t="s">
        <v>114</v>
      </c>
      <c r="F2747" s="19" t="s">
        <v>130</v>
      </c>
    </row>
    <row r="2748" spans="1:6">
      <c r="A2748" s="4" t="str">
        <f t="shared" si="42"/>
        <v>tRNA-Leu-TAA-2-1|17a</v>
      </c>
      <c r="B2748" s="4" t="s">
        <v>74</v>
      </c>
      <c r="C2748" s="4" t="s">
        <v>196</v>
      </c>
      <c r="D2748" s="4">
        <v>18</v>
      </c>
      <c r="E2748" s="18" t="s">
        <v>122</v>
      </c>
      <c r="F2748" s="19" t="s">
        <v>130</v>
      </c>
    </row>
    <row r="2749" spans="1:6">
      <c r="A2749" s="4" t="str">
        <f t="shared" si="42"/>
        <v>tRNA-Leu-TAA-2-1|18</v>
      </c>
      <c r="B2749" s="4" t="s">
        <v>74</v>
      </c>
      <c r="C2749" s="4" t="s">
        <v>132</v>
      </c>
      <c r="D2749" s="4">
        <v>19</v>
      </c>
      <c r="E2749" s="18" t="s">
        <v>109</v>
      </c>
      <c r="F2749" s="19" t="s">
        <v>130</v>
      </c>
    </row>
    <row r="2750" spans="1:6">
      <c r="A2750" s="4" t="str">
        <f t="shared" si="42"/>
        <v>tRNA-Leu-TAA-2-1|19</v>
      </c>
      <c r="B2750" s="4" t="s">
        <v>74</v>
      </c>
      <c r="C2750" s="4" t="s">
        <v>133</v>
      </c>
      <c r="D2750" s="4">
        <v>20</v>
      </c>
      <c r="E2750" s="18" t="s">
        <v>109</v>
      </c>
      <c r="F2750" s="19" t="s">
        <v>130</v>
      </c>
    </row>
    <row r="2751" spans="1:6">
      <c r="A2751" s="4" t="str">
        <f t="shared" si="42"/>
        <v>tRNA-Leu-TAA-2-1|20</v>
      </c>
      <c r="B2751" s="4" t="s">
        <v>74</v>
      </c>
      <c r="C2751" s="4" t="s">
        <v>134</v>
      </c>
      <c r="D2751" s="4">
        <v>21</v>
      </c>
      <c r="E2751" s="18" t="s">
        <v>114</v>
      </c>
      <c r="F2751" s="19" t="s">
        <v>130</v>
      </c>
    </row>
    <row r="2752" spans="1:6">
      <c r="A2752" s="4" t="str">
        <f t="shared" si="42"/>
        <v>tRNA-Leu-TAA-2-1|20a</v>
      </c>
      <c r="B2752" s="4" t="s">
        <v>74</v>
      </c>
      <c r="C2752" s="4" t="s">
        <v>135</v>
      </c>
      <c r="D2752" s="4">
        <v>22</v>
      </c>
      <c r="E2752" s="18" t="s">
        <v>114</v>
      </c>
      <c r="F2752" s="19" t="s">
        <v>130</v>
      </c>
    </row>
    <row r="2753" spans="1:6">
      <c r="A2753" s="4" t="str">
        <f t="shared" si="42"/>
        <v>tRNA-Leu-TAA-2-1|20b</v>
      </c>
      <c r="B2753" s="4" t="s">
        <v>74</v>
      </c>
      <c r="C2753" s="4" t="s">
        <v>197</v>
      </c>
      <c r="D2753" s="4">
        <v>23</v>
      </c>
      <c r="E2753" s="18" t="s">
        <v>122</v>
      </c>
      <c r="F2753" s="19" t="s">
        <v>130</v>
      </c>
    </row>
    <row r="2754" spans="1:6">
      <c r="A2754" s="4" t="str">
        <f t="shared" ref="A2754:A2817" si="43">B2754&amp;"|"&amp;C2754</f>
        <v>tRNA-Leu-TAA-2-1|21</v>
      </c>
      <c r="B2754" s="4" t="s">
        <v>74</v>
      </c>
      <c r="C2754" s="4" t="s">
        <v>136</v>
      </c>
      <c r="D2754" s="4">
        <v>24</v>
      </c>
      <c r="E2754" s="18" t="s">
        <v>122</v>
      </c>
      <c r="F2754" s="19" t="s">
        <v>130</v>
      </c>
    </row>
    <row r="2755" spans="1:6">
      <c r="A2755" s="4" t="str">
        <f t="shared" si="43"/>
        <v>tRNA-Leu-TAA-2-1|22</v>
      </c>
      <c r="B2755" s="4" t="s">
        <v>74</v>
      </c>
      <c r="C2755" s="4" t="s">
        <v>137</v>
      </c>
      <c r="D2755" s="4">
        <v>25</v>
      </c>
      <c r="E2755" s="8" t="s">
        <v>122</v>
      </c>
      <c r="F2755" s="7" t="s">
        <v>125</v>
      </c>
    </row>
    <row r="2756" spans="1:6">
      <c r="A2756" s="4" t="str">
        <f t="shared" si="43"/>
        <v>tRNA-Leu-TAA-2-1|23</v>
      </c>
      <c r="B2756" s="4" t="s">
        <v>74</v>
      </c>
      <c r="C2756" s="4" t="s">
        <v>138</v>
      </c>
      <c r="D2756" s="4">
        <v>26</v>
      </c>
      <c r="E2756" s="8" t="s">
        <v>109</v>
      </c>
      <c r="F2756" s="7" t="s">
        <v>125</v>
      </c>
    </row>
    <row r="2757" spans="1:6">
      <c r="A2757" s="4" t="str">
        <f t="shared" si="43"/>
        <v>tRNA-Leu-TAA-2-1|24</v>
      </c>
      <c r="B2757" s="4" t="s">
        <v>74</v>
      </c>
      <c r="C2757" s="4" t="s">
        <v>139</v>
      </c>
      <c r="D2757" s="4">
        <v>27</v>
      </c>
      <c r="E2757" s="8" t="s">
        <v>109</v>
      </c>
      <c r="F2757" s="7" t="s">
        <v>125</v>
      </c>
    </row>
    <row r="2758" spans="1:6">
      <c r="A2758" s="4" t="str">
        <f t="shared" si="43"/>
        <v>tRNA-Leu-TAA-2-1|25</v>
      </c>
      <c r="B2758" s="4" t="s">
        <v>74</v>
      </c>
      <c r="C2758" s="4" t="s">
        <v>140</v>
      </c>
      <c r="D2758" s="4">
        <v>28</v>
      </c>
      <c r="E2758" s="8" t="s">
        <v>114</v>
      </c>
      <c r="F2758" s="7" t="s">
        <v>125</v>
      </c>
    </row>
    <row r="2759" spans="1:6">
      <c r="A2759" s="4" t="str">
        <f t="shared" si="43"/>
        <v>tRNA-Leu-TAA-2-1|26</v>
      </c>
      <c r="B2759" s="4" t="s">
        <v>74</v>
      </c>
      <c r="C2759" s="4" t="s">
        <v>141</v>
      </c>
      <c r="D2759" s="4">
        <v>29</v>
      </c>
      <c r="E2759" s="3" t="s">
        <v>109</v>
      </c>
      <c r="F2759" s="4" t="s">
        <v>142</v>
      </c>
    </row>
    <row r="2760" spans="1:6">
      <c r="A2760" s="4" t="str">
        <f t="shared" si="43"/>
        <v>tRNA-Leu-TAA-2-1|27</v>
      </c>
      <c r="B2760" s="4" t="s">
        <v>74</v>
      </c>
      <c r="C2760" s="4" t="s">
        <v>143</v>
      </c>
      <c r="D2760" s="4">
        <v>30</v>
      </c>
      <c r="E2760" s="20" t="s">
        <v>114</v>
      </c>
      <c r="F2760" s="21" t="s">
        <v>144</v>
      </c>
    </row>
    <row r="2761" spans="1:6">
      <c r="A2761" s="4" t="str">
        <f t="shared" si="43"/>
        <v>tRNA-Leu-TAA-2-1|28</v>
      </c>
      <c r="B2761" s="4" t="s">
        <v>74</v>
      </c>
      <c r="C2761" s="4" t="s">
        <v>145</v>
      </c>
      <c r="D2761" s="4">
        <v>31</v>
      </c>
      <c r="E2761" s="20" t="s">
        <v>114</v>
      </c>
      <c r="F2761" s="21" t="s">
        <v>144</v>
      </c>
    </row>
    <row r="2762" spans="1:6">
      <c r="A2762" s="4" t="str">
        <f t="shared" si="43"/>
        <v>tRNA-Leu-TAA-2-1|29</v>
      </c>
      <c r="B2762" s="4" t="s">
        <v>74</v>
      </c>
      <c r="C2762" s="4" t="s">
        <v>146</v>
      </c>
      <c r="D2762" s="4">
        <v>32</v>
      </c>
      <c r="E2762" s="20" t="s">
        <v>122</v>
      </c>
      <c r="F2762" s="21" t="s">
        <v>144</v>
      </c>
    </row>
    <row r="2763" spans="1:6">
      <c r="A2763" s="4" t="str">
        <f t="shared" si="43"/>
        <v>tRNA-Leu-TAA-2-1|30</v>
      </c>
      <c r="B2763" s="4" t="s">
        <v>74</v>
      </c>
      <c r="C2763" s="4" t="s">
        <v>147</v>
      </c>
      <c r="D2763" s="4">
        <v>33</v>
      </c>
      <c r="E2763" s="20" t="s">
        <v>109</v>
      </c>
      <c r="F2763" s="21" t="s">
        <v>144</v>
      </c>
    </row>
    <row r="2764" spans="1:6">
      <c r="A2764" s="4" t="str">
        <f t="shared" si="43"/>
        <v>tRNA-Leu-TAA-2-1|31</v>
      </c>
      <c r="B2764" s="4" t="s">
        <v>74</v>
      </c>
      <c r="C2764" s="4" t="s">
        <v>148</v>
      </c>
      <c r="D2764" s="4">
        <v>34</v>
      </c>
      <c r="E2764" s="20" t="s">
        <v>122</v>
      </c>
      <c r="F2764" s="21" t="s">
        <v>144</v>
      </c>
    </row>
    <row r="2765" spans="1:6">
      <c r="A2765" s="4" t="str">
        <f t="shared" si="43"/>
        <v>tRNA-Leu-TAA-2-1|32</v>
      </c>
      <c r="B2765" s="4" t="s">
        <v>74</v>
      </c>
      <c r="C2765" s="4" t="s">
        <v>149</v>
      </c>
      <c r="D2765" s="4">
        <v>35</v>
      </c>
      <c r="E2765" s="18" t="s">
        <v>114</v>
      </c>
      <c r="F2765" s="19" t="s">
        <v>150</v>
      </c>
    </row>
    <row r="2766" spans="1:6">
      <c r="A2766" s="4" t="str">
        <f t="shared" si="43"/>
        <v>tRNA-Leu-TAA-2-1|33</v>
      </c>
      <c r="B2766" s="4" t="s">
        <v>74</v>
      </c>
      <c r="C2766" s="4" t="s">
        <v>151</v>
      </c>
      <c r="D2766" s="4">
        <v>36</v>
      </c>
      <c r="E2766" s="18" t="s">
        <v>116</v>
      </c>
      <c r="F2766" s="19" t="s">
        <v>150</v>
      </c>
    </row>
    <row r="2767" spans="1:6">
      <c r="A2767" s="4" t="str">
        <f t="shared" si="43"/>
        <v>tRNA-Leu-TAA-2-1|34</v>
      </c>
      <c r="B2767" s="4" t="s">
        <v>74</v>
      </c>
      <c r="C2767" s="4" t="s">
        <v>152</v>
      </c>
      <c r="D2767" s="4">
        <v>37</v>
      </c>
      <c r="E2767" s="18" t="s">
        <v>116</v>
      </c>
      <c r="F2767" s="19" t="s">
        <v>150</v>
      </c>
    </row>
    <row r="2768" spans="1:6">
      <c r="A2768" s="4" t="str">
        <f t="shared" si="43"/>
        <v>tRNA-Leu-TAA-2-1|35</v>
      </c>
      <c r="B2768" s="4" t="s">
        <v>74</v>
      </c>
      <c r="C2768" s="4" t="s">
        <v>153</v>
      </c>
      <c r="D2768" s="4">
        <v>38</v>
      </c>
      <c r="E2768" s="18" t="s">
        <v>122</v>
      </c>
      <c r="F2768" s="19" t="s">
        <v>150</v>
      </c>
    </row>
    <row r="2769" spans="1:6">
      <c r="A2769" s="4" t="str">
        <f t="shared" si="43"/>
        <v>tRNA-Leu-TAA-2-1|36</v>
      </c>
      <c r="B2769" s="4" t="s">
        <v>74</v>
      </c>
      <c r="C2769" s="4" t="s">
        <v>154</v>
      </c>
      <c r="D2769" s="4">
        <v>39</v>
      </c>
      <c r="E2769" s="18" t="s">
        <v>122</v>
      </c>
      <c r="F2769" s="19" t="s">
        <v>150</v>
      </c>
    </row>
    <row r="2770" spans="1:6">
      <c r="A2770" s="4" t="str">
        <f t="shared" si="43"/>
        <v>tRNA-Leu-TAA-2-1|37</v>
      </c>
      <c r="B2770" s="4" t="s">
        <v>74</v>
      </c>
      <c r="C2770" s="4" t="s">
        <v>155</v>
      </c>
      <c r="D2770" s="4">
        <v>40</v>
      </c>
      <c r="E2770" s="18" t="s">
        <v>109</v>
      </c>
      <c r="F2770" s="19" t="s">
        <v>150</v>
      </c>
    </row>
    <row r="2771" spans="1:6">
      <c r="A2771" s="4" t="str">
        <f t="shared" si="43"/>
        <v>tRNA-Leu-TAA-2-1|38</v>
      </c>
      <c r="B2771" s="4" t="s">
        <v>74</v>
      </c>
      <c r="C2771" s="4" t="s">
        <v>156</v>
      </c>
      <c r="D2771" s="4">
        <v>41</v>
      </c>
      <c r="E2771" s="18" t="s">
        <v>122</v>
      </c>
      <c r="F2771" s="19" t="s">
        <v>150</v>
      </c>
    </row>
    <row r="2772" spans="1:6">
      <c r="A2772" s="4" t="str">
        <f t="shared" si="43"/>
        <v>tRNA-Leu-TAA-2-1|39</v>
      </c>
      <c r="B2772" s="4" t="s">
        <v>74</v>
      </c>
      <c r="C2772" s="4" t="s">
        <v>157</v>
      </c>
      <c r="D2772" s="4">
        <v>42</v>
      </c>
      <c r="E2772" s="20" t="s">
        <v>116</v>
      </c>
      <c r="F2772" s="21" t="s">
        <v>144</v>
      </c>
    </row>
    <row r="2773" spans="1:6">
      <c r="A2773" s="4" t="str">
        <f t="shared" si="43"/>
        <v>tRNA-Leu-TAA-2-1|40</v>
      </c>
      <c r="B2773" s="4" t="s">
        <v>74</v>
      </c>
      <c r="C2773" s="4" t="s">
        <v>158</v>
      </c>
      <c r="D2773" s="4">
        <v>43</v>
      </c>
      <c r="E2773" s="20" t="s">
        <v>114</v>
      </c>
      <c r="F2773" s="21" t="s">
        <v>144</v>
      </c>
    </row>
    <row r="2774" spans="1:6">
      <c r="A2774" s="4" t="str">
        <f t="shared" si="43"/>
        <v>tRNA-Leu-TAA-2-1|41</v>
      </c>
      <c r="B2774" s="4" t="s">
        <v>74</v>
      </c>
      <c r="C2774" s="4" t="s">
        <v>159</v>
      </c>
      <c r="D2774" s="4">
        <v>44</v>
      </c>
      <c r="E2774" s="20" t="s">
        <v>116</v>
      </c>
      <c r="F2774" s="21" t="s">
        <v>144</v>
      </c>
    </row>
    <row r="2775" spans="1:6">
      <c r="A2775" s="4" t="str">
        <f t="shared" si="43"/>
        <v>tRNA-Leu-TAA-2-1|42</v>
      </c>
      <c r="B2775" s="4" t="s">
        <v>74</v>
      </c>
      <c r="C2775" s="4" t="s">
        <v>160</v>
      </c>
      <c r="D2775" s="4">
        <v>45</v>
      </c>
      <c r="E2775" s="20" t="s">
        <v>109</v>
      </c>
      <c r="F2775" s="21" t="s">
        <v>144</v>
      </c>
    </row>
    <row r="2776" spans="1:6">
      <c r="A2776" s="4" t="str">
        <f t="shared" si="43"/>
        <v>tRNA-Leu-TAA-2-1|43</v>
      </c>
      <c r="B2776" s="4" t="s">
        <v>74</v>
      </c>
      <c r="C2776" s="4" t="s">
        <v>161</v>
      </c>
      <c r="D2776" s="4">
        <v>46</v>
      </c>
      <c r="E2776" s="20" t="s">
        <v>109</v>
      </c>
      <c r="F2776" s="21" t="s">
        <v>144</v>
      </c>
    </row>
    <row r="2777" spans="1:6">
      <c r="A2777" s="4" t="str">
        <f t="shared" si="43"/>
        <v>tRNA-Leu-TAA-2-1|44</v>
      </c>
      <c r="B2777" s="4" t="s">
        <v>74</v>
      </c>
      <c r="C2777" s="4" t="s">
        <v>162</v>
      </c>
      <c r="D2777" s="4">
        <v>47</v>
      </c>
      <c r="E2777" s="18" t="s">
        <v>116</v>
      </c>
      <c r="F2777" s="19" t="s">
        <v>163</v>
      </c>
    </row>
    <row r="2778" spans="1:6">
      <c r="A2778" s="4" t="str">
        <f t="shared" si="43"/>
        <v>tRNA-Leu-TAA-2-1|45</v>
      </c>
      <c r="B2778" s="4" t="s">
        <v>74</v>
      </c>
      <c r="C2778" s="4" t="s">
        <v>164</v>
      </c>
      <c r="D2778" s="4">
        <v>48</v>
      </c>
      <c r="E2778" s="18" t="s">
        <v>122</v>
      </c>
      <c r="F2778" s="19" t="s">
        <v>163</v>
      </c>
    </row>
    <row r="2779" spans="1:6">
      <c r="A2779" s="4" t="str">
        <f t="shared" si="43"/>
        <v>tRNA-Leu-TAA-2-1|e1</v>
      </c>
      <c r="B2779" s="4" t="s">
        <v>74</v>
      </c>
      <c r="C2779" s="4" t="s">
        <v>198</v>
      </c>
      <c r="D2779" s="4">
        <v>49</v>
      </c>
      <c r="E2779" s="18" t="s">
        <v>116</v>
      </c>
      <c r="F2779" s="19" t="s">
        <v>163</v>
      </c>
    </row>
    <row r="2780" spans="1:6">
      <c r="A2780" s="4" t="str">
        <f t="shared" si="43"/>
        <v>tRNA-Leu-TAA-2-1|e2</v>
      </c>
      <c r="B2780" s="4" t="s">
        <v>74</v>
      </c>
      <c r="C2780" s="4" t="s">
        <v>199</v>
      </c>
      <c r="D2780" s="4">
        <v>50</v>
      </c>
      <c r="E2780" s="18" t="s">
        <v>114</v>
      </c>
      <c r="F2780" s="19" t="s">
        <v>163</v>
      </c>
    </row>
    <row r="2781" spans="1:6">
      <c r="A2781" s="4" t="str">
        <f t="shared" si="43"/>
        <v>tRNA-Leu-TAA-2-1|e3</v>
      </c>
      <c r="B2781" s="4" t="s">
        <v>74</v>
      </c>
      <c r="C2781" s="4" t="s">
        <v>200</v>
      </c>
      <c r="D2781" s="4">
        <v>51</v>
      </c>
      <c r="E2781" s="18" t="s">
        <v>109</v>
      </c>
      <c r="F2781" s="19" t="s">
        <v>163</v>
      </c>
    </row>
    <row r="2782" spans="1:6">
      <c r="A2782" s="4" t="str">
        <f t="shared" si="43"/>
        <v>tRNA-Leu-TAA-2-1|e4</v>
      </c>
      <c r="B2782" s="4" t="s">
        <v>74</v>
      </c>
      <c r="C2782" s="4" t="s">
        <v>201</v>
      </c>
      <c r="D2782" s="4">
        <v>52</v>
      </c>
      <c r="E2782" s="18" t="s">
        <v>122</v>
      </c>
      <c r="F2782" s="19" t="s">
        <v>163</v>
      </c>
    </row>
    <row r="2783" spans="1:6">
      <c r="A2783" s="4" t="str">
        <f t="shared" si="43"/>
        <v>tRNA-Leu-TAA-2-1|e5</v>
      </c>
      <c r="B2783" s="4" t="s">
        <v>74</v>
      </c>
      <c r="C2783" s="4" t="s">
        <v>202</v>
      </c>
      <c r="D2783" s="4">
        <v>53</v>
      </c>
      <c r="E2783" s="18" t="s">
        <v>122</v>
      </c>
      <c r="F2783" s="19" t="s">
        <v>163</v>
      </c>
    </row>
    <row r="2784" spans="1:6">
      <c r="A2784" s="4" t="str">
        <f t="shared" si="43"/>
        <v>tRNA-Leu-TAA-2-1|e6</v>
      </c>
      <c r="B2784" s="4" t="s">
        <v>74</v>
      </c>
      <c r="C2784" s="4" t="s">
        <v>203</v>
      </c>
      <c r="D2784" s="4">
        <v>54</v>
      </c>
      <c r="E2784" s="18" t="s">
        <v>109</v>
      </c>
      <c r="F2784" s="19" t="s">
        <v>163</v>
      </c>
    </row>
    <row r="2785" spans="1:6">
      <c r="A2785" s="4" t="str">
        <f t="shared" si="43"/>
        <v>tRNA-Leu-TAA-2-1|e7</v>
      </c>
      <c r="B2785" s="4" t="s">
        <v>74</v>
      </c>
      <c r="C2785" s="4" t="s">
        <v>204</v>
      </c>
      <c r="D2785" s="4">
        <v>55</v>
      </c>
      <c r="E2785" s="18" t="s">
        <v>109</v>
      </c>
      <c r="F2785" s="19" t="s">
        <v>163</v>
      </c>
    </row>
    <row r="2786" spans="1:6">
      <c r="A2786" s="4" t="str">
        <f t="shared" si="43"/>
        <v>tRNA-Leu-TAA-2-1|e8</v>
      </c>
      <c r="B2786" s="4" t="s">
        <v>74</v>
      </c>
      <c r="C2786" s="4" t="s">
        <v>205</v>
      </c>
      <c r="D2786" s="4">
        <v>56</v>
      </c>
      <c r="E2786" s="18" t="s">
        <v>122</v>
      </c>
      <c r="F2786" s="19" t="s">
        <v>163</v>
      </c>
    </row>
    <row r="2787" spans="1:6">
      <c r="A2787" s="4" t="str">
        <f t="shared" si="43"/>
        <v>tRNA-Leu-TAA-2-1|e9</v>
      </c>
      <c r="B2787" s="4" t="s">
        <v>74</v>
      </c>
      <c r="C2787" s="4" t="s">
        <v>206</v>
      </c>
      <c r="D2787" s="4">
        <v>57</v>
      </c>
      <c r="E2787" s="18" t="s">
        <v>116</v>
      </c>
      <c r="F2787" s="19" t="s">
        <v>163</v>
      </c>
    </row>
    <row r="2788" spans="1:6">
      <c r="A2788" s="4" t="str">
        <f t="shared" si="43"/>
        <v>tRNA-Leu-TAA-2-1|46</v>
      </c>
      <c r="B2788" s="4" t="s">
        <v>74</v>
      </c>
      <c r="C2788" s="4" t="s">
        <v>165</v>
      </c>
      <c r="D2788" s="4">
        <v>58</v>
      </c>
      <c r="E2788" s="18" t="s">
        <v>116</v>
      </c>
      <c r="F2788" s="19" t="s">
        <v>163</v>
      </c>
    </row>
    <row r="2789" spans="1:6">
      <c r="A2789" s="4" t="str">
        <f t="shared" si="43"/>
        <v>tRNA-Leu-TAA-2-1|47</v>
      </c>
      <c r="B2789" s="4" t="s">
        <v>74</v>
      </c>
      <c r="C2789" s="4" t="s">
        <v>166</v>
      </c>
      <c r="D2789" s="4">
        <v>59</v>
      </c>
      <c r="E2789" s="18" t="s">
        <v>116</v>
      </c>
      <c r="F2789" s="19" t="s">
        <v>163</v>
      </c>
    </row>
    <row r="2790" spans="1:6">
      <c r="A2790" s="4" t="str">
        <f t="shared" si="43"/>
        <v>tRNA-Leu-TAA-2-1|48</v>
      </c>
      <c r="B2790" s="4" t="s">
        <v>74</v>
      </c>
      <c r="C2790" s="4" t="s">
        <v>167</v>
      </c>
      <c r="D2790" s="4">
        <v>60</v>
      </c>
      <c r="E2790" s="18" t="s">
        <v>114</v>
      </c>
      <c r="F2790" s="19" t="s">
        <v>163</v>
      </c>
    </row>
    <row r="2791" spans="1:6">
      <c r="A2791" s="4" t="str">
        <f t="shared" si="43"/>
        <v>tRNA-Leu-TAA-2-1|49</v>
      </c>
      <c r="B2791" s="4" t="s">
        <v>74</v>
      </c>
      <c r="C2791" s="4" t="s">
        <v>168</v>
      </c>
      <c r="D2791" s="4">
        <v>61</v>
      </c>
      <c r="E2791" s="22" t="s">
        <v>109</v>
      </c>
      <c r="F2791" s="10" t="s">
        <v>169</v>
      </c>
    </row>
    <row r="2792" spans="1:6">
      <c r="A2792" s="4" t="str">
        <f t="shared" si="43"/>
        <v>tRNA-Leu-TAA-2-1|50</v>
      </c>
      <c r="B2792" s="4" t="s">
        <v>74</v>
      </c>
      <c r="C2792" s="4" t="s">
        <v>170</v>
      </c>
      <c r="D2792" s="4">
        <v>62</v>
      </c>
      <c r="E2792" s="22" t="s">
        <v>116</v>
      </c>
      <c r="F2792" s="10" t="s">
        <v>169</v>
      </c>
    </row>
    <row r="2793" spans="1:6">
      <c r="A2793" s="4" t="str">
        <f t="shared" si="43"/>
        <v>tRNA-Leu-TAA-2-1|51</v>
      </c>
      <c r="B2793" s="4" t="s">
        <v>74</v>
      </c>
      <c r="C2793" s="4" t="s">
        <v>171</v>
      </c>
      <c r="D2793" s="4">
        <v>63</v>
      </c>
      <c r="E2793" s="22" t="s">
        <v>109</v>
      </c>
      <c r="F2793" s="10" t="s">
        <v>169</v>
      </c>
    </row>
    <row r="2794" spans="1:6">
      <c r="A2794" s="4" t="str">
        <f t="shared" si="43"/>
        <v>tRNA-Leu-TAA-2-1|52</v>
      </c>
      <c r="B2794" s="4" t="s">
        <v>74</v>
      </c>
      <c r="C2794" s="4" t="s">
        <v>172</v>
      </c>
      <c r="D2794" s="4">
        <v>64</v>
      </c>
      <c r="E2794" s="22" t="s">
        <v>109</v>
      </c>
      <c r="F2794" s="10" t="s">
        <v>169</v>
      </c>
    </row>
    <row r="2795" spans="1:6">
      <c r="A2795" s="4" t="str">
        <f t="shared" si="43"/>
        <v>tRNA-Leu-TAA-2-1|53</v>
      </c>
      <c r="B2795" s="4" t="s">
        <v>74</v>
      </c>
      <c r="C2795" s="4" t="s">
        <v>173</v>
      </c>
      <c r="D2795" s="4">
        <v>65</v>
      </c>
      <c r="E2795" s="22" t="s">
        <v>109</v>
      </c>
      <c r="F2795" s="10" t="s">
        <v>169</v>
      </c>
    </row>
    <row r="2796" spans="1:6">
      <c r="A2796" s="4" t="str">
        <f t="shared" si="43"/>
        <v>tRNA-Leu-TAA-2-1|54</v>
      </c>
      <c r="B2796" s="4" t="s">
        <v>74</v>
      </c>
      <c r="C2796" s="4" t="s">
        <v>174</v>
      </c>
      <c r="D2796" s="4">
        <v>66</v>
      </c>
      <c r="E2796" s="18" t="s">
        <v>116</v>
      </c>
      <c r="F2796" s="19" t="s">
        <v>175</v>
      </c>
    </row>
    <row r="2797" spans="1:6">
      <c r="A2797" s="4" t="str">
        <f t="shared" si="43"/>
        <v>tRNA-Leu-TAA-2-1|55</v>
      </c>
      <c r="B2797" s="4" t="s">
        <v>74</v>
      </c>
      <c r="C2797" s="4" t="s">
        <v>176</v>
      </c>
      <c r="D2797" s="4">
        <v>67</v>
      </c>
      <c r="E2797" s="18" t="s">
        <v>116</v>
      </c>
      <c r="F2797" s="19" t="s">
        <v>175</v>
      </c>
    </row>
    <row r="2798" spans="1:6">
      <c r="A2798" s="4" t="str">
        <f t="shared" si="43"/>
        <v>tRNA-Leu-TAA-2-1|56</v>
      </c>
      <c r="B2798" s="4" t="s">
        <v>74</v>
      </c>
      <c r="C2798" s="4" t="s">
        <v>177</v>
      </c>
      <c r="D2798" s="4">
        <v>68</v>
      </c>
      <c r="E2798" s="18" t="s">
        <v>114</v>
      </c>
      <c r="F2798" s="19" t="s">
        <v>175</v>
      </c>
    </row>
    <row r="2799" spans="1:6">
      <c r="A2799" s="4" t="str">
        <f t="shared" si="43"/>
        <v>tRNA-Leu-TAA-2-1|57</v>
      </c>
      <c r="B2799" s="4" t="s">
        <v>74</v>
      </c>
      <c r="C2799" s="4" t="s">
        <v>178</v>
      </c>
      <c r="D2799" s="4">
        <v>69</v>
      </c>
      <c r="E2799" s="18" t="s">
        <v>109</v>
      </c>
      <c r="F2799" s="19" t="s">
        <v>175</v>
      </c>
    </row>
    <row r="2800" spans="1:6">
      <c r="A2800" s="4" t="str">
        <f t="shared" si="43"/>
        <v>tRNA-Leu-TAA-2-1|58</v>
      </c>
      <c r="B2800" s="4" t="s">
        <v>74</v>
      </c>
      <c r="C2800" s="4" t="s">
        <v>179</v>
      </c>
      <c r="D2800" s="4">
        <v>70</v>
      </c>
      <c r="E2800" s="18" t="s">
        <v>122</v>
      </c>
      <c r="F2800" s="19" t="s">
        <v>175</v>
      </c>
    </row>
    <row r="2801" spans="1:6">
      <c r="A2801" s="4" t="str">
        <f t="shared" si="43"/>
        <v>tRNA-Leu-TAA-2-1|59</v>
      </c>
      <c r="B2801" s="4" t="s">
        <v>74</v>
      </c>
      <c r="C2801" s="4" t="s">
        <v>180</v>
      </c>
      <c r="D2801" s="4">
        <v>71</v>
      </c>
      <c r="E2801" s="18" t="s">
        <v>122</v>
      </c>
      <c r="F2801" s="19" t="s">
        <v>175</v>
      </c>
    </row>
    <row r="2802" spans="1:6">
      <c r="A2802" s="4" t="str">
        <f t="shared" si="43"/>
        <v>tRNA-Leu-TAA-2-1|60</v>
      </c>
      <c r="B2802" s="4" t="s">
        <v>74</v>
      </c>
      <c r="C2802" s="4" t="s">
        <v>181</v>
      </c>
      <c r="D2802" s="4">
        <v>72</v>
      </c>
      <c r="E2802" s="18" t="s">
        <v>116</v>
      </c>
      <c r="F2802" s="19" t="s">
        <v>175</v>
      </c>
    </row>
    <row r="2803" spans="1:6">
      <c r="A2803" s="4" t="str">
        <f t="shared" si="43"/>
        <v>tRNA-Leu-TAA-2-1|61</v>
      </c>
      <c r="B2803" s="4" t="s">
        <v>74</v>
      </c>
      <c r="C2803" s="4" t="s">
        <v>182</v>
      </c>
      <c r="D2803" s="4">
        <v>73</v>
      </c>
      <c r="E2803" s="22" t="s">
        <v>114</v>
      </c>
      <c r="F2803" s="10" t="s">
        <v>169</v>
      </c>
    </row>
    <row r="2804" spans="1:6">
      <c r="A2804" s="4" t="str">
        <f t="shared" si="43"/>
        <v>tRNA-Leu-TAA-2-1|62</v>
      </c>
      <c r="B2804" s="4" t="s">
        <v>74</v>
      </c>
      <c r="C2804" s="4" t="s">
        <v>183</v>
      </c>
      <c r="D2804" s="4">
        <v>74</v>
      </c>
      <c r="E2804" s="22" t="s">
        <v>114</v>
      </c>
      <c r="F2804" s="10" t="s">
        <v>169</v>
      </c>
    </row>
    <row r="2805" spans="1:6">
      <c r="A2805" s="4" t="str">
        <f t="shared" si="43"/>
        <v>tRNA-Leu-TAA-2-1|63</v>
      </c>
      <c r="B2805" s="4" t="s">
        <v>74</v>
      </c>
      <c r="C2805" s="4" t="s">
        <v>184</v>
      </c>
      <c r="D2805" s="4">
        <v>75</v>
      </c>
      <c r="E2805" s="22" t="s">
        <v>114</v>
      </c>
      <c r="F2805" s="10" t="s">
        <v>169</v>
      </c>
    </row>
    <row r="2806" spans="1:6">
      <c r="A2806" s="4" t="str">
        <f t="shared" si="43"/>
        <v>tRNA-Leu-TAA-2-1|64</v>
      </c>
      <c r="B2806" s="4" t="s">
        <v>74</v>
      </c>
      <c r="C2806" s="4" t="s">
        <v>185</v>
      </c>
      <c r="D2806" s="4">
        <v>76</v>
      </c>
      <c r="E2806" s="22" t="s">
        <v>122</v>
      </c>
      <c r="F2806" s="10" t="s">
        <v>169</v>
      </c>
    </row>
    <row r="2807" spans="1:6">
      <c r="A2807" s="4" t="str">
        <f t="shared" si="43"/>
        <v>tRNA-Leu-TAA-2-1|65</v>
      </c>
      <c r="B2807" s="4" t="s">
        <v>74</v>
      </c>
      <c r="C2807" s="4" t="s">
        <v>186</v>
      </c>
      <c r="D2807" s="4">
        <v>77</v>
      </c>
      <c r="E2807" s="22" t="s">
        <v>114</v>
      </c>
      <c r="F2807" s="10" t="s">
        <v>169</v>
      </c>
    </row>
    <row r="2808" spans="1:6">
      <c r="A2808" s="4" t="str">
        <f t="shared" si="43"/>
        <v>tRNA-Leu-TAA-2-1|66</v>
      </c>
      <c r="B2808" s="4" t="s">
        <v>74</v>
      </c>
      <c r="C2808" s="4" t="s">
        <v>187</v>
      </c>
      <c r="D2808" s="4">
        <v>78</v>
      </c>
      <c r="E2808" s="16" t="s">
        <v>116</v>
      </c>
      <c r="F2808" s="17" t="s">
        <v>110</v>
      </c>
    </row>
    <row r="2809" spans="1:6">
      <c r="A2809" s="4" t="str">
        <f t="shared" si="43"/>
        <v>tRNA-Leu-TAA-2-1|67</v>
      </c>
      <c r="B2809" s="4" t="s">
        <v>74</v>
      </c>
      <c r="C2809" s="4" t="s">
        <v>188</v>
      </c>
      <c r="D2809" s="4">
        <v>79</v>
      </c>
      <c r="E2809" s="16" t="s">
        <v>114</v>
      </c>
      <c r="F2809" s="17" t="s">
        <v>110</v>
      </c>
    </row>
    <row r="2810" spans="1:6">
      <c r="A2810" s="4" t="str">
        <f t="shared" si="43"/>
        <v>tRNA-Leu-TAA-2-1|68</v>
      </c>
      <c r="B2810" s="4" t="s">
        <v>74</v>
      </c>
      <c r="C2810" s="4" t="s">
        <v>189</v>
      </c>
      <c r="D2810" s="4">
        <v>80</v>
      </c>
      <c r="E2810" s="16" t="s">
        <v>114</v>
      </c>
      <c r="F2810" s="17" t="s">
        <v>110</v>
      </c>
    </row>
    <row r="2811" spans="1:6">
      <c r="A2811" s="4" t="str">
        <f t="shared" si="43"/>
        <v>tRNA-Leu-TAA-2-1|69</v>
      </c>
      <c r="B2811" s="4" t="s">
        <v>74</v>
      </c>
      <c r="C2811" s="4" t="s">
        <v>190</v>
      </c>
      <c r="D2811" s="4">
        <v>81</v>
      </c>
      <c r="E2811" s="16" t="s">
        <v>116</v>
      </c>
      <c r="F2811" s="17" t="s">
        <v>110</v>
      </c>
    </row>
    <row r="2812" spans="1:6">
      <c r="A2812" s="4" t="str">
        <f t="shared" si="43"/>
        <v>tRNA-Leu-TAA-2-1|70</v>
      </c>
      <c r="B2812" s="4" t="s">
        <v>74</v>
      </c>
      <c r="C2812" s="4" t="s">
        <v>191</v>
      </c>
      <c r="D2812" s="4">
        <v>82</v>
      </c>
      <c r="E2812" s="16" t="s">
        <v>114</v>
      </c>
      <c r="F2812" s="17" t="s">
        <v>110</v>
      </c>
    </row>
    <row r="2813" spans="1:6">
      <c r="A2813" s="4" t="str">
        <f t="shared" si="43"/>
        <v>tRNA-Leu-TAA-2-1|71</v>
      </c>
      <c r="B2813" s="4" t="s">
        <v>74</v>
      </c>
      <c r="C2813" s="4" t="s">
        <v>192</v>
      </c>
      <c r="D2813" s="4">
        <v>83</v>
      </c>
      <c r="E2813" s="16" t="s">
        <v>109</v>
      </c>
      <c r="F2813" s="17" t="s">
        <v>110</v>
      </c>
    </row>
    <row r="2814" spans="1:6">
      <c r="A2814" s="4" t="str">
        <f t="shared" si="43"/>
        <v>tRNA-Leu-TAA-2-1|72</v>
      </c>
      <c r="B2814" s="4" t="s">
        <v>74</v>
      </c>
      <c r="C2814" s="4" t="s">
        <v>193</v>
      </c>
      <c r="D2814" s="4">
        <v>84</v>
      </c>
      <c r="E2814" s="16" t="s">
        <v>114</v>
      </c>
      <c r="F2814" s="17" t="s">
        <v>110</v>
      </c>
    </row>
    <row r="2815" spans="1:6">
      <c r="A2815" s="4" t="str">
        <f t="shared" si="43"/>
        <v>tRNA-Leu-TAA-3-1|1</v>
      </c>
      <c r="B2815" s="4" t="s">
        <v>75</v>
      </c>
      <c r="C2815" s="4" t="s">
        <v>108</v>
      </c>
      <c r="D2815" s="4">
        <v>1</v>
      </c>
      <c r="E2815" s="16" t="s">
        <v>109</v>
      </c>
      <c r="F2815" s="17" t="s">
        <v>110</v>
      </c>
    </row>
    <row r="2816" spans="1:6">
      <c r="A2816" s="4" t="str">
        <f t="shared" si="43"/>
        <v>tRNA-Leu-TAA-3-1|2</v>
      </c>
      <c r="B2816" s="4" t="s">
        <v>75</v>
      </c>
      <c r="C2816" s="4" t="s">
        <v>111</v>
      </c>
      <c r="D2816" s="4">
        <v>2</v>
      </c>
      <c r="E2816" s="16" t="s">
        <v>114</v>
      </c>
      <c r="F2816" s="17" t="s">
        <v>110</v>
      </c>
    </row>
    <row r="2817" spans="1:6">
      <c r="A2817" s="4" t="str">
        <f t="shared" si="43"/>
        <v>tRNA-Leu-TAA-3-1|3</v>
      </c>
      <c r="B2817" s="4" t="s">
        <v>75</v>
      </c>
      <c r="C2817" s="4" t="s">
        <v>112</v>
      </c>
      <c r="D2817" s="4">
        <v>3</v>
      </c>
      <c r="E2817" s="16" t="s">
        <v>109</v>
      </c>
      <c r="F2817" s="17" t="s">
        <v>110</v>
      </c>
    </row>
    <row r="2818" spans="1:6">
      <c r="A2818" s="4" t="str">
        <f t="shared" ref="A2818:A2881" si="44">B2818&amp;"|"&amp;C2818</f>
        <v>tRNA-Leu-TAA-3-1|4</v>
      </c>
      <c r="B2818" s="4" t="s">
        <v>75</v>
      </c>
      <c r="C2818" s="4" t="s">
        <v>113</v>
      </c>
      <c r="D2818" s="4">
        <v>4</v>
      </c>
      <c r="E2818" s="16" t="s">
        <v>122</v>
      </c>
      <c r="F2818" s="17" t="s">
        <v>110</v>
      </c>
    </row>
    <row r="2819" spans="1:6">
      <c r="A2819" s="4" t="str">
        <f t="shared" si="44"/>
        <v>tRNA-Leu-TAA-3-1|5</v>
      </c>
      <c r="B2819" s="4" t="s">
        <v>75</v>
      </c>
      <c r="C2819" s="4" t="s">
        <v>115</v>
      </c>
      <c r="D2819" s="4">
        <v>5</v>
      </c>
      <c r="E2819" s="16" t="s">
        <v>109</v>
      </c>
      <c r="F2819" s="17" t="s">
        <v>110</v>
      </c>
    </row>
    <row r="2820" spans="1:6">
      <c r="A2820" s="4" t="str">
        <f t="shared" si="44"/>
        <v>tRNA-Leu-TAA-3-1|6</v>
      </c>
      <c r="B2820" s="4" t="s">
        <v>75</v>
      </c>
      <c r="C2820" s="4" t="s">
        <v>117</v>
      </c>
      <c r="D2820" s="4">
        <v>6</v>
      </c>
      <c r="E2820" s="16" t="s">
        <v>122</v>
      </c>
      <c r="F2820" s="17" t="s">
        <v>110</v>
      </c>
    </row>
    <row r="2821" spans="1:6">
      <c r="A2821" s="4" t="str">
        <f t="shared" si="44"/>
        <v>tRNA-Leu-TAA-3-1|7</v>
      </c>
      <c r="B2821" s="4" t="s">
        <v>75</v>
      </c>
      <c r="C2821" s="4" t="s">
        <v>118</v>
      </c>
      <c r="D2821" s="4">
        <v>7</v>
      </c>
      <c r="E2821" s="16" t="s">
        <v>109</v>
      </c>
      <c r="F2821" s="17" t="s">
        <v>110</v>
      </c>
    </row>
    <row r="2822" spans="1:6">
      <c r="A2822" s="4" t="str">
        <f t="shared" si="44"/>
        <v>tRNA-Leu-TAA-3-1|8</v>
      </c>
      <c r="B2822" s="4" t="s">
        <v>75</v>
      </c>
      <c r="C2822" s="4" t="s">
        <v>119</v>
      </c>
      <c r="D2822" s="4">
        <v>8</v>
      </c>
      <c r="E2822" s="3" t="s">
        <v>116</v>
      </c>
      <c r="F2822" s="4" t="s">
        <v>120</v>
      </c>
    </row>
    <row r="2823" spans="1:6">
      <c r="A2823" s="4" t="str">
        <f t="shared" si="44"/>
        <v>tRNA-Leu-TAA-3-1|9</v>
      </c>
      <c r="B2823" s="4" t="s">
        <v>75</v>
      </c>
      <c r="C2823" s="4" t="s">
        <v>121</v>
      </c>
      <c r="D2823" s="4">
        <v>9</v>
      </c>
      <c r="E2823" s="3" t="s">
        <v>116</v>
      </c>
      <c r="F2823" s="4" t="s">
        <v>123</v>
      </c>
    </row>
    <row r="2824" spans="1:6">
      <c r="A2824" s="4" t="str">
        <f t="shared" si="44"/>
        <v>tRNA-Leu-TAA-3-1|10</v>
      </c>
      <c r="B2824" s="4" t="s">
        <v>75</v>
      </c>
      <c r="C2824" s="4" t="s">
        <v>124</v>
      </c>
      <c r="D2824" s="4">
        <v>10</v>
      </c>
      <c r="E2824" s="8" t="s">
        <v>109</v>
      </c>
      <c r="F2824" s="7" t="s">
        <v>125</v>
      </c>
    </row>
    <row r="2825" spans="1:6">
      <c r="A2825" s="4" t="str">
        <f t="shared" si="44"/>
        <v>tRNA-Leu-TAA-3-1|11</v>
      </c>
      <c r="B2825" s="4" t="s">
        <v>75</v>
      </c>
      <c r="C2825" s="4" t="s">
        <v>126</v>
      </c>
      <c r="D2825" s="4">
        <v>11</v>
      </c>
      <c r="E2825" s="8" t="s">
        <v>114</v>
      </c>
      <c r="F2825" s="7" t="s">
        <v>125</v>
      </c>
    </row>
    <row r="2826" spans="1:6">
      <c r="A2826" s="4" t="str">
        <f t="shared" si="44"/>
        <v>tRNA-Leu-TAA-3-1|12</v>
      </c>
      <c r="B2826" s="4" t="s">
        <v>75</v>
      </c>
      <c r="C2826" s="4" t="s">
        <v>127</v>
      </c>
      <c r="D2826" s="4">
        <v>12</v>
      </c>
      <c r="E2826" s="8" t="s">
        <v>114</v>
      </c>
      <c r="F2826" s="7" t="s">
        <v>125</v>
      </c>
    </row>
    <row r="2827" spans="1:6">
      <c r="A2827" s="4" t="str">
        <f t="shared" si="44"/>
        <v>tRNA-Leu-TAA-3-1|13</v>
      </c>
      <c r="B2827" s="4" t="s">
        <v>75</v>
      </c>
      <c r="C2827" s="4" t="s">
        <v>128</v>
      </c>
      <c r="D2827" s="4">
        <v>13</v>
      </c>
      <c r="E2827" s="8" t="s">
        <v>114</v>
      </c>
      <c r="F2827" s="7" t="s">
        <v>125</v>
      </c>
    </row>
    <row r="2828" spans="1:6">
      <c r="A2828" s="4" t="str">
        <f t="shared" si="44"/>
        <v>tRNA-Leu-TAA-3-1|14</v>
      </c>
      <c r="B2828" s="4" t="s">
        <v>75</v>
      </c>
      <c r="C2828" s="4" t="s">
        <v>129</v>
      </c>
      <c r="D2828" s="4">
        <v>14</v>
      </c>
      <c r="E2828" s="18" t="s">
        <v>122</v>
      </c>
      <c r="F2828" s="19" t="s">
        <v>130</v>
      </c>
    </row>
    <row r="2829" spans="1:6">
      <c r="A2829" s="4" t="str">
        <f t="shared" si="44"/>
        <v>tRNA-Leu-TAA-3-1|15</v>
      </c>
      <c r="B2829" s="4" t="s">
        <v>75</v>
      </c>
      <c r="C2829" s="4" t="s">
        <v>131</v>
      </c>
      <c r="D2829" s="4">
        <v>15</v>
      </c>
      <c r="E2829" s="18" t="s">
        <v>109</v>
      </c>
      <c r="F2829" s="19" t="s">
        <v>130</v>
      </c>
    </row>
    <row r="2830" spans="1:6">
      <c r="A2830" s="4" t="str">
        <f t="shared" si="44"/>
        <v>tRNA-Leu-TAA-3-1|16</v>
      </c>
      <c r="B2830" s="4" t="s">
        <v>75</v>
      </c>
      <c r="C2830" s="4" t="s">
        <v>194</v>
      </c>
      <c r="D2830" s="4">
        <v>16</v>
      </c>
      <c r="E2830" s="18" t="s">
        <v>114</v>
      </c>
      <c r="F2830" s="19" t="s">
        <v>130</v>
      </c>
    </row>
    <row r="2831" spans="1:6">
      <c r="A2831" s="4" t="str">
        <f t="shared" si="44"/>
        <v>tRNA-Leu-TAA-3-1|17</v>
      </c>
      <c r="B2831" s="4" t="s">
        <v>75</v>
      </c>
      <c r="C2831" s="4" t="s">
        <v>195</v>
      </c>
      <c r="D2831" s="4">
        <v>17</v>
      </c>
      <c r="E2831" s="18" t="s">
        <v>114</v>
      </c>
      <c r="F2831" s="19" t="s">
        <v>130</v>
      </c>
    </row>
    <row r="2832" spans="1:6">
      <c r="A2832" s="4" t="str">
        <f t="shared" si="44"/>
        <v>tRNA-Leu-TAA-3-1|17a</v>
      </c>
      <c r="B2832" s="4" t="s">
        <v>75</v>
      </c>
      <c r="C2832" s="4" t="s">
        <v>196</v>
      </c>
      <c r="D2832" s="4">
        <v>18</v>
      </c>
      <c r="E2832" s="18" t="s">
        <v>114</v>
      </c>
      <c r="F2832" s="19" t="s">
        <v>130</v>
      </c>
    </row>
    <row r="2833" spans="1:6">
      <c r="A2833" s="4" t="str">
        <f t="shared" si="44"/>
        <v>tRNA-Leu-TAA-3-1|18</v>
      </c>
      <c r="B2833" s="4" t="s">
        <v>75</v>
      </c>
      <c r="C2833" s="4" t="s">
        <v>132</v>
      </c>
      <c r="D2833" s="4">
        <v>19</v>
      </c>
      <c r="E2833" s="18" t="s">
        <v>109</v>
      </c>
      <c r="F2833" s="19" t="s">
        <v>130</v>
      </c>
    </row>
    <row r="2834" spans="1:6">
      <c r="A2834" s="4" t="str">
        <f t="shared" si="44"/>
        <v>tRNA-Leu-TAA-3-1|19</v>
      </c>
      <c r="B2834" s="4" t="s">
        <v>75</v>
      </c>
      <c r="C2834" s="4" t="s">
        <v>133</v>
      </c>
      <c r="D2834" s="4">
        <v>20</v>
      </c>
      <c r="E2834" s="18" t="s">
        <v>109</v>
      </c>
      <c r="F2834" s="19" t="s">
        <v>130</v>
      </c>
    </row>
    <row r="2835" spans="1:6">
      <c r="A2835" s="4" t="str">
        <f t="shared" si="44"/>
        <v>tRNA-Leu-TAA-3-1|20</v>
      </c>
      <c r="B2835" s="4" t="s">
        <v>75</v>
      </c>
      <c r="C2835" s="4" t="s">
        <v>134</v>
      </c>
      <c r="D2835" s="4">
        <v>21</v>
      </c>
      <c r="E2835" s="18" t="s">
        <v>116</v>
      </c>
      <c r="F2835" s="19" t="s">
        <v>130</v>
      </c>
    </row>
    <row r="2836" spans="1:6">
      <c r="A2836" s="4" t="str">
        <f t="shared" si="44"/>
        <v>tRNA-Leu-TAA-3-1|20a</v>
      </c>
      <c r="B2836" s="4" t="s">
        <v>75</v>
      </c>
      <c r="C2836" s="4" t="s">
        <v>135</v>
      </c>
      <c r="D2836" s="4">
        <v>22</v>
      </c>
      <c r="E2836" s="18" t="s">
        <v>114</v>
      </c>
      <c r="F2836" s="19" t="s">
        <v>130</v>
      </c>
    </row>
    <row r="2837" spans="1:6">
      <c r="A2837" s="4" t="str">
        <f t="shared" si="44"/>
        <v>tRNA-Leu-TAA-3-1|20b</v>
      </c>
      <c r="B2837" s="4" t="s">
        <v>75</v>
      </c>
      <c r="C2837" s="4" t="s">
        <v>197</v>
      </c>
      <c r="D2837" s="4">
        <v>23</v>
      </c>
      <c r="E2837" s="18" t="s">
        <v>122</v>
      </c>
      <c r="F2837" s="19" t="s">
        <v>130</v>
      </c>
    </row>
    <row r="2838" spans="1:6">
      <c r="A2838" s="4" t="str">
        <f t="shared" si="44"/>
        <v>tRNA-Leu-TAA-3-1|21</v>
      </c>
      <c r="B2838" s="4" t="s">
        <v>75</v>
      </c>
      <c r="C2838" s="4" t="s">
        <v>136</v>
      </c>
      <c r="D2838" s="4">
        <v>24</v>
      </c>
      <c r="E2838" s="18" t="s">
        <v>122</v>
      </c>
      <c r="F2838" s="19" t="s">
        <v>130</v>
      </c>
    </row>
    <row r="2839" spans="1:6">
      <c r="A2839" s="4" t="str">
        <f t="shared" si="44"/>
        <v>tRNA-Leu-TAA-3-1|22</v>
      </c>
      <c r="B2839" s="4" t="s">
        <v>75</v>
      </c>
      <c r="C2839" s="4" t="s">
        <v>137</v>
      </c>
      <c r="D2839" s="4">
        <v>25</v>
      </c>
      <c r="E2839" s="8" t="s">
        <v>122</v>
      </c>
      <c r="F2839" s="7" t="s">
        <v>125</v>
      </c>
    </row>
    <row r="2840" spans="1:6">
      <c r="A2840" s="4" t="str">
        <f t="shared" si="44"/>
        <v>tRNA-Leu-TAA-3-1|23</v>
      </c>
      <c r="B2840" s="4" t="s">
        <v>75</v>
      </c>
      <c r="C2840" s="4" t="s">
        <v>138</v>
      </c>
      <c r="D2840" s="4">
        <v>26</v>
      </c>
      <c r="E2840" s="8" t="s">
        <v>109</v>
      </c>
      <c r="F2840" s="7" t="s">
        <v>125</v>
      </c>
    </row>
    <row r="2841" spans="1:6">
      <c r="A2841" s="4" t="str">
        <f t="shared" si="44"/>
        <v>tRNA-Leu-TAA-3-1|24</v>
      </c>
      <c r="B2841" s="4" t="s">
        <v>75</v>
      </c>
      <c r="C2841" s="4" t="s">
        <v>139</v>
      </c>
      <c r="D2841" s="4">
        <v>27</v>
      </c>
      <c r="E2841" s="8" t="s">
        <v>109</v>
      </c>
      <c r="F2841" s="7" t="s">
        <v>125</v>
      </c>
    </row>
    <row r="2842" spans="1:6">
      <c r="A2842" s="4" t="str">
        <f t="shared" si="44"/>
        <v>tRNA-Leu-TAA-3-1|25</v>
      </c>
      <c r="B2842" s="4" t="s">
        <v>75</v>
      </c>
      <c r="C2842" s="4" t="s">
        <v>140</v>
      </c>
      <c r="D2842" s="4">
        <v>28</v>
      </c>
      <c r="E2842" s="8" t="s">
        <v>114</v>
      </c>
      <c r="F2842" s="7" t="s">
        <v>125</v>
      </c>
    </row>
    <row r="2843" spans="1:6">
      <c r="A2843" s="4" t="str">
        <f t="shared" si="44"/>
        <v>tRNA-Leu-TAA-3-1|26</v>
      </c>
      <c r="B2843" s="4" t="s">
        <v>75</v>
      </c>
      <c r="C2843" s="4" t="s">
        <v>141</v>
      </c>
      <c r="D2843" s="4">
        <v>29</v>
      </c>
      <c r="E2843" s="3" t="s">
        <v>109</v>
      </c>
      <c r="F2843" s="4" t="s">
        <v>142</v>
      </c>
    </row>
    <row r="2844" spans="1:6">
      <c r="A2844" s="4" t="str">
        <f t="shared" si="44"/>
        <v>tRNA-Leu-TAA-3-1|27</v>
      </c>
      <c r="B2844" s="4" t="s">
        <v>75</v>
      </c>
      <c r="C2844" s="4" t="s">
        <v>143</v>
      </c>
      <c r="D2844" s="4">
        <v>30</v>
      </c>
      <c r="E2844" s="20" t="s">
        <v>114</v>
      </c>
      <c r="F2844" s="21" t="s">
        <v>144</v>
      </c>
    </row>
    <row r="2845" spans="1:6">
      <c r="A2845" s="4" t="str">
        <f t="shared" si="44"/>
        <v>tRNA-Leu-TAA-3-1|28</v>
      </c>
      <c r="B2845" s="4" t="s">
        <v>75</v>
      </c>
      <c r="C2845" s="4" t="s">
        <v>145</v>
      </c>
      <c r="D2845" s="4">
        <v>31</v>
      </c>
      <c r="E2845" s="20" t="s">
        <v>114</v>
      </c>
      <c r="F2845" s="21" t="s">
        <v>144</v>
      </c>
    </row>
    <row r="2846" spans="1:6">
      <c r="A2846" s="4" t="str">
        <f t="shared" si="44"/>
        <v>tRNA-Leu-TAA-3-1|29</v>
      </c>
      <c r="B2846" s="4" t="s">
        <v>75</v>
      </c>
      <c r="C2846" s="4" t="s">
        <v>146</v>
      </c>
      <c r="D2846" s="4">
        <v>32</v>
      </c>
      <c r="E2846" s="20" t="s">
        <v>109</v>
      </c>
      <c r="F2846" s="21" t="s">
        <v>144</v>
      </c>
    </row>
    <row r="2847" spans="1:6">
      <c r="A2847" s="4" t="str">
        <f t="shared" si="44"/>
        <v>tRNA-Leu-TAA-3-1|30</v>
      </c>
      <c r="B2847" s="4" t="s">
        <v>75</v>
      </c>
      <c r="C2847" s="4" t="s">
        <v>147</v>
      </c>
      <c r="D2847" s="4">
        <v>33</v>
      </c>
      <c r="E2847" s="20" t="s">
        <v>109</v>
      </c>
      <c r="F2847" s="21" t="s">
        <v>144</v>
      </c>
    </row>
    <row r="2848" spans="1:6">
      <c r="A2848" s="4" t="str">
        <f t="shared" si="44"/>
        <v>tRNA-Leu-TAA-3-1|31</v>
      </c>
      <c r="B2848" s="4" t="s">
        <v>75</v>
      </c>
      <c r="C2848" s="4" t="s">
        <v>148</v>
      </c>
      <c r="D2848" s="4">
        <v>34</v>
      </c>
      <c r="E2848" s="20" t="s">
        <v>122</v>
      </c>
      <c r="F2848" s="21" t="s">
        <v>144</v>
      </c>
    </row>
    <row r="2849" spans="1:6">
      <c r="A2849" s="4" t="str">
        <f t="shared" si="44"/>
        <v>tRNA-Leu-TAA-3-1|32</v>
      </c>
      <c r="B2849" s="4" t="s">
        <v>75</v>
      </c>
      <c r="C2849" s="4" t="s">
        <v>149</v>
      </c>
      <c r="D2849" s="4">
        <v>35</v>
      </c>
      <c r="E2849" s="18" t="s">
        <v>114</v>
      </c>
      <c r="F2849" s="19" t="s">
        <v>150</v>
      </c>
    </row>
    <row r="2850" spans="1:6">
      <c r="A2850" s="4" t="str">
        <f t="shared" si="44"/>
        <v>tRNA-Leu-TAA-3-1|33</v>
      </c>
      <c r="B2850" s="4" t="s">
        <v>75</v>
      </c>
      <c r="C2850" s="4" t="s">
        <v>151</v>
      </c>
      <c r="D2850" s="4">
        <v>36</v>
      </c>
      <c r="E2850" s="18" t="s">
        <v>116</v>
      </c>
      <c r="F2850" s="19" t="s">
        <v>150</v>
      </c>
    </row>
    <row r="2851" spans="1:6">
      <c r="A2851" s="4" t="str">
        <f t="shared" si="44"/>
        <v>tRNA-Leu-TAA-3-1|34</v>
      </c>
      <c r="B2851" s="4" t="s">
        <v>75</v>
      </c>
      <c r="C2851" s="4" t="s">
        <v>152</v>
      </c>
      <c r="D2851" s="4">
        <v>37</v>
      </c>
      <c r="E2851" s="18" t="s">
        <v>116</v>
      </c>
      <c r="F2851" s="19" t="s">
        <v>150</v>
      </c>
    </row>
    <row r="2852" spans="1:6">
      <c r="A2852" s="4" t="str">
        <f t="shared" si="44"/>
        <v>tRNA-Leu-TAA-3-1|35</v>
      </c>
      <c r="B2852" s="4" t="s">
        <v>75</v>
      </c>
      <c r="C2852" s="4" t="s">
        <v>153</v>
      </c>
      <c r="D2852" s="4">
        <v>38</v>
      </c>
      <c r="E2852" s="18" t="s">
        <v>122</v>
      </c>
      <c r="F2852" s="19" t="s">
        <v>150</v>
      </c>
    </row>
    <row r="2853" spans="1:6">
      <c r="A2853" s="4" t="str">
        <f t="shared" si="44"/>
        <v>tRNA-Leu-TAA-3-1|36</v>
      </c>
      <c r="B2853" s="4" t="s">
        <v>75</v>
      </c>
      <c r="C2853" s="4" t="s">
        <v>154</v>
      </c>
      <c r="D2853" s="4">
        <v>39</v>
      </c>
      <c r="E2853" s="18" t="s">
        <v>122</v>
      </c>
      <c r="F2853" s="19" t="s">
        <v>150</v>
      </c>
    </row>
    <row r="2854" spans="1:6">
      <c r="A2854" s="4" t="str">
        <f t="shared" si="44"/>
        <v>tRNA-Leu-TAA-3-1|37</v>
      </c>
      <c r="B2854" s="4" t="s">
        <v>75</v>
      </c>
      <c r="C2854" s="4" t="s">
        <v>155</v>
      </c>
      <c r="D2854" s="4">
        <v>40</v>
      </c>
      <c r="E2854" s="18" t="s">
        <v>109</v>
      </c>
      <c r="F2854" s="19" t="s">
        <v>150</v>
      </c>
    </row>
    <row r="2855" spans="1:6">
      <c r="A2855" s="4" t="str">
        <f t="shared" si="44"/>
        <v>tRNA-Leu-TAA-3-1|38</v>
      </c>
      <c r="B2855" s="4" t="s">
        <v>75</v>
      </c>
      <c r="C2855" s="4" t="s">
        <v>156</v>
      </c>
      <c r="D2855" s="4">
        <v>41</v>
      </c>
      <c r="E2855" s="18" t="s">
        <v>122</v>
      </c>
      <c r="F2855" s="19" t="s">
        <v>150</v>
      </c>
    </row>
    <row r="2856" spans="1:6">
      <c r="A2856" s="4" t="str">
        <f t="shared" si="44"/>
        <v>tRNA-Leu-TAA-3-1|39</v>
      </c>
      <c r="B2856" s="4" t="s">
        <v>75</v>
      </c>
      <c r="C2856" s="4" t="s">
        <v>157</v>
      </c>
      <c r="D2856" s="4">
        <v>42</v>
      </c>
      <c r="E2856" s="20" t="s">
        <v>116</v>
      </c>
      <c r="F2856" s="21" t="s">
        <v>144</v>
      </c>
    </row>
    <row r="2857" spans="1:6">
      <c r="A2857" s="4" t="str">
        <f t="shared" si="44"/>
        <v>tRNA-Leu-TAA-3-1|40</v>
      </c>
      <c r="B2857" s="4" t="s">
        <v>75</v>
      </c>
      <c r="C2857" s="4" t="s">
        <v>158</v>
      </c>
      <c r="D2857" s="4">
        <v>43</v>
      </c>
      <c r="E2857" s="20" t="s">
        <v>114</v>
      </c>
      <c r="F2857" s="21" t="s">
        <v>144</v>
      </c>
    </row>
    <row r="2858" spans="1:6">
      <c r="A2858" s="4" t="str">
        <f t="shared" si="44"/>
        <v>tRNA-Leu-TAA-3-1|41</v>
      </c>
      <c r="B2858" s="4" t="s">
        <v>75</v>
      </c>
      <c r="C2858" s="4" t="s">
        <v>159</v>
      </c>
      <c r="D2858" s="4">
        <v>44</v>
      </c>
      <c r="E2858" s="20" t="s">
        <v>114</v>
      </c>
      <c r="F2858" s="21" t="s">
        <v>144</v>
      </c>
    </row>
    <row r="2859" spans="1:6">
      <c r="A2859" s="4" t="str">
        <f t="shared" si="44"/>
        <v>tRNA-Leu-TAA-3-1|42</v>
      </c>
      <c r="B2859" s="4" t="s">
        <v>75</v>
      </c>
      <c r="C2859" s="4" t="s">
        <v>160</v>
      </c>
      <c r="D2859" s="4">
        <v>45</v>
      </c>
      <c r="E2859" s="20" t="s">
        <v>109</v>
      </c>
      <c r="F2859" s="21" t="s">
        <v>144</v>
      </c>
    </row>
    <row r="2860" spans="1:6">
      <c r="A2860" s="4" t="str">
        <f t="shared" si="44"/>
        <v>tRNA-Leu-TAA-3-1|43</v>
      </c>
      <c r="B2860" s="4" t="s">
        <v>75</v>
      </c>
      <c r="C2860" s="4" t="s">
        <v>161</v>
      </c>
      <c r="D2860" s="4">
        <v>46</v>
      </c>
      <c r="E2860" s="20" t="s">
        <v>109</v>
      </c>
      <c r="F2860" s="21" t="s">
        <v>144</v>
      </c>
    </row>
    <row r="2861" spans="1:6">
      <c r="A2861" s="4" t="str">
        <f t="shared" si="44"/>
        <v>tRNA-Leu-TAA-3-1|44</v>
      </c>
      <c r="B2861" s="4" t="s">
        <v>75</v>
      </c>
      <c r="C2861" s="4" t="s">
        <v>162</v>
      </c>
      <c r="D2861" s="4">
        <v>47</v>
      </c>
      <c r="E2861" s="18" t="s">
        <v>116</v>
      </c>
      <c r="F2861" s="19" t="s">
        <v>163</v>
      </c>
    </row>
    <row r="2862" spans="1:6">
      <c r="A2862" s="4" t="str">
        <f t="shared" si="44"/>
        <v>tRNA-Leu-TAA-3-1|45</v>
      </c>
      <c r="B2862" s="4" t="s">
        <v>75</v>
      </c>
      <c r="C2862" s="4" t="s">
        <v>164</v>
      </c>
      <c r="D2862" s="4">
        <v>48</v>
      </c>
      <c r="E2862" s="18" t="s">
        <v>122</v>
      </c>
      <c r="F2862" s="19" t="s">
        <v>163</v>
      </c>
    </row>
    <row r="2863" spans="1:6">
      <c r="A2863" s="4" t="str">
        <f t="shared" si="44"/>
        <v>tRNA-Leu-TAA-3-1|e1</v>
      </c>
      <c r="B2863" s="4" t="s">
        <v>75</v>
      </c>
      <c r="C2863" s="4" t="s">
        <v>198</v>
      </c>
      <c r="D2863" s="4">
        <v>49</v>
      </c>
      <c r="E2863" s="18" t="s">
        <v>116</v>
      </c>
      <c r="F2863" s="19" t="s">
        <v>163</v>
      </c>
    </row>
    <row r="2864" spans="1:6">
      <c r="A2864" s="4" t="str">
        <f t="shared" si="44"/>
        <v>tRNA-Leu-TAA-3-1|e2</v>
      </c>
      <c r="B2864" s="4" t="s">
        <v>75</v>
      </c>
      <c r="C2864" s="4" t="s">
        <v>199</v>
      </c>
      <c r="D2864" s="4">
        <v>50</v>
      </c>
      <c r="E2864" s="18" t="s">
        <v>114</v>
      </c>
      <c r="F2864" s="19" t="s">
        <v>163</v>
      </c>
    </row>
    <row r="2865" spans="1:6">
      <c r="A2865" s="4" t="str">
        <f t="shared" si="44"/>
        <v>tRNA-Leu-TAA-3-1|e3</v>
      </c>
      <c r="B2865" s="4" t="s">
        <v>75</v>
      </c>
      <c r="C2865" s="4" t="s">
        <v>200</v>
      </c>
      <c r="D2865" s="4">
        <v>51</v>
      </c>
      <c r="E2865" s="18" t="s">
        <v>109</v>
      </c>
      <c r="F2865" s="19" t="s">
        <v>163</v>
      </c>
    </row>
    <row r="2866" spans="1:6">
      <c r="A2866" s="4" t="str">
        <f t="shared" si="44"/>
        <v>tRNA-Leu-TAA-3-1|e4</v>
      </c>
      <c r="B2866" s="4" t="s">
        <v>75</v>
      </c>
      <c r="C2866" s="4" t="s">
        <v>201</v>
      </c>
      <c r="D2866" s="4">
        <v>52</v>
      </c>
      <c r="E2866" s="18" t="s">
        <v>122</v>
      </c>
      <c r="F2866" s="19" t="s">
        <v>163</v>
      </c>
    </row>
    <row r="2867" spans="1:6">
      <c r="A2867" s="4" t="str">
        <f t="shared" si="44"/>
        <v>tRNA-Leu-TAA-3-1|e5</v>
      </c>
      <c r="B2867" s="4" t="s">
        <v>75</v>
      </c>
      <c r="C2867" s="4" t="s">
        <v>202</v>
      </c>
      <c r="D2867" s="4">
        <v>53</v>
      </c>
      <c r="E2867" s="18" t="s">
        <v>122</v>
      </c>
      <c r="F2867" s="19" t="s">
        <v>163</v>
      </c>
    </row>
    <row r="2868" spans="1:6">
      <c r="A2868" s="4" t="str">
        <f t="shared" si="44"/>
        <v>tRNA-Leu-TAA-3-1|e6</v>
      </c>
      <c r="B2868" s="4" t="s">
        <v>75</v>
      </c>
      <c r="C2868" s="4" t="s">
        <v>203</v>
      </c>
      <c r="D2868" s="4">
        <v>54</v>
      </c>
      <c r="E2868" s="18" t="s">
        <v>109</v>
      </c>
      <c r="F2868" s="19" t="s">
        <v>163</v>
      </c>
    </row>
    <row r="2869" spans="1:6">
      <c r="A2869" s="4" t="str">
        <f t="shared" si="44"/>
        <v>tRNA-Leu-TAA-3-1|e7</v>
      </c>
      <c r="B2869" s="4" t="s">
        <v>75</v>
      </c>
      <c r="C2869" s="4" t="s">
        <v>204</v>
      </c>
      <c r="D2869" s="4">
        <v>55</v>
      </c>
      <c r="E2869" s="18" t="s">
        <v>109</v>
      </c>
      <c r="F2869" s="19" t="s">
        <v>163</v>
      </c>
    </row>
    <row r="2870" spans="1:6">
      <c r="A2870" s="4" t="str">
        <f t="shared" si="44"/>
        <v>tRNA-Leu-TAA-3-1|e8</v>
      </c>
      <c r="B2870" s="4" t="s">
        <v>75</v>
      </c>
      <c r="C2870" s="4" t="s">
        <v>205</v>
      </c>
      <c r="D2870" s="4">
        <v>56</v>
      </c>
      <c r="E2870" s="18" t="s">
        <v>122</v>
      </c>
      <c r="F2870" s="19" t="s">
        <v>163</v>
      </c>
    </row>
    <row r="2871" spans="1:6">
      <c r="A2871" s="4" t="str">
        <f t="shared" si="44"/>
        <v>tRNA-Leu-TAA-3-1|e9</v>
      </c>
      <c r="B2871" s="4" t="s">
        <v>75</v>
      </c>
      <c r="C2871" s="4" t="s">
        <v>206</v>
      </c>
      <c r="D2871" s="4">
        <v>57</v>
      </c>
      <c r="E2871" s="18" t="s">
        <v>116</v>
      </c>
      <c r="F2871" s="19" t="s">
        <v>163</v>
      </c>
    </row>
    <row r="2872" spans="1:6">
      <c r="A2872" s="4" t="str">
        <f t="shared" si="44"/>
        <v>tRNA-Leu-TAA-3-1|46</v>
      </c>
      <c r="B2872" s="4" t="s">
        <v>75</v>
      </c>
      <c r="C2872" s="4" t="s">
        <v>165</v>
      </c>
      <c r="D2872" s="4">
        <v>58</v>
      </c>
      <c r="E2872" s="18" t="s">
        <v>116</v>
      </c>
      <c r="F2872" s="19" t="s">
        <v>163</v>
      </c>
    </row>
    <row r="2873" spans="1:6">
      <c r="A2873" s="4" t="str">
        <f t="shared" si="44"/>
        <v>tRNA-Leu-TAA-3-1|47</v>
      </c>
      <c r="B2873" s="4" t="s">
        <v>75</v>
      </c>
      <c r="C2873" s="4" t="s">
        <v>166</v>
      </c>
      <c r="D2873" s="4">
        <v>59</v>
      </c>
      <c r="E2873" s="18" t="s">
        <v>116</v>
      </c>
      <c r="F2873" s="19" t="s">
        <v>163</v>
      </c>
    </row>
    <row r="2874" spans="1:6">
      <c r="A2874" s="4" t="str">
        <f t="shared" si="44"/>
        <v>tRNA-Leu-TAA-3-1|48</v>
      </c>
      <c r="B2874" s="4" t="s">
        <v>75</v>
      </c>
      <c r="C2874" s="4" t="s">
        <v>167</v>
      </c>
      <c r="D2874" s="4">
        <v>60</v>
      </c>
      <c r="E2874" s="18" t="s">
        <v>114</v>
      </c>
      <c r="F2874" s="19" t="s">
        <v>163</v>
      </c>
    </row>
    <row r="2875" spans="1:6">
      <c r="A2875" s="4" t="str">
        <f t="shared" si="44"/>
        <v>tRNA-Leu-TAA-3-1|49</v>
      </c>
      <c r="B2875" s="4" t="s">
        <v>75</v>
      </c>
      <c r="C2875" s="4" t="s">
        <v>168</v>
      </c>
      <c r="D2875" s="4">
        <v>61</v>
      </c>
      <c r="E2875" s="22" t="s">
        <v>109</v>
      </c>
      <c r="F2875" s="10" t="s">
        <v>169</v>
      </c>
    </row>
    <row r="2876" spans="1:6">
      <c r="A2876" s="4" t="str">
        <f t="shared" si="44"/>
        <v>tRNA-Leu-TAA-3-1|50</v>
      </c>
      <c r="B2876" s="4" t="s">
        <v>75</v>
      </c>
      <c r="C2876" s="4" t="s">
        <v>170</v>
      </c>
      <c r="D2876" s="4">
        <v>62</v>
      </c>
      <c r="E2876" s="22" t="s">
        <v>116</v>
      </c>
      <c r="F2876" s="10" t="s">
        <v>169</v>
      </c>
    </row>
    <row r="2877" spans="1:6">
      <c r="A2877" s="4" t="str">
        <f t="shared" si="44"/>
        <v>tRNA-Leu-TAA-3-1|51</v>
      </c>
      <c r="B2877" s="4" t="s">
        <v>75</v>
      </c>
      <c r="C2877" s="4" t="s">
        <v>171</v>
      </c>
      <c r="D2877" s="4">
        <v>63</v>
      </c>
      <c r="E2877" s="22" t="s">
        <v>109</v>
      </c>
      <c r="F2877" s="10" t="s">
        <v>169</v>
      </c>
    </row>
    <row r="2878" spans="1:6">
      <c r="A2878" s="4" t="str">
        <f t="shared" si="44"/>
        <v>tRNA-Leu-TAA-3-1|52</v>
      </c>
      <c r="B2878" s="4" t="s">
        <v>75</v>
      </c>
      <c r="C2878" s="4" t="s">
        <v>172</v>
      </c>
      <c r="D2878" s="4">
        <v>64</v>
      </c>
      <c r="E2878" s="22" t="s">
        <v>109</v>
      </c>
      <c r="F2878" s="10" t="s">
        <v>169</v>
      </c>
    </row>
    <row r="2879" spans="1:6">
      <c r="A2879" s="4" t="str">
        <f t="shared" si="44"/>
        <v>tRNA-Leu-TAA-3-1|53</v>
      </c>
      <c r="B2879" s="4" t="s">
        <v>75</v>
      </c>
      <c r="C2879" s="4" t="s">
        <v>173</v>
      </c>
      <c r="D2879" s="4">
        <v>65</v>
      </c>
      <c r="E2879" s="22" t="s">
        <v>116</v>
      </c>
      <c r="F2879" s="10" t="s">
        <v>169</v>
      </c>
    </row>
    <row r="2880" spans="1:6">
      <c r="A2880" s="4" t="str">
        <f t="shared" si="44"/>
        <v>tRNA-Leu-TAA-3-1|54</v>
      </c>
      <c r="B2880" s="4" t="s">
        <v>75</v>
      </c>
      <c r="C2880" s="4" t="s">
        <v>174</v>
      </c>
      <c r="D2880" s="4">
        <v>66</v>
      </c>
      <c r="E2880" s="18" t="s">
        <v>116</v>
      </c>
      <c r="F2880" s="19" t="s">
        <v>175</v>
      </c>
    </row>
    <row r="2881" spans="1:6">
      <c r="A2881" s="4" t="str">
        <f t="shared" si="44"/>
        <v>tRNA-Leu-TAA-3-1|55</v>
      </c>
      <c r="B2881" s="4" t="s">
        <v>75</v>
      </c>
      <c r="C2881" s="4" t="s">
        <v>176</v>
      </c>
      <c r="D2881" s="4">
        <v>67</v>
      </c>
      <c r="E2881" s="18" t="s">
        <v>116</v>
      </c>
      <c r="F2881" s="19" t="s">
        <v>175</v>
      </c>
    </row>
    <row r="2882" spans="1:6">
      <c r="A2882" s="4" t="str">
        <f t="shared" ref="A2882:A2945" si="45">B2882&amp;"|"&amp;C2882</f>
        <v>tRNA-Leu-TAA-3-1|56</v>
      </c>
      <c r="B2882" s="4" t="s">
        <v>75</v>
      </c>
      <c r="C2882" s="4" t="s">
        <v>177</v>
      </c>
      <c r="D2882" s="4">
        <v>68</v>
      </c>
      <c r="E2882" s="18" t="s">
        <v>114</v>
      </c>
      <c r="F2882" s="19" t="s">
        <v>175</v>
      </c>
    </row>
    <row r="2883" spans="1:6">
      <c r="A2883" s="4" t="str">
        <f t="shared" si="45"/>
        <v>tRNA-Leu-TAA-3-1|57</v>
      </c>
      <c r="B2883" s="4" t="s">
        <v>75</v>
      </c>
      <c r="C2883" s="4" t="s">
        <v>178</v>
      </c>
      <c r="D2883" s="4">
        <v>69</v>
      </c>
      <c r="E2883" s="18" t="s">
        <v>109</v>
      </c>
      <c r="F2883" s="19" t="s">
        <v>175</v>
      </c>
    </row>
    <row r="2884" spans="1:6">
      <c r="A2884" s="4" t="str">
        <f t="shared" si="45"/>
        <v>tRNA-Leu-TAA-3-1|58</v>
      </c>
      <c r="B2884" s="4" t="s">
        <v>75</v>
      </c>
      <c r="C2884" s="4" t="s">
        <v>179</v>
      </c>
      <c r="D2884" s="4">
        <v>70</v>
      </c>
      <c r="E2884" s="18" t="s">
        <v>122</v>
      </c>
      <c r="F2884" s="19" t="s">
        <v>175</v>
      </c>
    </row>
    <row r="2885" spans="1:6">
      <c r="A2885" s="4" t="str">
        <f t="shared" si="45"/>
        <v>tRNA-Leu-TAA-3-1|59</v>
      </c>
      <c r="B2885" s="4" t="s">
        <v>75</v>
      </c>
      <c r="C2885" s="4" t="s">
        <v>180</v>
      </c>
      <c r="D2885" s="4">
        <v>71</v>
      </c>
      <c r="E2885" s="18" t="s">
        <v>122</v>
      </c>
      <c r="F2885" s="19" t="s">
        <v>175</v>
      </c>
    </row>
    <row r="2886" spans="1:6">
      <c r="A2886" s="4" t="str">
        <f t="shared" si="45"/>
        <v>tRNA-Leu-TAA-3-1|60</v>
      </c>
      <c r="B2886" s="4" t="s">
        <v>75</v>
      </c>
      <c r="C2886" s="4" t="s">
        <v>181</v>
      </c>
      <c r="D2886" s="4">
        <v>72</v>
      </c>
      <c r="E2886" s="18" t="s">
        <v>116</v>
      </c>
      <c r="F2886" s="19" t="s">
        <v>175</v>
      </c>
    </row>
    <row r="2887" spans="1:6">
      <c r="A2887" s="4" t="str">
        <f t="shared" si="45"/>
        <v>tRNA-Leu-TAA-3-1|61</v>
      </c>
      <c r="B2887" s="4" t="s">
        <v>75</v>
      </c>
      <c r="C2887" s="4" t="s">
        <v>182</v>
      </c>
      <c r="D2887" s="4">
        <v>73</v>
      </c>
      <c r="E2887" s="22" t="s">
        <v>116</v>
      </c>
      <c r="F2887" s="10" t="s">
        <v>169</v>
      </c>
    </row>
    <row r="2888" spans="1:6">
      <c r="A2888" s="4" t="str">
        <f t="shared" si="45"/>
        <v>tRNA-Leu-TAA-3-1|62</v>
      </c>
      <c r="B2888" s="4" t="s">
        <v>75</v>
      </c>
      <c r="C2888" s="4" t="s">
        <v>183</v>
      </c>
      <c r="D2888" s="4">
        <v>74</v>
      </c>
      <c r="E2888" s="22" t="s">
        <v>116</v>
      </c>
      <c r="F2888" s="10" t="s">
        <v>169</v>
      </c>
    </row>
    <row r="2889" spans="1:6">
      <c r="A2889" s="4" t="str">
        <f t="shared" si="45"/>
        <v>tRNA-Leu-TAA-3-1|63</v>
      </c>
      <c r="B2889" s="4" t="s">
        <v>75</v>
      </c>
      <c r="C2889" s="4" t="s">
        <v>184</v>
      </c>
      <c r="D2889" s="4">
        <v>75</v>
      </c>
      <c r="E2889" s="22" t="s">
        <v>114</v>
      </c>
      <c r="F2889" s="10" t="s">
        <v>169</v>
      </c>
    </row>
    <row r="2890" spans="1:6">
      <c r="A2890" s="4" t="str">
        <f t="shared" si="45"/>
        <v>tRNA-Leu-TAA-3-1|64</v>
      </c>
      <c r="B2890" s="4" t="s">
        <v>75</v>
      </c>
      <c r="C2890" s="4" t="s">
        <v>185</v>
      </c>
      <c r="D2890" s="4">
        <v>76</v>
      </c>
      <c r="E2890" s="22" t="s">
        <v>122</v>
      </c>
      <c r="F2890" s="10" t="s">
        <v>169</v>
      </c>
    </row>
    <row r="2891" spans="1:6">
      <c r="A2891" s="4" t="str">
        <f t="shared" si="45"/>
        <v>tRNA-Leu-TAA-3-1|65</v>
      </c>
      <c r="B2891" s="4" t="s">
        <v>75</v>
      </c>
      <c r="C2891" s="4" t="s">
        <v>186</v>
      </c>
      <c r="D2891" s="4">
        <v>77</v>
      </c>
      <c r="E2891" s="22" t="s">
        <v>116</v>
      </c>
      <c r="F2891" s="10" t="s">
        <v>169</v>
      </c>
    </row>
    <row r="2892" spans="1:6">
      <c r="A2892" s="4" t="str">
        <f t="shared" si="45"/>
        <v>tRNA-Leu-TAA-3-1|66</v>
      </c>
      <c r="B2892" s="4" t="s">
        <v>75</v>
      </c>
      <c r="C2892" s="4" t="s">
        <v>187</v>
      </c>
      <c r="D2892" s="4">
        <v>78</v>
      </c>
      <c r="E2892" s="16" t="s">
        <v>114</v>
      </c>
      <c r="F2892" s="17" t="s">
        <v>110</v>
      </c>
    </row>
    <row r="2893" spans="1:6">
      <c r="A2893" s="4" t="str">
        <f t="shared" si="45"/>
        <v>tRNA-Leu-TAA-3-1|67</v>
      </c>
      <c r="B2893" s="4" t="s">
        <v>75</v>
      </c>
      <c r="C2893" s="4" t="s">
        <v>188</v>
      </c>
      <c r="D2893" s="4">
        <v>79</v>
      </c>
      <c r="E2893" s="16" t="s">
        <v>114</v>
      </c>
      <c r="F2893" s="17" t="s">
        <v>110</v>
      </c>
    </row>
    <row r="2894" spans="1:6">
      <c r="A2894" s="4" t="str">
        <f t="shared" si="45"/>
        <v>tRNA-Leu-TAA-3-1|68</v>
      </c>
      <c r="B2894" s="4" t="s">
        <v>75</v>
      </c>
      <c r="C2894" s="4" t="s">
        <v>189</v>
      </c>
      <c r="D2894" s="4">
        <v>80</v>
      </c>
      <c r="E2894" s="16" t="s">
        <v>114</v>
      </c>
      <c r="F2894" s="17" t="s">
        <v>110</v>
      </c>
    </row>
    <row r="2895" spans="1:6">
      <c r="A2895" s="4" t="str">
        <f t="shared" si="45"/>
        <v>tRNA-Leu-TAA-3-1|69</v>
      </c>
      <c r="B2895" s="4" t="s">
        <v>75</v>
      </c>
      <c r="C2895" s="4" t="s">
        <v>190</v>
      </c>
      <c r="D2895" s="4">
        <v>81</v>
      </c>
      <c r="E2895" s="16" t="s">
        <v>116</v>
      </c>
      <c r="F2895" s="17" t="s">
        <v>110</v>
      </c>
    </row>
    <row r="2896" spans="1:6">
      <c r="A2896" s="4" t="str">
        <f t="shared" si="45"/>
        <v>tRNA-Leu-TAA-3-1|70</v>
      </c>
      <c r="B2896" s="4" t="s">
        <v>75</v>
      </c>
      <c r="C2896" s="4" t="s">
        <v>191</v>
      </c>
      <c r="D2896" s="4">
        <v>82</v>
      </c>
      <c r="E2896" s="16" t="s">
        <v>114</v>
      </c>
      <c r="F2896" s="17" t="s">
        <v>110</v>
      </c>
    </row>
    <row r="2897" spans="1:6">
      <c r="A2897" s="4" t="str">
        <f t="shared" si="45"/>
        <v>tRNA-Leu-TAA-3-1|71</v>
      </c>
      <c r="B2897" s="4" t="s">
        <v>75</v>
      </c>
      <c r="C2897" s="4" t="s">
        <v>192</v>
      </c>
      <c r="D2897" s="4">
        <v>83</v>
      </c>
      <c r="E2897" s="16" t="s">
        <v>109</v>
      </c>
      <c r="F2897" s="17" t="s">
        <v>110</v>
      </c>
    </row>
    <row r="2898" spans="1:6">
      <c r="A2898" s="4" t="str">
        <f t="shared" si="45"/>
        <v>tRNA-Leu-TAA-3-1|72</v>
      </c>
      <c r="B2898" s="4" t="s">
        <v>75</v>
      </c>
      <c r="C2898" s="4" t="s">
        <v>193</v>
      </c>
      <c r="D2898" s="4">
        <v>84</v>
      </c>
      <c r="E2898" s="16" t="s">
        <v>114</v>
      </c>
      <c r="F2898" s="17" t="s">
        <v>110</v>
      </c>
    </row>
    <row r="2899" spans="1:6">
      <c r="A2899" s="4" t="str">
        <f t="shared" si="45"/>
        <v>tRNA-Leu-TAG-1-1|1</v>
      </c>
      <c r="B2899" s="4" t="s">
        <v>76</v>
      </c>
      <c r="C2899" s="4" t="s">
        <v>108</v>
      </c>
      <c r="D2899" s="4">
        <v>1</v>
      </c>
      <c r="E2899" s="16" t="s">
        <v>109</v>
      </c>
      <c r="F2899" s="17" t="s">
        <v>110</v>
      </c>
    </row>
    <row r="2900" spans="1:6">
      <c r="A2900" s="4" t="str">
        <f t="shared" si="45"/>
        <v>tRNA-Leu-TAG-1-1|2</v>
      </c>
      <c r="B2900" s="4" t="s">
        <v>76</v>
      </c>
      <c r="C2900" s="4" t="s">
        <v>111</v>
      </c>
      <c r="D2900" s="4">
        <v>2</v>
      </c>
      <c r="E2900" s="16" t="s">
        <v>114</v>
      </c>
      <c r="F2900" s="17" t="s">
        <v>110</v>
      </c>
    </row>
    <row r="2901" spans="1:6">
      <c r="A2901" s="4" t="str">
        <f t="shared" si="45"/>
        <v>tRNA-Leu-TAG-1-1|3</v>
      </c>
      <c r="B2901" s="4" t="s">
        <v>76</v>
      </c>
      <c r="C2901" s="4" t="s">
        <v>112</v>
      </c>
      <c r="D2901" s="4">
        <v>3</v>
      </c>
      <c r="E2901" s="16" t="s">
        <v>109</v>
      </c>
      <c r="F2901" s="17" t="s">
        <v>110</v>
      </c>
    </row>
    <row r="2902" spans="1:6">
      <c r="A2902" s="4" t="str">
        <f t="shared" si="45"/>
        <v>tRNA-Leu-TAG-1-1|4</v>
      </c>
      <c r="B2902" s="4" t="s">
        <v>76</v>
      </c>
      <c r="C2902" s="4" t="s">
        <v>113</v>
      </c>
      <c r="D2902" s="4">
        <v>4</v>
      </c>
      <c r="E2902" s="16" t="s">
        <v>122</v>
      </c>
      <c r="F2902" s="17" t="s">
        <v>110</v>
      </c>
    </row>
    <row r="2903" spans="1:6">
      <c r="A2903" s="4" t="str">
        <f t="shared" si="45"/>
        <v>tRNA-Leu-TAG-1-1|5</v>
      </c>
      <c r="B2903" s="4" t="s">
        <v>76</v>
      </c>
      <c r="C2903" s="4" t="s">
        <v>115</v>
      </c>
      <c r="D2903" s="4">
        <v>5</v>
      </c>
      <c r="E2903" s="16" t="s">
        <v>109</v>
      </c>
      <c r="F2903" s="17" t="s">
        <v>110</v>
      </c>
    </row>
    <row r="2904" spans="1:6">
      <c r="A2904" s="4" t="str">
        <f t="shared" si="45"/>
        <v>tRNA-Leu-TAG-1-1|6</v>
      </c>
      <c r="B2904" s="4" t="s">
        <v>76</v>
      </c>
      <c r="C2904" s="4" t="s">
        <v>117</v>
      </c>
      <c r="D2904" s="4">
        <v>6</v>
      </c>
      <c r="E2904" s="16" t="s">
        <v>109</v>
      </c>
      <c r="F2904" s="17" t="s">
        <v>110</v>
      </c>
    </row>
    <row r="2905" spans="1:6">
      <c r="A2905" s="4" t="str">
        <f t="shared" si="45"/>
        <v>tRNA-Leu-TAG-1-1|7</v>
      </c>
      <c r="B2905" s="4" t="s">
        <v>76</v>
      </c>
      <c r="C2905" s="4" t="s">
        <v>118</v>
      </c>
      <c r="D2905" s="4">
        <v>7</v>
      </c>
      <c r="E2905" s="16" t="s">
        <v>109</v>
      </c>
      <c r="F2905" s="17" t="s">
        <v>110</v>
      </c>
    </row>
    <row r="2906" spans="1:6">
      <c r="A2906" s="4" t="str">
        <f t="shared" si="45"/>
        <v>tRNA-Leu-TAG-1-1|8</v>
      </c>
      <c r="B2906" s="4" t="s">
        <v>76</v>
      </c>
      <c r="C2906" s="4" t="s">
        <v>119</v>
      </c>
      <c r="D2906" s="4">
        <v>8</v>
      </c>
      <c r="E2906" s="3" t="s">
        <v>116</v>
      </c>
      <c r="F2906" s="4" t="s">
        <v>120</v>
      </c>
    </row>
    <row r="2907" spans="1:6">
      <c r="A2907" s="4" t="str">
        <f t="shared" si="45"/>
        <v>tRNA-Leu-TAG-1-1|9</v>
      </c>
      <c r="B2907" s="4" t="s">
        <v>76</v>
      </c>
      <c r="C2907" s="4" t="s">
        <v>121</v>
      </c>
      <c r="D2907" s="4">
        <v>9</v>
      </c>
      <c r="E2907" s="3" t="s">
        <v>116</v>
      </c>
      <c r="F2907" s="4" t="s">
        <v>123</v>
      </c>
    </row>
    <row r="2908" spans="1:6">
      <c r="A2908" s="4" t="str">
        <f t="shared" si="45"/>
        <v>tRNA-Leu-TAG-1-1|10</v>
      </c>
      <c r="B2908" s="4" t="s">
        <v>76</v>
      </c>
      <c r="C2908" s="4" t="s">
        <v>124</v>
      </c>
      <c r="D2908" s="4">
        <v>10</v>
      </c>
      <c r="E2908" s="8" t="s">
        <v>109</v>
      </c>
      <c r="F2908" s="7" t="s">
        <v>125</v>
      </c>
    </row>
    <row r="2909" spans="1:6">
      <c r="A2909" s="4" t="str">
        <f t="shared" si="45"/>
        <v>tRNA-Leu-TAG-1-1|11</v>
      </c>
      <c r="B2909" s="4" t="s">
        <v>76</v>
      </c>
      <c r="C2909" s="4" t="s">
        <v>126</v>
      </c>
      <c r="D2909" s="4">
        <v>11</v>
      </c>
      <c r="E2909" s="8" t="s">
        <v>114</v>
      </c>
      <c r="F2909" s="7" t="s">
        <v>125</v>
      </c>
    </row>
    <row r="2910" spans="1:6">
      <c r="A2910" s="4" t="str">
        <f t="shared" si="45"/>
        <v>tRNA-Leu-TAG-1-1|12</v>
      </c>
      <c r="B2910" s="4" t="s">
        <v>76</v>
      </c>
      <c r="C2910" s="4" t="s">
        <v>127</v>
      </c>
      <c r="D2910" s="4">
        <v>12</v>
      </c>
      <c r="E2910" s="8" t="s">
        <v>114</v>
      </c>
      <c r="F2910" s="7" t="s">
        <v>125</v>
      </c>
    </row>
    <row r="2911" spans="1:6">
      <c r="A2911" s="4" t="str">
        <f t="shared" si="45"/>
        <v>tRNA-Leu-TAG-1-1|13</v>
      </c>
      <c r="B2911" s="4" t="s">
        <v>76</v>
      </c>
      <c r="C2911" s="4" t="s">
        <v>128</v>
      </c>
      <c r="D2911" s="4">
        <v>13</v>
      </c>
      <c r="E2911" s="8" t="s">
        <v>114</v>
      </c>
      <c r="F2911" s="7" t="s">
        <v>125</v>
      </c>
    </row>
    <row r="2912" spans="1:6">
      <c r="A2912" s="4" t="str">
        <f t="shared" si="45"/>
        <v>tRNA-Leu-TAG-1-1|14</v>
      </c>
      <c r="B2912" s="4" t="s">
        <v>76</v>
      </c>
      <c r="C2912" s="4" t="s">
        <v>129</v>
      </c>
      <c r="D2912" s="4">
        <v>14</v>
      </c>
      <c r="E2912" s="18" t="s">
        <v>122</v>
      </c>
      <c r="F2912" s="19" t="s">
        <v>130</v>
      </c>
    </row>
    <row r="2913" spans="1:6">
      <c r="A2913" s="4" t="str">
        <f t="shared" si="45"/>
        <v>tRNA-Leu-TAG-1-1|15</v>
      </c>
      <c r="B2913" s="4" t="s">
        <v>76</v>
      </c>
      <c r="C2913" s="4" t="s">
        <v>131</v>
      </c>
      <c r="D2913" s="4">
        <v>15</v>
      </c>
      <c r="E2913" s="18" t="s">
        <v>109</v>
      </c>
      <c r="F2913" s="19" t="s">
        <v>130</v>
      </c>
    </row>
    <row r="2914" spans="1:6">
      <c r="A2914" s="4" t="str">
        <f t="shared" si="45"/>
        <v>tRNA-Leu-TAG-1-1|16</v>
      </c>
      <c r="B2914" s="4" t="s">
        <v>76</v>
      </c>
      <c r="C2914" s="4" t="s">
        <v>194</v>
      </c>
      <c r="D2914" s="4">
        <v>16</v>
      </c>
      <c r="E2914" s="18" t="s">
        <v>114</v>
      </c>
      <c r="F2914" s="19" t="s">
        <v>130</v>
      </c>
    </row>
    <row r="2915" spans="1:6">
      <c r="A2915" s="4" t="str">
        <f t="shared" si="45"/>
        <v>tRNA-Leu-TAG-1-1|17</v>
      </c>
      <c r="B2915" s="4" t="s">
        <v>76</v>
      </c>
      <c r="C2915" s="4" t="s">
        <v>195</v>
      </c>
      <c r="D2915" s="4">
        <v>17</v>
      </c>
      <c r="E2915" s="18" t="s">
        <v>116</v>
      </c>
      <c r="F2915" s="19" t="s">
        <v>130</v>
      </c>
    </row>
    <row r="2916" spans="1:6">
      <c r="A2916" s="4" t="str">
        <f t="shared" si="45"/>
        <v>tRNA-Leu-TAG-1-1|17a</v>
      </c>
      <c r="B2916" s="4" t="s">
        <v>76</v>
      </c>
      <c r="C2916" s="4" t="s">
        <v>196</v>
      </c>
      <c r="D2916" s="4">
        <v>18</v>
      </c>
      <c r="E2916" s="18" t="s">
        <v>122</v>
      </c>
      <c r="F2916" s="19" t="s">
        <v>130</v>
      </c>
    </row>
    <row r="2917" spans="1:6">
      <c r="A2917" s="4" t="str">
        <f t="shared" si="45"/>
        <v>tRNA-Leu-TAG-1-1|18</v>
      </c>
      <c r="B2917" s="4" t="s">
        <v>76</v>
      </c>
      <c r="C2917" s="4" t="s">
        <v>132</v>
      </c>
      <c r="D2917" s="4">
        <v>19</v>
      </c>
      <c r="E2917" s="18" t="s">
        <v>109</v>
      </c>
      <c r="F2917" s="19" t="s">
        <v>130</v>
      </c>
    </row>
    <row r="2918" spans="1:6">
      <c r="A2918" s="4" t="str">
        <f t="shared" si="45"/>
        <v>tRNA-Leu-TAG-1-1|19</v>
      </c>
      <c r="B2918" s="4" t="s">
        <v>76</v>
      </c>
      <c r="C2918" s="4" t="s">
        <v>133</v>
      </c>
      <c r="D2918" s="4">
        <v>20</v>
      </c>
      <c r="E2918" s="18" t="s">
        <v>109</v>
      </c>
      <c r="F2918" s="19" t="s">
        <v>130</v>
      </c>
    </row>
    <row r="2919" spans="1:6">
      <c r="A2919" s="4" t="str">
        <f t="shared" si="45"/>
        <v>tRNA-Leu-TAG-1-1|20</v>
      </c>
      <c r="B2919" s="4" t="s">
        <v>76</v>
      </c>
      <c r="C2919" s="4" t="s">
        <v>134</v>
      </c>
      <c r="D2919" s="4">
        <v>21</v>
      </c>
      <c r="E2919" s="18" t="s">
        <v>116</v>
      </c>
      <c r="F2919" s="19" t="s">
        <v>130</v>
      </c>
    </row>
    <row r="2920" spans="1:6">
      <c r="A2920" s="4" t="str">
        <f t="shared" si="45"/>
        <v>tRNA-Leu-TAG-1-1|20a</v>
      </c>
      <c r="B2920" s="4" t="s">
        <v>76</v>
      </c>
      <c r="C2920" s="4" t="s">
        <v>135</v>
      </c>
      <c r="D2920" s="4">
        <v>22</v>
      </c>
      <c r="E2920" s="18" t="s">
        <v>114</v>
      </c>
      <c r="F2920" s="19" t="s">
        <v>130</v>
      </c>
    </row>
    <row r="2921" spans="1:6">
      <c r="A2921" s="4" t="str">
        <f t="shared" si="45"/>
        <v>tRNA-Leu-TAG-1-1|20b</v>
      </c>
      <c r="B2921" s="4" t="s">
        <v>76</v>
      </c>
      <c r="C2921" s="4" t="s">
        <v>197</v>
      </c>
      <c r="D2921" s="4">
        <v>23</v>
      </c>
      <c r="E2921" s="18" t="s">
        <v>122</v>
      </c>
      <c r="F2921" s="19" t="s">
        <v>130</v>
      </c>
    </row>
    <row r="2922" spans="1:6">
      <c r="A2922" s="4" t="str">
        <f t="shared" si="45"/>
        <v>tRNA-Leu-TAG-1-1|21</v>
      </c>
      <c r="B2922" s="4" t="s">
        <v>76</v>
      </c>
      <c r="C2922" s="4" t="s">
        <v>136</v>
      </c>
      <c r="D2922" s="4">
        <v>24</v>
      </c>
      <c r="E2922" s="18" t="s">
        <v>122</v>
      </c>
      <c r="F2922" s="19" t="s">
        <v>130</v>
      </c>
    </row>
    <row r="2923" spans="1:6">
      <c r="A2923" s="4" t="str">
        <f t="shared" si="45"/>
        <v>tRNA-Leu-TAG-1-1|22</v>
      </c>
      <c r="B2923" s="4" t="s">
        <v>76</v>
      </c>
      <c r="C2923" s="4" t="s">
        <v>137</v>
      </c>
      <c r="D2923" s="4">
        <v>25</v>
      </c>
      <c r="E2923" s="8" t="s">
        <v>122</v>
      </c>
      <c r="F2923" s="7" t="s">
        <v>125</v>
      </c>
    </row>
    <row r="2924" spans="1:6">
      <c r="A2924" s="4" t="str">
        <f t="shared" si="45"/>
        <v>tRNA-Leu-TAG-1-1|23</v>
      </c>
      <c r="B2924" s="4" t="s">
        <v>76</v>
      </c>
      <c r="C2924" s="4" t="s">
        <v>138</v>
      </c>
      <c r="D2924" s="4">
        <v>26</v>
      </c>
      <c r="E2924" s="8" t="s">
        <v>109</v>
      </c>
      <c r="F2924" s="7" t="s">
        <v>125</v>
      </c>
    </row>
    <row r="2925" spans="1:6">
      <c r="A2925" s="4" t="str">
        <f t="shared" si="45"/>
        <v>tRNA-Leu-TAG-1-1|24</v>
      </c>
      <c r="B2925" s="4" t="s">
        <v>76</v>
      </c>
      <c r="C2925" s="4" t="s">
        <v>139</v>
      </c>
      <c r="D2925" s="4">
        <v>27</v>
      </c>
      <c r="E2925" s="8" t="s">
        <v>109</v>
      </c>
      <c r="F2925" s="7" t="s">
        <v>125</v>
      </c>
    </row>
    <row r="2926" spans="1:6">
      <c r="A2926" s="4" t="str">
        <f t="shared" si="45"/>
        <v>tRNA-Leu-TAG-1-1|25</v>
      </c>
      <c r="B2926" s="4" t="s">
        <v>76</v>
      </c>
      <c r="C2926" s="4" t="s">
        <v>140</v>
      </c>
      <c r="D2926" s="4">
        <v>28</v>
      </c>
      <c r="E2926" s="8" t="s">
        <v>114</v>
      </c>
      <c r="F2926" s="7" t="s">
        <v>125</v>
      </c>
    </row>
    <row r="2927" spans="1:6">
      <c r="A2927" s="4" t="str">
        <f t="shared" si="45"/>
        <v>tRNA-Leu-TAG-1-1|26</v>
      </c>
      <c r="B2927" s="4" t="s">
        <v>76</v>
      </c>
      <c r="C2927" s="4" t="s">
        <v>141</v>
      </c>
      <c r="D2927" s="4">
        <v>29</v>
      </c>
      <c r="E2927" s="3" t="s">
        <v>109</v>
      </c>
      <c r="F2927" s="4" t="s">
        <v>142</v>
      </c>
    </row>
    <row r="2928" spans="1:6">
      <c r="A2928" s="4" t="str">
        <f t="shared" si="45"/>
        <v>tRNA-Leu-TAG-1-1|27</v>
      </c>
      <c r="B2928" s="4" t="s">
        <v>76</v>
      </c>
      <c r="C2928" s="4" t="s">
        <v>143</v>
      </c>
      <c r="D2928" s="4">
        <v>30</v>
      </c>
      <c r="E2928" s="20" t="s">
        <v>122</v>
      </c>
      <c r="F2928" s="21" t="s">
        <v>144</v>
      </c>
    </row>
    <row r="2929" spans="1:6">
      <c r="A2929" s="4" t="str">
        <f t="shared" si="45"/>
        <v>tRNA-Leu-TAG-1-1|28</v>
      </c>
      <c r="B2929" s="4" t="s">
        <v>76</v>
      </c>
      <c r="C2929" s="4" t="s">
        <v>145</v>
      </c>
      <c r="D2929" s="4">
        <v>31</v>
      </c>
      <c r="E2929" s="20" t="s">
        <v>116</v>
      </c>
      <c r="F2929" s="21" t="s">
        <v>144</v>
      </c>
    </row>
    <row r="2930" spans="1:6">
      <c r="A2930" s="4" t="str">
        <f t="shared" si="45"/>
        <v>tRNA-Leu-TAG-1-1|29</v>
      </c>
      <c r="B2930" s="4" t="s">
        <v>76</v>
      </c>
      <c r="C2930" s="4" t="s">
        <v>146</v>
      </c>
      <c r="D2930" s="4">
        <v>32</v>
      </c>
      <c r="E2930" s="20" t="s">
        <v>109</v>
      </c>
      <c r="F2930" s="21" t="s">
        <v>144</v>
      </c>
    </row>
    <row r="2931" spans="1:6">
      <c r="A2931" s="4" t="str">
        <f t="shared" si="45"/>
        <v>tRNA-Leu-TAG-1-1|30</v>
      </c>
      <c r="B2931" s="4" t="s">
        <v>76</v>
      </c>
      <c r="C2931" s="4" t="s">
        <v>147</v>
      </c>
      <c r="D2931" s="4">
        <v>33</v>
      </c>
      <c r="E2931" s="20" t="s">
        <v>109</v>
      </c>
      <c r="F2931" s="21" t="s">
        <v>144</v>
      </c>
    </row>
    <row r="2932" spans="1:6">
      <c r="A2932" s="4" t="str">
        <f t="shared" si="45"/>
        <v>tRNA-Leu-TAG-1-1|31</v>
      </c>
      <c r="B2932" s="4" t="s">
        <v>76</v>
      </c>
      <c r="C2932" s="4" t="s">
        <v>148</v>
      </c>
      <c r="D2932" s="4">
        <v>34</v>
      </c>
      <c r="E2932" s="20" t="s">
        <v>109</v>
      </c>
      <c r="F2932" s="21" t="s">
        <v>144</v>
      </c>
    </row>
    <row r="2933" spans="1:6">
      <c r="A2933" s="4" t="str">
        <f t="shared" si="45"/>
        <v>tRNA-Leu-TAG-1-1|32</v>
      </c>
      <c r="B2933" s="4" t="s">
        <v>76</v>
      </c>
      <c r="C2933" s="4" t="s">
        <v>149</v>
      </c>
      <c r="D2933" s="4">
        <v>35</v>
      </c>
      <c r="E2933" s="18" t="s">
        <v>114</v>
      </c>
      <c r="F2933" s="19" t="s">
        <v>150</v>
      </c>
    </row>
    <row r="2934" spans="1:6">
      <c r="A2934" s="4" t="str">
        <f t="shared" si="45"/>
        <v>tRNA-Leu-TAG-1-1|33</v>
      </c>
      <c r="B2934" s="4" t="s">
        <v>76</v>
      </c>
      <c r="C2934" s="4" t="s">
        <v>151</v>
      </c>
      <c r="D2934" s="4">
        <v>36</v>
      </c>
      <c r="E2934" s="18" t="s">
        <v>116</v>
      </c>
      <c r="F2934" s="19" t="s">
        <v>150</v>
      </c>
    </row>
    <row r="2935" spans="1:6">
      <c r="A2935" s="4" t="str">
        <f t="shared" si="45"/>
        <v>tRNA-Leu-TAG-1-1|34</v>
      </c>
      <c r="B2935" s="4" t="s">
        <v>76</v>
      </c>
      <c r="C2935" s="4" t="s">
        <v>152</v>
      </c>
      <c r="D2935" s="4">
        <v>37</v>
      </c>
      <c r="E2935" s="18" t="s">
        <v>116</v>
      </c>
      <c r="F2935" s="19" t="s">
        <v>150</v>
      </c>
    </row>
    <row r="2936" spans="1:6">
      <c r="A2936" s="4" t="str">
        <f t="shared" si="45"/>
        <v>tRNA-Leu-TAG-1-1|35</v>
      </c>
      <c r="B2936" s="4" t="s">
        <v>76</v>
      </c>
      <c r="C2936" s="4" t="s">
        <v>153</v>
      </c>
      <c r="D2936" s="4">
        <v>38</v>
      </c>
      <c r="E2936" s="18" t="s">
        <v>122</v>
      </c>
      <c r="F2936" s="19" t="s">
        <v>150</v>
      </c>
    </row>
    <row r="2937" spans="1:6">
      <c r="A2937" s="4" t="str">
        <f t="shared" si="45"/>
        <v>tRNA-Leu-TAG-1-1|36</v>
      </c>
      <c r="B2937" s="4" t="s">
        <v>76</v>
      </c>
      <c r="C2937" s="4" t="s">
        <v>154</v>
      </c>
      <c r="D2937" s="4">
        <v>39</v>
      </c>
      <c r="E2937" s="18" t="s">
        <v>109</v>
      </c>
      <c r="F2937" s="19" t="s">
        <v>150</v>
      </c>
    </row>
    <row r="2938" spans="1:6">
      <c r="A2938" s="4" t="str">
        <f t="shared" si="45"/>
        <v>tRNA-Leu-TAG-1-1|37</v>
      </c>
      <c r="B2938" s="4" t="s">
        <v>76</v>
      </c>
      <c r="C2938" s="4" t="s">
        <v>155</v>
      </c>
      <c r="D2938" s="4">
        <v>40</v>
      </c>
      <c r="E2938" s="18" t="s">
        <v>109</v>
      </c>
      <c r="F2938" s="19" t="s">
        <v>150</v>
      </c>
    </row>
    <row r="2939" spans="1:6">
      <c r="A2939" s="4" t="str">
        <f t="shared" si="45"/>
        <v>tRNA-Leu-TAG-1-1|38</v>
      </c>
      <c r="B2939" s="4" t="s">
        <v>76</v>
      </c>
      <c r="C2939" s="4" t="s">
        <v>156</v>
      </c>
      <c r="D2939" s="4">
        <v>41</v>
      </c>
      <c r="E2939" s="18" t="s">
        <v>122</v>
      </c>
      <c r="F2939" s="19" t="s">
        <v>150</v>
      </c>
    </row>
    <row r="2940" spans="1:6">
      <c r="A2940" s="4" t="str">
        <f t="shared" si="45"/>
        <v>tRNA-Leu-TAG-1-1|39</v>
      </c>
      <c r="B2940" s="4" t="s">
        <v>76</v>
      </c>
      <c r="C2940" s="4" t="s">
        <v>157</v>
      </c>
      <c r="D2940" s="4">
        <v>42</v>
      </c>
      <c r="E2940" s="20" t="s">
        <v>114</v>
      </c>
      <c r="F2940" s="21" t="s">
        <v>144</v>
      </c>
    </row>
    <row r="2941" spans="1:6">
      <c r="A2941" s="4" t="str">
        <f t="shared" si="45"/>
        <v>tRNA-Leu-TAG-1-1|40</v>
      </c>
      <c r="B2941" s="4" t="s">
        <v>76</v>
      </c>
      <c r="C2941" s="4" t="s">
        <v>158</v>
      </c>
      <c r="D2941" s="4">
        <v>43</v>
      </c>
      <c r="E2941" s="20" t="s">
        <v>114</v>
      </c>
      <c r="F2941" s="21" t="s">
        <v>144</v>
      </c>
    </row>
    <row r="2942" spans="1:6">
      <c r="A2942" s="4" t="str">
        <f t="shared" si="45"/>
        <v>tRNA-Leu-TAG-1-1|41</v>
      </c>
      <c r="B2942" s="4" t="s">
        <v>76</v>
      </c>
      <c r="C2942" s="4" t="s">
        <v>159</v>
      </c>
      <c r="D2942" s="4">
        <v>44</v>
      </c>
      <c r="E2942" s="20" t="s">
        <v>114</v>
      </c>
      <c r="F2942" s="21" t="s">
        <v>144</v>
      </c>
    </row>
    <row r="2943" spans="1:6">
      <c r="A2943" s="4" t="str">
        <f t="shared" si="45"/>
        <v>tRNA-Leu-TAG-1-1|42</v>
      </c>
      <c r="B2943" s="4" t="s">
        <v>76</v>
      </c>
      <c r="C2943" s="4" t="s">
        <v>160</v>
      </c>
      <c r="D2943" s="4">
        <v>45</v>
      </c>
      <c r="E2943" s="20" t="s">
        <v>122</v>
      </c>
      <c r="F2943" s="21" t="s">
        <v>144</v>
      </c>
    </row>
    <row r="2944" spans="1:6">
      <c r="A2944" s="4" t="str">
        <f t="shared" si="45"/>
        <v>tRNA-Leu-TAG-1-1|43</v>
      </c>
      <c r="B2944" s="4" t="s">
        <v>76</v>
      </c>
      <c r="C2944" s="4" t="s">
        <v>161</v>
      </c>
      <c r="D2944" s="4">
        <v>46</v>
      </c>
      <c r="E2944" s="20" t="s">
        <v>116</v>
      </c>
      <c r="F2944" s="21" t="s">
        <v>144</v>
      </c>
    </row>
    <row r="2945" spans="1:6">
      <c r="A2945" s="4" t="str">
        <f t="shared" si="45"/>
        <v>tRNA-Leu-TAG-1-1|44</v>
      </c>
      <c r="B2945" s="4" t="s">
        <v>76</v>
      </c>
      <c r="C2945" s="4" t="s">
        <v>162</v>
      </c>
      <c r="D2945" s="4">
        <v>47</v>
      </c>
      <c r="E2945" s="18" t="s">
        <v>116</v>
      </c>
      <c r="F2945" s="19" t="s">
        <v>163</v>
      </c>
    </row>
    <row r="2946" spans="1:6">
      <c r="A2946" s="4" t="str">
        <f t="shared" ref="A2946:A3009" si="46">B2946&amp;"|"&amp;C2946</f>
        <v>tRNA-Leu-TAG-1-1|45</v>
      </c>
      <c r="B2946" s="4" t="s">
        <v>76</v>
      </c>
      <c r="C2946" s="4" t="s">
        <v>164</v>
      </c>
      <c r="D2946" s="4">
        <v>48</v>
      </c>
      <c r="E2946" s="18" t="s">
        <v>116</v>
      </c>
      <c r="F2946" s="19" t="s">
        <v>163</v>
      </c>
    </row>
    <row r="2947" spans="1:6">
      <c r="A2947" s="4" t="str">
        <f t="shared" si="46"/>
        <v>tRNA-Leu-TAG-1-1|e1</v>
      </c>
      <c r="B2947" s="4" t="s">
        <v>76</v>
      </c>
      <c r="C2947" s="4" t="s">
        <v>198</v>
      </c>
      <c r="D2947" s="4">
        <v>49</v>
      </c>
      <c r="E2947" s="18" t="s">
        <v>116</v>
      </c>
      <c r="F2947" s="19" t="s">
        <v>163</v>
      </c>
    </row>
    <row r="2948" spans="1:6">
      <c r="A2948" s="4" t="str">
        <f t="shared" si="46"/>
        <v>tRNA-Leu-TAG-1-1|e2</v>
      </c>
      <c r="B2948" s="4" t="s">
        <v>76</v>
      </c>
      <c r="C2948" s="4" t="s">
        <v>199</v>
      </c>
      <c r="D2948" s="4">
        <v>50</v>
      </c>
      <c r="E2948" s="18" t="s">
        <v>114</v>
      </c>
      <c r="F2948" s="19" t="s">
        <v>163</v>
      </c>
    </row>
    <row r="2949" spans="1:6">
      <c r="A2949" s="4" t="str">
        <f t="shared" si="46"/>
        <v>tRNA-Leu-TAG-1-1|e3</v>
      </c>
      <c r="B2949" s="4" t="s">
        <v>76</v>
      </c>
      <c r="C2949" s="4" t="s">
        <v>200</v>
      </c>
      <c r="D2949" s="4">
        <v>51</v>
      </c>
      <c r="E2949" s="18" t="s">
        <v>109</v>
      </c>
      <c r="F2949" s="19" t="s">
        <v>163</v>
      </c>
    </row>
    <row r="2950" spans="1:6">
      <c r="A2950" s="4" t="str">
        <f t="shared" si="46"/>
        <v>tRNA-Leu-TAG-1-1|e4</v>
      </c>
      <c r="B2950" s="4" t="s">
        <v>76</v>
      </c>
      <c r="C2950" s="4" t="s">
        <v>201</v>
      </c>
      <c r="D2950" s="4">
        <v>52</v>
      </c>
      <c r="E2950" s="18" t="s">
        <v>116</v>
      </c>
      <c r="F2950" s="19" t="s">
        <v>163</v>
      </c>
    </row>
    <row r="2951" spans="1:6">
      <c r="A2951" s="4" t="str">
        <f t="shared" si="46"/>
        <v>tRNA-Leu-TAG-1-1|e5</v>
      </c>
      <c r="B2951" s="4" t="s">
        <v>76</v>
      </c>
      <c r="C2951" s="4" t="s">
        <v>202</v>
      </c>
      <c r="D2951" s="4">
        <v>53</v>
      </c>
      <c r="E2951" s="18" t="s">
        <v>122</v>
      </c>
      <c r="F2951" s="19" t="s">
        <v>163</v>
      </c>
    </row>
    <row r="2952" spans="1:6">
      <c r="A2952" s="4" t="str">
        <f t="shared" si="46"/>
        <v>tRNA-Leu-TAG-1-1|e6</v>
      </c>
      <c r="B2952" s="4" t="s">
        <v>76</v>
      </c>
      <c r="C2952" s="4" t="s">
        <v>203</v>
      </c>
      <c r="D2952" s="4">
        <v>54</v>
      </c>
      <c r="E2952" s="18" t="s">
        <v>109</v>
      </c>
      <c r="F2952" s="19" t="s">
        <v>163</v>
      </c>
    </row>
    <row r="2953" spans="1:6">
      <c r="A2953" s="4" t="str">
        <f t="shared" si="46"/>
        <v>tRNA-Leu-TAG-1-1|e7</v>
      </c>
      <c r="B2953" s="4" t="s">
        <v>76</v>
      </c>
      <c r="C2953" s="4" t="s">
        <v>204</v>
      </c>
      <c r="D2953" s="4">
        <v>55</v>
      </c>
      <c r="E2953" s="18" t="s">
        <v>109</v>
      </c>
      <c r="F2953" s="19" t="s">
        <v>163</v>
      </c>
    </row>
    <row r="2954" spans="1:6">
      <c r="A2954" s="4" t="str">
        <f t="shared" si="46"/>
        <v>tRNA-Leu-TAG-1-1|e8</v>
      </c>
      <c r="B2954" s="4" t="s">
        <v>76</v>
      </c>
      <c r="C2954" s="4" t="s">
        <v>205</v>
      </c>
      <c r="D2954" s="4">
        <v>56</v>
      </c>
      <c r="E2954" s="18" t="s">
        <v>122</v>
      </c>
      <c r="F2954" s="19" t="s">
        <v>163</v>
      </c>
    </row>
    <row r="2955" spans="1:6">
      <c r="A2955" s="4" t="str">
        <f t="shared" si="46"/>
        <v>tRNA-Leu-TAG-1-1|e9</v>
      </c>
      <c r="B2955" s="4" t="s">
        <v>76</v>
      </c>
      <c r="C2955" s="4" t="s">
        <v>206</v>
      </c>
      <c r="D2955" s="4">
        <v>57</v>
      </c>
      <c r="E2955" s="18" t="s">
        <v>122</v>
      </c>
      <c r="F2955" s="19" t="s">
        <v>163</v>
      </c>
    </row>
    <row r="2956" spans="1:6">
      <c r="A2956" s="4" t="str">
        <f t="shared" si="46"/>
        <v>tRNA-Leu-TAG-1-1|46</v>
      </c>
      <c r="B2956" s="4" t="s">
        <v>76</v>
      </c>
      <c r="C2956" s="4" t="s">
        <v>165</v>
      </c>
      <c r="D2956" s="4">
        <v>58</v>
      </c>
      <c r="E2956" s="18" t="s">
        <v>116</v>
      </c>
      <c r="F2956" s="19" t="s">
        <v>163</v>
      </c>
    </row>
    <row r="2957" spans="1:6">
      <c r="A2957" s="4" t="str">
        <f t="shared" si="46"/>
        <v>tRNA-Leu-TAG-1-1|47</v>
      </c>
      <c r="B2957" s="4" t="s">
        <v>76</v>
      </c>
      <c r="C2957" s="4" t="s">
        <v>166</v>
      </c>
      <c r="D2957" s="4">
        <v>59</v>
      </c>
      <c r="E2957" s="18" t="s">
        <v>116</v>
      </c>
      <c r="F2957" s="19" t="s">
        <v>163</v>
      </c>
    </row>
    <row r="2958" spans="1:6">
      <c r="A2958" s="4" t="str">
        <f t="shared" si="46"/>
        <v>tRNA-Leu-TAG-1-1|48</v>
      </c>
      <c r="B2958" s="4" t="s">
        <v>76</v>
      </c>
      <c r="C2958" s="4" t="s">
        <v>167</v>
      </c>
      <c r="D2958" s="4">
        <v>60</v>
      </c>
      <c r="E2958" s="18" t="s">
        <v>114</v>
      </c>
      <c r="F2958" s="19" t="s">
        <v>163</v>
      </c>
    </row>
    <row r="2959" spans="1:6">
      <c r="A2959" s="4" t="str">
        <f t="shared" si="46"/>
        <v>tRNA-Leu-TAG-1-1|49</v>
      </c>
      <c r="B2959" s="4" t="s">
        <v>76</v>
      </c>
      <c r="C2959" s="4" t="s">
        <v>168</v>
      </c>
      <c r="D2959" s="4">
        <v>61</v>
      </c>
      <c r="E2959" s="22" t="s">
        <v>109</v>
      </c>
      <c r="F2959" s="10" t="s">
        <v>169</v>
      </c>
    </row>
    <row r="2960" spans="1:6">
      <c r="A2960" s="4" t="str">
        <f t="shared" si="46"/>
        <v>tRNA-Leu-TAG-1-1|50</v>
      </c>
      <c r="B2960" s="4" t="s">
        <v>76</v>
      </c>
      <c r="C2960" s="4" t="s">
        <v>170</v>
      </c>
      <c r="D2960" s="4">
        <v>62</v>
      </c>
      <c r="E2960" s="22" t="s">
        <v>116</v>
      </c>
      <c r="F2960" s="10" t="s">
        <v>169</v>
      </c>
    </row>
    <row r="2961" spans="1:6">
      <c r="A2961" s="4" t="str">
        <f t="shared" si="46"/>
        <v>tRNA-Leu-TAG-1-1|51</v>
      </c>
      <c r="B2961" s="4" t="s">
        <v>76</v>
      </c>
      <c r="C2961" s="4" t="s">
        <v>171</v>
      </c>
      <c r="D2961" s="4">
        <v>63</v>
      </c>
      <c r="E2961" s="22" t="s">
        <v>109</v>
      </c>
      <c r="F2961" s="10" t="s">
        <v>169</v>
      </c>
    </row>
    <row r="2962" spans="1:6">
      <c r="A2962" s="4" t="str">
        <f t="shared" si="46"/>
        <v>tRNA-Leu-TAG-1-1|52</v>
      </c>
      <c r="B2962" s="4" t="s">
        <v>76</v>
      </c>
      <c r="C2962" s="4" t="s">
        <v>172</v>
      </c>
      <c r="D2962" s="4">
        <v>64</v>
      </c>
      <c r="E2962" s="22" t="s">
        <v>114</v>
      </c>
      <c r="F2962" s="10" t="s">
        <v>169</v>
      </c>
    </row>
    <row r="2963" spans="1:6">
      <c r="A2963" s="4" t="str">
        <f t="shared" si="46"/>
        <v>tRNA-Leu-TAG-1-1|53</v>
      </c>
      <c r="B2963" s="4" t="s">
        <v>76</v>
      </c>
      <c r="C2963" s="4" t="s">
        <v>173</v>
      </c>
      <c r="D2963" s="4">
        <v>65</v>
      </c>
      <c r="E2963" s="22" t="s">
        <v>109</v>
      </c>
      <c r="F2963" s="10" t="s">
        <v>169</v>
      </c>
    </row>
    <row r="2964" spans="1:6">
      <c r="A2964" s="4" t="str">
        <f t="shared" si="46"/>
        <v>tRNA-Leu-TAG-1-1|54</v>
      </c>
      <c r="B2964" s="4" t="s">
        <v>76</v>
      </c>
      <c r="C2964" s="4" t="s">
        <v>174</v>
      </c>
      <c r="D2964" s="4">
        <v>66</v>
      </c>
      <c r="E2964" s="18" t="s">
        <v>116</v>
      </c>
      <c r="F2964" s="19" t="s">
        <v>175</v>
      </c>
    </row>
    <row r="2965" spans="1:6">
      <c r="A2965" s="4" t="str">
        <f t="shared" si="46"/>
        <v>tRNA-Leu-TAG-1-1|55</v>
      </c>
      <c r="B2965" s="4" t="s">
        <v>76</v>
      </c>
      <c r="C2965" s="4" t="s">
        <v>176</v>
      </c>
      <c r="D2965" s="4">
        <v>67</v>
      </c>
      <c r="E2965" s="18" t="s">
        <v>116</v>
      </c>
      <c r="F2965" s="19" t="s">
        <v>175</v>
      </c>
    </row>
    <row r="2966" spans="1:6">
      <c r="A2966" s="4" t="str">
        <f t="shared" si="46"/>
        <v>tRNA-Leu-TAG-1-1|56</v>
      </c>
      <c r="B2966" s="4" t="s">
        <v>76</v>
      </c>
      <c r="C2966" s="4" t="s">
        <v>177</v>
      </c>
      <c r="D2966" s="4">
        <v>68</v>
      </c>
      <c r="E2966" s="18" t="s">
        <v>114</v>
      </c>
      <c r="F2966" s="19" t="s">
        <v>175</v>
      </c>
    </row>
    <row r="2967" spans="1:6">
      <c r="A2967" s="4" t="str">
        <f t="shared" si="46"/>
        <v>tRNA-Leu-TAG-1-1|57</v>
      </c>
      <c r="B2967" s="4" t="s">
        <v>76</v>
      </c>
      <c r="C2967" s="4" t="s">
        <v>178</v>
      </c>
      <c r="D2967" s="4">
        <v>69</v>
      </c>
      <c r="E2967" s="18" t="s">
        <v>109</v>
      </c>
      <c r="F2967" s="19" t="s">
        <v>175</v>
      </c>
    </row>
    <row r="2968" spans="1:6">
      <c r="A2968" s="4" t="str">
        <f t="shared" si="46"/>
        <v>tRNA-Leu-TAG-1-1|58</v>
      </c>
      <c r="B2968" s="4" t="s">
        <v>76</v>
      </c>
      <c r="C2968" s="4" t="s">
        <v>179</v>
      </c>
      <c r="D2968" s="4">
        <v>70</v>
      </c>
      <c r="E2968" s="18" t="s">
        <v>122</v>
      </c>
      <c r="F2968" s="19" t="s">
        <v>175</v>
      </c>
    </row>
    <row r="2969" spans="1:6">
      <c r="A2969" s="4" t="str">
        <f t="shared" si="46"/>
        <v>tRNA-Leu-TAG-1-1|59</v>
      </c>
      <c r="B2969" s="4" t="s">
        <v>76</v>
      </c>
      <c r="C2969" s="4" t="s">
        <v>180</v>
      </c>
      <c r="D2969" s="4">
        <v>71</v>
      </c>
      <c r="E2969" s="18" t="s">
        <v>122</v>
      </c>
      <c r="F2969" s="19" t="s">
        <v>175</v>
      </c>
    </row>
    <row r="2970" spans="1:6">
      <c r="A2970" s="4" t="str">
        <f t="shared" si="46"/>
        <v>tRNA-Leu-TAG-1-1|60</v>
      </c>
      <c r="B2970" s="4" t="s">
        <v>76</v>
      </c>
      <c r="C2970" s="4" t="s">
        <v>181</v>
      </c>
      <c r="D2970" s="4">
        <v>72</v>
      </c>
      <c r="E2970" s="18" t="s">
        <v>116</v>
      </c>
      <c r="F2970" s="19" t="s">
        <v>175</v>
      </c>
    </row>
    <row r="2971" spans="1:6">
      <c r="A2971" s="4" t="str">
        <f t="shared" si="46"/>
        <v>tRNA-Leu-TAG-1-1|61</v>
      </c>
      <c r="B2971" s="4" t="s">
        <v>76</v>
      </c>
      <c r="C2971" s="4" t="s">
        <v>182</v>
      </c>
      <c r="D2971" s="4">
        <v>73</v>
      </c>
      <c r="E2971" s="22" t="s">
        <v>114</v>
      </c>
      <c r="F2971" s="10" t="s">
        <v>169</v>
      </c>
    </row>
    <row r="2972" spans="1:6">
      <c r="A2972" s="4" t="str">
        <f t="shared" si="46"/>
        <v>tRNA-Leu-TAG-1-1|62</v>
      </c>
      <c r="B2972" s="4" t="s">
        <v>76</v>
      </c>
      <c r="C2972" s="4" t="s">
        <v>183</v>
      </c>
      <c r="D2972" s="4">
        <v>74</v>
      </c>
      <c r="E2972" s="22" t="s">
        <v>109</v>
      </c>
      <c r="F2972" s="10" t="s">
        <v>169</v>
      </c>
    </row>
    <row r="2973" spans="1:6">
      <c r="A2973" s="4" t="str">
        <f t="shared" si="46"/>
        <v>tRNA-Leu-TAG-1-1|63</v>
      </c>
      <c r="B2973" s="4" t="s">
        <v>76</v>
      </c>
      <c r="C2973" s="4" t="s">
        <v>184</v>
      </c>
      <c r="D2973" s="4">
        <v>75</v>
      </c>
      <c r="E2973" s="22" t="s">
        <v>114</v>
      </c>
      <c r="F2973" s="10" t="s">
        <v>169</v>
      </c>
    </row>
    <row r="2974" spans="1:6">
      <c r="A2974" s="4" t="str">
        <f t="shared" si="46"/>
        <v>tRNA-Leu-TAG-1-1|64</v>
      </c>
      <c r="B2974" s="4" t="s">
        <v>76</v>
      </c>
      <c r="C2974" s="4" t="s">
        <v>185</v>
      </c>
      <c r="D2974" s="4">
        <v>76</v>
      </c>
      <c r="E2974" s="22" t="s">
        <v>122</v>
      </c>
      <c r="F2974" s="10" t="s">
        <v>169</v>
      </c>
    </row>
    <row r="2975" spans="1:6">
      <c r="A2975" s="4" t="str">
        <f t="shared" si="46"/>
        <v>tRNA-Leu-TAG-1-1|65</v>
      </c>
      <c r="B2975" s="4" t="s">
        <v>76</v>
      </c>
      <c r="C2975" s="4" t="s">
        <v>186</v>
      </c>
      <c r="D2975" s="4">
        <v>77</v>
      </c>
      <c r="E2975" s="22" t="s">
        <v>114</v>
      </c>
      <c r="F2975" s="10" t="s">
        <v>169</v>
      </c>
    </row>
    <row r="2976" spans="1:6">
      <c r="A2976" s="4" t="str">
        <f t="shared" si="46"/>
        <v>tRNA-Leu-TAG-1-1|66</v>
      </c>
      <c r="B2976" s="4" t="s">
        <v>76</v>
      </c>
      <c r="C2976" s="4" t="s">
        <v>187</v>
      </c>
      <c r="D2976" s="4">
        <v>78</v>
      </c>
      <c r="E2976" s="16" t="s">
        <v>114</v>
      </c>
      <c r="F2976" s="17" t="s">
        <v>110</v>
      </c>
    </row>
    <row r="2977" spans="1:6">
      <c r="A2977" s="4" t="str">
        <f t="shared" si="46"/>
        <v>tRNA-Leu-TAG-1-1|67</v>
      </c>
      <c r="B2977" s="4" t="s">
        <v>76</v>
      </c>
      <c r="C2977" s="4" t="s">
        <v>188</v>
      </c>
      <c r="D2977" s="4">
        <v>79</v>
      </c>
      <c r="E2977" s="16" t="s">
        <v>114</v>
      </c>
      <c r="F2977" s="17" t="s">
        <v>110</v>
      </c>
    </row>
    <row r="2978" spans="1:6">
      <c r="A2978" s="4" t="str">
        <f t="shared" si="46"/>
        <v>tRNA-Leu-TAG-1-1|68</v>
      </c>
      <c r="B2978" s="4" t="s">
        <v>76</v>
      </c>
      <c r="C2978" s="4" t="s">
        <v>189</v>
      </c>
      <c r="D2978" s="4">
        <v>80</v>
      </c>
      <c r="E2978" s="16" t="s">
        <v>114</v>
      </c>
      <c r="F2978" s="17" t="s">
        <v>110</v>
      </c>
    </row>
    <row r="2979" spans="1:6">
      <c r="A2979" s="4" t="str">
        <f t="shared" si="46"/>
        <v>tRNA-Leu-TAG-1-1|69</v>
      </c>
      <c r="B2979" s="4" t="s">
        <v>76</v>
      </c>
      <c r="C2979" s="4" t="s">
        <v>190</v>
      </c>
      <c r="D2979" s="4">
        <v>81</v>
      </c>
      <c r="E2979" s="16" t="s">
        <v>116</v>
      </c>
      <c r="F2979" s="17" t="s">
        <v>110</v>
      </c>
    </row>
    <row r="2980" spans="1:6">
      <c r="A2980" s="4" t="str">
        <f t="shared" si="46"/>
        <v>tRNA-Leu-TAG-1-1|70</v>
      </c>
      <c r="B2980" s="4" t="s">
        <v>76</v>
      </c>
      <c r="C2980" s="4" t="s">
        <v>191</v>
      </c>
      <c r="D2980" s="4">
        <v>82</v>
      </c>
      <c r="E2980" s="16" t="s">
        <v>114</v>
      </c>
      <c r="F2980" s="17" t="s">
        <v>110</v>
      </c>
    </row>
    <row r="2981" spans="1:6">
      <c r="A2981" s="4" t="str">
        <f t="shared" si="46"/>
        <v>tRNA-Leu-TAG-1-1|71</v>
      </c>
      <c r="B2981" s="4" t="s">
        <v>76</v>
      </c>
      <c r="C2981" s="4" t="s">
        <v>192</v>
      </c>
      <c r="D2981" s="4">
        <v>83</v>
      </c>
      <c r="E2981" s="16" t="s">
        <v>109</v>
      </c>
      <c r="F2981" s="17" t="s">
        <v>110</v>
      </c>
    </row>
    <row r="2982" spans="1:6">
      <c r="A2982" s="4" t="str">
        <f t="shared" si="46"/>
        <v>tRNA-Leu-TAG-1-1|72</v>
      </c>
      <c r="B2982" s="4" t="s">
        <v>76</v>
      </c>
      <c r="C2982" s="4" t="s">
        <v>193</v>
      </c>
      <c r="D2982" s="4">
        <v>84</v>
      </c>
      <c r="E2982" s="16" t="s">
        <v>114</v>
      </c>
      <c r="F2982" s="17" t="s">
        <v>110</v>
      </c>
    </row>
    <row r="2983" spans="1:6">
      <c r="A2983" s="4" t="str">
        <f t="shared" si="46"/>
        <v>tRNA-Lys-CTT-1-1|1</v>
      </c>
      <c r="B2983" s="4" t="s">
        <v>77</v>
      </c>
      <c r="C2983" s="4" t="s">
        <v>108</v>
      </c>
      <c r="D2983" s="4">
        <v>1</v>
      </c>
      <c r="E2983" s="16" t="s">
        <v>109</v>
      </c>
      <c r="F2983" s="17" t="s">
        <v>110</v>
      </c>
    </row>
    <row r="2984" spans="1:6">
      <c r="A2984" s="4" t="str">
        <f t="shared" si="46"/>
        <v>tRNA-Lys-CTT-1-1|2</v>
      </c>
      <c r="B2984" s="4" t="s">
        <v>77</v>
      </c>
      <c r="C2984" s="4" t="s">
        <v>111</v>
      </c>
      <c r="D2984" s="4">
        <v>2</v>
      </c>
      <c r="E2984" s="16" t="s">
        <v>109</v>
      </c>
      <c r="F2984" s="17" t="s">
        <v>110</v>
      </c>
    </row>
    <row r="2985" spans="1:6">
      <c r="A2985" s="4" t="str">
        <f t="shared" si="46"/>
        <v>tRNA-Lys-CTT-1-1|3</v>
      </c>
      <c r="B2985" s="4" t="s">
        <v>77</v>
      </c>
      <c r="C2985" s="4" t="s">
        <v>112</v>
      </c>
      <c r="D2985" s="4">
        <v>3</v>
      </c>
      <c r="E2985" s="16" t="s">
        <v>109</v>
      </c>
      <c r="F2985" s="17" t="s">
        <v>110</v>
      </c>
    </row>
    <row r="2986" spans="1:6">
      <c r="A2986" s="4" t="str">
        <f t="shared" si="46"/>
        <v>tRNA-Lys-CTT-1-1|4</v>
      </c>
      <c r="B2986" s="4" t="s">
        <v>77</v>
      </c>
      <c r="C2986" s="4" t="s">
        <v>113</v>
      </c>
      <c r="D2986" s="4">
        <v>4</v>
      </c>
      <c r="E2986" s="16" t="s">
        <v>114</v>
      </c>
      <c r="F2986" s="17" t="s">
        <v>110</v>
      </c>
    </row>
    <row r="2987" spans="1:6">
      <c r="A2987" s="4" t="str">
        <f t="shared" si="46"/>
        <v>tRNA-Lys-CTT-1-1|5</v>
      </c>
      <c r="B2987" s="4" t="s">
        <v>77</v>
      </c>
      <c r="C2987" s="4" t="s">
        <v>115</v>
      </c>
      <c r="D2987" s="4">
        <v>5</v>
      </c>
      <c r="E2987" s="16" t="s">
        <v>114</v>
      </c>
      <c r="F2987" s="17" t="s">
        <v>110</v>
      </c>
    </row>
    <row r="2988" spans="1:6">
      <c r="A2988" s="4" t="str">
        <f t="shared" si="46"/>
        <v>tRNA-Lys-CTT-1-1|6</v>
      </c>
      <c r="B2988" s="4" t="s">
        <v>77</v>
      </c>
      <c r="C2988" s="4" t="s">
        <v>117</v>
      </c>
      <c r="D2988" s="4">
        <v>6</v>
      </c>
      <c r="E2988" s="16" t="s">
        <v>114</v>
      </c>
      <c r="F2988" s="17" t="s">
        <v>110</v>
      </c>
    </row>
    <row r="2989" spans="1:6">
      <c r="A2989" s="4" t="str">
        <f t="shared" si="46"/>
        <v>tRNA-Lys-CTT-1-1|7</v>
      </c>
      <c r="B2989" s="4" t="s">
        <v>77</v>
      </c>
      <c r="C2989" s="4" t="s">
        <v>118</v>
      </c>
      <c r="D2989" s="4">
        <v>7</v>
      </c>
      <c r="E2989" s="16" t="s">
        <v>109</v>
      </c>
      <c r="F2989" s="17" t="s">
        <v>110</v>
      </c>
    </row>
    <row r="2990" spans="1:6">
      <c r="A2990" s="4" t="str">
        <f t="shared" si="46"/>
        <v>tRNA-Lys-CTT-1-1|8</v>
      </c>
      <c r="B2990" s="4" t="s">
        <v>77</v>
      </c>
      <c r="C2990" s="4" t="s">
        <v>119</v>
      </c>
      <c r="D2990" s="4">
        <v>8</v>
      </c>
      <c r="E2990" s="3" t="s">
        <v>116</v>
      </c>
      <c r="F2990" s="4" t="s">
        <v>120</v>
      </c>
    </row>
    <row r="2991" spans="1:6">
      <c r="A2991" s="4" t="str">
        <f t="shared" si="46"/>
        <v>tRNA-Lys-CTT-1-1|9</v>
      </c>
      <c r="B2991" s="4" t="s">
        <v>77</v>
      </c>
      <c r="C2991" s="4" t="s">
        <v>121</v>
      </c>
      <c r="D2991" s="4">
        <v>9</v>
      </c>
      <c r="E2991" s="3" t="s">
        <v>122</v>
      </c>
      <c r="F2991" s="4" t="s">
        <v>123</v>
      </c>
    </row>
    <row r="2992" spans="1:6">
      <c r="A2992" s="4" t="str">
        <f t="shared" si="46"/>
        <v>tRNA-Lys-CTT-1-1|10</v>
      </c>
      <c r="B2992" s="4" t="s">
        <v>77</v>
      </c>
      <c r="C2992" s="4" t="s">
        <v>124</v>
      </c>
      <c r="D2992" s="4">
        <v>10</v>
      </c>
      <c r="E2992" s="8" t="s">
        <v>109</v>
      </c>
      <c r="F2992" s="7" t="s">
        <v>125</v>
      </c>
    </row>
    <row r="2993" spans="1:6">
      <c r="A2993" s="4" t="str">
        <f t="shared" si="46"/>
        <v>tRNA-Lys-CTT-1-1|11</v>
      </c>
      <c r="B2993" s="4" t="s">
        <v>77</v>
      </c>
      <c r="C2993" s="4" t="s">
        <v>126</v>
      </c>
      <c r="D2993" s="4">
        <v>11</v>
      </c>
      <c r="E2993" s="8" t="s">
        <v>114</v>
      </c>
      <c r="F2993" s="7" t="s">
        <v>125</v>
      </c>
    </row>
    <row r="2994" spans="1:6">
      <c r="A2994" s="4" t="str">
        <f t="shared" si="46"/>
        <v>tRNA-Lys-CTT-1-1|12</v>
      </c>
      <c r="B2994" s="4" t="s">
        <v>77</v>
      </c>
      <c r="C2994" s="4" t="s">
        <v>127</v>
      </c>
      <c r="D2994" s="4">
        <v>12</v>
      </c>
      <c r="E2994" s="8" t="s">
        <v>116</v>
      </c>
      <c r="F2994" s="7" t="s">
        <v>125</v>
      </c>
    </row>
    <row r="2995" spans="1:6">
      <c r="A2995" s="4" t="str">
        <f t="shared" si="46"/>
        <v>tRNA-Lys-CTT-1-1|13</v>
      </c>
      <c r="B2995" s="4" t="s">
        <v>77</v>
      </c>
      <c r="C2995" s="4" t="s">
        <v>128</v>
      </c>
      <c r="D2995" s="4">
        <v>13</v>
      </c>
      <c r="E2995" s="8" t="s">
        <v>116</v>
      </c>
      <c r="F2995" s="7" t="s">
        <v>125</v>
      </c>
    </row>
    <row r="2996" spans="1:6">
      <c r="A2996" s="4" t="str">
        <f t="shared" si="46"/>
        <v>tRNA-Lys-CTT-1-1|14</v>
      </c>
      <c r="B2996" s="4" t="s">
        <v>77</v>
      </c>
      <c r="C2996" s="4" t="s">
        <v>129</v>
      </c>
      <c r="D2996" s="4">
        <v>14</v>
      </c>
      <c r="E2996" s="18" t="s">
        <v>122</v>
      </c>
      <c r="F2996" s="19" t="s">
        <v>130</v>
      </c>
    </row>
    <row r="2997" spans="1:6">
      <c r="A2997" s="4" t="str">
        <f t="shared" si="46"/>
        <v>tRNA-Lys-CTT-1-1|15</v>
      </c>
      <c r="B2997" s="4" t="s">
        <v>77</v>
      </c>
      <c r="C2997" s="4" t="s">
        <v>131</v>
      </c>
      <c r="D2997" s="4">
        <v>15</v>
      </c>
      <c r="E2997" s="18" t="s">
        <v>109</v>
      </c>
      <c r="F2997" s="19" t="s">
        <v>130</v>
      </c>
    </row>
    <row r="2998" spans="1:6">
      <c r="A2998" s="4" t="str">
        <f t="shared" si="46"/>
        <v>tRNA-Lys-CTT-1-1|16</v>
      </c>
      <c r="B2998" s="4" t="s">
        <v>77</v>
      </c>
      <c r="C2998" s="4" t="s">
        <v>194</v>
      </c>
      <c r="D2998" s="4">
        <v>16</v>
      </c>
      <c r="E2998" s="18" t="s">
        <v>116</v>
      </c>
      <c r="F2998" s="19" t="s">
        <v>130</v>
      </c>
    </row>
    <row r="2999" spans="1:6">
      <c r="A2999" s="4" t="str">
        <f t="shared" si="46"/>
        <v>tRNA-Lys-CTT-1-1|17</v>
      </c>
      <c r="B2999" s="4" t="s">
        <v>77</v>
      </c>
      <c r="C2999" s="4" t="s">
        <v>195</v>
      </c>
      <c r="D2999" s="4">
        <v>17</v>
      </c>
      <c r="E2999" s="18" t="s">
        <v>114</v>
      </c>
      <c r="F2999" s="19" t="s">
        <v>130</v>
      </c>
    </row>
    <row r="3000" spans="1:6">
      <c r="A3000" s="4" t="str">
        <f t="shared" si="46"/>
        <v>tRNA-Lys-CTT-1-1|17a</v>
      </c>
      <c r="B3000" s="4" t="s">
        <v>77</v>
      </c>
      <c r="C3000" s="4" t="s">
        <v>196</v>
      </c>
      <c r="D3000" s="4">
        <v>18</v>
      </c>
      <c r="E3000" s="18" t="s">
        <v>122</v>
      </c>
      <c r="F3000" s="19" t="s">
        <v>130</v>
      </c>
    </row>
    <row r="3001" spans="1:6">
      <c r="A3001" s="4" t="str">
        <f t="shared" si="46"/>
        <v>tRNA-Lys-CTT-1-1|18</v>
      </c>
      <c r="B3001" s="4" t="s">
        <v>77</v>
      </c>
      <c r="C3001" s="4" t="s">
        <v>132</v>
      </c>
      <c r="D3001" s="4">
        <v>19</v>
      </c>
      <c r="E3001" s="18" t="s">
        <v>109</v>
      </c>
      <c r="F3001" s="19" t="s">
        <v>130</v>
      </c>
    </row>
    <row r="3002" spans="1:6">
      <c r="A3002" s="4" t="str">
        <f t="shared" si="46"/>
        <v>tRNA-Lys-CTT-1-1|19</v>
      </c>
      <c r="B3002" s="4" t="s">
        <v>77</v>
      </c>
      <c r="C3002" s="4" t="s">
        <v>133</v>
      </c>
      <c r="D3002" s="4">
        <v>20</v>
      </c>
      <c r="E3002" s="18" t="s">
        <v>109</v>
      </c>
      <c r="F3002" s="19" t="s">
        <v>130</v>
      </c>
    </row>
    <row r="3003" spans="1:6">
      <c r="A3003" s="4" t="str">
        <f t="shared" si="46"/>
        <v>tRNA-Lys-CTT-1-1|20</v>
      </c>
      <c r="B3003" s="4" t="s">
        <v>77</v>
      </c>
      <c r="C3003" s="4" t="s">
        <v>134</v>
      </c>
      <c r="D3003" s="4">
        <v>21</v>
      </c>
      <c r="E3003" s="18" t="s">
        <v>114</v>
      </c>
      <c r="F3003" s="19" t="s">
        <v>130</v>
      </c>
    </row>
    <row r="3004" spans="1:6">
      <c r="A3004" s="4" t="str">
        <f t="shared" si="46"/>
        <v>tRNA-Lys-CTT-1-1|21</v>
      </c>
      <c r="B3004" s="4" t="s">
        <v>77</v>
      </c>
      <c r="C3004" s="4" t="s">
        <v>136</v>
      </c>
      <c r="D3004" s="4">
        <v>22</v>
      </c>
      <c r="E3004" s="18" t="s">
        <v>122</v>
      </c>
      <c r="F3004" s="19" t="s">
        <v>130</v>
      </c>
    </row>
    <row r="3005" spans="1:6">
      <c r="A3005" s="4" t="str">
        <f t="shared" si="46"/>
        <v>tRNA-Lys-CTT-1-1|22</v>
      </c>
      <c r="B3005" s="4" t="s">
        <v>77</v>
      </c>
      <c r="C3005" s="4" t="s">
        <v>137</v>
      </c>
      <c r="D3005" s="4">
        <v>23</v>
      </c>
      <c r="E3005" s="8" t="s">
        <v>109</v>
      </c>
      <c r="F3005" s="7" t="s">
        <v>125</v>
      </c>
    </row>
    <row r="3006" spans="1:6">
      <c r="A3006" s="4" t="str">
        <f t="shared" si="46"/>
        <v>tRNA-Lys-CTT-1-1|23</v>
      </c>
      <c r="B3006" s="4" t="s">
        <v>77</v>
      </c>
      <c r="C3006" s="4" t="s">
        <v>138</v>
      </c>
      <c r="D3006" s="4">
        <v>24</v>
      </c>
      <c r="E3006" s="8" t="s">
        <v>122</v>
      </c>
      <c r="F3006" s="7" t="s">
        <v>125</v>
      </c>
    </row>
    <row r="3007" spans="1:6">
      <c r="A3007" s="4" t="str">
        <f t="shared" si="46"/>
        <v>tRNA-Lys-CTT-1-1|24</v>
      </c>
      <c r="B3007" s="4" t="s">
        <v>77</v>
      </c>
      <c r="C3007" s="4" t="s">
        <v>139</v>
      </c>
      <c r="D3007" s="4">
        <v>25</v>
      </c>
      <c r="E3007" s="8" t="s">
        <v>109</v>
      </c>
      <c r="F3007" s="7" t="s">
        <v>125</v>
      </c>
    </row>
    <row r="3008" spans="1:6">
      <c r="A3008" s="4" t="str">
        <f t="shared" si="46"/>
        <v>tRNA-Lys-CTT-1-1|25</v>
      </c>
      <c r="B3008" s="4" t="s">
        <v>77</v>
      </c>
      <c r="C3008" s="4" t="s">
        <v>140</v>
      </c>
      <c r="D3008" s="4">
        <v>26</v>
      </c>
      <c r="E3008" s="8" t="s">
        <v>114</v>
      </c>
      <c r="F3008" s="7" t="s">
        <v>125</v>
      </c>
    </row>
    <row r="3009" spans="1:6">
      <c r="A3009" s="4" t="str">
        <f t="shared" si="46"/>
        <v>tRNA-Lys-CTT-1-1|26</v>
      </c>
      <c r="B3009" s="4" t="s">
        <v>77</v>
      </c>
      <c r="C3009" s="4" t="s">
        <v>141</v>
      </c>
      <c r="D3009" s="4">
        <v>27</v>
      </c>
      <c r="E3009" s="3" t="s">
        <v>109</v>
      </c>
      <c r="F3009" s="4" t="s">
        <v>142</v>
      </c>
    </row>
    <row r="3010" spans="1:6">
      <c r="A3010" s="4" t="str">
        <f t="shared" ref="A3010:A3073" si="47">B3010&amp;"|"&amp;C3010</f>
        <v>tRNA-Lys-CTT-1-1|27</v>
      </c>
      <c r="B3010" s="4" t="s">
        <v>77</v>
      </c>
      <c r="C3010" s="4" t="s">
        <v>143</v>
      </c>
      <c r="D3010" s="4">
        <v>28</v>
      </c>
      <c r="E3010" s="20" t="s">
        <v>122</v>
      </c>
      <c r="F3010" s="21" t="s">
        <v>144</v>
      </c>
    </row>
    <row r="3011" spans="1:6">
      <c r="A3011" s="4" t="str">
        <f t="shared" si="47"/>
        <v>tRNA-Lys-CTT-1-1|28</v>
      </c>
      <c r="B3011" s="4" t="s">
        <v>77</v>
      </c>
      <c r="C3011" s="4" t="s">
        <v>145</v>
      </c>
      <c r="D3011" s="4">
        <v>29</v>
      </c>
      <c r="E3011" s="20" t="s">
        <v>116</v>
      </c>
      <c r="F3011" s="21" t="s">
        <v>144</v>
      </c>
    </row>
    <row r="3012" spans="1:6">
      <c r="A3012" s="4" t="str">
        <f t="shared" si="47"/>
        <v>tRNA-Lys-CTT-1-1|29</v>
      </c>
      <c r="B3012" s="4" t="s">
        <v>77</v>
      </c>
      <c r="C3012" s="4" t="s">
        <v>146</v>
      </c>
      <c r="D3012" s="4">
        <v>30</v>
      </c>
      <c r="E3012" s="20" t="s">
        <v>109</v>
      </c>
      <c r="F3012" s="21" t="s">
        <v>144</v>
      </c>
    </row>
    <row r="3013" spans="1:6">
      <c r="A3013" s="4" t="str">
        <f t="shared" si="47"/>
        <v>tRNA-Lys-CTT-1-1|30</v>
      </c>
      <c r="B3013" s="4" t="s">
        <v>77</v>
      </c>
      <c r="C3013" s="4" t="s">
        <v>147</v>
      </c>
      <c r="D3013" s="4">
        <v>31</v>
      </c>
      <c r="E3013" s="20" t="s">
        <v>109</v>
      </c>
      <c r="F3013" s="21" t="s">
        <v>144</v>
      </c>
    </row>
    <row r="3014" spans="1:6">
      <c r="A3014" s="4" t="str">
        <f t="shared" si="47"/>
        <v>tRNA-Lys-CTT-1-1|31</v>
      </c>
      <c r="B3014" s="4" t="s">
        <v>77</v>
      </c>
      <c r="C3014" s="4" t="s">
        <v>148</v>
      </c>
      <c r="D3014" s="4">
        <v>32</v>
      </c>
      <c r="E3014" s="20" t="s">
        <v>122</v>
      </c>
      <c r="F3014" s="21" t="s">
        <v>144</v>
      </c>
    </row>
    <row r="3015" spans="1:6">
      <c r="A3015" s="4" t="str">
        <f t="shared" si="47"/>
        <v>tRNA-Lys-CTT-1-1|32</v>
      </c>
      <c r="B3015" s="4" t="s">
        <v>77</v>
      </c>
      <c r="C3015" s="4" t="s">
        <v>149</v>
      </c>
      <c r="D3015" s="4">
        <v>33</v>
      </c>
      <c r="E3015" s="18" t="s">
        <v>114</v>
      </c>
      <c r="F3015" s="19" t="s">
        <v>150</v>
      </c>
    </row>
    <row r="3016" spans="1:6">
      <c r="A3016" s="4" t="str">
        <f t="shared" si="47"/>
        <v>tRNA-Lys-CTT-1-1|33</v>
      </c>
      <c r="B3016" s="4" t="s">
        <v>77</v>
      </c>
      <c r="C3016" s="4" t="s">
        <v>151</v>
      </c>
      <c r="D3016" s="4">
        <v>34</v>
      </c>
      <c r="E3016" s="18" t="s">
        <v>116</v>
      </c>
      <c r="F3016" s="19" t="s">
        <v>150</v>
      </c>
    </row>
    <row r="3017" spans="1:6">
      <c r="A3017" s="4" t="str">
        <f t="shared" si="47"/>
        <v>tRNA-Lys-CTT-1-1|34</v>
      </c>
      <c r="B3017" s="4" t="s">
        <v>77</v>
      </c>
      <c r="C3017" s="4" t="s">
        <v>152</v>
      </c>
      <c r="D3017" s="4">
        <v>35</v>
      </c>
      <c r="E3017" s="18" t="s">
        <v>114</v>
      </c>
      <c r="F3017" s="19" t="s">
        <v>150</v>
      </c>
    </row>
    <row r="3018" spans="1:6">
      <c r="A3018" s="4" t="str">
        <f t="shared" si="47"/>
        <v>tRNA-Lys-CTT-1-1|35</v>
      </c>
      <c r="B3018" s="4" t="s">
        <v>77</v>
      </c>
      <c r="C3018" s="4" t="s">
        <v>153</v>
      </c>
      <c r="D3018" s="4">
        <v>36</v>
      </c>
      <c r="E3018" s="18" t="s">
        <v>116</v>
      </c>
      <c r="F3018" s="19" t="s">
        <v>150</v>
      </c>
    </row>
    <row r="3019" spans="1:6">
      <c r="A3019" s="4" t="str">
        <f t="shared" si="47"/>
        <v>tRNA-Lys-CTT-1-1|36</v>
      </c>
      <c r="B3019" s="4" t="s">
        <v>77</v>
      </c>
      <c r="C3019" s="4" t="s">
        <v>154</v>
      </c>
      <c r="D3019" s="4">
        <v>37</v>
      </c>
      <c r="E3019" s="18" t="s">
        <v>116</v>
      </c>
      <c r="F3019" s="19" t="s">
        <v>150</v>
      </c>
    </row>
    <row r="3020" spans="1:6">
      <c r="A3020" s="4" t="str">
        <f t="shared" si="47"/>
        <v>tRNA-Lys-CTT-1-1|37</v>
      </c>
      <c r="B3020" s="4" t="s">
        <v>77</v>
      </c>
      <c r="C3020" s="4" t="s">
        <v>155</v>
      </c>
      <c r="D3020" s="4">
        <v>38</v>
      </c>
      <c r="E3020" s="18" t="s">
        <v>122</v>
      </c>
      <c r="F3020" s="19" t="s">
        <v>150</v>
      </c>
    </row>
    <row r="3021" spans="1:6">
      <c r="A3021" s="4" t="str">
        <f t="shared" si="47"/>
        <v>tRNA-Lys-CTT-1-1|38</v>
      </c>
      <c r="B3021" s="4" t="s">
        <v>77</v>
      </c>
      <c r="C3021" s="4" t="s">
        <v>156</v>
      </c>
      <c r="D3021" s="4">
        <v>39</v>
      </c>
      <c r="E3021" s="18" t="s">
        <v>122</v>
      </c>
      <c r="F3021" s="19" t="s">
        <v>150</v>
      </c>
    </row>
    <row r="3022" spans="1:6">
      <c r="A3022" s="4" t="str">
        <f t="shared" si="47"/>
        <v>tRNA-Lys-CTT-1-1|39</v>
      </c>
      <c r="B3022" s="4" t="s">
        <v>77</v>
      </c>
      <c r="C3022" s="4" t="s">
        <v>157</v>
      </c>
      <c r="D3022" s="4">
        <v>40</v>
      </c>
      <c r="E3022" s="20" t="s">
        <v>116</v>
      </c>
      <c r="F3022" s="21" t="s">
        <v>144</v>
      </c>
    </row>
    <row r="3023" spans="1:6">
      <c r="A3023" s="4" t="str">
        <f t="shared" si="47"/>
        <v>tRNA-Lys-CTT-1-1|40</v>
      </c>
      <c r="B3023" s="4" t="s">
        <v>77</v>
      </c>
      <c r="C3023" s="4" t="s">
        <v>158</v>
      </c>
      <c r="D3023" s="4">
        <v>41</v>
      </c>
      <c r="E3023" s="20" t="s">
        <v>114</v>
      </c>
      <c r="F3023" s="21" t="s">
        <v>144</v>
      </c>
    </row>
    <row r="3024" spans="1:6">
      <c r="A3024" s="4" t="str">
        <f t="shared" si="47"/>
        <v>tRNA-Lys-CTT-1-1|41</v>
      </c>
      <c r="B3024" s="4" t="s">
        <v>77</v>
      </c>
      <c r="C3024" s="4" t="s">
        <v>159</v>
      </c>
      <c r="D3024" s="4">
        <v>42</v>
      </c>
      <c r="E3024" s="20" t="s">
        <v>114</v>
      </c>
      <c r="F3024" s="21" t="s">
        <v>144</v>
      </c>
    </row>
    <row r="3025" spans="1:6">
      <c r="A3025" s="4" t="str">
        <f t="shared" si="47"/>
        <v>tRNA-Lys-CTT-1-1|42</v>
      </c>
      <c r="B3025" s="4" t="s">
        <v>77</v>
      </c>
      <c r="C3025" s="4" t="s">
        <v>160</v>
      </c>
      <c r="D3025" s="4">
        <v>43</v>
      </c>
      <c r="E3025" s="20" t="s">
        <v>122</v>
      </c>
      <c r="F3025" s="21" t="s">
        <v>144</v>
      </c>
    </row>
    <row r="3026" spans="1:6">
      <c r="A3026" s="4" t="str">
        <f t="shared" si="47"/>
        <v>tRNA-Lys-CTT-1-1|43</v>
      </c>
      <c r="B3026" s="4" t="s">
        <v>77</v>
      </c>
      <c r="C3026" s="4" t="s">
        <v>161</v>
      </c>
      <c r="D3026" s="4">
        <v>44</v>
      </c>
      <c r="E3026" s="20" t="s">
        <v>116</v>
      </c>
      <c r="F3026" s="21" t="s">
        <v>144</v>
      </c>
    </row>
    <row r="3027" spans="1:6">
      <c r="A3027" s="4" t="str">
        <f t="shared" si="47"/>
        <v>tRNA-Lys-CTT-1-1|44</v>
      </c>
      <c r="B3027" s="4" t="s">
        <v>77</v>
      </c>
      <c r="C3027" s="4" t="s">
        <v>162</v>
      </c>
      <c r="D3027" s="4">
        <v>45</v>
      </c>
      <c r="E3027" s="18" t="s">
        <v>122</v>
      </c>
      <c r="F3027" s="19" t="s">
        <v>163</v>
      </c>
    </row>
    <row r="3028" spans="1:6">
      <c r="A3028" s="4" t="str">
        <f t="shared" si="47"/>
        <v>tRNA-Lys-CTT-1-1|45</v>
      </c>
      <c r="B3028" s="4" t="s">
        <v>77</v>
      </c>
      <c r="C3028" s="4" t="s">
        <v>164</v>
      </c>
      <c r="D3028" s="4">
        <v>46</v>
      </c>
      <c r="E3028" s="18" t="s">
        <v>109</v>
      </c>
      <c r="F3028" s="19" t="s">
        <v>163</v>
      </c>
    </row>
    <row r="3029" spans="1:6">
      <c r="A3029" s="4" t="str">
        <f t="shared" si="47"/>
        <v>tRNA-Lys-CTT-1-1|46</v>
      </c>
      <c r="B3029" s="4" t="s">
        <v>77</v>
      </c>
      <c r="C3029" s="4" t="s">
        <v>165</v>
      </c>
      <c r="D3029" s="4">
        <v>47</v>
      </c>
      <c r="E3029" s="18" t="s">
        <v>109</v>
      </c>
      <c r="F3029" s="19" t="s">
        <v>163</v>
      </c>
    </row>
    <row r="3030" spans="1:6">
      <c r="A3030" s="4" t="str">
        <f t="shared" si="47"/>
        <v>tRNA-Lys-CTT-1-1|47</v>
      </c>
      <c r="B3030" s="4" t="s">
        <v>77</v>
      </c>
      <c r="C3030" s="4" t="s">
        <v>166</v>
      </c>
      <c r="D3030" s="4">
        <v>48</v>
      </c>
      <c r="E3030" s="18" t="s">
        <v>114</v>
      </c>
      <c r="F3030" s="19" t="s">
        <v>163</v>
      </c>
    </row>
    <row r="3031" spans="1:6">
      <c r="A3031" s="4" t="str">
        <f t="shared" si="47"/>
        <v>tRNA-Lys-CTT-1-1|48</v>
      </c>
      <c r="B3031" s="4" t="s">
        <v>77</v>
      </c>
      <c r="C3031" s="4" t="s">
        <v>167</v>
      </c>
      <c r="D3031" s="4">
        <v>49</v>
      </c>
      <c r="E3031" s="18" t="s">
        <v>114</v>
      </c>
      <c r="F3031" s="19" t="s">
        <v>163</v>
      </c>
    </row>
    <row r="3032" spans="1:6">
      <c r="A3032" s="4" t="str">
        <f t="shared" si="47"/>
        <v>tRNA-Lys-CTT-1-1|49</v>
      </c>
      <c r="B3032" s="4" t="s">
        <v>77</v>
      </c>
      <c r="C3032" s="4" t="s">
        <v>168</v>
      </c>
      <c r="D3032" s="4">
        <v>50</v>
      </c>
      <c r="E3032" s="22" t="s">
        <v>109</v>
      </c>
      <c r="F3032" s="10" t="s">
        <v>169</v>
      </c>
    </row>
    <row r="3033" spans="1:6">
      <c r="A3033" s="4" t="str">
        <f t="shared" si="47"/>
        <v>tRNA-Lys-CTT-1-1|50</v>
      </c>
      <c r="B3033" s="4" t="s">
        <v>77</v>
      </c>
      <c r="C3033" s="4" t="s">
        <v>170</v>
      </c>
      <c r="D3033" s="4">
        <v>51</v>
      </c>
      <c r="E3033" s="22" t="s">
        <v>109</v>
      </c>
      <c r="F3033" s="10" t="s">
        <v>169</v>
      </c>
    </row>
    <row r="3034" spans="1:6">
      <c r="A3034" s="4" t="str">
        <f t="shared" si="47"/>
        <v>tRNA-Lys-CTT-1-1|51</v>
      </c>
      <c r="B3034" s="4" t="s">
        <v>77</v>
      </c>
      <c r="C3034" s="4" t="s">
        <v>171</v>
      </c>
      <c r="D3034" s="4">
        <v>52</v>
      </c>
      <c r="E3034" s="22" t="s">
        <v>109</v>
      </c>
      <c r="F3034" s="10" t="s">
        <v>169</v>
      </c>
    </row>
    <row r="3035" spans="1:6">
      <c r="A3035" s="4" t="str">
        <f t="shared" si="47"/>
        <v>tRNA-Lys-CTT-1-1|52</v>
      </c>
      <c r="B3035" s="4" t="s">
        <v>77</v>
      </c>
      <c r="C3035" s="4" t="s">
        <v>172</v>
      </c>
      <c r="D3035" s="4">
        <v>53</v>
      </c>
      <c r="E3035" s="22" t="s">
        <v>109</v>
      </c>
      <c r="F3035" s="10" t="s">
        <v>169</v>
      </c>
    </row>
    <row r="3036" spans="1:6">
      <c r="A3036" s="4" t="str">
        <f t="shared" si="47"/>
        <v>tRNA-Lys-CTT-1-1|53</v>
      </c>
      <c r="B3036" s="4" t="s">
        <v>77</v>
      </c>
      <c r="C3036" s="4" t="s">
        <v>173</v>
      </c>
      <c r="D3036" s="4">
        <v>54</v>
      </c>
      <c r="E3036" s="22" t="s">
        <v>109</v>
      </c>
      <c r="F3036" s="10" t="s">
        <v>169</v>
      </c>
    </row>
    <row r="3037" spans="1:6">
      <c r="A3037" s="4" t="str">
        <f t="shared" si="47"/>
        <v>tRNA-Lys-CTT-1-1|54</v>
      </c>
      <c r="B3037" s="4" t="s">
        <v>77</v>
      </c>
      <c r="C3037" s="4" t="s">
        <v>174</v>
      </c>
      <c r="D3037" s="4">
        <v>55</v>
      </c>
      <c r="E3037" s="18" t="s">
        <v>116</v>
      </c>
      <c r="F3037" s="19" t="s">
        <v>175</v>
      </c>
    </row>
    <row r="3038" spans="1:6">
      <c r="A3038" s="4" t="str">
        <f t="shared" si="47"/>
        <v>tRNA-Lys-CTT-1-1|55</v>
      </c>
      <c r="B3038" s="4" t="s">
        <v>77</v>
      </c>
      <c r="C3038" s="4" t="s">
        <v>176</v>
      </c>
      <c r="D3038" s="4">
        <v>56</v>
      </c>
      <c r="E3038" s="18" t="s">
        <v>116</v>
      </c>
      <c r="F3038" s="19" t="s">
        <v>175</v>
      </c>
    </row>
    <row r="3039" spans="1:6">
      <c r="A3039" s="4" t="str">
        <f t="shared" si="47"/>
        <v>tRNA-Lys-CTT-1-1|56</v>
      </c>
      <c r="B3039" s="4" t="s">
        <v>77</v>
      </c>
      <c r="C3039" s="4" t="s">
        <v>177</v>
      </c>
      <c r="D3039" s="4">
        <v>57</v>
      </c>
      <c r="E3039" s="18" t="s">
        <v>114</v>
      </c>
      <c r="F3039" s="19" t="s">
        <v>175</v>
      </c>
    </row>
    <row r="3040" spans="1:6">
      <c r="A3040" s="4" t="str">
        <f t="shared" si="47"/>
        <v>tRNA-Lys-CTT-1-1|57</v>
      </c>
      <c r="B3040" s="4" t="s">
        <v>77</v>
      </c>
      <c r="C3040" s="4" t="s">
        <v>178</v>
      </c>
      <c r="D3040" s="4">
        <v>58</v>
      </c>
      <c r="E3040" s="18" t="s">
        <v>122</v>
      </c>
      <c r="F3040" s="19" t="s">
        <v>175</v>
      </c>
    </row>
    <row r="3041" spans="1:6">
      <c r="A3041" s="4" t="str">
        <f t="shared" si="47"/>
        <v>tRNA-Lys-CTT-1-1|58</v>
      </c>
      <c r="B3041" s="4" t="s">
        <v>77</v>
      </c>
      <c r="C3041" s="4" t="s">
        <v>179</v>
      </c>
      <c r="D3041" s="4">
        <v>59</v>
      </c>
      <c r="E3041" s="18" t="s">
        <v>122</v>
      </c>
      <c r="F3041" s="19" t="s">
        <v>175</v>
      </c>
    </row>
    <row r="3042" spans="1:6">
      <c r="A3042" s="4" t="str">
        <f t="shared" si="47"/>
        <v>tRNA-Lys-CTT-1-1|59</v>
      </c>
      <c r="B3042" s="4" t="s">
        <v>77</v>
      </c>
      <c r="C3042" s="4" t="s">
        <v>180</v>
      </c>
      <c r="D3042" s="4">
        <v>60</v>
      </c>
      <c r="E3042" s="18" t="s">
        <v>122</v>
      </c>
      <c r="F3042" s="19" t="s">
        <v>175</v>
      </c>
    </row>
    <row r="3043" spans="1:6">
      <c r="A3043" s="4" t="str">
        <f t="shared" si="47"/>
        <v>tRNA-Lys-CTT-1-1|60</v>
      </c>
      <c r="B3043" s="4" t="s">
        <v>77</v>
      </c>
      <c r="C3043" s="4" t="s">
        <v>181</v>
      </c>
      <c r="D3043" s="4">
        <v>61</v>
      </c>
      <c r="E3043" s="18" t="s">
        <v>116</v>
      </c>
      <c r="F3043" s="19" t="s">
        <v>175</v>
      </c>
    </row>
    <row r="3044" spans="1:6">
      <c r="A3044" s="4" t="str">
        <f t="shared" si="47"/>
        <v>tRNA-Lys-CTT-1-1|61</v>
      </c>
      <c r="B3044" s="4" t="s">
        <v>77</v>
      </c>
      <c r="C3044" s="4" t="s">
        <v>182</v>
      </c>
      <c r="D3044" s="4">
        <v>62</v>
      </c>
      <c r="E3044" s="22" t="s">
        <v>114</v>
      </c>
      <c r="F3044" s="10" t="s">
        <v>169</v>
      </c>
    </row>
    <row r="3045" spans="1:6">
      <c r="A3045" s="4" t="str">
        <f t="shared" si="47"/>
        <v>tRNA-Lys-CTT-1-1|62</v>
      </c>
      <c r="B3045" s="4" t="s">
        <v>77</v>
      </c>
      <c r="C3045" s="4" t="s">
        <v>183</v>
      </c>
      <c r="D3045" s="4">
        <v>63</v>
      </c>
      <c r="E3045" s="22" t="s">
        <v>114</v>
      </c>
      <c r="F3045" s="10" t="s">
        <v>169</v>
      </c>
    </row>
    <row r="3046" spans="1:6">
      <c r="A3046" s="4" t="str">
        <f t="shared" si="47"/>
        <v>tRNA-Lys-CTT-1-1|63</v>
      </c>
      <c r="B3046" s="4" t="s">
        <v>77</v>
      </c>
      <c r="C3046" s="4" t="s">
        <v>184</v>
      </c>
      <c r="D3046" s="4">
        <v>64</v>
      </c>
      <c r="E3046" s="22" t="s">
        <v>114</v>
      </c>
      <c r="F3046" s="10" t="s">
        <v>169</v>
      </c>
    </row>
    <row r="3047" spans="1:6">
      <c r="A3047" s="4" t="str">
        <f t="shared" si="47"/>
        <v>tRNA-Lys-CTT-1-1|64</v>
      </c>
      <c r="B3047" s="4" t="s">
        <v>77</v>
      </c>
      <c r="C3047" s="4" t="s">
        <v>185</v>
      </c>
      <c r="D3047" s="4">
        <v>65</v>
      </c>
      <c r="E3047" s="22" t="s">
        <v>116</v>
      </c>
      <c r="F3047" s="10" t="s">
        <v>169</v>
      </c>
    </row>
    <row r="3048" spans="1:6">
      <c r="A3048" s="4" t="str">
        <f t="shared" si="47"/>
        <v>tRNA-Lys-CTT-1-1|65</v>
      </c>
      <c r="B3048" s="4" t="s">
        <v>77</v>
      </c>
      <c r="C3048" s="4" t="s">
        <v>186</v>
      </c>
      <c r="D3048" s="4">
        <v>66</v>
      </c>
      <c r="E3048" s="22" t="s">
        <v>116</v>
      </c>
      <c r="F3048" s="10" t="s">
        <v>169</v>
      </c>
    </row>
    <row r="3049" spans="1:6">
      <c r="A3049" s="4" t="str">
        <f t="shared" si="47"/>
        <v>tRNA-Lys-CTT-1-1|66</v>
      </c>
      <c r="B3049" s="4" t="s">
        <v>77</v>
      </c>
      <c r="C3049" s="4" t="s">
        <v>187</v>
      </c>
      <c r="D3049" s="4">
        <v>67</v>
      </c>
      <c r="E3049" s="16" t="s">
        <v>114</v>
      </c>
      <c r="F3049" s="17" t="s">
        <v>110</v>
      </c>
    </row>
    <row r="3050" spans="1:6">
      <c r="A3050" s="4" t="str">
        <f t="shared" si="47"/>
        <v>tRNA-Lys-CTT-1-1|67</v>
      </c>
      <c r="B3050" s="4" t="s">
        <v>77</v>
      </c>
      <c r="C3050" s="4" t="s">
        <v>188</v>
      </c>
      <c r="D3050" s="4">
        <v>68</v>
      </c>
      <c r="E3050" s="16" t="s">
        <v>109</v>
      </c>
      <c r="F3050" s="17" t="s">
        <v>110</v>
      </c>
    </row>
    <row r="3051" spans="1:6">
      <c r="A3051" s="4" t="str">
        <f t="shared" si="47"/>
        <v>tRNA-Lys-CTT-1-1|68</v>
      </c>
      <c r="B3051" s="4" t="s">
        <v>77</v>
      </c>
      <c r="C3051" s="4" t="s">
        <v>189</v>
      </c>
      <c r="D3051" s="4">
        <v>69</v>
      </c>
      <c r="E3051" s="16" t="s">
        <v>109</v>
      </c>
      <c r="F3051" s="17" t="s">
        <v>110</v>
      </c>
    </row>
    <row r="3052" spans="1:6">
      <c r="A3052" s="4" t="str">
        <f t="shared" si="47"/>
        <v>tRNA-Lys-CTT-1-1|69</v>
      </c>
      <c r="B3052" s="4" t="s">
        <v>77</v>
      </c>
      <c r="C3052" s="4" t="s">
        <v>190</v>
      </c>
      <c r="D3052" s="4">
        <v>70</v>
      </c>
      <c r="E3052" s="16" t="s">
        <v>109</v>
      </c>
      <c r="F3052" s="17" t="s">
        <v>110</v>
      </c>
    </row>
    <row r="3053" spans="1:6">
      <c r="A3053" s="4" t="str">
        <f t="shared" si="47"/>
        <v>tRNA-Lys-CTT-1-1|70</v>
      </c>
      <c r="B3053" s="4" t="s">
        <v>77</v>
      </c>
      <c r="C3053" s="4" t="s">
        <v>191</v>
      </c>
      <c r="D3053" s="4">
        <v>71</v>
      </c>
      <c r="E3053" s="16" t="s">
        <v>114</v>
      </c>
      <c r="F3053" s="17" t="s">
        <v>110</v>
      </c>
    </row>
    <row r="3054" spans="1:6">
      <c r="A3054" s="4" t="str">
        <f t="shared" si="47"/>
        <v>tRNA-Lys-CTT-1-1|71</v>
      </c>
      <c r="B3054" s="4" t="s">
        <v>77</v>
      </c>
      <c r="C3054" s="4" t="s">
        <v>192</v>
      </c>
      <c r="D3054" s="4">
        <v>72</v>
      </c>
      <c r="E3054" s="16" t="s">
        <v>114</v>
      </c>
      <c r="F3054" s="17" t="s">
        <v>110</v>
      </c>
    </row>
    <row r="3055" spans="1:6">
      <c r="A3055" s="4" t="str">
        <f t="shared" si="47"/>
        <v>tRNA-Lys-CTT-1-1|72</v>
      </c>
      <c r="B3055" s="4" t="s">
        <v>77</v>
      </c>
      <c r="C3055" s="4" t="s">
        <v>193</v>
      </c>
      <c r="D3055" s="4">
        <v>73</v>
      </c>
      <c r="E3055" s="16" t="s">
        <v>114</v>
      </c>
      <c r="F3055" s="17" t="s">
        <v>110</v>
      </c>
    </row>
    <row r="3056" spans="1:6">
      <c r="A3056" s="4" t="str">
        <f t="shared" si="47"/>
        <v>tRNA-Lys-TTT-1-1|1</v>
      </c>
      <c r="B3056" s="4" t="s">
        <v>78</v>
      </c>
      <c r="C3056" s="4" t="s">
        <v>108</v>
      </c>
      <c r="D3056" s="4">
        <v>1</v>
      </c>
      <c r="E3056" s="16" t="s">
        <v>109</v>
      </c>
      <c r="F3056" s="17" t="s">
        <v>110</v>
      </c>
    </row>
    <row r="3057" spans="1:6">
      <c r="A3057" s="4" t="str">
        <f t="shared" si="47"/>
        <v>tRNA-Lys-TTT-1-1|2</v>
      </c>
      <c r="B3057" s="4" t="s">
        <v>78</v>
      </c>
      <c r="C3057" s="4" t="s">
        <v>111</v>
      </c>
      <c r="D3057" s="4">
        <v>2</v>
      </c>
      <c r="E3057" s="16" t="s">
        <v>109</v>
      </c>
      <c r="F3057" s="17" t="s">
        <v>110</v>
      </c>
    </row>
    <row r="3058" spans="1:6">
      <c r="A3058" s="4" t="str">
        <f t="shared" si="47"/>
        <v>tRNA-Lys-TTT-1-1|3</v>
      </c>
      <c r="B3058" s="4" t="s">
        <v>78</v>
      </c>
      <c r="C3058" s="4" t="s">
        <v>112</v>
      </c>
      <c r="D3058" s="4">
        <v>3</v>
      </c>
      <c r="E3058" s="16" t="s">
        <v>109</v>
      </c>
      <c r="F3058" s="17" t="s">
        <v>110</v>
      </c>
    </row>
    <row r="3059" spans="1:6">
      <c r="A3059" s="4" t="str">
        <f t="shared" si="47"/>
        <v>tRNA-Lys-TTT-1-1|4</v>
      </c>
      <c r="B3059" s="4" t="s">
        <v>78</v>
      </c>
      <c r="C3059" s="4" t="s">
        <v>113</v>
      </c>
      <c r="D3059" s="4">
        <v>4</v>
      </c>
      <c r="E3059" s="16" t="s">
        <v>114</v>
      </c>
      <c r="F3059" s="17" t="s">
        <v>110</v>
      </c>
    </row>
    <row r="3060" spans="1:6">
      <c r="A3060" s="4" t="str">
        <f t="shared" si="47"/>
        <v>tRNA-Lys-TTT-1-1|5</v>
      </c>
      <c r="B3060" s="4" t="s">
        <v>78</v>
      </c>
      <c r="C3060" s="4" t="s">
        <v>115</v>
      </c>
      <c r="D3060" s="4">
        <v>5</v>
      </c>
      <c r="E3060" s="16" t="s">
        <v>114</v>
      </c>
      <c r="F3060" s="17" t="s">
        <v>110</v>
      </c>
    </row>
    <row r="3061" spans="1:6">
      <c r="A3061" s="4" t="str">
        <f t="shared" si="47"/>
        <v>tRNA-Lys-TTT-1-1|6</v>
      </c>
      <c r="B3061" s="4" t="s">
        <v>78</v>
      </c>
      <c r="C3061" s="4" t="s">
        <v>117</v>
      </c>
      <c r="D3061" s="4">
        <v>6</v>
      </c>
      <c r="E3061" s="16" t="s">
        <v>114</v>
      </c>
      <c r="F3061" s="17" t="s">
        <v>110</v>
      </c>
    </row>
    <row r="3062" spans="1:6">
      <c r="A3062" s="4" t="str">
        <f t="shared" si="47"/>
        <v>tRNA-Lys-TTT-1-1|7</v>
      </c>
      <c r="B3062" s="4" t="s">
        <v>78</v>
      </c>
      <c r="C3062" s="4" t="s">
        <v>118</v>
      </c>
      <c r="D3062" s="4">
        <v>7</v>
      </c>
      <c r="E3062" s="16" t="s">
        <v>109</v>
      </c>
      <c r="F3062" s="17" t="s">
        <v>110</v>
      </c>
    </row>
    <row r="3063" spans="1:6">
      <c r="A3063" s="4" t="str">
        <f t="shared" si="47"/>
        <v>tRNA-Lys-TTT-1-1|8</v>
      </c>
      <c r="B3063" s="4" t="s">
        <v>78</v>
      </c>
      <c r="C3063" s="4" t="s">
        <v>119</v>
      </c>
      <c r="D3063" s="4">
        <v>8</v>
      </c>
      <c r="E3063" s="3" t="s">
        <v>116</v>
      </c>
      <c r="F3063" s="4" t="s">
        <v>120</v>
      </c>
    </row>
    <row r="3064" spans="1:6">
      <c r="A3064" s="4" t="str">
        <f t="shared" si="47"/>
        <v>tRNA-Lys-TTT-1-1|9</v>
      </c>
      <c r="B3064" s="4" t="s">
        <v>78</v>
      </c>
      <c r="C3064" s="4" t="s">
        <v>121</v>
      </c>
      <c r="D3064" s="4">
        <v>9</v>
      </c>
      <c r="E3064" s="3" t="s">
        <v>122</v>
      </c>
      <c r="F3064" s="4" t="s">
        <v>123</v>
      </c>
    </row>
    <row r="3065" spans="1:6">
      <c r="A3065" s="4" t="str">
        <f t="shared" si="47"/>
        <v>tRNA-Lys-TTT-1-1|10</v>
      </c>
      <c r="B3065" s="4" t="s">
        <v>78</v>
      </c>
      <c r="C3065" s="4" t="s">
        <v>124</v>
      </c>
      <c r="D3065" s="4">
        <v>10</v>
      </c>
      <c r="E3065" s="8" t="s">
        <v>109</v>
      </c>
      <c r="F3065" s="7" t="s">
        <v>125</v>
      </c>
    </row>
    <row r="3066" spans="1:6">
      <c r="A3066" s="4" t="str">
        <f t="shared" si="47"/>
        <v>tRNA-Lys-TTT-1-1|11</v>
      </c>
      <c r="B3066" s="4" t="s">
        <v>78</v>
      </c>
      <c r="C3066" s="4" t="s">
        <v>126</v>
      </c>
      <c r="D3066" s="4">
        <v>11</v>
      </c>
      <c r="E3066" s="8" t="s">
        <v>114</v>
      </c>
      <c r="F3066" s="7" t="s">
        <v>125</v>
      </c>
    </row>
    <row r="3067" spans="1:6">
      <c r="A3067" s="4" t="str">
        <f t="shared" si="47"/>
        <v>tRNA-Lys-TTT-1-1|12</v>
      </c>
      <c r="B3067" s="4" t="s">
        <v>78</v>
      </c>
      <c r="C3067" s="4" t="s">
        <v>127</v>
      </c>
      <c r="D3067" s="4">
        <v>12</v>
      </c>
      <c r="E3067" s="8" t="s">
        <v>116</v>
      </c>
      <c r="F3067" s="7" t="s">
        <v>125</v>
      </c>
    </row>
    <row r="3068" spans="1:6">
      <c r="A3068" s="4" t="str">
        <f t="shared" si="47"/>
        <v>tRNA-Lys-TTT-1-1|13</v>
      </c>
      <c r="B3068" s="4" t="s">
        <v>78</v>
      </c>
      <c r="C3068" s="4" t="s">
        <v>128</v>
      </c>
      <c r="D3068" s="4">
        <v>13</v>
      </c>
      <c r="E3068" s="8" t="s">
        <v>114</v>
      </c>
      <c r="F3068" s="7" t="s">
        <v>125</v>
      </c>
    </row>
    <row r="3069" spans="1:6">
      <c r="A3069" s="4" t="str">
        <f t="shared" si="47"/>
        <v>tRNA-Lys-TTT-1-1|14</v>
      </c>
      <c r="B3069" s="4" t="s">
        <v>78</v>
      </c>
      <c r="C3069" s="4" t="s">
        <v>129</v>
      </c>
      <c r="D3069" s="4">
        <v>14</v>
      </c>
      <c r="E3069" s="18" t="s">
        <v>122</v>
      </c>
      <c r="F3069" s="19" t="s">
        <v>130</v>
      </c>
    </row>
    <row r="3070" spans="1:6">
      <c r="A3070" s="4" t="str">
        <f t="shared" si="47"/>
        <v>tRNA-Lys-TTT-1-1|15</v>
      </c>
      <c r="B3070" s="4" t="s">
        <v>78</v>
      </c>
      <c r="C3070" s="4" t="s">
        <v>131</v>
      </c>
      <c r="D3070" s="4">
        <v>15</v>
      </c>
      <c r="E3070" s="18" t="s">
        <v>109</v>
      </c>
      <c r="F3070" s="19" t="s">
        <v>130</v>
      </c>
    </row>
    <row r="3071" spans="1:6">
      <c r="A3071" s="4" t="str">
        <f t="shared" si="47"/>
        <v>tRNA-Lys-TTT-1-1|16</v>
      </c>
      <c r="B3071" s="4" t="s">
        <v>78</v>
      </c>
      <c r="C3071" s="4" t="s">
        <v>194</v>
      </c>
      <c r="D3071" s="4">
        <v>16</v>
      </c>
      <c r="E3071" s="18" t="s">
        <v>116</v>
      </c>
      <c r="F3071" s="19" t="s">
        <v>130</v>
      </c>
    </row>
    <row r="3072" spans="1:6">
      <c r="A3072" s="4" t="str">
        <f t="shared" si="47"/>
        <v>tRNA-Lys-TTT-1-1|17</v>
      </c>
      <c r="B3072" s="4" t="s">
        <v>78</v>
      </c>
      <c r="C3072" s="4" t="s">
        <v>195</v>
      </c>
      <c r="D3072" s="4">
        <v>17</v>
      </c>
      <c r="E3072" s="18" t="s">
        <v>114</v>
      </c>
      <c r="F3072" s="19" t="s">
        <v>130</v>
      </c>
    </row>
    <row r="3073" spans="1:6">
      <c r="A3073" s="4" t="str">
        <f t="shared" si="47"/>
        <v>tRNA-Lys-TTT-1-1|17a</v>
      </c>
      <c r="B3073" s="4" t="s">
        <v>78</v>
      </c>
      <c r="C3073" s="4" t="s">
        <v>196</v>
      </c>
      <c r="D3073" s="4">
        <v>18</v>
      </c>
      <c r="E3073" s="18" t="s">
        <v>122</v>
      </c>
      <c r="F3073" s="19" t="s">
        <v>130</v>
      </c>
    </row>
    <row r="3074" spans="1:6">
      <c r="A3074" s="4" t="str">
        <f t="shared" ref="A3074:A3137" si="48">B3074&amp;"|"&amp;C3074</f>
        <v>tRNA-Lys-TTT-1-1|18</v>
      </c>
      <c r="B3074" s="4" t="s">
        <v>78</v>
      </c>
      <c r="C3074" s="4" t="s">
        <v>132</v>
      </c>
      <c r="D3074" s="4">
        <v>19</v>
      </c>
      <c r="E3074" s="18" t="s">
        <v>109</v>
      </c>
      <c r="F3074" s="19" t="s">
        <v>130</v>
      </c>
    </row>
    <row r="3075" spans="1:6">
      <c r="A3075" s="4" t="str">
        <f t="shared" si="48"/>
        <v>tRNA-Lys-TTT-1-1|19</v>
      </c>
      <c r="B3075" s="4" t="s">
        <v>78</v>
      </c>
      <c r="C3075" s="4" t="s">
        <v>133</v>
      </c>
      <c r="D3075" s="4">
        <v>20</v>
      </c>
      <c r="E3075" s="18" t="s">
        <v>109</v>
      </c>
      <c r="F3075" s="19" t="s">
        <v>130</v>
      </c>
    </row>
    <row r="3076" spans="1:6">
      <c r="A3076" s="4" t="str">
        <f t="shared" si="48"/>
        <v>tRNA-Lys-TTT-1-1|20</v>
      </c>
      <c r="B3076" s="4" t="s">
        <v>78</v>
      </c>
      <c r="C3076" s="4" t="s">
        <v>134</v>
      </c>
      <c r="D3076" s="4">
        <v>21</v>
      </c>
      <c r="E3076" s="18" t="s">
        <v>114</v>
      </c>
      <c r="F3076" s="19" t="s">
        <v>130</v>
      </c>
    </row>
    <row r="3077" spans="1:6">
      <c r="A3077" s="4" t="str">
        <f t="shared" si="48"/>
        <v>tRNA-Lys-TTT-1-1|21</v>
      </c>
      <c r="B3077" s="4" t="s">
        <v>78</v>
      </c>
      <c r="C3077" s="4" t="s">
        <v>136</v>
      </c>
      <c r="D3077" s="4">
        <v>22</v>
      </c>
      <c r="E3077" s="18" t="s">
        <v>122</v>
      </c>
      <c r="F3077" s="19" t="s">
        <v>130</v>
      </c>
    </row>
    <row r="3078" spans="1:6">
      <c r="A3078" s="4" t="str">
        <f t="shared" si="48"/>
        <v>tRNA-Lys-TTT-1-1|22</v>
      </c>
      <c r="B3078" s="4" t="s">
        <v>78</v>
      </c>
      <c r="C3078" s="4" t="s">
        <v>137</v>
      </c>
      <c r="D3078" s="4">
        <v>23</v>
      </c>
      <c r="E3078" s="8" t="s">
        <v>109</v>
      </c>
      <c r="F3078" s="7" t="s">
        <v>125</v>
      </c>
    </row>
    <row r="3079" spans="1:6">
      <c r="A3079" s="4" t="str">
        <f t="shared" si="48"/>
        <v>tRNA-Lys-TTT-1-1|23</v>
      </c>
      <c r="B3079" s="4" t="s">
        <v>78</v>
      </c>
      <c r="C3079" s="4" t="s">
        <v>138</v>
      </c>
      <c r="D3079" s="4">
        <v>24</v>
      </c>
      <c r="E3079" s="8" t="s">
        <v>122</v>
      </c>
      <c r="F3079" s="7" t="s">
        <v>125</v>
      </c>
    </row>
    <row r="3080" spans="1:6">
      <c r="A3080" s="4" t="str">
        <f t="shared" si="48"/>
        <v>tRNA-Lys-TTT-1-1|24</v>
      </c>
      <c r="B3080" s="4" t="s">
        <v>78</v>
      </c>
      <c r="C3080" s="4" t="s">
        <v>139</v>
      </c>
      <c r="D3080" s="4">
        <v>25</v>
      </c>
      <c r="E3080" s="8" t="s">
        <v>109</v>
      </c>
      <c r="F3080" s="7" t="s">
        <v>125</v>
      </c>
    </row>
    <row r="3081" spans="1:6">
      <c r="A3081" s="4" t="str">
        <f t="shared" si="48"/>
        <v>tRNA-Lys-TTT-1-1|25</v>
      </c>
      <c r="B3081" s="4" t="s">
        <v>78</v>
      </c>
      <c r="C3081" s="4" t="s">
        <v>140</v>
      </c>
      <c r="D3081" s="4">
        <v>26</v>
      </c>
      <c r="E3081" s="8" t="s">
        <v>114</v>
      </c>
      <c r="F3081" s="7" t="s">
        <v>125</v>
      </c>
    </row>
    <row r="3082" spans="1:6">
      <c r="A3082" s="4" t="str">
        <f t="shared" si="48"/>
        <v>tRNA-Lys-TTT-1-1|26</v>
      </c>
      <c r="B3082" s="4" t="s">
        <v>78</v>
      </c>
      <c r="C3082" s="4" t="s">
        <v>141</v>
      </c>
      <c r="D3082" s="4">
        <v>27</v>
      </c>
      <c r="E3082" s="3" t="s">
        <v>109</v>
      </c>
      <c r="F3082" s="4" t="s">
        <v>142</v>
      </c>
    </row>
    <row r="3083" spans="1:6">
      <c r="A3083" s="4" t="str">
        <f t="shared" si="48"/>
        <v>tRNA-Lys-TTT-1-1|27</v>
      </c>
      <c r="B3083" s="4" t="s">
        <v>78</v>
      </c>
      <c r="C3083" s="4" t="s">
        <v>143</v>
      </c>
      <c r="D3083" s="4">
        <v>28</v>
      </c>
      <c r="E3083" s="20" t="s">
        <v>116</v>
      </c>
      <c r="F3083" s="21" t="s">
        <v>144</v>
      </c>
    </row>
    <row r="3084" spans="1:6">
      <c r="A3084" s="4" t="str">
        <f t="shared" si="48"/>
        <v>tRNA-Lys-TTT-1-1|28</v>
      </c>
      <c r="B3084" s="4" t="s">
        <v>78</v>
      </c>
      <c r="C3084" s="4" t="s">
        <v>145</v>
      </c>
      <c r="D3084" s="4">
        <v>29</v>
      </c>
      <c r="E3084" s="20" t="s">
        <v>114</v>
      </c>
      <c r="F3084" s="21" t="s">
        <v>144</v>
      </c>
    </row>
    <row r="3085" spans="1:6">
      <c r="A3085" s="4" t="str">
        <f t="shared" si="48"/>
        <v>tRNA-Lys-TTT-1-1|29</v>
      </c>
      <c r="B3085" s="4" t="s">
        <v>78</v>
      </c>
      <c r="C3085" s="4" t="s">
        <v>146</v>
      </c>
      <c r="D3085" s="4">
        <v>30</v>
      </c>
      <c r="E3085" s="20" t="s">
        <v>116</v>
      </c>
      <c r="F3085" s="21" t="s">
        <v>144</v>
      </c>
    </row>
    <row r="3086" spans="1:6">
      <c r="A3086" s="4" t="str">
        <f t="shared" si="48"/>
        <v>tRNA-Lys-TTT-1-1|30</v>
      </c>
      <c r="B3086" s="4" t="s">
        <v>78</v>
      </c>
      <c r="C3086" s="4" t="s">
        <v>147</v>
      </c>
      <c r="D3086" s="4">
        <v>31</v>
      </c>
      <c r="E3086" s="20" t="s">
        <v>109</v>
      </c>
      <c r="F3086" s="21" t="s">
        <v>144</v>
      </c>
    </row>
    <row r="3087" spans="1:6">
      <c r="A3087" s="4" t="str">
        <f t="shared" si="48"/>
        <v>tRNA-Lys-TTT-1-1|31</v>
      </c>
      <c r="B3087" s="4" t="s">
        <v>78</v>
      </c>
      <c r="C3087" s="4" t="s">
        <v>148</v>
      </c>
      <c r="D3087" s="4">
        <v>32</v>
      </c>
      <c r="E3087" s="20" t="s">
        <v>109</v>
      </c>
      <c r="F3087" s="21" t="s">
        <v>144</v>
      </c>
    </row>
    <row r="3088" spans="1:6">
      <c r="A3088" s="4" t="str">
        <f t="shared" si="48"/>
        <v>tRNA-Lys-TTT-1-1|32</v>
      </c>
      <c r="B3088" s="4" t="s">
        <v>78</v>
      </c>
      <c r="C3088" s="4" t="s">
        <v>149</v>
      </c>
      <c r="D3088" s="4">
        <v>33</v>
      </c>
      <c r="E3088" s="18" t="s">
        <v>114</v>
      </c>
      <c r="F3088" s="19" t="s">
        <v>150</v>
      </c>
    </row>
    <row r="3089" spans="1:6">
      <c r="A3089" s="4" t="str">
        <f t="shared" si="48"/>
        <v>tRNA-Lys-TTT-1-1|33</v>
      </c>
      <c r="B3089" s="4" t="s">
        <v>78</v>
      </c>
      <c r="C3089" s="4" t="s">
        <v>151</v>
      </c>
      <c r="D3089" s="4">
        <v>34</v>
      </c>
      <c r="E3089" s="18" t="s">
        <v>116</v>
      </c>
      <c r="F3089" s="19" t="s">
        <v>150</v>
      </c>
    </row>
    <row r="3090" spans="1:6">
      <c r="A3090" s="4" t="str">
        <f t="shared" si="48"/>
        <v>tRNA-Lys-TTT-1-1|34</v>
      </c>
      <c r="B3090" s="4" t="s">
        <v>78</v>
      </c>
      <c r="C3090" s="4" t="s">
        <v>152</v>
      </c>
      <c r="D3090" s="4">
        <v>35</v>
      </c>
      <c r="E3090" s="18" t="s">
        <v>116</v>
      </c>
      <c r="F3090" s="19" t="s">
        <v>150</v>
      </c>
    </row>
    <row r="3091" spans="1:6">
      <c r="A3091" s="4" t="str">
        <f t="shared" si="48"/>
        <v>tRNA-Lys-TTT-1-1|35</v>
      </c>
      <c r="B3091" s="4" t="s">
        <v>78</v>
      </c>
      <c r="C3091" s="4" t="s">
        <v>153</v>
      </c>
      <c r="D3091" s="4">
        <v>36</v>
      </c>
      <c r="E3091" s="18" t="s">
        <v>116</v>
      </c>
      <c r="F3091" s="19" t="s">
        <v>150</v>
      </c>
    </row>
    <row r="3092" spans="1:6">
      <c r="A3092" s="4" t="str">
        <f t="shared" si="48"/>
        <v>tRNA-Lys-TTT-1-1|36</v>
      </c>
      <c r="B3092" s="4" t="s">
        <v>78</v>
      </c>
      <c r="C3092" s="4" t="s">
        <v>154</v>
      </c>
      <c r="D3092" s="4">
        <v>37</v>
      </c>
      <c r="E3092" s="18" t="s">
        <v>116</v>
      </c>
      <c r="F3092" s="19" t="s">
        <v>150</v>
      </c>
    </row>
    <row r="3093" spans="1:6">
      <c r="A3093" s="4" t="str">
        <f t="shared" si="48"/>
        <v>tRNA-Lys-TTT-1-1|37</v>
      </c>
      <c r="B3093" s="4" t="s">
        <v>78</v>
      </c>
      <c r="C3093" s="4" t="s">
        <v>155</v>
      </c>
      <c r="D3093" s="4">
        <v>38</v>
      </c>
      <c r="E3093" s="18" t="s">
        <v>122</v>
      </c>
      <c r="F3093" s="19" t="s">
        <v>150</v>
      </c>
    </row>
    <row r="3094" spans="1:6">
      <c r="A3094" s="4" t="str">
        <f t="shared" si="48"/>
        <v>tRNA-Lys-TTT-1-1|38</v>
      </c>
      <c r="B3094" s="4" t="s">
        <v>78</v>
      </c>
      <c r="C3094" s="4" t="s">
        <v>156</v>
      </c>
      <c r="D3094" s="4">
        <v>39</v>
      </c>
      <c r="E3094" s="18" t="s">
        <v>122</v>
      </c>
      <c r="F3094" s="19" t="s">
        <v>150</v>
      </c>
    </row>
    <row r="3095" spans="1:6">
      <c r="A3095" s="4" t="str">
        <f t="shared" si="48"/>
        <v>tRNA-Lys-TTT-1-1|39</v>
      </c>
      <c r="B3095" s="4" t="s">
        <v>78</v>
      </c>
      <c r="C3095" s="4" t="s">
        <v>157</v>
      </c>
      <c r="D3095" s="4">
        <v>40</v>
      </c>
      <c r="E3095" s="20" t="s">
        <v>114</v>
      </c>
      <c r="F3095" s="21" t="s">
        <v>144</v>
      </c>
    </row>
    <row r="3096" spans="1:6">
      <c r="A3096" s="4" t="str">
        <f t="shared" si="48"/>
        <v>tRNA-Lys-TTT-1-1|40</v>
      </c>
      <c r="B3096" s="4" t="s">
        <v>78</v>
      </c>
      <c r="C3096" s="4" t="s">
        <v>158</v>
      </c>
      <c r="D3096" s="4">
        <v>41</v>
      </c>
      <c r="E3096" s="20" t="s">
        <v>114</v>
      </c>
      <c r="F3096" s="21" t="s">
        <v>144</v>
      </c>
    </row>
    <row r="3097" spans="1:6">
      <c r="A3097" s="4" t="str">
        <f t="shared" si="48"/>
        <v>tRNA-Lys-TTT-1-1|41</v>
      </c>
      <c r="B3097" s="4" t="s">
        <v>78</v>
      </c>
      <c r="C3097" s="4" t="s">
        <v>159</v>
      </c>
      <c r="D3097" s="4">
        <v>42</v>
      </c>
      <c r="E3097" s="20" t="s">
        <v>122</v>
      </c>
      <c r="F3097" s="21" t="s">
        <v>144</v>
      </c>
    </row>
    <row r="3098" spans="1:6">
      <c r="A3098" s="4" t="str">
        <f t="shared" si="48"/>
        <v>tRNA-Lys-TTT-1-1|42</v>
      </c>
      <c r="B3098" s="4" t="s">
        <v>78</v>
      </c>
      <c r="C3098" s="4" t="s">
        <v>160</v>
      </c>
      <c r="D3098" s="4">
        <v>43</v>
      </c>
      <c r="E3098" s="20" t="s">
        <v>109</v>
      </c>
      <c r="F3098" s="21" t="s">
        <v>144</v>
      </c>
    </row>
    <row r="3099" spans="1:6">
      <c r="A3099" s="4" t="str">
        <f t="shared" si="48"/>
        <v>tRNA-Lys-TTT-1-1|43</v>
      </c>
      <c r="B3099" s="4" t="s">
        <v>78</v>
      </c>
      <c r="C3099" s="4" t="s">
        <v>161</v>
      </c>
      <c r="D3099" s="4">
        <v>44</v>
      </c>
      <c r="E3099" s="20" t="s">
        <v>122</v>
      </c>
      <c r="F3099" s="21" t="s">
        <v>144</v>
      </c>
    </row>
    <row r="3100" spans="1:6">
      <c r="A3100" s="4" t="str">
        <f t="shared" si="48"/>
        <v>tRNA-Lys-TTT-1-1|44</v>
      </c>
      <c r="B3100" s="4" t="s">
        <v>78</v>
      </c>
      <c r="C3100" s="4" t="s">
        <v>162</v>
      </c>
      <c r="D3100" s="4">
        <v>45</v>
      </c>
      <c r="E3100" s="18" t="s">
        <v>114</v>
      </c>
      <c r="F3100" s="19" t="s">
        <v>163</v>
      </c>
    </row>
    <row r="3101" spans="1:6">
      <c r="A3101" s="4" t="str">
        <f t="shared" si="48"/>
        <v>tRNA-Lys-TTT-1-1|45</v>
      </c>
      <c r="B3101" s="4" t="s">
        <v>78</v>
      </c>
      <c r="C3101" s="4" t="s">
        <v>164</v>
      </c>
      <c r="D3101" s="4">
        <v>46</v>
      </c>
      <c r="E3101" s="18" t="s">
        <v>109</v>
      </c>
      <c r="F3101" s="19" t="s">
        <v>163</v>
      </c>
    </row>
    <row r="3102" spans="1:6">
      <c r="A3102" s="4" t="str">
        <f t="shared" si="48"/>
        <v>tRNA-Lys-TTT-1-1|46</v>
      </c>
      <c r="B3102" s="4" t="s">
        <v>78</v>
      </c>
      <c r="C3102" s="4" t="s">
        <v>165</v>
      </c>
      <c r="D3102" s="4">
        <v>47</v>
      </c>
      <c r="E3102" s="18" t="s">
        <v>109</v>
      </c>
      <c r="F3102" s="19" t="s">
        <v>163</v>
      </c>
    </row>
    <row r="3103" spans="1:6">
      <c r="A3103" s="4" t="str">
        <f t="shared" si="48"/>
        <v>tRNA-Lys-TTT-1-1|47</v>
      </c>
      <c r="B3103" s="4" t="s">
        <v>78</v>
      </c>
      <c r="C3103" s="4" t="s">
        <v>166</v>
      </c>
      <c r="D3103" s="4">
        <v>48</v>
      </c>
      <c r="E3103" s="18" t="s">
        <v>114</v>
      </c>
      <c r="F3103" s="19" t="s">
        <v>163</v>
      </c>
    </row>
    <row r="3104" spans="1:6">
      <c r="A3104" s="4" t="str">
        <f t="shared" si="48"/>
        <v>tRNA-Lys-TTT-1-1|48</v>
      </c>
      <c r="B3104" s="4" t="s">
        <v>78</v>
      </c>
      <c r="C3104" s="4" t="s">
        <v>167</v>
      </c>
      <c r="D3104" s="4">
        <v>49</v>
      </c>
      <c r="E3104" s="18" t="s">
        <v>114</v>
      </c>
      <c r="F3104" s="19" t="s">
        <v>163</v>
      </c>
    </row>
    <row r="3105" spans="1:6">
      <c r="A3105" s="4" t="str">
        <f t="shared" si="48"/>
        <v>tRNA-Lys-TTT-1-1|49</v>
      </c>
      <c r="B3105" s="4" t="s">
        <v>78</v>
      </c>
      <c r="C3105" s="4" t="s">
        <v>168</v>
      </c>
      <c r="D3105" s="4">
        <v>50</v>
      </c>
      <c r="E3105" s="22" t="s">
        <v>116</v>
      </c>
      <c r="F3105" s="10" t="s">
        <v>169</v>
      </c>
    </row>
    <row r="3106" spans="1:6">
      <c r="A3106" s="4" t="str">
        <f t="shared" si="48"/>
        <v>tRNA-Lys-TTT-1-1|50</v>
      </c>
      <c r="B3106" s="4" t="s">
        <v>78</v>
      </c>
      <c r="C3106" s="4" t="s">
        <v>170</v>
      </c>
      <c r="D3106" s="4">
        <v>51</v>
      </c>
      <c r="E3106" s="22" t="s">
        <v>122</v>
      </c>
      <c r="F3106" s="10" t="s">
        <v>169</v>
      </c>
    </row>
    <row r="3107" spans="1:6">
      <c r="A3107" s="4" t="str">
        <f t="shared" si="48"/>
        <v>tRNA-Lys-TTT-1-1|51</v>
      </c>
      <c r="B3107" s="4" t="s">
        <v>78</v>
      </c>
      <c r="C3107" s="4" t="s">
        <v>171</v>
      </c>
      <c r="D3107" s="4">
        <v>52</v>
      </c>
      <c r="E3107" s="22" t="s">
        <v>109</v>
      </c>
      <c r="F3107" s="10" t="s">
        <v>169</v>
      </c>
    </row>
    <row r="3108" spans="1:6">
      <c r="A3108" s="4" t="str">
        <f t="shared" si="48"/>
        <v>tRNA-Lys-TTT-1-1|52</v>
      </c>
      <c r="B3108" s="4" t="s">
        <v>78</v>
      </c>
      <c r="C3108" s="4" t="s">
        <v>172</v>
      </c>
      <c r="D3108" s="4">
        <v>53</v>
      </c>
      <c r="E3108" s="22" t="s">
        <v>109</v>
      </c>
      <c r="F3108" s="10" t="s">
        <v>169</v>
      </c>
    </row>
    <row r="3109" spans="1:6">
      <c r="A3109" s="4" t="str">
        <f t="shared" si="48"/>
        <v>tRNA-Lys-TTT-1-1|53</v>
      </c>
      <c r="B3109" s="4" t="s">
        <v>78</v>
      </c>
      <c r="C3109" s="4" t="s">
        <v>173</v>
      </c>
      <c r="D3109" s="4">
        <v>54</v>
      </c>
      <c r="E3109" s="22" t="s">
        <v>109</v>
      </c>
      <c r="F3109" s="10" t="s">
        <v>169</v>
      </c>
    </row>
    <row r="3110" spans="1:6">
      <c r="A3110" s="4" t="str">
        <f t="shared" si="48"/>
        <v>tRNA-Lys-TTT-1-1|54</v>
      </c>
      <c r="B3110" s="4" t="s">
        <v>78</v>
      </c>
      <c r="C3110" s="4" t="s">
        <v>174</v>
      </c>
      <c r="D3110" s="4">
        <v>55</v>
      </c>
      <c r="E3110" s="18" t="s">
        <v>116</v>
      </c>
      <c r="F3110" s="19" t="s">
        <v>175</v>
      </c>
    </row>
    <row r="3111" spans="1:6">
      <c r="A3111" s="4" t="str">
        <f t="shared" si="48"/>
        <v>tRNA-Lys-TTT-1-1|55</v>
      </c>
      <c r="B3111" s="4" t="s">
        <v>78</v>
      </c>
      <c r="C3111" s="4" t="s">
        <v>176</v>
      </c>
      <c r="D3111" s="4">
        <v>56</v>
      </c>
      <c r="E3111" s="18" t="s">
        <v>116</v>
      </c>
      <c r="F3111" s="19" t="s">
        <v>175</v>
      </c>
    </row>
    <row r="3112" spans="1:6">
      <c r="A3112" s="4" t="str">
        <f t="shared" si="48"/>
        <v>tRNA-Lys-TTT-1-1|56</v>
      </c>
      <c r="B3112" s="4" t="s">
        <v>78</v>
      </c>
      <c r="C3112" s="4" t="s">
        <v>177</v>
      </c>
      <c r="D3112" s="4">
        <v>57</v>
      </c>
      <c r="E3112" s="18" t="s">
        <v>114</v>
      </c>
      <c r="F3112" s="19" t="s">
        <v>175</v>
      </c>
    </row>
    <row r="3113" spans="1:6">
      <c r="A3113" s="4" t="str">
        <f t="shared" si="48"/>
        <v>tRNA-Lys-TTT-1-1|57</v>
      </c>
      <c r="B3113" s="4" t="s">
        <v>78</v>
      </c>
      <c r="C3113" s="4" t="s">
        <v>178</v>
      </c>
      <c r="D3113" s="4">
        <v>58</v>
      </c>
      <c r="E3113" s="18" t="s">
        <v>122</v>
      </c>
      <c r="F3113" s="19" t="s">
        <v>175</v>
      </c>
    </row>
    <row r="3114" spans="1:6">
      <c r="A3114" s="4" t="str">
        <f t="shared" si="48"/>
        <v>tRNA-Lys-TTT-1-1|58</v>
      </c>
      <c r="B3114" s="4" t="s">
        <v>78</v>
      </c>
      <c r="C3114" s="4" t="s">
        <v>179</v>
      </c>
      <c r="D3114" s="4">
        <v>59</v>
      </c>
      <c r="E3114" s="18" t="s">
        <v>122</v>
      </c>
      <c r="F3114" s="19" t="s">
        <v>175</v>
      </c>
    </row>
    <row r="3115" spans="1:6">
      <c r="A3115" s="4" t="str">
        <f t="shared" si="48"/>
        <v>tRNA-Lys-TTT-1-1|59</v>
      </c>
      <c r="B3115" s="4" t="s">
        <v>78</v>
      </c>
      <c r="C3115" s="4" t="s">
        <v>180</v>
      </c>
      <c r="D3115" s="4">
        <v>60</v>
      </c>
      <c r="E3115" s="18" t="s">
        <v>122</v>
      </c>
      <c r="F3115" s="19" t="s">
        <v>175</v>
      </c>
    </row>
    <row r="3116" spans="1:6">
      <c r="A3116" s="4" t="str">
        <f t="shared" si="48"/>
        <v>tRNA-Lys-TTT-1-1|60</v>
      </c>
      <c r="B3116" s="4" t="s">
        <v>78</v>
      </c>
      <c r="C3116" s="4" t="s">
        <v>181</v>
      </c>
      <c r="D3116" s="4">
        <v>61</v>
      </c>
      <c r="E3116" s="18" t="s">
        <v>116</v>
      </c>
      <c r="F3116" s="19" t="s">
        <v>175</v>
      </c>
    </row>
    <row r="3117" spans="1:6">
      <c r="A3117" s="4" t="str">
        <f t="shared" si="48"/>
        <v>tRNA-Lys-TTT-1-1|61</v>
      </c>
      <c r="B3117" s="4" t="s">
        <v>78</v>
      </c>
      <c r="C3117" s="4" t="s">
        <v>182</v>
      </c>
      <c r="D3117" s="4">
        <v>62</v>
      </c>
      <c r="E3117" s="22" t="s">
        <v>114</v>
      </c>
      <c r="F3117" s="10" t="s">
        <v>169</v>
      </c>
    </row>
    <row r="3118" spans="1:6">
      <c r="A3118" s="4" t="str">
        <f t="shared" si="48"/>
        <v>tRNA-Lys-TTT-1-1|62</v>
      </c>
      <c r="B3118" s="4" t="s">
        <v>78</v>
      </c>
      <c r="C3118" s="4" t="s">
        <v>183</v>
      </c>
      <c r="D3118" s="4">
        <v>63</v>
      </c>
      <c r="E3118" s="22" t="s">
        <v>114</v>
      </c>
      <c r="F3118" s="10" t="s">
        <v>169</v>
      </c>
    </row>
    <row r="3119" spans="1:6">
      <c r="A3119" s="4" t="str">
        <f t="shared" si="48"/>
        <v>tRNA-Lys-TTT-1-1|63</v>
      </c>
      <c r="B3119" s="4" t="s">
        <v>78</v>
      </c>
      <c r="C3119" s="4" t="s">
        <v>184</v>
      </c>
      <c r="D3119" s="4">
        <v>64</v>
      </c>
      <c r="E3119" s="22" t="s">
        <v>114</v>
      </c>
      <c r="F3119" s="10" t="s">
        <v>169</v>
      </c>
    </row>
    <row r="3120" spans="1:6">
      <c r="A3120" s="4" t="str">
        <f t="shared" si="48"/>
        <v>tRNA-Lys-TTT-1-1|64</v>
      </c>
      <c r="B3120" s="4" t="s">
        <v>78</v>
      </c>
      <c r="C3120" s="4" t="s">
        <v>185</v>
      </c>
      <c r="D3120" s="4">
        <v>65</v>
      </c>
      <c r="E3120" s="22" t="s">
        <v>116</v>
      </c>
      <c r="F3120" s="10" t="s">
        <v>169</v>
      </c>
    </row>
    <row r="3121" spans="1:6">
      <c r="A3121" s="4" t="str">
        <f t="shared" si="48"/>
        <v>tRNA-Lys-TTT-1-1|65</v>
      </c>
      <c r="B3121" s="4" t="s">
        <v>78</v>
      </c>
      <c r="C3121" s="4" t="s">
        <v>186</v>
      </c>
      <c r="D3121" s="4">
        <v>66</v>
      </c>
      <c r="E3121" s="22" t="s">
        <v>122</v>
      </c>
      <c r="F3121" s="10" t="s">
        <v>169</v>
      </c>
    </row>
    <row r="3122" spans="1:6">
      <c r="A3122" s="4" t="str">
        <f t="shared" si="48"/>
        <v>tRNA-Lys-TTT-1-1|66</v>
      </c>
      <c r="B3122" s="4" t="s">
        <v>78</v>
      </c>
      <c r="C3122" s="4" t="s">
        <v>187</v>
      </c>
      <c r="D3122" s="4">
        <v>67</v>
      </c>
      <c r="E3122" s="16" t="s">
        <v>114</v>
      </c>
      <c r="F3122" s="17" t="s">
        <v>110</v>
      </c>
    </row>
    <row r="3123" spans="1:6">
      <c r="A3123" s="4" t="str">
        <f t="shared" si="48"/>
        <v>tRNA-Lys-TTT-1-1|67</v>
      </c>
      <c r="B3123" s="4" t="s">
        <v>78</v>
      </c>
      <c r="C3123" s="4" t="s">
        <v>188</v>
      </c>
      <c r="D3123" s="4">
        <v>68</v>
      </c>
      <c r="E3123" s="16" t="s">
        <v>109</v>
      </c>
      <c r="F3123" s="17" t="s">
        <v>110</v>
      </c>
    </row>
    <row r="3124" spans="1:6">
      <c r="A3124" s="4" t="str">
        <f t="shared" si="48"/>
        <v>tRNA-Lys-TTT-1-1|68</v>
      </c>
      <c r="B3124" s="4" t="s">
        <v>78</v>
      </c>
      <c r="C3124" s="4" t="s">
        <v>189</v>
      </c>
      <c r="D3124" s="4">
        <v>69</v>
      </c>
      <c r="E3124" s="16" t="s">
        <v>109</v>
      </c>
      <c r="F3124" s="17" t="s">
        <v>110</v>
      </c>
    </row>
    <row r="3125" spans="1:6">
      <c r="A3125" s="4" t="str">
        <f t="shared" si="48"/>
        <v>tRNA-Lys-TTT-1-1|69</v>
      </c>
      <c r="B3125" s="4" t="s">
        <v>78</v>
      </c>
      <c r="C3125" s="4" t="s">
        <v>190</v>
      </c>
      <c r="D3125" s="4">
        <v>70</v>
      </c>
      <c r="E3125" s="16" t="s">
        <v>109</v>
      </c>
      <c r="F3125" s="17" t="s">
        <v>110</v>
      </c>
    </row>
    <row r="3126" spans="1:6">
      <c r="A3126" s="4" t="str">
        <f t="shared" si="48"/>
        <v>tRNA-Lys-TTT-1-1|70</v>
      </c>
      <c r="B3126" s="4" t="s">
        <v>78</v>
      </c>
      <c r="C3126" s="4" t="s">
        <v>191</v>
      </c>
      <c r="D3126" s="4">
        <v>71</v>
      </c>
      <c r="E3126" s="16" t="s">
        <v>114</v>
      </c>
      <c r="F3126" s="17" t="s">
        <v>110</v>
      </c>
    </row>
    <row r="3127" spans="1:6">
      <c r="A3127" s="4" t="str">
        <f t="shared" si="48"/>
        <v>tRNA-Lys-TTT-1-1|71</v>
      </c>
      <c r="B3127" s="4" t="s">
        <v>78</v>
      </c>
      <c r="C3127" s="4" t="s">
        <v>192</v>
      </c>
      <c r="D3127" s="4">
        <v>72</v>
      </c>
      <c r="E3127" s="16" t="s">
        <v>114</v>
      </c>
      <c r="F3127" s="17" t="s">
        <v>110</v>
      </c>
    </row>
    <row r="3128" spans="1:6">
      <c r="A3128" s="4" t="str">
        <f t="shared" si="48"/>
        <v>tRNA-Lys-TTT-1-1|72</v>
      </c>
      <c r="B3128" s="4" t="s">
        <v>78</v>
      </c>
      <c r="C3128" s="4" t="s">
        <v>193</v>
      </c>
      <c r="D3128" s="4">
        <v>73</v>
      </c>
      <c r="E3128" s="16" t="s">
        <v>114</v>
      </c>
      <c r="F3128" s="17" t="s">
        <v>110</v>
      </c>
    </row>
    <row r="3129" spans="1:6">
      <c r="A3129" s="4" t="str">
        <f t="shared" si="48"/>
        <v>tRNA-Met-CAT-1-1|1</v>
      </c>
      <c r="B3129" s="4" t="s">
        <v>79</v>
      </c>
      <c r="C3129" s="4" t="s">
        <v>108</v>
      </c>
      <c r="D3129" s="4">
        <v>1</v>
      </c>
      <c r="E3129" s="16" t="s">
        <v>109</v>
      </c>
      <c r="F3129" s="17" t="s">
        <v>110</v>
      </c>
    </row>
    <row r="3130" spans="1:6">
      <c r="A3130" s="4" t="str">
        <f t="shared" si="48"/>
        <v>tRNA-Met-CAT-1-1|2</v>
      </c>
      <c r="B3130" s="4" t="s">
        <v>79</v>
      </c>
      <c r="C3130" s="4" t="s">
        <v>111</v>
      </c>
      <c r="D3130" s="4">
        <v>2</v>
      </c>
      <c r="E3130" s="16" t="s">
        <v>114</v>
      </c>
      <c r="F3130" s="17" t="s">
        <v>110</v>
      </c>
    </row>
    <row r="3131" spans="1:6">
      <c r="A3131" s="4" t="str">
        <f t="shared" si="48"/>
        <v>tRNA-Met-CAT-1-1|3</v>
      </c>
      <c r="B3131" s="4" t="s">
        <v>79</v>
      </c>
      <c r="C3131" s="4" t="s">
        <v>112</v>
      </c>
      <c r="D3131" s="4">
        <v>3</v>
      </c>
      <c r="E3131" s="16" t="s">
        <v>114</v>
      </c>
      <c r="F3131" s="17" t="s">
        <v>110</v>
      </c>
    </row>
    <row r="3132" spans="1:6">
      <c r="A3132" s="4" t="str">
        <f t="shared" si="48"/>
        <v>tRNA-Met-CAT-1-1|4</v>
      </c>
      <c r="B3132" s="4" t="s">
        <v>79</v>
      </c>
      <c r="C3132" s="4" t="s">
        <v>113</v>
      </c>
      <c r="D3132" s="4">
        <v>4</v>
      </c>
      <c r="E3132" s="16" t="s">
        <v>114</v>
      </c>
      <c r="F3132" s="17" t="s">
        <v>110</v>
      </c>
    </row>
    <row r="3133" spans="1:6">
      <c r="A3133" s="4" t="str">
        <f t="shared" si="48"/>
        <v>tRNA-Met-CAT-1-1|5</v>
      </c>
      <c r="B3133" s="4" t="s">
        <v>79</v>
      </c>
      <c r="C3133" s="4" t="s">
        <v>115</v>
      </c>
      <c r="D3133" s="4">
        <v>5</v>
      </c>
      <c r="E3133" s="16" t="s">
        <v>109</v>
      </c>
      <c r="F3133" s="17" t="s">
        <v>110</v>
      </c>
    </row>
    <row r="3134" spans="1:6">
      <c r="A3134" s="4" t="str">
        <f t="shared" si="48"/>
        <v>tRNA-Met-CAT-1-1|6</v>
      </c>
      <c r="B3134" s="4" t="s">
        <v>79</v>
      </c>
      <c r="C3134" s="4" t="s">
        <v>117</v>
      </c>
      <c r="D3134" s="4">
        <v>6</v>
      </c>
      <c r="E3134" s="16" t="s">
        <v>109</v>
      </c>
      <c r="F3134" s="17" t="s">
        <v>110</v>
      </c>
    </row>
    <row r="3135" spans="1:6">
      <c r="A3135" s="4" t="str">
        <f t="shared" si="48"/>
        <v>tRNA-Met-CAT-1-1|7</v>
      </c>
      <c r="B3135" s="4" t="s">
        <v>79</v>
      </c>
      <c r="C3135" s="4" t="s">
        <v>118</v>
      </c>
      <c r="D3135" s="4">
        <v>7</v>
      </c>
      <c r="E3135" s="16" t="s">
        <v>122</v>
      </c>
      <c r="F3135" s="17" t="s">
        <v>110</v>
      </c>
    </row>
    <row r="3136" spans="1:6">
      <c r="A3136" s="4" t="str">
        <f t="shared" si="48"/>
        <v>tRNA-Met-CAT-1-1|8</v>
      </c>
      <c r="B3136" s="4" t="s">
        <v>79</v>
      </c>
      <c r="C3136" s="4" t="s">
        <v>119</v>
      </c>
      <c r="D3136" s="4">
        <v>8</v>
      </c>
      <c r="E3136" s="3" t="s">
        <v>116</v>
      </c>
      <c r="F3136" s="4" t="s">
        <v>120</v>
      </c>
    </row>
    <row r="3137" spans="1:6">
      <c r="A3137" s="4" t="str">
        <f t="shared" si="48"/>
        <v>tRNA-Met-CAT-1-1|9</v>
      </c>
      <c r="B3137" s="4" t="s">
        <v>79</v>
      </c>
      <c r="C3137" s="4" t="s">
        <v>121</v>
      </c>
      <c r="D3137" s="4">
        <v>9</v>
      </c>
      <c r="E3137" s="3" t="s">
        <v>122</v>
      </c>
      <c r="F3137" s="4" t="s">
        <v>123</v>
      </c>
    </row>
    <row r="3138" spans="1:6">
      <c r="A3138" s="4" t="str">
        <f t="shared" ref="A3138:A3201" si="49">B3138&amp;"|"&amp;C3138</f>
        <v>tRNA-Met-CAT-1-1|10</v>
      </c>
      <c r="B3138" s="4" t="s">
        <v>79</v>
      </c>
      <c r="C3138" s="4" t="s">
        <v>124</v>
      </c>
      <c r="D3138" s="4">
        <v>10</v>
      </c>
      <c r="E3138" s="8" t="s">
        <v>109</v>
      </c>
      <c r="F3138" s="7" t="s">
        <v>125</v>
      </c>
    </row>
    <row r="3139" spans="1:6">
      <c r="A3139" s="4" t="str">
        <f t="shared" si="49"/>
        <v>tRNA-Met-CAT-1-1|11</v>
      </c>
      <c r="B3139" s="4" t="s">
        <v>79</v>
      </c>
      <c r="C3139" s="4" t="s">
        <v>126</v>
      </c>
      <c r="D3139" s="4">
        <v>11</v>
      </c>
      <c r="E3139" s="8" t="s">
        <v>114</v>
      </c>
      <c r="F3139" s="7" t="s">
        <v>125</v>
      </c>
    </row>
    <row r="3140" spans="1:6">
      <c r="A3140" s="4" t="str">
        <f t="shared" si="49"/>
        <v>tRNA-Met-CAT-1-1|12</v>
      </c>
      <c r="B3140" s="4" t="s">
        <v>79</v>
      </c>
      <c r="C3140" s="4" t="s">
        <v>127</v>
      </c>
      <c r="D3140" s="4">
        <v>12</v>
      </c>
      <c r="E3140" s="8" t="s">
        <v>114</v>
      </c>
      <c r="F3140" s="7" t="s">
        <v>125</v>
      </c>
    </row>
    <row r="3141" spans="1:6">
      <c r="A3141" s="4" t="str">
        <f t="shared" si="49"/>
        <v>tRNA-Met-CAT-1-1|13</v>
      </c>
      <c r="B3141" s="4" t="s">
        <v>79</v>
      </c>
      <c r="C3141" s="4" t="s">
        <v>128</v>
      </c>
      <c r="D3141" s="4">
        <v>13</v>
      </c>
      <c r="E3141" s="8" t="s">
        <v>116</v>
      </c>
      <c r="F3141" s="7" t="s">
        <v>125</v>
      </c>
    </row>
    <row r="3142" spans="1:6">
      <c r="A3142" s="4" t="str">
        <f t="shared" si="49"/>
        <v>tRNA-Met-CAT-1-1|14</v>
      </c>
      <c r="B3142" s="4" t="s">
        <v>79</v>
      </c>
      <c r="C3142" s="4" t="s">
        <v>129</v>
      </c>
      <c r="D3142" s="4">
        <v>14</v>
      </c>
      <c r="E3142" s="18" t="s">
        <v>122</v>
      </c>
      <c r="F3142" s="19" t="s">
        <v>130</v>
      </c>
    </row>
    <row r="3143" spans="1:6">
      <c r="A3143" s="4" t="str">
        <f t="shared" si="49"/>
        <v>tRNA-Met-CAT-1-1|15</v>
      </c>
      <c r="B3143" s="4" t="s">
        <v>79</v>
      </c>
      <c r="C3143" s="4" t="s">
        <v>131</v>
      </c>
      <c r="D3143" s="4">
        <v>15</v>
      </c>
      <c r="E3143" s="18" t="s">
        <v>109</v>
      </c>
      <c r="F3143" s="19" t="s">
        <v>130</v>
      </c>
    </row>
    <row r="3144" spans="1:6">
      <c r="A3144" s="4" t="str">
        <f t="shared" si="49"/>
        <v>tRNA-Met-CAT-1-1|16</v>
      </c>
      <c r="B3144" s="4" t="s">
        <v>79</v>
      </c>
      <c r="C3144" s="4" t="s">
        <v>194</v>
      </c>
      <c r="D3144" s="4">
        <v>16</v>
      </c>
      <c r="E3144" s="18" t="s">
        <v>122</v>
      </c>
      <c r="F3144" s="19" t="s">
        <v>130</v>
      </c>
    </row>
    <row r="3145" spans="1:6">
      <c r="A3145" s="4" t="str">
        <f t="shared" si="49"/>
        <v>tRNA-Met-CAT-1-1|17</v>
      </c>
      <c r="B3145" s="4" t="s">
        <v>79</v>
      </c>
      <c r="C3145" s="4" t="s">
        <v>195</v>
      </c>
      <c r="D3145" s="4">
        <v>17</v>
      </c>
      <c r="E3145" s="18" t="s">
        <v>116</v>
      </c>
      <c r="F3145" s="19" t="s">
        <v>130</v>
      </c>
    </row>
    <row r="3146" spans="1:6">
      <c r="A3146" s="4" t="str">
        <f t="shared" si="49"/>
        <v>tRNA-Met-CAT-1-1|18</v>
      </c>
      <c r="B3146" s="4" t="s">
        <v>79</v>
      </c>
      <c r="C3146" s="4" t="s">
        <v>132</v>
      </c>
      <c r="D3146" s="4">
        <v>18</v>
      </c>
      <c r="E3146" s="18" t="s">
        <v>109</v>
      </c>
      <c r="F3146" s="19" t="s">
        <v>130</v>
      </c>
    </row>
    <row r="3147" spans="1:6">
      <c r="A3147" s="4" t="str">
        <f t="shared" si="49"/>
        <v>tRNA-Met-CAT-1-1|19</v>
      </c>
      <c r="B3147" s="4" t="s">
        <v>79</v>
      </c>
      <c r="C3147" s="4" t="s">
        <v>133</v>
      </c>
      <c r="D3147" s="4">
        <v>19</v>
      </c>
      <c r="E3147" s="18" t="s">
        <v>109</v>
      </c>
      <c r="F3147" s="19" t="s">
        <v>130</v>
      </c>
    </row>
    <row r="3148" spans="1:6">
      <c r="A3148" s="4" t="str">
        <f t="shared" si="49"/>
        <v>tRNA-Met-CAT-1-1|20</v>
      </c>
      <c r="B3148" s="4" t="s">
        <v>79</v>
      </c>
      <c r="C3148" s="4" t="s">
        <v>134</v>
      </c>
      <c r="D3148" s="4">
        <v>20</v>
      </c>
      <c r="E3148" s="18" t="s">
        <v>116</v>
      </c>
      <c r="F3148" s="19" t="s">
        <v>130</v>
      </c>
    </row>
    <row r="3149" spans="1:6">
      <c r="A3149" s="4" t="str">
        <f t="shared" si="49"/>
        <v>tRNA-Met-CAT-1-1|20a</v>
      </c>
      <c r="B3149" s="4" t="s">
        <v>79</v>
      </c>
      <c r="C3149" s="4" t="s">
        <v>135</v>
      </c>
      <c r="D3149" s="4">
        <v>21</v>
      </c>
      <c r="E3149" s="18" t="s">
        <v>116</v>
      </c>
      <c r="F3149" s="19" t="s">
        <v>130</v>
      </c>
    </row>
    <row r="3150" spans="1:6">
      <c r="A3150" s="4" t="str">
        <f t="shared" si="49"/>
        <v>tRNA-Met-CAT-1-1|21</v>
      </c>
      <c r="B3150" s="4" t="s">
        <v>79</v>
      </c>
      <c r="C3150" s="4" t="s">
        <v>136</v>
      </c>
      <c r="D3150" s="4">
        <v>22</v>
      </c>
      <c r="E3150" s="18" t="s">
        <v>109</v>
      </c>
      <c r="F3150" s="19" t="s">
        <v>130</v>
      </c>
    </row>
    <row r="3151" spans="1:6">
      <c r="A3151" s="4" t="str">
        <f t="shared" si="49"/>
        <v>tRNA-Met-CAT-1-1|22</v>
      </c>
      <c r="B3151" s="4" t="s">
        <v>79</v>
      </c>
      <c r="C3151" s="4" t="s">
        <v>137</v>
      </c>
      <c r="D3151" s="4">
        <v>23</v>
      </c>
      <c r="E3151" s="8" t="s">
        <v>109</v>
      </c>
      <c r="F3151" s="7" t="s">
        <v>125</v>
      </c>
    </row>
    <row r="3152" spans="1:6">
      <c r="A3152" s="4" t="str">
        <f t="shared" si="49"/>
        <v>tRNA-Met-CAT-1-1|23</v>
      </c>
      <c r="B3152" s="4" t="s">
        <v>79</v>
      </c>
      <c r="C3152" s="4" t="s">
        <v>138</v>
      </c>
      <c r="D3152" s="4">
        <v>24</v>
      </c>
      <c r="E3152" s="8" t="s">
        <v>109</v>
      </c>
      <c r="F3152" s="7" t="s">
        <v>125</v>
      </c>
    </row>
    <row r="3153" spans="1:6">
      <c r="A3153" s="4" t="str">
        <f t="shared" si="49"/>
        <v>tRNA-Met-CAT-1-1|24</v>
      </c>
      <c r="B3153" s="4" t="s">
        <v>79</v>
      </c>
      <c r="C3153" s="4" t="s">
        <v>139</v>
      </c>
      <c r="D3153" s="4">
        <v>25</v>
      </c>
      <c r="E3153" s="8" t="s">
        <v>109</v>
      </c>
      <c r="F3153" s="7" t="s">
        <v>125</v>
      </c>
    </row>
    <row r="3154" spans="1:6">
      <c r="A3154" s="4" t="str">
        <f t="shared" si="49"/>
        <v>tRNA-Met-CAT-1-1|25</v>
      </c>
      <c r="B3154" s="4" t="s">
        <v>79</v>
      </c>
      <c r="C3154" s="4" t="s">
        <v>140</v>
      </c>
      <c r="D3154" s="4">
        <v>26</v>
      </c>
      <c r="E3154" s="8" t="s">
        <v>114</v>
      </c>
      <c r="F3154" s="7" t="s">
        <v>125</v>
      </c>
    </row>
    <row r="3155" spans="1:6">
      <c r="A3155" s="4" t="str">
        <f t="shared" si="49"/>
        <v>tRNA-Met-CAT-1-1|26</v>
      </c>
      <c r="B3155" s="4" t="s">
        <v>79</v>
      </c>
      <c r="C3155" s="4" t="s">
        <v>141</v>
      </c>
      <c r="D3155" s="4">
        <v>27</v>
      </c>
      <c r="E3155" s="3" t="s">
        <v>109</v>
      </c>
      <c r="F3155" s="4" t="s">
        <v>142</v>
      </c>
    </row>
    <row r="3156" spans="1:6">
      <c r="A3156" s="4" t="str">
        <f t="shared" si="49"/>
        <v>tRNA-Met-CAT-1-1|27</v>
      </c>
      <c r="B3156" s="4" t="s">
        <v>79</v>
      </c>
      <c r="C3156" s="4" t="s">
        <v>143</v>
      </c>
      <c r="D3156" s="4">
        <v>28</v>
      </c>
      <c r="E3156" s="20" t="s">
        <v>114</v>
      </c>
      <c r="F3156" s="21" t="s">
        <v>144</v>
      </c>
    </row>
    <row r="3157" spans="1:6">
      <c r="A3157" s="4" t="str">
        <f t="shared" si="49"/>
        <v>tRNA-Met-CAT-1-1|28</v>
      </c>
      <c r="B3157" s="4" t="s">
        <v>79</v>
      </c>
      <c r="C3157" s="4" t="s">
        <v>145</v>
      </c>
      <c r="D3157" s="4">
        <v>29</v>
      </c>
      <c r="E3157" s="20" t="s">
        <v>114</v>
      </c>
      <c r="F3157" s="21" t="s">
        <v>144</v>
      </c>
    </row>
    <row r="3158" spans="1:6">
      <c r="A3158" s="4" t="str">
        <f t="shared" si="49"/>
        <v>tRNA-Met-CAT-1-1|29</v>
      </c>
      <c r="B3158" s="4" t="s">
        <v>79</v>
      </c>
      <c r="C3158" s="4" t="s">
        <v>146</v>
      </c>
      <c r="D3158" s="4">
        <v>30</v>
      </c>
      <c r="E3158" s="20" t="s">
        <v>122</v>
      </c>
      <c r="F3158" s="21" t="s">
        <v>144</v>
      </c>
    </row>
    <row r="3159" spans="1:6">
      <c r="A3159" s="4" t="str">
        <f t="shared" si="49"/>
        <v>tRNA-Met-CAT-1-1|30</v>
      </c>
      <c r="B3159" s="4" t="s">
        <v>79</v>
      </c>
      <c r="C3159" s="4" t="s">
        <v>147</v>
      </c>
      <c r="D3159" s="4">
        <v>31</v>
      </c>
      <c r="E3159" s="20" t="s">
        <v>109</v>
      </c>
      <c r="F3159" s="21" t="s">
        <v>144</v>
      </c>
    </row>
    <row r="3160" spans="1:6">
      <c r="A3160" s="4" t="str">
        <f t="shared" si="49"/>
        <v>tRNA-Met-CAT-1-1|31</v>
      </c>
      <c r="B3160" s="4" t="s">
        <v>79</v>
      </c>
      <c r="C3160" s="4" t="s">
        <v>148</v>
      </c>
      <c r="D3160" s="4">
        <v>32</v>
      </c>
      <c r="E3160" s="20" t="s">
        <v>122</v>
      </c>
      <c r="F3160" s="21" t="s">
        <v>144</v>
      </c>
    </row>
    <row r="3161" spans="1:6">
      <c r="A3161" s="4" t="str">
        <f t="shared" si="49"/>
        <v>tRNA-Met-CAT-1-1|32</v>
      </c>
      <c r="B3161" s="4" t="s">
        <v>79</v>
      </c>
      <c r="C3161" s="4" t="s">
        <v>149</v>
      </c>
      <c r="D3161" s="4">
        <v>33</v>
      </c>
      <c r="E3161" s="18" t="s">
        <v>114</v>
      </c>
      <c r="F3161" s="19" t="s">
        <v>150</v>
      </c>
    </row>
    <row r="3162" spans="1:6">
      <c r="A3162" s="4" t="str">
        <f t="shared" si="49"/>
        <v>tRNA-Met-CAT-1-1|33</v>
      </c>
      <c r="B3162" s="4" t="s">
        <v>79</v>
      </c>
      <c r="C3162" s="4" t="s">
        <v>151</v>
      </c>
      <c r="D3162" s="4">
        <v>34</v>
      </c>
      <c r="E3162" s="18" t="s">
        <v>116</v>
      </c>
      <c r="F3162" s="19" t="s">
        <v>150</v>
      </c>
    </row>
    <row r="3163" spans="1:6">
      <c r="A3163" s="4" t="str">
        <f t="shared" si="49"/>
        <v>tRNA-Met-CAT-1-1|34</v>
      </c>
      <c r="B3163" s="4" t="s">
        <v>79</v>
      </c>
      <c r="C3163" s="4" t="s">
        <v>152</v>
      </c>
      <c r="D3163" s="4">
        <v>35</v>
      </c>
      <c r="E3163" s="18" t="s">
        <v>114</v>
      </c>
      <c r="F3163" s="19" t="s">
        <v>150</v>
      </c>
    </row>
    <row r="3164" spans="1:6">
      <c r="A3164" s="4" t="str">
        <f t="shared" si="49"/>
        <v>tRNA-Met-CAT-1-1|35</v>
      </c>
      <c r="B3164" s="4" t="s">
        <v>79</v>
      </c>
      <c r="C3164" s="4" t="s">
        <v>153</v>
      </c>
      <c r="D3164" s="4">
        <v>36</v>
      </c>
      <c r="E3164" s="18" t="s">
        <v>122</v>
      </c>
      <c r="F3164" s="19" t="s">
        <v>150</v>
      </c>
    </row>
    <row r="3165" spans="1:6">
      <c r="A3165" s="4" t="str">
        <f t="shared" si="49"/>
        <v>tRNA-Met-CAT-1-1|36</v>
      </c>
      <c r="B3165" s="4" t="s">
        <v>79</v>
      </c>
      <c r="C3165" s="4" t="s">
        <v>154</v>
      </c>
      <c r="D3165" s="4">
        <v>37</v>
      </c>
      <c r="E3165" s="18" t="s">
        <v>116</v>
      </c>
      <c r="F3165" s="19" t="s">
        <v>150</v>
      </c>
    </row>
    <row r="3166" spans="1:6">
      <c r="A3166" s="4" t="str">
        <f t="shared" si="49"/>
        <v>tRNA-Met-CAT-1-1|37</v>
      </c>
      <c r="B3166" s="4" t="s">
        <v>79</v>
      </c>
      <c r="C3166" s="4" t="s">
        <v>155</v>
      </c>
      <c r="D3166" s="4">
        <v>38</v>
      </c>
      <c r="E3166" s="18" t="s">
        <v>122</v>
      </c>
      <c r="F3166" s="19" t="s">
        <v>150</v>
      </c>
    </row>
    <row r="3167" spans="1:6">
      <c r="A3167" s="4" t="str">
        <f t="shared" si="49"/>
        <v>tRNA-Met-CAT-1-1|38</v>
      </c>
      <c r="B3167" s="4" t="s">
        <v>79</v>
      </c>
      <c r="C3167" s="4" t="s">
        <v>156</v>
      </c>
      <c r="D3167" s="4">
        <v>39</v>
      </c>
      <c r="E3167" s="18" t="s">
        <v>122</v>
      </c>
      <c r="F3167" s="19" t="s">
        <v>150</v>
      </c>
    </row>
    <row r="3168" spans="1:6">
      <c r="A3168" s="4" t="str">
        <f t="shared" si="49"/>
        <v>tRNA-Met-CAT-1-1|39</v>
      </c>
      <c r="B3168" s="4" t="s">
        <v>79</v>
      </c>
      <c r="C3168" s="4" t="s">
        <v>157</v>
      </c>
      <c r="D3168" s="4">
        <v>40</v>
      </c>
      <c r="E3168" s="20" t="s">
        <v>116</v>
      </c>
      <c r="F3168" s="21" t="s">
        <v>144</v>
      </c>
    </row>
    <row r="3169" spans="1:6">
      <c r="A3169" s="4" t="str">
        <f t="shared" si="49"/>
        <v>tRNA-Met-CAT-1-1|40</v>
      </c>
      <c r="B3169" s="4" t="s">
        <v>79</v>
      </c>
      <c r="C3169" s="4" t="s">
        <v>158</v>
      </c>
      <c r="D3169" s="4">
        <v>41</v>
      </c>
      <c r="E3169" s="20" t="s">
        <v>114</v>
      </c>
      <c r="F3169" s="21" t="s">
        <v>144</v>
      </c>
    </row>
    <row r="3170" spans="1:6">
      <c r="A3170" s="4" t="str">
        <f t="shared" si="49"/>
        <v>tRNA-Met-CAT-1-1|41</v>
      </c>
      <c r="B3170" s="4" t="s">
        <v>79</v>
      </c>
      <c r="C3170" s="4" t="s">
        <v>159</v>
      </c>
      <c r="D3170" s="4">
        <v>42</v>
      </c>
      <c r="E3170" s="20" t="s">
        <v>116</v>
      </c>
      <c r="F3170" s="21" t="s">
        <v>144</v>
      </c>
    </row>
    <row r="3171" spans="1:6">
      <c r="A3171" s="4" t="str">
        <f t="shared" si="49"/>
        <v>tRNA-Met-CAT-1-1|42</v>
      </c>
      <c r="B3171" s="4" t="s">
        <v>79</v>
      </c>
      <c r="C3171" s="4" t="s">
        <v>160</v>
      </c>
      <c r="D3171" s="4">
        <v>43</v>
      </c>
      <c r="E3171" s="20" t="s">
        <v>109</v>
      </c>
      <c r="F3171" s="21" t="s">
        <v>144</v>
      </c>
    </row>
    <row r="3172" spans="1:6">
      <c r="A3172" s="4" t="str">
        <f t="shared" si="49"/>
        <v>tRNA-Met-CAT-1-1|43</v>
      </c>
      <c r="B3172" s="4" t="s">
        <v>79</v>
      </c>
      <c r="C3172" s="4" t="s">
        <v>161</v>
      </c>
      <c r="D3172" s="4">
        <v>44</v>
      </c>
      <c r="E3172" s="20" t="s">
        <v>109</v>
      </c>
      <c r="F3172" s="21" t="s">
        <v>144</v>
      </c>
    </row>
    <row r="3173" spans="1:6">
      <c r="A3173" s="4" t="str">
        <f t="shared" si="49"/>
        <v>tRNA-Met-CAT-1-1|44</v>
      </c>
      <c r="B3173" s="4" t="s">
        <v>79</v>
      </c>
      <c r="C3173" s="4" t="s">
        <v>162</v>
      </c>
      <c r="D3173" s="4">
        <v>45</v>
      </c>
      <c r="E3173" s="18" t="s">
        <v>122</v>
      </c>
      <c r="F3173" s="19" t="s">
        <v>163</v>
      </c>
    </row>
    <row r="3174" spans="1:6">
      <c r="A3174" s="4" t="str">
        <f t="shared" si="49"/>
        <v>tRNA-Met-CAT-1-1|45</v>
      </c>
      <c r="B3174" s="4" t="s">
        <v>79</v>
      </c>
      <c r="C3174" s="4" t="s">
        <v>164</v>
      </c>
      <c r="D3174" s="4">
        <v>46</v>
      </c>
      <c r="E3174" s="18" t="s">
        <v>109</v>
      </c>
      <c r="F3174" s="19" t="s">
        <v>163</v>
      </c>
    </row>
    <row r="3175" spans="1:6">
      <c r="A3175" s="4" t="str">
        <f t="shared" si="49"/>
        <v>tRNA-Met-CAT-1-1|46</v>
      </c>
      <c r="B3175" s="4" t="s">
        <v>79</v>
      </c>
      <c r="C3175" s="4" t="s">
        <v>165</v>
      </c>
      <c r="D3175" s="4">
        <v>47</v>
      </c>
      <c r="E3175" s="18" t="s">
        <v>109</v>
      </c>
      <c r="F3175" s="19" t="s">
        <v>163</v>
      </c>
    </row>
    <row r="3176" spans="1:6">
      <c r="A3176" s="4" t="str">
        <f t="shared" si="49"/>
        <v>tRNA-Met-CAT-1-1|47</v>
      </c>
      <c r="B3176" s="4" t="s">
        <v>79</v>
      </c>
      <c r="C3176" s="4" t="s">
        <v>166</v>
      </c>
      <c r="D3176" s="4">
        <v>48</v>
      </c>
      <c r="E3176" s="18" t="s">
        <v>116</v>
      </c>
      <c r="F3176" s="19" t="s">
        <v>163</v>
      </c>
    </row>
    <row r="3177" spans="1:6">
      <c r="A3177" s="4" t="str">
        <f t="shared" si="49"/>
        <v>tRNA-Met-CAT-1-1|48</v>
      </c>
      <c r="B3177" s="4" t="s">
        <v>79</v>
      </c>
      <c r="C3177" s="4" t="s">
        <v>167</v>
      </c>
      <c r="D3177" s="4">
        <v>49</v>
      </c>
      <c r="E3177" s="18" t="s">
        <v>114</v>
      </c>
      <c r="F3177" s="19" t="s">
        <v>163</v>
      </c>
    </row>
    <row r="3178" spans="1:6">
      <c r="A3178" s="4" t="str">
        <f t="shared" si="49"/>
        <v>tRNA-Met-CAT-1-1|49</v>
      </c>
      <c r="B3178" s="4" t="s">
        <v>79</v>
      </c>
      <c r="C3178" s="4" t="s">
        <v>168</v>
      </c>
      <c r="D3178" s="4">
        <v>50</v>
      </c>
      <c r="E3178" s="22" t="s">
        <v>109</v>
      </c>
      <c r="F3178" s="10" t="s">
        <v>169</v>
      </c>
    </row>
    <row r="3179" spans="1:6">
      <c r="A3179" s="4" t="str">
        <f t="shared" si="49"/>
        <v>tRNA-Met-CAT-1-1|50</v>
      </c>
      <c r="B3179" s="4" t="s">
        <v>79</v>
      </c>
      <c r="C3179" s="4" t="s">
        <v>170</v>
      </c>
      <c r="D3179" s="4">
        <v>51</v>
      </c>
      <c r="E3179" s="22" t="s">
        <v>114</v>
      </c>
      <c r="F3179" s="10" t="s">
        <v>169</v>
      </c>
    </row>
    <row r="3180" spans="1:6">
      <c r="A3180" s="4" t="str">
        <f t="shared" si="49"/>
        <v>tRNA-Met-CAT-1-1|51</v>
      </c>
      <c r="B3180" s="4" t="s">
        <v>79</v>
      </c>
      <c r="C3180" s="4" t="s">
        <v>171</v>
      </c>
      <c r="D3180" s="4">
        <v>52</v>
      </c>
      <c r="E3180" s="22" t="s">
        <v>109</v>
      </c>
      <c r="F3180" s="10" t="s">
        <v>169</v>
      </c>
    </row>
    <row r="3181" spans="1:6">
      <c r="A3181" s="4" t="str">
        <f t="shared" si="49"/>
        <v>tRNA-Met-CAT-1-1|52</v>
      </c>
      <c r="B3181" s="4" t="s">
        <v>79</v>
      </c>
      <c r="C3181" s="4" t="s">
        <v>172</v>
      </c>
      <c r="D3181" s="4">
        <v>53</v>
      </c>
      <c r="E3181" s="22" t="s">
        <v>116</v>
      </c>
      <c r="F3181" s="10" t="s">
        <v>169</v>
      </c>
    </row>
    <row r="3182" spans="1:6">
      <c r="A3182" s="4" t="str">
        <f t="shared" si="49"/>
        <v>tRNA-Met-CAT-1-1|53</v>
      </c>
      <c r="B3182" s="4" t="s">
        <v>79</v>
      </c>
      <c r="C3182" s="4" t="s">
        <v>173</v>
      </c>
      <c r="D3182" s="4">
        <v>54</v>
      </c>
      <c r="E3182" s="22" t="s">
        <v>109</v>
      </c>
      <c r="F3182" s="10" t="s">
        <v>169</v>
      </c>
    </row>
    <row r="3183" spans="1:6">
      <c r="A3183" s="4" t="str">
        <f t="shared" si="49"/>
        <v>tRNA-Met-CAT-1-1|54</v>
      </c>
      <c r="B3183" s="4" t="s">
        <v>79</v>
      </c>
      <c r="C3183" s="4" t="s">
        <v>174</v>
      </c>
      <c r="D3183" s="4">
        <v>55</v>
      </c>
      <c r="E3183" s="18" t="s">
        <v>116</v>
      </c>
      <c r="F3183" s="19" t="s">
        <v>175</v>
      </c>
    </row>
    <row r="3184" spans="1:6">
      <c r="A3184" s="4" t="str">
        <f t="shared" si="49"/>
        <v>tRNA-Met-CAT-1-1|55</v>
      </c>
      <c r="B3184" s="4" t="s">
        <v>79</v>
      </c>
      <c r="C3184" s="4" t="s">
        <v>176</v>
      </c>
      <c r="D3184" s="4">
        <v>56</v>
      </c>
      <c r="E3184" s="18" t="s">
        <v>116</v>
      </c>
      <c r="F3184" s="19" t="s">
        <v>175</v>
      </c>
    </row>
    <row r="3185" spans="1:6">
      <c r="A3185" s="4" t="str">
        <f t="shared" si="49"/>
        <v>tRNA-Met-CAT-1-1|56</v>
      </c>
      <c r="B3185" s="4" t="s">
        <v>79</v>
      </c>
      <c r="C3185" s="4" t="s">
        <v>177</v>
      </c>
      <c r="D3185" s="4">
        <v>57</v>
      </c>
      <c r="E3185" s="18" t="s">
        <v>114</v>
      </c>
      <c r="F3185" s="19" t="s">
        <v>175</v>
      </c>
    </row>
    <row r="3186" spans="1:6">
      <c r="A3186" s="4" t="str">
        <f t="shared" si="49"/>
        <v>tRNA-Met-CAT-1-1|57</v>
      </c>
      <c r="B3186" s="4" t="s">
        <v>79</v>
      </c>
      <c r="C3186" s="4" t="s">
        <v>178</v>
      </c>
      <c r="D3186" s="4">
        <v>58</v>
      </c>
      <c r="E3186" s="18" t="s">
        <v>109</v>
      </c>
      <c r="F3186" s="19" t="s">
        <v>175</v>
      </c>
    </row>
    <row r="3187" spans="1:6">
      <c r="A3187" s="4" t="str">
        <f t="shared" si="49"/>
        <v>tRNA-Met-CAT-1-1|58</v>
      </c>
      <c r="B3187" s="4" t="s">
        <v>79</v>
      </c>
      <c r="C3187" s="4" t="s">
        <v>179</v>
      </c>
      <c r="D3187" s="4">
        <v>59</v>
      </c>
      <c r="E3187" s="18" t="s">
        <v>122</v>
      </c>
      <c r="F3187" s="19" t="s">
        <v>175</v>
      </c>
    </row>
    <row r="3188" spans="1:6">
      <c r="A3188" s="4" t="str">
        <f t="shared" si="49"/>
        <v>tRNA-Met-CAT-1-1|59</v>
      </c>
      <c r="B3188" s="4" t="s">
        <v>79</v>
      </c>
      <c r="C3188" s="4" t="s">
        <v>180</v>
      </c>
      <c r="D3188" s="4">
        <v>60</v>
      </c>
      <c r="E3188" s="18" t="s">
        <v>109</v>
      </c>
      <c r="F3188" s="19" t="s">
        <v>175</v>
      </c>
    </row>
    <row r="3189" spans="1:6">
      <c r="A3189" s="4" t="str">
        <f t="shared" si="49"/>
        <v>tRNA-Met-CAT-1-1|60</v>
      </c>
      <c r="B3189" s="4" t="s">
        <v>79</v>
      </c>
      <c r="C3189" s="4" t="s">
        <v>181</v>
      </c>
      <c r="D3189" s="4">
        <v>61</v>
      </c>
      <c r="E3189" s="18" t="s">
        <v>116</v>
      </c>
      <c r="F3189" s="19" t="s">
        <v>175</v>
      </c>
    </row>
    <row r="3190" spans="1:6">
      <c r="A3190" s="4" t="str">
        <f t="shared" si="49"/>
        <v>tRNA-Met-CAT-1-1|61</v>
      </c>
      <c r="B3190" s="4" t="s">
        <v>79</v>
      </c>
      <c r="C3190" s="4" t="s">
        <v>182</v>
      </c>
      <c r="D3190" s="4">
        <v>62</v>
      </c>
      <c r="E3190" s="22" t="s">
        <v>114</v>
      </c>
      <c r="F3190" s="10" t="s">
        <v>169</v>
      </c>
    </row>
    <row r="3191" spans="1:6">
      <c r="A3191" s="4" t="str">
        <f t="shared" si="49"/>
        <v>tRNA-Met-CAT-1-1|62</v>
      </c>
      <c r="B3191" s="4" t="s">
        <v>79</v>
      </c>
      <c r="C3191" s="4" t="s">
        <v>183</v>
      </c>
      <c r="D3191" s="4">
        <v>63</v>
      </c>
      <c r="E3191" s="22" t="s">
        <v>122</v>
      </c>
      <c r="F3191" s="10" t="s">
        <v>169</v>
      </c>
    </row>
    <row r="3192" spans="1:6">
      <c r="A3192" s="4" t="str">
        <f t="shared" si="49"/>
        <v>tRNA-Met-CAT-1-1|63</v>
      </c>
      <c r="B3192" s="4" t="s">
        <v>79</v>
      </c>
      <c r="C3192" s="4" t="s">
        <v>184</v>
      </c>
      <c r="D3192" s="4">
        <v>64</v>
      </c>
      <c r="E3192" s="22" t="s">
        <v>114</v>
      </c>
      <c r="F3192" s="10" t="s">
        <v>169</v>
      </c>
    </row>
    <row r="3193" spans="1:6">
      <c r="A3193" s="4" t="str">
        <f t="shared" si="49"/>
        <v>tRNA-Met-CAT-1-1|64</v>
      </c>
      <c r="B3193" s="4" t="s">
        <v>79</v>
      </c>
      <c r="C3193" s="4" t="s">
        <v>185</v>
      </c>
      <c r="D3193" s="4">
        <v>65</v>
      </c>
      <c r="E3193" s="22" t="s">
        <v>109</v>
      </c>
      <c r="F3193" s="10" t="s">
        <v>169</v>
      </c>
    </row>
    <row r="3194" spans="1:6">
      <c r="A3194" s="4" t="str">
        <f t="shared" si="49"/>
        <v>tRNA-Met-CAT-1-1|65</v>
      </c>
      <c r="B3194" s="4" t="s">
        <v>79</v>
      </c>
      <c r="C3194" s="4" t="s">
        <v>186</v>
      </c>
      <c r="D3194" s="4">
        <v>66</v>
      </c>
      <c r="E3194" s="22" t="s">
        <v>114</v>
      </c>
      <c r="F3194" s="10" t="s">
        <v>169</v>
      </c>
    </row>
    <row r="3195" spans="1:6">
      <c r="A3195" s="4" t="str">
        <f t="shared" si="49"/>
        <v>tRNA-Met-CAT-1-1|66</v>
      </c>
      <c r="B3195" s="4" t="s">
        <v>79</v>
      </c>
      <c r="C3195" s="4" t="s">
        <v>187</v>
      </c>
      <c r="D3195" s="4">
        <v>67</v>
      </c>
      <c r="E3195" s="16" t="s">
        <v>116</v>
      </c>
      <c r="F3195" s="17" t="s">
        <v>110</v>
      </c>
    </row>
    <row r="3196" spans="1:6">
      <c r="A3196" s="4" t="str">
        <f t="shared" si="49"/>
        <v>tRNA-Met-CAT-1-1|67</v>
      </c>
      <c r="B3196" s="4" t="s">
        <v>79</v>
      </c>
      <c r="C3196" s="4" t="s">
        <v>188</v>
      </c>
      <c r="D3196" s="4">
        <v>68</v>
      </c>
      <c r="E3196" s="16" t="s">
        <v>114</v>
      </c>
      <c r="F3196" s="17" t="s">
        <v>110</v>
      </c>
    </row>
    <row r="3197" spans="1:6">
      <c r="A3197" s="4" t="str">
        <f t="shared" si="49"/>
        <v>tRNA-Met-CAT-1-1|68</v>
      </c>
      <c r="B3197" s="4" t="s">
        <v>79</v>
      </c>
      <c r="C3197" s="4" t="s">
        <v>189</v>
      </c>
      <c r="D3197" s="4">
        <v>69</v>
      </c>
      <c r="E3197" s="16" t="s">
        <v>114</v>
      </c>
      <c r="F3197" s="17" t="s">
        <v>110</v>
      </c>
    </row>
    <row r="3198" spans="1:6">
      <c r="A3198" s="4" t="str">
        <f t="shared" si="49"/>
        <v>tRNA-Met-CAT-1-1|69</v>
      </c>
      <c r="B3198" s="4" t="s">
        <v>79</v>
      </c>
      <c r="C3198" s="4" t="s">
        <v>190</v>
      </c>
      <c r="D3198" s="4">
        <v>70</v>
      </c>
      <c r="E3198" s="16" t="s">
        <v>109</v>
      </c>
      <c r="F3198" s="17" t="s">
        <v>110</v>
      </c>
    </row>
    <row r="3199" spans="1:6">
      <c r="A3199" s="4" t="str">
        <f t="shared" si="49"/>
        <v>tRNA-Met-CAT-1-1|70</v>
      </c>
      <c r="B3199" s="4" t="s">
        <v>79</v>
      </c>
      <c r="C3199" s="4" t="s">
        <v>191</v>
      </c>
      <c r="D3199" s="4">
        <v>71</v>
      </c>
      <c r="E3199" s="16" t="s">
        <v>109</v>
      </c>
      <c r="F3199" s="17" t="s">
        <v>110</v>
      </c>
    </row>
    <row r="3200" spans="1:6">
      <c r="A3200" s="4" t="str">
        <f t="shared" si="49"/>
        <v>tRNA-Met-CAT-1-1|71</v>
      </c>
      <c r="B3200" s="4" t="s">
        <v>79</v>
      </c>
      <c r="C3200" s="4" t="s">
        <v>192</v>
      </c>
      <c r="D3200" s="4">
        <v>72</v>
      </c>
      <c r="E3200" s="16" t="s">
        <v>109</v>
      </c>
      <c r="F3200" s="17" t="s">
        <v>110</v>
      </c>
    </row>
    <row r="3201" spans="1:6">
      <c r="A3201" s="4" t="str">
        <f t="shared" si="49"/>
        <v>tRNA-Met-CAT-1-1|72</v>
      </c>
      <c r="B3201" s="4" t="s">
        <v>79</v>
      </c>
      <c r="C3201" s="4" t="s">
        <v>193</v>
      </c>
      <c r="D3201" s="4">
        <v>73</v>
      </c>
      <c r="E3201" s="16" t="s">
        <v>114</v>
      </c>
      <c r="F3201" s="17" t="s">
        <v>110</v>
      </c>
    </row>
    <row r="3202" spans="1:6">
      <c r="A3202" s="4" t="str">
        <f t="shared" ref="A3202:A3265" si="50">B3202&amp;"|"&amp;C3202</f>
        <v>tRNA-Phe-GAA-1-1|1</v>
      </c>
      <c r="B3202" s="4" t="s">
        <v>80</v>
      </c>
      <c r="C3202" s="4" t="s">
        <v>108</v>
      </c>
      <c r="D3202" s="4">
        <v>1</v>
      </c>
      <c r="E3202" s="16" t="s">
        <v>109</v>
      </c>
      <c r="F3202" s="17" t="s">
        <v>110</v>
      </c>
    </row>
    <row r="3203" spans="1:6">
      <c r="A3203" s="4" t="str">
        <f t="shared" si="50"/>
        <v>tRNA-Phe-GAA-1-1|2</v>
      </c>
      <c r="B3203" s="4" t="s">
        <v>80</v>
      </c>
      <c r="C3203" s="4" t="s">
        <v>111</v>
      </c>
      <c r="D3203" s="4">
        <v>2</v>
      </c>
      <c r="E3203" s="16" t="s">
        <v>114</v>
      </c>
      <c r="F3203" s="17" t="s">
        <v>110</v>
      </c>
    </row>
    <row r="3204" spans="1:6">
      <c r="A3204" s="4" t="str">
        <f t="shared" si="50"/>
        <v>tRNA-Phe-GAA-1-1|3</v>
      </c>
      <c r="B3204" s="4" t="s">
        <v>80</v>
      </c>
      <c r="C3204" s="4" t="s">
        <v>112</v>
      </c>
      <c r="D3204" s="4">
        <v>3</v>
      </c>
      <c r="E3204" s="16" t="s">
        <v>114</v>
      </c>
      <c r="F3204" s="17" t="s">
        <v>110</v>
      </c>
    </row>
    <row r="3205" spans="1:6">
      <c r="A3205" s="4" t="str">
        <f t="shared" si="50"/>
        <v>tRNA-Phe-GAA-1-1|4</v>
      </c>
      <c r="B3205" s="4" t="s">
        <v>80</v>
      </c>
      <c r="C3205" s="4" t="s">
        <v>113</v>
      </c>
      <c r="D3205" s="4">
        <v>4</v>
      </c>
      <c r="E3205" s="16" t="s">
        <v>114</v>
      </c>
      <c r="F3205" s="17" t="s">
        <v>110</v>
      </c>
    </row>
    <row r="3206" spans="1:6">
      <c r="A3206" s="4" t="str">
        <f t="shared" si="50"/>
        <v>tRNA-Phe-GAA-1-1|5</v>
      </c>
      <c r="B3206" s="4" t="s">
        <v>80</v>
      </c>
      <c r="C3206" s="4" t="s">
        <v>115</v>
      </c>
      <c r="D3206" s="4">
        <v>5</v>
      </c>
      <c r="E3206" s="16" t="s">
        <v>122</v>
      </c>
      <c r="F3206" s="17" t="s">
        <v>110</v>
      </c>
    </row>
    <row r="3207" spans="1:6">
      <c r="A3207" s="4" t="str">
        <f t="shared" si="50"/>
        <v>tRNA-Phe-GAA-1-1|6</v>
      </c>
      <c r="B3207" s="4" t="s">
        <v>80</v>
      </c>
      <c r="C3207" s="4" t="s">
        <v>117</v>
      </c>
      <c r="D3207" s="4">
        <v>6</v>
      </c>
      <c r="E3207" s="16" t="s">
        <v>109</v>
      </c>
      <c r="F3207" s="17" t="s">
        <v>110</v>
      </c>
    </row>
    <row r="3208" spans="1:6">
      <c r="A3208" s="4" t="str">
        <f t="shared" si="50"/>
        <v>tRNA-Phe-GAA-1-1|7</v>
      </c>
      <c r="B3208" s="4" t="s">
        <v>80</v>
      </c>
      <c r="C3208" s="4" t="s">
        <v>118</v>
      </c>
      <c r="D3208" s="4">
        <v>7</v>
      </c>
      <c r="E3208" s="16" t="s">
        <v>109</v>
      </c>
      <c r="F3208" s="17" t="s">
        <v>110</v>
      </c>
    </row>
    <row r="3209" spans="1:6">
      <c r="A3209" s="4" t="str">
        <f t="shared" si="50"/>
        <v>tRNA-Phe-GAA-1-1|8</v>
      </c>
      <c r="B3209" s="4" t="s">
        <v>80</v>
      </c>
      <c r="C3209" s="4" t="s">
        <v>119</v>
      </c>
      <c r="D3209" s="4">
        <v>8</v>
      </c>
      <c r="E3209" s="3" t="s">
        <v>116</v>
      </c>
      <c r="F3209" s="4" t="s">
        <v>120</v>
      </c>
    </row>
    <row r="3210" spans="1:6">
      <c r="A3210" s="4" t="str">
        <f t="shared" si="50"/>
        <v>tRNA-Phe-GAA-1-1|9</v>
      </c>
      <c r="B3210" s="4" t="s">
        <v>80</v>
      </c>
      <c r="C3210" s="4" t="s">
        <v>121</v>
      </c>
      <c r="D3210" s="4">
        <v>9</v>
      </c>
      <c r="E3210" s="3" t="s">
        <v>122</v>
      </c>
      <c r="F3210" s="4" t="s">
        <v>123</v>
      </c>
    </row>
    <row r="3211" spans="1:6">
      <c r="A3211" s="4" t="str">
        <f t="shared" si="50"/>
        <v>tRNA-Phe-GAA-1-1|10</v>
      </c>
      <c r="B3211" s="4" t="s">
        <v>80</v>
      </c>
      <c r="C3211" s="4" t="s">
        <v>124</v>
      </c>
      <c r="D3211" s="4">
        <v>10</v>
      </c>
      <c r="E3211" s="8" t="s">
        <v>109</v>
      </c>
      <c r="F3211" s="7" t="s">
        <v>125</v>
      </c>
    </row>
    <row r="3212" spans="1:6">
      <c r="A3212" s="4" t="str">
        <f t="shared" si="50"/>
        <v>tRNA-Phe-GAA-1-1|11</v>
      </c>
      <c r="B3212" s="4" t="s">
        <v>80</v>
      </c>
      <c r="C3212" s="4" t="s">
        <v>126</v>
      </c>
      <c r="D3212" s="4">
        <v>11</v>
      </c>
      <c r="E3212" s="8" t="s">
        <v>114</v>
      </c>
      <c r="F3212" s="7" t="s">
        <v>125</v>
      </c>
    </row>
    <row r="3213" spans="1:6">
      <c r="A3213" s="4" t="str">
        <f t="shared" si="50"/>
        <v>tRNA-Phe-GAA-1-1|12</v>
      </c>
      <c r="B3213" s="4" t="s">
        <v>80</v>
      </c>
      <c r="C3213" s="4" t="s">
        <v>127</v>
      </c>
      <c r="D3213" s="4">
        <v>12</v>
      </c>
      <c r="E3213" s="8" t="s">
        <v>116</v>
      </c>
      <c r="F3213" s="7" t="s">
        <v>125</v>
      </c>
    </row>
    <row r="3214" spans="1:6">
      <c r="A3214" s="4" t="str">
        <f t="shared" si="50"/>
        <v>tRNA-Phe-GAA-1-1|13</v>
      </c>
      <c r="B3214" s="4" t="s">
        <v>80</v>
      </c>
      <c r="C3214" s="4" t="s">
        <v>128</v>
      </c>
      <c r="D3214" s="4">
        <v>13</v>
      </c>
      <c r="E3214" s="8" t="s">
        <v>114</v>
      </c>
      <c r="F3214" s="7" t="s">
        <v>125</v>
      </c>
    </row>
    <row r="3215" spans="1:6">
      <c r="A3215" s="4" t="str">
        <f t="shared" si="50"/>
        <v>tRNA-Phe-GAA-1-1|14</v>
      </c>
      <c r="B3215" s="4" t="s">
        <v>80</v>
      </c>
      <c r="C3215" s="4" t="s">
        <v>129</v>
      </c>
      <c r="D3215" s="4">
        <v>14</v>
      </c>
      <c r="E3215" s="18" t="s">
        <v>122</v>
      </c>
      <c r="F3215" s="19" t="s">
        <v>130</v>
      </c>
    </row>
    <row r="3216" spans="1:6">
      <c r="A3216" s="4" t="str">
        <f t="shared" si="50"/>
        <v>tRNA-Phe-GAA-1-1|15</v>
      </c>
      <c r="B3216" s="4" t="s">
        <v>80</v>
      </c>
      <c r="C3216" s="4" t="s">
        <v>131</v>
      </c>
      <c r="D3216" s="4">
        <v>15</v>
      </c>
      <c r="E3216" s="18" t="s">
        <v>109</v>
      </c>
      <c r="F3216" s="19" t="s">
        <v>130</v>
      </c>
    </row>
    <row r="3217" spans="1:6">
      <c r="A3217" s="4" t="str">
        <f t="shared" si="50"/>
        <v>tRNA-Phe-GAA-1-1|16</v>
      </c>
      <c r="B3217" s="4" t="s">
        <v>80</v>
      </c>
      <c r="C3217" s="4" t="s">
        <v>194</v>
      </c>
      <c r="D3217" s="4">
        <v>16</v>
      </c>
      <c r="E3217" s="18" t="s">
        <v>116</v>
      </c>
      <c r="F3217" s="19" t="s">
        <v>130</v>
      </c>
    </row>
    <row r="3218" spans="1:6">
      <c r="A3218" s="4" t="str">
        <f t="shared" si="50"/>
        <v>tRNA-Phe-GAA-1-1|18</v>
      </c>
      <c r="B3218" s="4" t="s">
        <v>80</v>
      </c>
      <c r="C3218" s="4" t="s">
        <v>132</v>
      </c>
      <c r="D3218" s="4">
        <v>17</v>
      </c>
      <c r="E3218" s="18" t="s">
        <v>109</v>
      </c>
      <c r="F3218" s="19" t="s">
        <v>130</v>
      </c>
    </row>
    <row r="3219" spans="1:6">
      <c r="A3219" s="4" t="str">
        <f t="shared" si="50"/>
        <v>tRNA-Phe-GAA-1-1|19</v>
      </c>
      <c r="B3219" s="4" t="s">
        <v>80</v>
      </c>
      <c r="C3219" s="4" t="s">
        <v>133</v>
      </c>
      <c r="D3219" s="4">
        <v>18</v>
      </c>
      <c r="E3219" s="18" t="s">
        <v>109</v>
      </c>
      <c r="F3219" s="19" t="s">
        <v>130</v>
      </c>
    </row>
    <row r="3220" spans="1:6">
      <c r="A3220" s="4" t="str">
        <f t="shared" si="50"/>
        <v>tRNA-Phe-GAA-1-1|20</v>
      </c>
      <c r="B3220" s="4" t="s">
        <v>80</v>
      </c>
      <c r="C3220" s="4" t="s">
        <v>134</v>
      </c>
      <c r="D3220" s="4">
        <v>19</v>
      </c>
      <c r="E3220" s="18" t="s">
        <v>109</v>
      </c>
      <c r="F3220" s="19" t="s">
        <v>130</v>
      </c>
    </row>
    <row r="3221" spans="1:6">
      <c r="A3221" s="4" t="str">
        <f t="shared" si="50"/>
        <v>tRNA-Phe-GAA-1-1|21</v>
      </c>
      <c r="B3221" s="4" t="s">
        <v>80</v>
      </c>
      <c r="C3221" s="4" t="s">
        <v>136</v>
      </c>
      <c r="D3221" s="4">
        <v>20</v>
      </c>
      <c r="E3221" s="18" t="s">
        <v>122</v>
      </c>
      <c r="F3221" s="19" t="s">
        <v>130</v>
      </c>
    </row>
    <row r="3222" spans="1:6">
      <c r="A3222" s="4" t="str">
        <f t="shared" si="50"/>
        <v>tRNA-Phe-GAA-1-1|22</v>
      </c>
      <c r="B3222" s="4" t="s">
        <v>80</v>
      </c>
      <c r="C3222" s="4" t="s">
        <v>137</v>
      </c>
      <c r="D3222" s="4">
        <v>21</v>
      </c>
      <c r="E3222" s="8" t="s">
        <v>109</v>
      </c>
      <c r="F3222" s="7" t="s">
        <v>125</v>
      </c>
    </row>
    <row r="3223" spans="1:6">
      <c r="A3223" s="4" t="str">
        <f t="shared" si="50"/>
        <v>tRNA-Phe-GAA-1-1|23</v>
      </c>
      <c r="B3223" s="4" t="s">
        <v>80</v>
      </c>
      <c r="C3223" s="4" t="s">
        <v>138</v>
      </c>
      <c r="D3223" s="4">
        <v>22</v>
      </c>
      <c r="E3223" s="8" t="s">
        <v>122</v>
      </c>
      <c r="F3223" s="7" t="s">
        <v>125</v>
      </c>
    </row>
    <row r="3224" spans="1:6">
      <c r="A3224" s="4" t="str">
        <f t="shared" si="50"/>
        <v>tRNA-Phe-GAA-1-1|24</v>
      </c>
      <c r="B3224" s="4" t="s">
        <v>80</v>
      </c>
      <c r="C3224" s="4" t="s">
        <v>139</v>
      </c>
      <c r="D3224" s="4">
        <v>23</v>
      </c>
      <c r="E3224" s="8" t="s">
        <v>109</v>
      </c>
      <c r="F3224" s="7" t="s">
        <v>125</v>
      </c>
    </row>
    <row r="3225" spans="1:6">
      <c r="A3225" s="4" t="str">
        <f t="shared" si="50"/>
        <v>tRNA-Phe-GAA-1-1|25</v>
      </c>
      <c r="B3225" s="4" t="s">
        <v>80</v>
      </c>
      <c r="C3225" s="4" t="s">
        <v>140</v>
      </c>
      <c r="D3225" s="4">
        <v>24</v>
      </c>
      <c r="E3225" s="8" t="s">
        <v>114</v>
      </c>
      <c r="F3225" s="7" t="s">
        <v>125</v>
      </c>
    </row>
    <row r="3226" spans="1:6">
      <c r="A3226" s="4" t="str">
        <f t="shared" si="50"/>
        <v>tRNA-Phe-GAA-1-1|26</v>
      </c>
      <c r="B3226" s="4" t="s">
        <v>80</v>
      </c>
      <c r="C3226" s="4" t="s">
        <v>141</v>
      </c>
      <c r="D3226" s="4">
        <v>25</v>
      </c>
      <c r="E3226" s="3" t="s">
        <v>109</v>
      </c>
      <c r="F3226" s="4" t="s">
        <v>142</v>
      </c>
    </row>
    <row r="3227" spans="1:6">
      <c r="A3227" s="4" t="str">
        <f t="shared" si="50"/>
        <v>tRNA-Phe-GAA-1-1|27</v>
      </c>
      <c r="B3227" s="4" t="s">
        <v>80</v>
      </c>
      <c r="C3227" s="4" t="s">
        <v>143</v>
      </c>
      <c r="D3227" s="4">
        <v>26</v>
      </c>
      <c r="E3227" s="20" t="s">
        <v>114</v>
      </c>
      <c r="F3227" s="21" t="s">
        <v>144</v>
      </c>
    </row>
    <row r="3228" spans="1:6">
      <c r="A3228" s="4" t="str">
        <f t="shared" si="50"/>
        <v>tRNA-Phe-GAA-1-1|28</v>
      </c>
      <c r="B3228" s="4" t="s">
        <v>80</v>
      </c>
      <c r="C3228" s="4" t="s">
        <v>145</v>
      </c>
      <c r="D3228" s="4">
        <v>27</v>
      </c>
      <c r="E3228" s="20" t="s">
        <v>116</v>
      </c>
      <c r="F3228" s="21" t="s">
        <v>144</v>
      </c>
    </row>
    <row r="3229" spans="1:6">
      <c r="A3229" s="4" t="str">
        <f t="shared" si="50"/>
        <v>tRNA-Phe-GAA-1-1|29</v>
      </c>
      <c r="B3229" s="4" t="s">
        <v>80</v>
      </c>
      <c r="C3229" s="4" t="s">
        <v>146</v>
      </c>
      <c r="D3229" s="4">
        <v>28</v>
      </c>
      <c r="E3229" s="20" t="s">
        <v>109</v>
      </c>
      <c r="F3229" s="21" t="s">
        <v>144</v>
      </c>
    </row>
    <row r="3230" spans="1:6">
      <c r="A3230" s="4" t="str">
        <f t="shared" si="50"/>
        <v>tRNA-Phe-GAA-1-1|30</v>
      </c>
      <c r="B3230" s="4" t="s">
        <v>80</v>
      </c>
      <c r="C3230" s="4" t="s">
        <v>147</v>
      </c>
      <c r="D3230" s="4">
        <v>29</v>
      </c>
      <c r="E3230" s="20" t="s">
        <v>114</v>
      </c>
      <c r="F3230" s="21" t="s">
        <v>144</v>
      </c>
    </row>
    <row r="3231" spans="1:6">
      <c r="A3231" s="4" t="str">
        <f t="shared" si="50"/>
        <v>tRNA-Phe-GAA-1-1|31</v>
      </c>
      <c r="B3231" s="4" t="s">
        <v>80</v>
      </c>
      <c r="C3231" s="4" t="s">
        <v>148</v>
      </c>
      <c r="D3231" s="4">
        <v>30</v>
      </c>
      <c r="E3231" s="20" t="s">
        <v>114</v>
      </c>
      <c r="F3231" s="21" t="s">
        <v>144</v>
      </c>
    </row>
    <row r="3232" spans="1:6">
      <c r="A3232" s="4" t="str">
        <f t="shared" si="50"/>
        <v>tRNA-Phe-GAA-1-1|32</v>
      </c>
      <c r="B3232" s="4" t="s">
        <v>80</v>
      </c>
      <c r="C3232" s="4" t="s">
        <v>149</v>
      </c>
      <c r="D3232" s="4">
        <v>31</v>
      </c>
      <c r="E3232" s="18" t="s">
        <v>114</v>
      </c>
      <c r="F3232" s="19" t="s">
        <v>150</v>
      </c>
    </row>
    <row r="3233" spans="1:6">
      <c r="A3233" s="4" t="str">
        <f t="shared" si="50"/>
        <v>tRNA-Phe-GAA-1-1|33</v>
      </c>
      <c r="B3233" s="4" t="s">
        <v>80</v>
      </c>
      <c r="C3233" s="4" t="s">
        <v>151</v>
      </c>
      <c r="D3233" s="4">
        <v>32</v>
      </c>
      <c r="E3233" s="18" t="s">
        <v>116</v>
      </c>
      <c r="F3233" s="19" t="s">
        <v>150</v>
      </c>
    </row>
    <row r="3234" spans="1:6">
      <c r="A3234" s="4" t="str">
        <f t="shared" si="50"/>
        <v>tRNA-Phe-GAA-1-1|34</v>
      </c>
      <c r="B3234" s="4" t="s">
        <v>80</v>
      </c>
      <c r="C3234" s="4" t="s">
        <v>152</v>
      </c>
      <c r="D3234" s="4">
        <v>33</v>
      </c>
      <c r="E3234" s="18" t="s">
        <v>109</v>
      </c>
      <c r="F3234" s="19" t="s">
        <v>150</v>
      </c>
    </row>
    <row r="3235" spans="1:6">
      <c r="A3235" s="4" t="str">
        <f t="shared" si="50"/>
        <v>tRNA-Phe-GAA-1-1|35</v>
      </c>
      <c r="B3235" s="4" t="s">
        <v>80</v>
      </c>
      <c r="C3235" s="4" t="s">
        <v>153</v>
      </c>
      <c r="D3235" s="4">
        <v>34</v>
      </c>
      <c r="E3235" s="18" t="s">
        <v>122</v>
      </c>
      <c r="F3235" s="19" t="s">
        <v>150</v>
      </c>
    </row>
    <row r="3236" spans="1:6">
      <c r="A3236" s="4" t="str">
        <f t="shared" si="50"/>
        <v>tRNA-Phe-GAA-1-1|36</v>
      </c>
      <c r="B3236" s="4" t="s">
        <v>80</v>
      </c>
      <c r="C3236" s="4" t="s">
        <v>154</v>
      </c>
      <c r="D3236" s="4">
        <v>35</v>
      </c>
      <c r="E3236" s="18" t="s">
        <v>122</v>
      </c>
      <c r="F3236" s="19" t="s">
        <v>150</v>
      </c>
    </row>
    <row r="3237" spans="1:6">
      <c r="A3237" s="4" t="str">
        <f t="shared" si="50"/>
        <v>tRNA-Phe-GAA-1-1|37</v>
      </c>
      <c r="B3237" s="4" t="s">
        <v>80</v>
      </c>
      <c r="C3237" s="4" t="s">
        <v>155</v>
      </c>
      <c r="D3237" s="4">
        <v>36</v>
      </c>
      <c r="E3237" s="18" t="s">
        <v>109</v>
      </c>
      <c r="F3237" s="19" t="s">
        <v>150</v>
      </c>
    </row>
    <row r="3238" spans="1:6">
      <c r="A3238" s="4" t="str">
        <f t="shared" si="50"/>
        <v>tRNA-Phe-GAA-1-1|38</v>
      </c>
      <c r="B3238" s="4" t="s">
        <v>80</v>
      </c>
      <c r="C3238" s="4" t="s">
        <v>156</v>
      </c>
      <c r="D3238" s="4">
        <v>37</v>
      </c>
      <c r="E3238" s="18" t="s">
        <v>122</v>
      </c>
      <c r="F3238" s="19" t="s">
        <v>150</v>
      </c>
    </row>
    <row r="3239" spans="1:6">
      <c r="A3239" s="4" t="str">
        <f t="shared" si="50"/>
        <v>tRNA-Phe-GAA-1-1|39</v>
      </c>
      <c r="B3239" s="4" t="s">
        <v>80</v>
      </c>
      <c r="C3239" s="4" t="s">
        <v>157</v>
      </c>
      <c r="D3239" s="4">
        <v>38</v>
      </c>
      <c r="E3239" s="20" t="s">
        <v>109</v>
      </c>
      <c r="F3239" s="21" t="s">
        <v>144</v>
      </c>
    </row>
    <row r="3240" spans="1:6">
      <c r="A3240" s="4" t="str">
        <f t="shared" si="50"/>
        <v>tRNA-Phe-GAA-1-1|40</v>
      </c>
      <c r="B3240" s="4" t="s">
        <v>80</v>
      </c>
      <c r="C3240" s="4" t="s">
        <v>158</v>
      </c>
      <c r="D3240" s="4">
        <v>39</v>
      </c>
      <c r="E3240" s="20" t="s">
        <v>109</v>
      </c>
      <c r="F3240" s="21" t="s">
        <v>144</v>
      </c>
    </row>
    <row r="3241" spans="1:6">
      <c r="A3241" s="4" t="str">
        <f t="shared" si="50"/>
        <v>tRNA-Phe-GAA-1-1|41</v>
      </c>
      <c r="B3241" s="4" t="s">
        <v>80</v>
      </c>
      <c r="C3241" s="4" t="s">
        <v>159</v>
      </c>
      <c r="D3241" s="4">
        <v>40</v>
      </c>
      <c r="E3241" s="20" t="s">
        <v>114</v>
      </c>
      <c r="F3241" s="21" t="s">
        <v>144</v>
      </c>
    </row>
    <row r="3242" spans="1:6">
      <c r="A3242" s="4" t="str">
        <f t="shared" si="50"/>
        <v>tRNA-Phe-GAA-1-1|42</v>
      </c>
      <c r="B3242" s="4" t="s">
        <v>80</v>
      </c>
      <c r="C3242" s="4" t="s">
        <v>160</v>
      </c>
      <c r="D3242" s="4">
        <v>41</v>
      </c>
      <c r="E3242" s="20" t="s">
        <v>122</v>
      </c>
      <c r="F3242" s="21" t="s">
        <v>144</v>
      </c>
    </row>
    <row r="3243" spans="1:6">
      <c r="A3243" s="4" t="str">
        <f t="shared" si="50"/>
        <v>tRNA-Phe-GAA-1-1|43</v>
      </c>
      <c r="B3243" s="4" t="s">
        <v>80</v>
      </c>
      <c r="C3243" s="4" t="s">
        <v>161</v>
      </c>
      <c r="D3243" s="4">
        <v>42</v>
      </c>
      <c r="E3243" s="20" t="s">
        <v>109</v>
      </c>
      <c r="F3243" s="21" t="s">
        <v>144</v>
      </c>
    </row>
    <row r="3244" spans="1:6">
      <c r="A3244" s="4" t="str">
        <f t="shared" si="50"/>
        <v>tRNA-Phe-GAA-1-1|44</v>
      </c>
      <c r="B3244" s="4" t="s">
        <v>80</v>
      </c>
      <c r="C3244" s="4" t="s">
        <v>162</v>
      </c>
      <c r="D3244" s="4">
        <v>43</v>
      </c>
      <c r="E3244" s="18" t="s">
        <v>116</v>
      </c>
      <c r="F3244" s="19" t="s">
        <v>163</v>
      </c>
    </row>
    <row r="3245" spans="1:6">
      <c r="A3245" s="4" t="str">
        <f t="shared" si="50"/>
        <v>tRNA-Phe-GAA-1-1|45</v>
      </c>
      <c r="B3245" s="4" t="s">
        <v>80</v>
      </c>
      <c r="C3245" s="4" t="s">
        <v>164</v>
      </c>
      <c r="D3245" s="4">
        <v>44</v>
      </c>
      <c r="E3245" s="18" t="s">
        <v>116</v>
      </c>
      <c r="F3245" s="19" t="s">
        <v>163</v>
      </c>
    </row>
    <row r="3246" spans="1:6">
      <c r="A3246" s="4" t="str">
        <f t="shared" si="50"/>
        <v>tRNA-Phe-GAA-1-1|46</v>
      </c>
      <c r="B3246" s="4" t="s">
        <v>80</v>
      </c>
      <c r="C3246" s="4" t="s">
        <v>165</v>
      </c>
      <c r="D3246" s="4">
        <v>45</v>
      </c>
      <c r="E3246" s="18" t="s">
        <v>109</v>
      </c>
      <c r="F3246" s="19" t="s">
        <v>163</v>
      </c>
    </row>
    <row r="3247" spans="1:6">
      <c r="A3247" s="4" t="str">
        <f t="shared" si="50"/>
        <v>tRNA-Phe-GAA-1-1|47</v>
      </c>
      <c r="B3247" s="4" t="s">
        <v>80</v>
      </c>
      <c r="C3247" s="4" t="s">
        <v>166</v>
      </c>
      <c r="D3247" s="4">
        <v>46</v>
      </c>
      <c r="E3247" s="18" t="s">
        <v>116</v>
      </c>
      <c r="F3247" s="19" t="s">
        <v>163</v>
      </c>
    </row>
    <row r="3248" spans="1:6">
      <c r="A3248" s="4" t="str">
        <f t="shared" si="50"/>
        <v>tRNA-Phe-GAA-1-1|48</v>
      </c>
      <c r="B3248" s="4" t="s">
        <v>80</v>
      </c>
      <c r="C3248" s="4" t="s">
        <v>167</v>
      </c>
      <c r="D3248" s="4">
        <v>47</v>
      </c>
      <c r="E3248" s="18" t="s">
        <v>114</v>
      </c>
      <c r="F3248" s="19" t="s">
        <v>163</v>
      </c>
    </row>
    <row r="3249" spans="1:6">
      <c r="A3249" s="4" t="str">
        <f t="shared" si="50"/>
        <v>tRNA-Phe-GAA-1-1|49</v>
      </c>
      <c r="B3249" s="4" t="s">
        <v>80</v>
      </c>
      <c r="C3249" s="4" t="s">
        <v>168</v>
      </c>
      <c r="D3249" s="4">
        <v>48</v>
      </c>
      <c r="E3249" s="22" t="s">
        <v>114</v>
      </c>
      <c r="F3249" s="10" t="s">
        <v>169</v>
      </c>
    </row>
    <row r="3250" spans="1:6">
      <c r="A3250" s="4" t="str">
        <f t="shared" si="50"/>
        <v>tRNA-Phe-GAA-1-1|50</v>
      </c>
      <c r="B3250" s="4" t="s">
        <v>80</v>
      </c>
      <c r="C3250" s="4" t="s">
        <v>170</v>
      </c>
      <c r="D3250" s="4">
        <v>49</v>
      </c>
      <c r="E3250" s="22" t="s">
        <v>114</v>
      </c>
      <c r="F3250" s="10" t="s">
        <v>169</v>
      </c>
    </row>
    <row r="3251" spans="1:6">
      <c r="A3251" s="4" t="str">
        <f t="shared" si="50"/>
        <v>tRNA-Phe-GAA-1-1|51</v>
      </c>
      <c r="B3251" s="4" t="s">
        <v>80</v>
      </c>
      <c r="C3251" s="4" t="s">
        <v>171</v>
      </c>
      <c r="D3251" s="4">
        <v>50</v>
      </c>
      <c r="E3251" s="22" t="s">
        <v>114</v>
      </c>
      <c r="F3251" s="10" t="s">
        <v>169</v>
      </c>
    </row>
    <row r="3252" spans="1:6">
      <c r="A3252" s="4" t="str">
        <f t="shared" si="50"/>
        <v>tRNA-Phe-GAA-1-1|52</v>
      </c>
      <c r="B3252" s="4" t="s">
        <v>80</v>
      </c>
      <c r="C3252" s="4" t="s">
        <v>172</v>
      </c>
      <c r="D3252" s="4">
        <v>51</v>
      </c>
      <c r="E3252" s="22" t="s">
        <v>109</v>
      </c>
      <c r="F3252" s="10" t="s">
        <v>169</v>
      </c>
    </row>
    <row r="3253" spans="1:6">
      <c r="A3253" s="4" t="str">
        <f t="shared" si="50"/>
        <v>tRNA-Phe-GAA-1-1|53</v>
      </c>
      <c r="B3253" s="4" t="s">
        <v>80</v>
      </c>
      <c r="C3253" s="4" t="s">
        <v>173</v>
      </c>
      <c r="D3253" s="4">
        <v>52</v>
      </c>
      <c r="E3253" s="22" t="s">
        <v>109</v>
      </c>
      <c r="F3253" s="10" t="s">
        <v>169</v>
      </c>
    </row>
    <row r="3254" spans="1:6">
      <c r="A3254" s="4" t="str">
        <f t="shared" si="50"/>
        <v>tRNA-Phe-GAA-1-1|54</v>
      </c>
      <c r="B3254" s="4" t="s">
        <v>80</v>
      </c>
      <c r="C3254" s="4" t="s">
        <v>174</v>
      </c>
      <c r="D3254" s="4">
        <v>53</v>
      </c>
      <c r="E3254" s="18" t="s">
        <v>116</v>
      </c>
      <c r="F3254" s="19" t="s">
        <v>175</v>
      </c>
    </row>
    <row r="3255" spans="1:6">
      <c r="A3255" s="4" t="str">
        <f t="shared" si="50"/>
        <v>tRNA-Phe-GAA-1-1|55</v>
      </c>
      <c r="B3255" s="4" t="s">
        <v>80</v>
      </c>
      <c r="C3255" s="4" t="s">
        <v>176</v>
      </c>
      <c r="D3255" s="4">
        <v>54</v>
      </c>
      <c r="E3255" s="18" t="s">
        <v>116</v>
      </c>
      <c r="F3255" s="19" t="s">
        <v>175</v>
      </c>
    </row>
    <row r="3256" spans="1:6">
      <c r="A3256" s="4" t="str">
        <f t="shared" si="50"/>
        <v>tRNA-Phe-GAA-1-1|56</v>
      </c>
      <c r="B3256" s="4" t="s">
        <v>80</v>
      </c>
      <c r="C3256" s="4" t="s">
        <v>177</v>
      </c>
      <c r="D3256" s="4">
        <v>55</v>
      </c>
      <c r="E3256" s="18" t="s">
        <v>114</v>
      </c>
      <c r="F3256" s="19" t="s">
        <v>175</v>
      </c>
    </row>
    <row r="3257" spans="1:6">
      <c r="A3257" s="4" t="str">
        <f t="shared" si="50"/>
        <v>tRNA-Phe-GAA-1-1|57</v>
      </c>
      <c r="B3257" s="4" t="s">
        <v>80</v>
      </c>
      <c r="C3257" s="4" t="s">
        <v>178</v>
      </c>
      <c r="D3257" s="4">
        <v>56</v>
      </c>
      <c r="E3257" s="18" t="s">
        <v>109</v>
      </c>
      <c r="F3257" s="19" t="s">
        <v>175</v>
      </c>
    </row>
    <row r="3258" spans="1:6">
      <c r="A3258" s="4" t="str">
        <f t="shared" si="50"/>
        <v>tRNA-Phe-GAA-1-1|58</v>
      </c>
      <c r="B3258" s="4" t="s">
        <v>80</v>
      </c>
      <c r="C3258" s="4" t="s">
        <v>179</v>
      </c>
      <c r="D3258" s="4">
        <v>57</v>
      </c>
      <c r="E3258" s="18" t="s">
        <v>122</v>
      </c>
      <c r="F3258" s="19" t="s">
        <v>175</v>
      </c>
    </row>
    <row r="3259" spans="1:6">
      <c r="A3259" s="4" t="str">
        <f t="shared" si="50"/>
        <v>tRNA-Phe-GAA-1-1|59</v>
      </c>
      <c r="B3259" s="4" t="s">
        <v>80</v>
      </c>
      <c r="C3259" s="4" t="s">
        <v>180</v>
      </c>
      <c r="D3259" s="4">
        <v>58</v>
      </c>
      <c r="E3259" s="18" t="s">
        <v>122</v>
      </c>
      <c r="F3259" s="19" t="s">
        <v>175</v>
      </c>
    </row>
    <row r="3260" spans="1:6">
      <c r="A3260" s="4" t="str">
        <f t="shared" si="50"/>
        <v>tRNA-Phe-GAA-1-1|60</v>
      </c>
      <c r="B3260" s="4" t="s">
        <v>80</v>
      </c>
      <c r="C3260" s="4" t="s">
        <v>181</v>
      </c>
      <c r="D3260" s="4">
        <v>59</v>
      </c>
      <c r="E3260" s="18" t="s">
        <v>116</v>
      </c>
      <c r="F3260" s="19" t="s">
        <v>175</v>
      </c>
    </row>
    <row r="3261" spans="1:6">
      <c r="A3261" s="4" t="str">
        <f t="shared" si="50"/>
        <v>tRNA-Phe-GAA-1-1|61</v>
      </c>
      <c r="B3261" s="4" t="s">
        <v>80</v>
      </c>
      <c r="C3261" s="4" t="s">
        <v>182</v>
      </c>
      <c r="D3261" s="4">
        <v>60</v>
      </c>
      <c r="E3261" s="22" t="s">
        <v>114</v>
      </c>
      <c r="F3261" s="10" t="s">
        <v>169</v>
      </c>
    </row>
    <row r="3262" spans="1:6">
      <c r="A3262" s="4" t="str">
        <f t="shared" si="50"/>
        <v>tRNA-Phe-GAA-1-1|62</v>
      </c>
      <c r="B3262" s="4" t="s">
        <v>80</v>
      </c>
      <c r="C3262" s="4" t="s">
        <v>183</v>
      </c>
      <c r="D3262" s="4">
        <v>61</v>
      </c>
      <c r="E3262" s="22" t="s">
        <v>114</v>
      </c>
      <c r="F3262" s="10" t="s">
        <v>169</v>
      </c>
    </row>
    <row r="3263" spans="1:6">
      <c r="A3263" s="4" t="str">
        <f t="shared" si="50"/>
        <v>tRNA-Phe-GAA-1-1|63</v>
      </c>
      <c r="B3263" s="4" t="s">
        <v>80</v>
      </c>
      <c r="C3263" s="4" t="s">
        <v>184</v>
      </c>
      <c r="D3263" s="4">
        <v>62</v>
      </c>
      <c r="E3263" s="22" t="s">
        <v>109</v>
      </c>
      <c r="F3263" s="10" t="s">
        <v>169</v>
      </c>
    </row>
    <row r="3264" spans="1:6">
      <c r="A3264" s="4" t="str">
        <f t="shared" si="50"/>
        <v>tRNA-Phe-GAA-1-1|64</v>
      </c>
      <c r="B3264" s="4" t="s">
        <v>80</v>
      </c>
      <c r="C3264" s="4" t="s">
        <v>185</v>
      </c>
      <c r="D3264" s="4">
        <v>63</v>
      </c>
      <c r="E3264" s="22" t="s">
        <v>109</v>
      </c>
      <c r="F3264" s="10" t="s">
        <v>169</v>
      </c>
    </row>
    <row r="3265" spans="1:6">
      <c r="A3265" s="4" t="str">
        <f t="shared" si="50"/>
        <v>tRNA-Phe-GAA-1-1|65</v>
      </c>
      <c r="B3265" s="4" t="s">
        <v>80</v>
      </c>
      <c r="C3265" s="4" t="s">
        <v>186</v>
      </c>
      <c r="D3265" s="4">
        <v>64</v>
      </c>
      <c r="E3265" s="22" t="s">
        <v>109</v>
      </c>
      <c r="F3265" s="10" t="s">
        <v>169</v>
      </c>
    </row>
    <row r="3266" spans="1:6">
      <c r="A3266" s="4" t="str">
        <f t="shared" ref="A3266:A3329" si="51">B3266&amp;"|"&amp;C3266</f>
        <v>tRNA-Phe-GAA-1-1|66</v>
      </c>
      <c r="B3266" s="4" t="s">
        <v>80</v>
      </c>
      <c r="C3266" s="4" t="s">
        <v>187</v>
      </c>
      <c r="D3266" s="4">
        <v>65</v>
      </c>
      <c r="E3266" s="16" t="s">
        <v>116</v>
      </c>
      <c r="F3266" s="17" t="s">
        <v>110</v>
      </c>
    </row>
    <row r="3267" spans="1:6">
      <c r="A3267" s="4" t="str">
        <f t="shared" si="51"/>
        <v>tRNA-Phe-GAA-1-1|67</v>
      </c>
      <c r="B3267" s="4" t="s">
        <v>80</v>
      </c>
      <c r="C3267" s="4" t="s">
        <v>188</v>
      </c>
      <c r="D3267" s="4">
        <v>66</v>
      </c>
      <c r="E3267" s="16" t="s">
        <v>114</v>
      </c>
      <c r="F3267" s="17" t="s">
        <v>110</v>
      </c>
    </row>
    <row r="3268" spans="1:6">
      <c r="A3268" s="4" t="str">
        <f t="shared" si="51"/>
        <v>tRNA-Phe-GAA-1-1|68</v>
      </c>
      <c r="B3268" s="4" t="s">
        <v>80</v>
      </c>
      <c r="C3268" s="4" t="s">
        <v>189</v>
      </c>
      <c r="D3268" s="4">
        <v>67</v>
      </c>
      <c r="E3268" s="16" t="s">
        <v>116</v>
      </c>
      <c r="F3268" s="17" t="s">
        <v>110</v>
      </c>
    </row>
    <row r="3269" spans="1:6">
      <c r="A3269" s="4" t="str">
        <f t="shared" si="51"/>
        <v>tRNA-Phe-GAA-1-1|69</v>
      </c>
      <c r="B3269" s="4" t="s">
        <v>80</v>
      </c>
      <c r="C3269" s="4" t="s">
        <v>190</v>
      </c>
      <c r="D3269" s="4">
        <v>68</v>
      </c>
      <c r="E3269" s="16" t="s">
        <v>109</v>
      </c>
      <c r="F3269" s="17" t="s">
        <v>110</v>
      </c>
    </row>
    <row r="3270" spans="1:6">
      <c r="A3270" s="4" t="str">
        <f t="shared" si="51"/>
        <v>tRNA-Phe-GAA-1-1|70</v>
      </c>
      <c r="B3270" s="4" t="s">
        <v>80</v>
      </c>
      <c r="C3270" s="4" t="s">
        <v>191</v>
      </c>
      <c r="D3270" s="4">
        <v>69</v>
      </c>
      <c r="E3270" s="16" t="s">
        <v>109</v>
      </c>
      <c r="F3270" s="17" t="s">
        <v>110</v>
      </c>
    </row>
    <row r="3271" spans="1:6">
      <c r="A3271" s="4" t="str">
        <f t="shared" si="51"/>
        <v>tRNA-Phe-GAA-1-1|71</v>
      </c>
      <c r="B3271" s="4" t="s">
        <v>80</v>
      </c>
      <c r="C3271" s="4" t="s">
        <v>192</v>
      </c>
      <c r="D3271" s="4">
        <v>70</v>
      </c>
      <c r="E3271" s="16" t="s">
        <v>109</v>
      </c>
      <c r="F3271" s="17" t="s">
        <v>110</v>
      </c>
    </row>
    <row r="3272" spans="1:6">
      <c r="A3272" s="4" t="str">
        <f t="shared" si="51"/>
        <v>tRNA-Phe-GAA-1-1|72</v>
      </c>
      <c r="B3272" s="4" t="s">
        <v>80</v>
      </c>
      <c r="C3272" s="4" t="s">
        <v>193</v>
      </c>
      <c r="D3272" s="4">
        <v>71</v>
      </c>
      <c r="E3272" s="16" t="s">
        <v>114</v>
      </c>
      <c r="F3272" s="17" t="s">
        <v>110</v>
      </c>
    </row>
    <row r="3273" spans="1:6">
      <c r="A3273" s="4" t="str">
        <f t="shared" si="51"/>
        <v>tRNA-Phe-GAA-1-2|1</v>
      </c>
      <c r="B3273" s="4" t="s">
        <v>81</v>
      </c>
      <c r="C3273" s="4" t="s">
        <v>108</v>
      </c>
      <c r="D3273" s="4">
        <v>1</v>
      </c>
      <c r="E3273" s="16" t="s">
        <v>109</v>
      </c>
      <c r="F3273" s="17" t="s">
        <v>110</v>
      </c>
    </row>
    <row r="3274" spans="1:6">
      <c r="A3274" s="4" t="str">
        <f t="shared" si="51"/>
        <v>tRNA-Phe-GAA-1-2|2</v>
      </c>
      <c r="B3274" s="4" t="s">
        <v>81</v>
      </c>
      <c r="C3274" s="4" t="s">
        <v>111</v>
      </c>
      <c r="D3274" s="4">
        <v>2</v>
      </c>
      <c r="E3274" s="16" t="s">
        <v>114</v>
      </c>
      <c r="F3274" s="17" t="s">
        <v>110</v>
      </c>
    </row>
    <row r="3275" spans="1:6">
      <c r="A3275" s="4" t="str">
        <f t="shared" si="51"/>
        <v>tRNA-Phe-GAA-1-2|3</v>
      </c>
      <c r="B3275" s="4" t="s">
        <v>81</v>
      </c>
      <c r="C3275" s="4" t="s">
        <v>112</v>
      </c>
      <c r="D3275" s="4">
        <v>3</v>
      </c>
      <c r="E3275" s="16" t="s">
        <v>114</v>
      </c>
      <c r="F3275" s="17" t="s">
        <v>110</v>
      </c>
    </row>
    <row r="3276" spans="1:6">
      <c r="A3276" s="4" t="str">
        <f t="shared" si="51"/>
        <v>tRNA-Phe-GAA-1-2|4</v>
      </c>
      <c r="B3276" s="4" t="s">
        <v>81</v>
      </c>
      <c r="C3276" s="4" t="s">
        <v>113</v>
      </c>
      <c r="D3276" s="4">
        <v>4</v>
      </c>
      <c r="E3276" s="16" t="s">
        <v>114</v>
      </c>
      <c r="F3276" s="17" t="s">
        <v>110</v>
      </c>
    </row>
    <row r="3277" spans="1:6">
      <c r="A3277" s="4" t="str">
        <f t="shared" si="51"/>
        <v>tRNA-Phe-GAA-1-2|5</v>
      </c>
      <c r="B3277" s="4" t="s">
        <v>81</v>
      </c>
      <c r="C3277" s="4" t="s">
        <v>115</v>
      </c>
      <c r="D3277" s="4">
        <v>5</v>
      </c>
      <c r="E3277" s="16" t="s">
        <v>122</v>
      </c>
      <c r="F3277" s="17" t="s">
        <v>110</v>
      </c>
    </row>
    <row r="3278" spans="1:6">
      <c r="A3278" s="4" t="str">
        <f t="shared" si="51"/>
        <v>tRNA-Phe-GAA-1-2|6</v>
      </c>
      <c r="B3278" s="4" t="s">
        <v>81</v>
      </c>
      <c r="C3278" s="4" t="s">
        <v>117</v>
      </c>
      <c r="D3278" s="4">
        <v>6</v>
      </c>
      <c r="E3278" s="16" t="s">
        <v>109</v>
      </c>
      <c r="F3278" s="17" t="s">
        <v>110</v>
      </c>
    </row>
    <row r="3279" spans="1:6">
      <c r="A3279" s="4" t="str">
        <f t="shared" si="51"/>
        <v>tRNA-Phe-GAA-1-2|7</v>
      </c>
      <c r="B3279" s="4" t="s">
        <v>81</v>
      </c>
      <c r="C3279" s="4" t="s">
        <v>118</v>
      </c>
      <c r="D3279" s="4">
        <v>7</v>
      </c>
      <c r="E3279" s="16" t="s">
        <v>109</v>
      </c>
      <c r="F3279" s="17" t="s">
        <v>110</v>
      </c>
    </row>
    <row r="3280" spans="1:6">
      <c r="A3280" s="4" t="str">
        <f t="shared" si="51"/>
        <v>tRNA-Phe-GAA-1-2|8</v>
      </c>
      <c r="B3280" s="4" t="s">
        <v>81</v>
      </c>
      <c r="C3280" s="4" t="s">
        <v>119</v>
      </c>
      <c r="D3280" s="4">
        <v>8</v>
      </c>
      <c r="E3280" s="3" t="s">
        <v>116</v>
      </c>
      <c r="F3280" s="4" t="s">
        <v>120</v>
      </c>
    </row>
    <row r="3281" spans="1:6">
      <c r="A3281" s="4" t="str">
        <f t="shared" si="51"/>
        <v>tRNA-Phe-GAA-1-2|9</v>
      </c>
      <c r="B3281" s="4" t="s">
        <v>81</v>
      </c>
      <c r="C3281" s="4" t="s">
        <v>121</v>
      </c>
      <c r="D3281" s="4">
        <v>9</v>
      </c>
      <c r="E3281" s="3" t="s">
        <v>122</v>
      </c>
      <c r="F3281" s="4" t="s">
        <v>123</v>
      </c>
    </row>
    <row r="3282" spans="1:6">
      <c r="A3282" s="4" t="str">
        <f t="shared" si="51"/>
        <v>tRNA-Phe-GAA-1-2|10</v>
      </c>
      <c r="B3282" s="4" t="s">
        <v>81</v>
      </c>
      <c r="C3282" s="4" t="s">
        <v>124</v>
      </c>
      <c r="D3282" s="4">
        <v>10</v>
      </c>
      <c r="E3282" s="8" t="s">
        <v>109</v>
      </c>
      <c r="F3282" s="7" t="s">
        <v>125</v>
      </c>
    </row>
    <row r="3283" spans="1:6">
      <c r="A3283" s="4" t="str">
        <f t="shared" si="51"/>
        <v>tRNA-Phe-GAA-1-2|11</v>
      </c>
      <c r="B3283" s="4" t="s">
        <v>81</v>
      </c>
      <c r="C3283" s="4" t="s">
        <v>126</v>
      </c>
      <c r="D3283" s="4">
        <v>11</v>
      </c>
      <c r="E3283" s="8" t="s">
        <v>114</v>
      </c>
      <c r="F3283" s="7" t="s">
        <v>125</v>
      </c>
    </row>
    <row r="3284" spans="1:6">
      <c r="A3284" s="4" t="str">
        <f t="shared" si="51"/>
        <v>tRNA-Phe-GAA-1-2|12</v>
      </c>
      <c r="B3284" s="4" t="s">
        <v>81</v>
      </c>
      <c r="C3284" s="4" t="s">
        <v>127</v>
      </c>
      <c r="D3284" s="4">
        <v>12</v>
      </c>
      <c r="E3284" s="8" t="s">
        <v>116</v>
      </c>
      <c r="F3284" s="7" t="s">
        <v>125</v>
      </c>
    </row>
    <row r="3285" spans="1:6">
      <c r="A3285" s="4" t="str">
        <f t="shared" si="51"/>
        <v>tRNA-Phe-GAA-1-2|13</v>
      </c>
      <c r="B3285" s="4" t="s">
        <v>81</v>
      </c>
      <c r="C3285" s="4" t="s">
        <v>128</v>
      </c>
      <c r="D3285" s="4">
        <v>13</v>
      </c>
      <c r="E3285" s="8" t="s">
        <v>114</v>
      </c>
      <c r="F3285" s="7" t="s">
        <v>125</v>
      </c>
    </row>
    <row r="3286" spans="1:6">
      <c r="A3286" s="4" t="str">
        <f t="shared" si="51"/>
        <v>tRNA-Phe-GAA-1-2|14</v>
      </c>
      <c r="B3286" s="4" t="s">
        <v>81</v>
      </c>
      <c r="C3286" s="4" t="s">
        <v>129</v>
      </c>
      <c r="D3286" s="4">
        <v>14</v>
      </c>
      <c r="E3286" s="18" t="s">
        <v>122</v>
      </c>
      <c r="F3286" s="19" t="s">
        <v>130</v>
      </c>
    </row>
    <row r="3287" spans="1:6">
      <c r="A3287" s="4" t="str">
        <f t="shared" si="51"/>
        <v>tRNA-Phe-GAA-1-2|15</v>
      </c>
      <c r="B3287" s="4" t="s">
        <v>81</v>
      </c>
      <c r="C3287" s="4" t="s">
        <v>131</v>
      </c>
      <c r="D3287" s="4">
        <v>15</v>
      </c>
      <c r="E3287" s="18" t="s">
        <v>109</v>
      </c>
      <c r="F3287" s="19" t="s">
        <v>130</v>
      </c>
    </row>
    <row r="3288" spans="1:6">
      <c r="A3288" s="4" t="str">
        <f t="shared" si="51"/>
        <v>tRNA-Phe-GAA-1-2|16</v>
      </c>
      <c r="B3288" s="4" t="s">
        <v>81</v>
      </c>
      <c r="C3288" s="4" t="s">
        <v>194</v>
      </c>
      <c r="D3288" s="4">
        <v>16</v>
      </c>
      <c r="E3288" s="18" t="s">
        <v>116</v>
      </c>
      <c r="F3288" s="19" t="s">
        <v>130</v>
      </c>
    </row>
    <row r="3289" spans="1:6">
      <c r="A3289" s="4" t="str">
        <f t="shared" si="51"/>
        <v>tRNA-Phe-GAA-1-2|18</v>
      </c>
      <c r="B3289" s="4" t="s">
        <v>81</v>
      </c>
      <c r="C3289" s="4" t="s">
        <v>132</v>
      </c>
      <c r="D3289" s="4">
        <v>17</v>
      </c>
      <c r="E3289" s="18" t="s">
        <v>109</v>
      </c>
      <c r="F3289" s="19" t="s">
        <v>130</v>
      </c>
    </row>
    <row r="3290" spans="1:6">
      <c r="A3290" s="4" t="str">
        <f t="shared" si="51"/>
        <v>tRNA-Phe-GAA-1-2|19</v>
      </c>
      <c r="B3290" s="4" t="s">
        <v>81</v>
      </c>
      <c r="C3290" s="4" t="s">
        <v>133</v>
      </c>
      <c r="D3290" s="4">
        <v>18</v>
      </c>
      <c r="E3290" s="18" t="s">
        <v>109</v>
      </c>
      <c r="F3290" s="19" t="s">
        <v>130</v>
      </c>
    </row>
    <row r="3291" spans="1:6">
      <c r="A3291" s="4" t="str">
        <f t="shared" si="51"/>
        <v>tRNA-Phe-GAA-1-2|20</v>
      </c>
      <c r="B3291" s="4" t="s">
        <v>81</v>
      </c>
      <c r="C3291" s="4" t="s">
        <v>134</v>
      </c>
      <c r="D3291" s="4">
        <v>19</v>
      </c>
      <c r="E3291" s="18" t="s">
        <v>109</v>
      </c>
      <c r="F3291" s="19" t="s">
        <v>130</v>
      </c>
    </row>
    <row r="3292" spans="1:6">
      <c r="A3292" s="4" t="str">
        <f t="shared" si="51"/>
        <v>tRNA-Phe-GAA-1-2|21</v>
      </c>
      <c r="B3292" s="4" t="s">
        <v>81</v>
      </c>
      <c r="C3292" s="4" t="s">
        <v>136</v>
      </c>
      <c r="D3292" s="4">
        <v>20</v>
      </c>
      <c r="E3292" s="18" t="s">
        <v>122</v>
      </c>
      <c r="F3292" s="19" t="s">
        <v>130</v>
      </c>
    </row>
    <row r="3293" spans="1:6">
      <c r="A3293" s="4" t="str">
        <f t="shared" si="51"/>
        <v>tRNA-Phe-GAA-1-2|22</v>
      </c>
      <c r="B3293" s="4" t="s">
        <v>81</v>
      </c>
      <c r="C3293" s="4" t="s">
        <v>137</v>
      </c>
      <c r="D3293" s="4">
        <v>21</v>
      </c>
      <c r="E3293" s="8" t="s">
        <v>109</v>
      </c>
      <c r="F3293" s="7" t="s">
        <v>125</v>
      </c>
    </row>
    <row r="3294" spans="1:6">
      <c r="A3294" s="4" t="str">
        <f t="shared" si="51"/>
        <v>tRNA-Phe-GAA-1-2|23</v>
      </c>
      <c r="B3294" s="4" t="s">
        <v>81</v>
      </c>
      <c r="C3294" s="4" t="s">
        <v>138</v>
      </c>
      <c r="D3294" s="4">
        <v>22</v>
      </c>
      <c r="E3294" s="8" t="s">
        <v>122</v>
      </c>
      <c r="F3294" s="7" t="s">
        <v>125</v>
      </c>
    </row>
    <row r="3295" spans="1:6">
      <c r="A3295" s="4" t="str">
        <f t="shared" si="51"/>
        <v>tRNA-Phe-GAA-1-2|24</v>
      </c>
      <c r="B3295" s="4" t="s">
        <v>81</v>
      </c>
      <c r="C3295" s="4" t="s">
        <v>139</v>
      </c>
      <c r="D3295" s="4">
        <v>23</v>
      </c>
      <c r="E3295" s="8" t="s">
        <v>109</v>
      </c>
      <c r="F3295" s="7" t="s">
        <v>125</v>
      </c>
    </row>
    <row r="3296" spans="1:6">
      <c r="A3296" s="4" t="str">
        <f t="shared" si="51"/>
        <v>tRNA-Phe-GAA-1-2|25</v>
      </c>
      <c r="B3296" s="4" t="s">
        <v>81</v>
      </c>
      <c r="C3296" s="4" t="s">
        <v>140</v>
      </c>
      <c r="D3296" s="4">
        <v>24</v>
      </c>
      <c r="E3296" s="8" t="s">
        <v>114</v>
      </c>
      <c r="F3296" s="7" t="s">
        <v>125</v>
      </c>
    </row>
    <row r="3297" spans="1:6">
      <c r="A3297" s="4" t="str">
        <f t="shared" si="51"/>
        <v>tRNA-Phe-GAA-1-2|26</v>
      </c>
      <c r="B3297" s="4" t="s">
        <v>81</v>
      </c>
      <c r="C3297" s="4" t="s">
        <v>141</v>
      </c>
      <c r="D3297" s="4">
        <v>25</v>
      </c>
      <c r="E3297" s="3" t="s">
        <v>109</v>
      </c>
      <c r="F3297" s="4" t="s">
        <v>142</v>
      </c>
    </row>
    <row r="3298" spans="1:6">
      <c r="A3298" s="4" t="str">
        <f t="shared" si="51"/>
        <v>tRNA-Phe-GAA-1-2|27</v>
      </c>
      <c r="B3298" s="4" t="s">
        <v>81</v>
      </c>
      <c r="C3298" s="4" t="s">
        <v>143</v>
      </c>
      <c r="D3298" s="4">
        <v>26</v>
      </c>
      <c r="E3298" s="20" t="s">
        <v>114</v>
      </c>
      <c r="F3298" s="21" t="s">
        <v>144</v>
      </c>
    </row>
    <row r="3299" spans="1:6">
      <c r="A3299" s="4" t="str">
        <f t="shared" si="51"/>
        <v>tRNA-Phe-GAA-1-2|28</v>
      </c>
      <c r="B3299" s="4" t="s">
        <v>81</v>
      </c>
      <c r="C3299" s="4" t="s">
        <v>145</v>
      </c>
      <c r="D3299" s="4">
        <v>27</v>
      </c>
      <c r="E3299" s="20" t="s">
        <v>116</v>
      </c>
      <c r="F3299" s="21" t="s">
        <v>144</v>
      </c>
    </row>
    <row r="3300" spans="1:6">
      <c r="A3300" s="4" t="str">
        <f t="shared" si="51"/>
        <v>tRNA-Phe-GAA-1-2|29</v>
      </c>
      <c r="B3300" s="4" t="s">
        <v>81</v>
      </c>
      <c r="C3300" s="4" t="s">
        <v>146</v>
      </c>
      <c r="D3300" s="4">
        <v>28</v>
      </c>
      <c r="E3300" s="20" t="s">
        <v>109</v>
      </c>
      <c r="F3300" s="21" t="s">
        <v>144</v>
      </c>
    </row>
    <row r="3301" spans="1:6">
      <c r="A3301" s="4" t="str">
        <f t="shared" si="51"/>
        <v>tRNA-Phe-GAA-1-2|30</v>
      </c>
      <c r="B3301" s="4" t="s">
        <v>81</v>
      </c>
      <c r="C3301" s="4" t="s">
        <v>147</v>
      </c>
      <c r="D3301" s="4">
        <v>29</v>
      </c>
      <c r="E3301" s="20" t="s">
        <v>114</v>
      </c>
      <c r="F3301" s="21" t="s">
        <v>144</v>
      </c>
    </row>
    <row r="3302" spans="1:6">
      <c r="A3302" s="4" t="str">
        <f t="shared" si="51"/>
        <v>tRNA-Phe-GAA-1-2|31</v>
      </c>
      <c r="B3302" s="4" t="s">
        <v>81</v>
      </c>
      <c r="C3302" s="4" t="s">
        <v>148</v>
      </c>
      <c r="D3302" s="4">
        <v>30</v>
      </c>
      <c r="E3302" s="20" t="s">
        <v>114</v>
      </c>
      <c r="F3302" s="21" t="s">
        <v>144</v>
      </c>
    </row>
    <row r="3303" spans="1:6">
      <c r="A3303" s="4" t="str">
        <f t="shared" si="51"/>
        <v>tRNA-Phe-GAA-1-2|32</v>
      </c>
      <c r="B3303" s="4" t="s">
        <v>81</v>
      </c>
      <c r="C3303" s="4" t="s">
        <v>149</v>
      </c>
      <c r="D3303" s="4">
        <v>31</v>
      </c>
      <c r="E3303" s="18" t="s">
        <v>114</v>
      </c>
      <c r="F3303" s="19" t="s">
        <v>150</v>
      </c>
    </row>
    <row r="3304" spans="1:6">
      <c r="A3304" s="4" t="str">
        <f t="shared" si="51"/>
        <v>tRNA-Phe-GAA-1-2|33</v>
      </c>
      <c r="B3304" s="4" t="s">
        <v>81</v>
      </c>
      <c r="C3304" s="4" t="s">
        <v>151</v>
      </c>
      <c r="D3304" s="4">
        <v>32</v>
      </c>
      <c r="E3304" s="18" t="s">
        <v>116</v>
      </c>
      <c r="F3304" s="19" t="s">
        <v>150</v>
      </c>
    </row>
    <row r="3305" spans="1:6">
      <c r="A3305" s="4" t="str">
        <f t="shared" si="51"/>
        <v>tRNA-Phe-GAA-1-2|34</v>
      </c>
      <c r="B3305" s="4" t="s">
        <v>81</v>
      </c>
      <c r="C3305" s="4" t="s">
        <v>152</v>
      </c>
      <c r="D3305" s="4">
        <v>33</v>
      </c>
      <c r="E3305" s="18" t="s">
        <v>109</v>
      </c>
      <c r="F3305" s="19" t="s">
        <v>150</v>
      </c>
    </row>
    <row r="3306" spans="1:6">
      <c r="A3306" s="4" t="str">
        <f t="shared" si="51"/>
        <v>tRNA-Phe-GAA-1-2|35</v>
      </c>
      <c r="B3306" s="4" t="s">
        <v>81</v>
      </c>
      <c r="C3306" s="4" t="s">
        <v>153</v>
      </c>
      <c r="D3306" s="4">
        <v>34</v>
      </c>
      <c r="E3306" s="18" t="s">
        <v>122</v>
      </c>
      <c r="F3306" s="19" t="s">
        <v>150</v>
      </c>
    </row>
    <row r="3307" spans="1:6">
      <c r="A3307" s="4" t="str">
        <f t="shared" si="51"/>
        <v>tRNA-Phe-GAA-1-2|36</v>
      </c>
      <c r="B3307" s="4" t="s">
        <v>81</v>
      </c>
      <c r="C3307" s="4" t="s">
        <v>154</v>
      </c>
      <c r="D3307" s="4">
        <v>35</v>
      </c>
      <c r="E3307" s="18" t="s">
        <v>122</v>
      </c>
      <c r="F3307" s="19" t="s">
        <v>150</v>
      </c>
    </row>
    <row r="3308" spans="1:6">
      <c r="A3308" s="4" t="str">
        <f t="shared" si="51"/>
        <v>tRNA-Phe-GAA-1-2|37</v>
      </c>
      <c r="B3308" s="4" t="s">
        <v>81</v>
      </c>
      <c r="C3308" s="4" t="s">
        <v>155</v>
      </c>
      <c r="D3308" s="4">
        <v>36</v>
      </c>
      <c r="E3308" s="18" t="s">
        <v>109</v>
      </c>
      <c r="F3308" s="19" t="s">
        <v>150</v>
      </c>
    </row>
    <row r="3309" spans="1:6">
      <c r="A3309" s="4" t="str">
        <f t="shared" si="51"/>
        <v>tRNA-Phe-GAA-1-2|38</v>
      </c>
      <c r="B3309" s="4" t="s">
        <v>81</v>
      </c>
      <c r="C3309" s="4" t="s">
        <v>156</v>
      </c>
      <c r="D3309" s="4">
        <v>37</v>
      </c>
      <c r="E3309" s="18" t="s">
        <v>122</v>
      </c>
      <c r="F3309" s="19" t="s">
        <v>150</v>
      </c>
    </row>
    <row r="3310" spans="1:6">
      <c r="A3310" s="4" t="str">
        <f t="shared" si="51"/>
        <v>tRNA-Phe-GAA-1-2|39</v>
      </c>
      <c r="B3310" s="4" t="s">
        <v>81</v>
      </c>
      <c r="C3310" s="4" t="s">
        <v>157</v>
      </c>
      <c r="D3310" s="4">
        <v>38</v>
      </c>
      <c r="E3310" s="20" t="s">
        <v>109</v>
      </c>
      <c r="F3310" s="21" t="s">
        <v>144</v>
      </c>
    </row>
    <row r="3311" spans="1:6">
      <c r="A3311" s="4" t="str">
        <f t="shared" si="51"/>
        <v>tRNA-Phe-GAA-1-2|40</v>
      </c>
      <c r="B3311" s="4" t="s">
        <v>81</v>
      </c>
      <c r="C3311" s="4" t="s">
        <v>158</v>
      </c>
      <c r="D3311" s="4">
        <v>39</v>
      </c>
      <c r="E3311" s="20" t="s">
        <v>109</v>
      </c>
      <c r="F3311" s="21" t="s">
        <v>144</v>
      </c>
    </row>
    <row r="3312" spans="1:6">
      <c r="A3312" s="4" t="str">
        <f t="shared" si="51"/>
        <v>tRNA-Phe-GAA-1-2|41</v>
      </c>
      <c r="B3312" s="4" t="s">
        <v>81</v>
      </c>
      <c r="C3312" s="4" t="s">
        <v>159</v>
      </c>
      <c r="D3312" s="4">
        <v>40</v>
      </c>
      <c r="E3312" s="20" t="s">
        <v>114</v>
      </c>
      <c r="F3312" s="21" t="s">
        <v>144</v>
      </c>
    </row>
    <row r="3313" spans="1:6">
      <c r="A3313" s="4" t="str">
        <f t="shared" si="51"/>
        <v>tRNA-Phe-GAA-1-2|42</v>
      </c>
      <c r="B3313" s="4" t="s">
        <v>81</v>
      </c>
      <c r="C3313" s="4" t="s">
        <v>160</v>
      </c>
      <c r="D3313" s="4">
        <v>41</v>
      </c>
      <c r="E3313" s="20" t="s">
        <v>122</v>
      </c>
      <c r="F3313" s="21" t="s">
        <v>144</v>
      </c>
    </row>
    <row r="3314" spans="1:6">
      <c r="A3314" s="4" t="str">
        <f t="shared" si="51"/>
        <v>tRNA-Phe-GAA-1-2|43</v>
      </c>
      <c r="B3314" s="4" t="s">
        <v>81</v>
      </c>
      <c r="C3314" s="4" t="s">
        <v>161</v>
      </c>
      <c r="D3314" s="4">
        <v>42</v>
      </c>
      <c r="E3314" s="20" t="s">
        <v>109</v>
      </c>
      <c r="F3314" s="21" t="s">
        <v>144</v>
      </c>
    </row>
    <row r="3315" spans="1:6">
      <c r="A3315" s="4" t="str">
        <f t="shared" si="51"/>
        <v>tRNA-Phe-GAA-1-2|44</v>
      </c>
      <c r="B3315" s="4" t="s">
        <v>81</v>
      </c>
      <c r="C3315" s="4" t="s">
        <v>162</v>
      </c>
      <c r="D3315" s="4">
        <v>43</v>
      </c>
      <c r="E3315" s="18" t="s">
        <v>116</v>
      </c>
      <c r="F3315" s="19" t="s">
        <v>163</v>
      </c>
    </row>
    <row r="3316" spans="1:6">
      <c r="A3316" s="4" t="str">
        <f t="shared" si="51"/>
        <v>tRNA-Phe-GAA-1-2|45</v>
      </c>
      <c r="B3316" s="4" t="s">
        <v>81</v>
      </c>
      <c r="C3316" s="4" t="s">
        <v>164</v>
      </c>
      <c r="D3316" s="4">
        <v>44</v>
      </c>
      <c r="E3316" s="18" t="s">
        <v>116</v>
      </c>
      <c r="F3316" s="19" t="s">
        <v>163</v>
      </c>
    </row>
    <row r="3317" spans="1:6">
      <c r="A3317" s="4" t="str">
        <f t="shared" si="51"/>
        <v>tRNA-Phe-GAA-1-2|46</v>
      </c>
      <c r="B3317" s="4" t="s">
        <v>81</v>
      </c>
      <c r="C3317" s="4" t="s">
        <v>165</v>
      </c>
      <c r="D3317" s="4">
        <v>45</v>
      </c>
      <c r="E3317" s="18" t="s">
        <v>109</v>
      </c>
      <c r="F3317" s="19" t="s">
        <v>163</v>
      </c>
    </row>
    <row r="3318" spans="1:6">
      <c r="A3318" s="4" t="str">
        <f t="shared" si="51"/>
        <v>tRNA-Phe-GAA-1-2|47</v>
      </c>
      <c r="B3318" s="4" t="s">
        <v>81</v>
      </c>
      <c r="C3318" s="4" t="s">
        <v>166</v>
      </c>
      <c r="D3318" s="4">
        <v>46</v>
      </c>
      <c r="E3318" s="18" t="s">
        <v>116</v>
      </c>
      <c r="F3318" s="19" t="s">
        <v>163</v>
      </c>
    </row>
    <row r="3319" spans="1:6">
      <c r="A3319" s="4" t="str">
        <f t="shared" si="51"/>
        <v>tRNA-Phe-GAA-1-2|48</v>
      </c>
      <c r="B3319" s="4" t="s">
        <v>81</v>
      </c>
      <c r="C3319" s="4" t="s">
        <v>167</v>
      </c>
      <c r="D3319" s="4">
        <v>47</v>
      </c>
      <c r="E3319" s="18" t="s">
        <v>114</v>
      </c>
      <c r="F3319" s="19" t="s">
        <v>163</v>
      </c>
    </row>
    <row r="3320" spans="1:6">
      <c r="A3320" s="4" t="str">
        <f t="shared" si="51"/>
        <v>tRNA-Phe-GAA-1-2|49</v>
      </c>
      <c r="B3320" s="4" t="s">
        <v>81</v>
      </c>
      <c r="C3320" s="4" t="s">
        <v>168</v>
      </c>
      <c r="D3320" s="4">
        <v>48</v>
      </c>
      <c r="E3320" s="22" t="s">
        <v>114</v>
      </c>
      <c r="F3320" s="10" t="s">
        <v>169</v>
      </c>
    </row>
    <row r="3321" spans="1:6">
      <c r="A3321" s="4" t="str">
        <f t="shared" si="51"/>
        <v>tRNA-Phe-GAA-1-2|50</v>
      </c>
      <c r="B3321" s="4" t="s">
        <v>81</v>
      </c>
      <c r="C3321" s="4" t="s">
        <v>170</v>
      </c>
      <c r="D3321" s="4">
        <v>49</v>
      </c>
      <c r="E3321" s="22" t="s">
        <v>114</v>
      </c>
      <c r="F3321" s="10" t="s">
        <v>169</v>
      </c>
    </row>
    <row r="3322" spans="1:6">
      <c r="A3322" s="4" t="str">
        <f t="shared" si="51"/>
        <v>tRNA-Phe-GAA-1-2|51</v>
      </c>
      <c r="B3322" s="4" t="s">
        <v>81</v>
      </c>
      <c r="C3322" s="4" t="s">
        <v>171</v>
      </c>
      <c r="D3322" s="4">
        <v>50</v>
      </c>
      <c r="E3322" s="22" t="s">
        <v>114</v>
      </c>
      <c r="F3322" s="10" t="s">
        <v>169</v>
      </c>
    </row>
    <row r="3323" spans="1:6">
      <c r="A3323" s="4" t="str">
        <f t="shared" si="51"/>
        <v>tRNA-Phe-GAA-1-2|52</v>
      </c>
      <c r="B3323" s="4" t="s">
        <v>81</v>
      </c>
      <c r="C3323" s="4" t="s">
        <v>172</v>
      </c>
      <c r="D3323" s="4">
        <v>51</v>
      </c>
      <c r="E3323" s="22" t="s">
        <v>109</v>
      </c>
      <c r="F3323" s="10" t="s">
        <v>169</v>
      </c>
    </row>
    <row r="3324" spans="1:6">
      <c r="A3324" s="4" t="str">
        <f t="shared" si="51"/>
        <v>tRNA-Phe-GAA-1-2|53</v>
      </c>
      <c r="B3324" s="4" t="s">
        <v>81</v>
      </c>
      <c r="C3324" s="4" t="s">
        <v>173</v>
      </c>
      <c r="D3324" s="4">
        <v>52</v>
      </c>
      <c r="E3324" s="22" t="s">
        <v>109</v>
      </c>
      <c r="F3324" s="10" t="s">
        <v>169</v>
      </c>
    </row>
    <row r="3325" spans="1:6">
      <c r="A3325" s="4" t="str">
        <f t="shared" si="51"/>
        <v>tRNA-Phe-GAA-1-2|54</v>
      </c>
      <c r="B3325" s="4" t="s">
        <v>81</v>
      </c>
      <c r="C3325" s="4" t="s">
        <v>174</v>
      </c>
      <c r="D3325" s="4">
        <v>53</v>
      </c>
      <c r="E3325" s="18" t="s">
        <v>116</v>
      </c>
      <c r="F3325" s="19" t="s">
        <v>175</v>
      </c>
    </row>
    <row r="3326" spans="1:6">
      <c r="A3326" s="4" t="str">
        <f t="shared" si="51"/>
        <v>tRNA-Phe-GAA-1-2|55</v>
      </c>
      <c r="B3326" s="4" t="s">
        <v>81</v>
      </c>
      <c r="C3326" s="4" t="s">
        <v>176</v>
      </c>
      <c r="D3326" s="4">
        <v>54</v>
      </c>
      <c r="E3326" s="18" t="s">
        <v>116</v>
      </c>
      <c r="F3326" s="19" t="s">
        <v>175</v>
      </c>
    </row>
    <row r="3327" spans="1:6">
      <c r="A3327" s="4" t="str">
        <f t="shared" si="51"/>
        <v>tRNA-Phe-GAA-1-2|56</v>
      </c>
      <c r="B3327" s="4" t="s">
        <v>81</v>
      </c>
      <c r="C3327" s="4" t="s">
        <v>177</v>
      </c>
      <c r="D3327" s="4">
        <v>55</v>
      </c>
      <c r="E3327" s="18" t="s">
        <v>114</v>
      </c>
      <c r="F3327" s="19" t="s">
        <v>175</v>
      </c>
    </row>
    <row r="3328" spans="1:6">
      <c r="A3328" s="4" t="str">
        <f t="shared" si="51"/>
        <v>tRNA-Phe-GAA-1-2|57</v>
      </c>
      <c r="B3328" s="4" t="s">
        <v>81</v>
      </c>
      <c r="C3328" s="4" t="s">
        <v>178</v>
      </c>
      <c r="D3328" s="4">
        <v>56</v>
      </c>
      <c r="E3328" s="18" t="s">
        <v>109</v>
      </c>
      <c r="F3328" s="19" t="s">
        <v>175</v>
      </c>
    </row>
    <row r="3329" spans="1:6">
      <c r="A3329" s="4" t="str">
        <f t="shared" si="51"/>
        <v>tRNA-Phe-GAA-1-2|58</v>
      </c>
      <c r="B3329" s="4" t="s">
        <v>81</v>
      </c>
      <c r="C3329" s="4" t="s">
        <v>179</v>
      </c>
      <c r="D3329" s="4">
        <v>57</v>
      </c>
      <c r="E3329" s="18" t="s">
        <v>122</v>
      </c>
      <c r="F3329" s="19" t="s">
        <v>175</v>
      </c>
    </row>
    <row r="3330" spans="1:6">
      <c r="A3330" s="4" t="str">
        <f t="shared" ref="A3330:A3393" si="52">B3330&amp;"|"&amp;C3330</f>
        <v>tRNA-Phe-GAA-1-2|59</v>
      </c>
      <c r="B3330" s="4" t="s">
        <v>81</v>
      </c>
      <c r="C3330" s="4" t="s">
        <v>180</v>
      </c>
      <c r="D3330" s="4">
        <v>58</v>
      </c>
      <c r="E3330" s="18" t="s">
        <v>122</v>
      </c>
      <c r="F3330" s="19" t="s">
        <v>175</v>
      </c>
    </row>
    <row r="3331" spans="1:6">
      <c r="A3331" s="4" t="str">
        <f t="shared" si="52"/>
        <v>tRNA-Phe-GAA-1-2|60</v>
      </c>
      <c r="B3331" s="4" t="s">
        <v>81</v>
      </c>
      <c r="C3331" s="4" t="s">
        <v>181</v>
      </c>
      <c r="D3331" s="4">
        <v>59</v>
      </c>
      <c r="E3331" s="18" t="s">
        <v>116</v>
      </c>
      <c r="F3331" s="19" t="s">
        <v>175</v>
      </c>
    </row>
    <row r="3332" spans="1:6">
      <c r="A3332" s="4" t="str">
        <f t="shared" si="52"/>
        <v>tRNA-Phe-GAA-1-2|61</v>
      </c>
      <c r="B3332" s="4" t="s">
        <v>81</v>
      </c>
      <c r="C3332" s="4" t="s">
        <v>182</v>
      </c>
      <c r="D3332" s="4">
        <v>60</v>
      </c>
      <c r="E3332" s="22" t="s">
        <v>114</v>
      </c>
      <c r="F3332" s="10" t="s">
        <v>169</v>
      </c>
    </row>
    <row r="3333" spans="1:6">
      <c r="A3333" s="4" t="str">
        <f t="shared" si="52"/>
        <v>tRNA-Phe-GAA-1-2|62</v>
      </c>
      <c r="B3333" s="4" t="s">
        <v>81</v>
      </c>
      <c r="C3333" s="4" t="s">
        <v>183</v>
      </c>
      <c r="D3333" s="4">
        <v>61</v>
      </c>
      <c r="E3333" s="22" t="s">
        <v>114</v>
      </c>
      <c r="F3333" s="10" t="s">
        <v>169</v>
      </c>
    </row>
    <row r="3334" spans="1:6">
      <c r="A3334" s="4" t="str">
        <f t="shared" si="52"/>
        <v>tRNA-Phe-GAA-1-2|63</v>
      </c>
      <c r="B3334" s="4" t="s">
        <v>81</v>
      </c>
      <c r="C3334" s="4" t="s">
        <v>184</v>
      </c>
      <c r="D3334" s="4">
        <v>62</v>
      </c>
      <c r="E3334" s="22" t="s">
        <v>109</v>
      </c>
      <c r="F3334" s="10" t="s">
        <v>169</v>
      </c>
    </row>
    <row r="3335" spans="1:6">
      <c r="A3335" s="4" t="str">
        <f t="shared" si="52"/>
        <v>tRNA-Phe-GAA-1-2|64</v>
      </c>
      <c r="B3335" s="4" t="s">
        <v>81</v>
      </c>
      <c r="C3335" s="4" t="s">
        <v>185</v>
      </c>
      <c r="D3335" s="4">
        <v>63</v>
      </c>
      <c r="E3335" s="22" t="s">
        <v>109</v>
      </c>
      <c r="F3335" s="10" t="s">
        <v>169</v>
      </c>
    </row>
    <row r="3336" spans="1:6">
      <c r="A3336" s="4" t="str">
        <f t="shared" si="52"/>
        <v>tRNA-Phe-GAA-1-2|65</v>
      </c>
      <c r="B3336" s="4" t="s">
        <v>81</v>
      </c>
      <c r="C3336" s="4" t="s">
        <v>186</v>
      </c>
      <c r="D3336" s="4">
        <v>64</v>
      </c>
      <c r="E3336" s="22" t="s">
        <v>109</v>
      </c>
      <c r="F3336" s="10" t="s">
        <v>169</v>
      </c>
    </row>
    <row r="3337" spans="1:6">
      <c r="A3337" s="4" t="str">
        <f t="shared" si="52"/>
        <v>tRNA-Phe-GAA-1-2|66</v>
      </c>
      <c r="B3337" s="4" t="s">
        <v>81</v>
      </c>
      <c r="C3337" s="4" t="s">
        <v>187</v>
      </c>
      <c r="D3337" s="4">
        <v>65</v>
      </c>
      <c r="E3337" s="16" t="s">
        <v>116</v>
      </c>
      <c r="F3337" s="17" t="s">
        <v>110</v>
      </c>
    </row>
    <row r="3338" spans="1:6">
      <c r="A3338" s="4" t="str">
        <f t="shared" si="52"/>
        <v>tRNA-Phe-GAA-1-2|67</v>
      </c>
      <c r="B3338" s="4" t="s">
        <v>81</v>
      </c>
      <c r="C3338" s="4" t="s">
        <v>188</v>
      </c>
      <c r="D3338" s="4">
        <v>66</v>
      </c>
      <c r="E3338" s="16" t="s">
        <v>114</v>
      </c>
      <c r="F3338" s="17" t="s">
        <v>110</v>
      </c>
    </row>
    <row r="3339" spans="1:6">
      <c r="A3339" s="4" t="str">
        <f t="shared" si="52"/>
        <v>tRNA-Phe-GAA-1-2|68</v>
      </c>
      <c r="B3339" s="4" t="s">
        <v>81</v>
      </c>
      <c r="C3339" s="4" t="s">
        <v>189</v>
      </c>
      <c r="D3339" s="4">
        <v>67</v>
      </c>
      <c r="E3339" s="16" t="s">
        <v>116</v>
      </c>
      <c r="F3339" s="17" t="s">
        <v>110</v>
      </c>
    </row>
    <row r="3340" spans="1:6">
      <c r="A3340" s="4" t="str">
        <f t="shared" si="52"/>
        <v>tRNA-Phe-GAA-1-2|69</v>
      </c>
      <c r="B3340" s="4" t="s">
        <v>81</v>
      </c>
      <c r="C3340" s="4" t="s">
        <v>190</v>
      </c>
      <c r="D3340" s="4">
        <v>68</v>
      </c>
      <c r="E3340" s="16" t="s">
        <v>109</v>
      </c>
      <c r="F3340" s="17" t="s">
        <v>110</v>
      </c>
    </row>
    <row r="3341" spans="1:6">
      <c r="A3341" s="4" t="str">
        <f t="shared" si="52"/>
        <v>tRNA-Phe-GAA-1-2|70</v>
      </c>
      <c r="B3341" s="4" t="s">
        <v>81</v>
      </c>
      <c r="C3341" s="4" t="s">
        <v>191</v>
      </c>
      <c r="D3341" s="4">
        <v>69</v>
      </c>
      <c r="E3341" s="16" t="s">
        <v>109</v>
      </c>
      <c r="F3341" s="17" t="s">
        <v>110</v>
      </c>
    </row>
    <row r="3342" spans="1:6">
      <c r="A3342" s="4" t="str">
        <f t="shared" si="52"/>
        <v>tRNA-Phe-GAA-1-2|71</v>
      </c>
      <c r="B3342" s="4" t="s">
        <v>81</v>
      </c>
      <c r="C3342" s="4" t="s">
        <v>192</v>
      </c>
      <c r="D3342" s="4">
        <v>70</v>
      </c>
      <c r="E3342" s="16" t="s">
        <v>109</v>
      </c>
      <c r="F3342" s="17" t="s">
        <v>110</v>
      </c>
    </row>
    <row r="3343" spans="1:6">
      <c r="A3343" s="4" t="str">
        <f t="shared" si="52"/>
        <v>tRNA-Phe-GAA-1-2|72</v>
      </c>
      <c r="B3343" s="4" t="s">
        <v>81</v>
      </c>
      <c r="C3343" s="4" t="s">
        <v>193</v>
      </c>
      <c r="D3343" s="4">
        <v>71</v>
      </c>
      <c r="E3343" s="16" t="s">
        <v>114</v>
      </c>
      <c r="F3343" s="17" t="s">
        <v>110</v>
      </c>
    </row>
    <row r="3344" spans="1:6">
      <c r="A3344" s="4" t="str">
        <f t="shared" si="52"/>
        <v>tRNA-Pro-CGG-1-1|1</v>
      </c>
      <c r="B3344" s="4" t="s">
        <v>82</v>
      </c>
      <c r="C3344" s="4" t="s">
        <v>108</v>
      </c>
      <c r="D3344" s="4">
        <v>1</v>
      </c>
      <c r="E3344" s="16" t="s">
        <v>109</v>
      </c>
      <c r="F3344" s="17" t="s">
        <v>110</v>
      </c>
    </row>
    <row r="3345" spans="1:6">
      <c r="A3345" s="4" t="str">
        <f t="shared" si="52"/>
        <v>tRNA-Pro-CGG-1-1|2</v>
      </c>
      <c r="B3345" s="4" t="s">
        <v>82</v>
      </c>
      <c r="C3345" s="4" t="s">
        <v>111</v>
      </c>
      <c r="D3345" s="4">
        <v>2</v>
      </c>
      <c r="E3345" s="16" t="s">
        <v>109</v>
      </c>
      <c r="F3345" s="17" t="s">
        <v>110</v>
      </c>
    </row>
    <row r="3346" spans="1:6">
      <c r="A3346" s="4" t="str">
        <f t="shared" si="52"/>
        <v>tRNA-Pro-CGG-1-1|3</v>
      </c>
      <c r="B3346" s="4" t="s">
        <v>82</v>
      </c>
      <c r="C3346" s="4" t="s">
        <v>112</v>
      </c>
      <c r="D3346" s="4">
        <v>3</v>
      </c>
      <c r="E3346" s="16" t="s">
        <v>109</v>
      </c>
      <c r="F3346" s="17" t="s">
        <v>110</v>
      </c>
    </row>
    <row r="3347" spans="1:6">
      <c r="A3347" s="4" t="str">
        <f t="shared" si="52"/>
        <v>tRNA-Pro-CGG-1-1|4</v>
      </c>
      <c r="B3347" s="4" t="s">
        <v>82</v>
      </c>
      <c r="C3347" s="4" t="s">
        <v>113</v>
      </c>
      <c r="D3347" s="4">
        <v>4</v>
      </c>
      <c r="E3347" s="16" t="s">
        <v>122</v>
      </c>
      <c r="F3347" s="17" t="s">
        <v>110</v>
      </c>
    </row>
    <row r="3348" spans="1:6">
      <c r="A3348" s="4" t="str">
        <f t="shared" si="52"/>
        <v>tRNA-Pro-CGG-1-1|5</v>
      </c>
      <c r="B3348" s="4" t="s">
        <v>82</v>
      </c>
      <c r="C3348" s="4" t="s">
        <v>115</v>
      </c>
      <c r="D3348" s="4">
        <v>5</v>
      </c>
      <c r="E3348" s="16" t="s">
        <v>114</v>
      </c>
      <c r="F3348" s="17" t="s">
        <v>110</v>
      </c>
    </row>
    <row r="3349" spans="1:6">
      <c r="A3349" s="4" t="str">
        <f t="shared" si="52"/>
        <v>tRNA-Pro-CGG-1-1|6</v>
      </c>
      <c r="B3349" s="4" t="s">
        <v>82</v>
      </c>
      <c r="C3349" s="4" t="s">
        <v>117</v>
      </c>
      <c r="D3349" s="4">
        <v>6</v>
      </c>
      <c r="E3349" s="16" t="s">
        <v>114</v>
      </c>
      <c r="F3349" s="17" t="s">
        <v>110</v>
      </c>
    </row>
    <row r="3350" spans="1:6">
      <c r="A3350" s="4" t="str">
        <f t="shared" si="52"/>
        <v>tRNA-Pro-CGG-1-1|7</v>
      </c>
      <c r="B3350" s="4" t="s">
        <v>82</v>
      </c>
      <c r="C3350" s="4" t="s">
        <v>118</v>
      </c>
      <c r="D3350" s="4">
        <v>7</v>
      </c>
      <c r="E3350" s="16" t="s">
        <v>109</v>
      </c>
      <c r="F3350" s="17" t="s">
        <v>110</v>
      </c>
    </row>
    <row r="3351" spans="1:6">
      <c r="A3351" s="4" t="str">
        <f t="shared" si="52"/>
        <v>tRNA-Pro-CGG-1-1|8</v>
      </c>
      <c r="B3351" s="4" t="s">
        <v>82</v>
      </c>
      <c r="C3351" s="4" t="s">
        <v>119</v>
      </c>
      <c r="D3351" s="4">
        <v>8</v>
      </c>
      <c r="E3351" s="3" t="s">
        <v>116</v>
      </c>
      <c r="F3351" s="4" t="s">
        <v>120</v>
      </c>
    </row>
    <row r="3352" spans="1:6">
      <c r="A3352" s="4" t="str">
        <f t="shared" si="52"/>
        <v>tRNA-Pro-CGG-1-1|9</v>
      </c>
      <c r="B3352" s="4" t="s">
        <v>82</v>
      </c>
      <c r="C3352" s="4" t="s">
        <v>121</v>
      </c>
      <c r="D3352" s="4">
        <v>9</v>
      </c>
      <c r="E3352" s="3" t="s">
        <v>122</v>
      </c>
      <c r="F3352" s="4" t="s">
        <v>123</v>
      </c>
    </row>
    <row r="3353" spans="1:6">
      <c r="A3353" s="4" t="str">
        <f t="shared" si="52"/>
        <v>tRNA-Pro-CGG-1-1|10</v>
      </c>
      <c r="B3353" s="4" t="s">
        <v>82</v>
      </c>
      <c r="C3353" s="4" t="s">
        <v>124</v>
      </c>
      <c r="D3353" s="4">
        <v>10</v>
      </c>
      <c r="E3353" s="8" t="s">
        <v>109</v>
      </c>
      <c r="F3353" s="7" t="s">
        <v>125</v>
      </c>
    </row>
    <row r="3354" spans="1:6">
      <c r="A3354" s="4" t="str">
        <f t="shared" si="52"/>
        <v>tRNA-Pro-CGG-1-1|11</v>
      </c>
      <c r="B3354" s="4" t="s">
        <v>82</v>
      </c>
      <c r="C3354" s="4" t="s">
        <v>126</v>
      </c>
      <c r="D3354" s="4">
        <v>11</v>
      </c>
      <c r="E3354" s="8" t="s">
        <v>109</v>
      </c>
      <c r="F3354" s="7" t="s">
        <v>125</v>
      </c>
    </row>
    <row r="3355" spans="1:6">
      <c r="A3355" s="4" t="str">
        <f t="shared" si="52"/>
        <v>tRNA-Pro-CGG-1-1|12</v>
      </c>
      <c r="B3355" s="4" t="s">
        <v>82</v>
      </c>
      <c r="C3355" s="4" t="s">
        <v>127</v>
      </c>
      <c r="D3355" s="4">
        <v>12</v>
      </c>
      <c r="E3355" s="8" t="s">
        <v>109</v>
      </c>
      <c r="F3355" s="7" t="s">
        <v>125</v>
      </c>
    </row>
    <row r="3356" spans="1:6">
      <c r="A3356" s="4" t="str">
        <f t="shared" si="52"/>
        <v>tRNA-Pro-CGG-1-1|13</v>
      </c>
      <c r="B3356" s="4" t="s">
        <v>82</v>
      </c>
      <c r="C3356" s="4" t="s">
        <v>128</v>
      </c>
      <c r="D3356" s="4">
        <v>13</v>
      </c>
      <c r="E3356" s="8" t="s">
        <v>116</v>
      </c>
      <c r="F3356" s="7" t="s">
        <v>125</v>
      </c>
    </row>
    <row r="3357" spans="1:6">
      <c r="A3357" s="4" t="str">
        <f t="shared" si="52"/>
        <v>tRNA-Pro-CGG-1-1|14</v>
      </c>
      <c r="B3357" s="4" t="s">
        <v>82</v>
      </c>
      <c r="C3357" s="4" t="s">
        <v>129</v>
      </c>
      <c r="D3357" s="4">
        <v>14</v>
      </c>
      <c r="E3357" s="18" t="s">
        <v>122</v>
      </c>
      <c r="F3357" s="19" t="s">
        <v>130</v>
      </c>
    </row>
    <row r="3358" spans="1:6">
      <c r="A3358" s="4" t="str">
        <f t="shared" si="52"/>
        <v>tRNA-Pro-CGG-1-1|15</v>
      </c>
      <c r="B3358" s="4" t="s">
        <v>82</v>
      </c>
      <c r="C3358" s="4" t="s">
        <v>131</v>
      </c>
      <c r="D3358" s="4">
        <v>15</v>
      </c>
      <c r="E3358" s="18" t="s">
        <v>109</v>
      </c>
      <c r="F3358" s="19" t="s">
        <v>130</v>
      </c>
    </row>
    <row r="3359" spans="1:6">
      <c r="A3359" s="4" t="str">
        <f t="shared" si="52"/>
        <v>tRNA-Pro-CGG-1-1|16</v>
      </c>
      <c r="B3359" s="4" t="s">
        <v>82</v>
      </c>
      <c r="C3359" s="4" t="s">
        <v>194</v>
      </c>
      <c r="D3359" s="4">
        <v>16</v>
      </c>
      <c r="E3359" s="18" t="s">
        <v>114</v>
      </c>
      <c r="F3359" s="19" t="s">
        <v>130</v>
      </c>
    </row>
    <row r="3360" spans="1:6">
      <c r="A3360" s="4" t="str">
        <f t="shared" si="52"/>
        <v>tRNA-Pro-CGG-1-1|17</v>
      </c>
      <c r="B3360" s="4" t="s">
        <v>82</v>
      </c>
      <c r="C3360" s="4" t="s">
        <v>195</v>
      </c>
      <c r="D3360" s="4">
        <v>17</v>
      </c>
      <c r="E3360" s="18" t="s">
        <v>116</v>
      </c>
      <c r="F3360" s="19" t="s">
        <v>130</v>
      </c>
    </row>
    <row r="3361" spans="1:6">
      <c r="A3361" s="4" t="str">
        <f t="shared" si="52"/>
        <v>tRNA-Pro-CGG-1-1|17a</v>
      </c>
      <c r="B3361" s="4" t="s">
        <v>82</v>
      </c>
      <c r="C3361" s="4" t="s">
        <v>196</v>
      </c>
      <c r="D3361" s="4">
        <v>18</v>
      </c>
      <c r="E3361" s="18" t="s">
        <v>116</v>
      </c>
      <c r="F3361" s="19" t="s">
        <v>130</v>
      </c>
    </row>
    <row r="3362" spans="1:6">
      <c r="A3362" s="4" t="str">
        <f t="shared" si="52"/>
        <v>tRNA-Pro-CGG-1-1|18</v>
      </c>
      <c r="B3362" s="4" t="s">
        <v>82</v>
      </c>
      <c r="C3362" s="4" t="s">
        <v>132</v>
      </c>
      <c r="D3362" s="4">
        <v>19</v>
      </c>
      <c r="E3362" s="18" t="s">
        <v>109</v>
      </c>
      <c r="F3362" s="19" t="s">
        <v>130</v>
      </c>
    </row>
    <row r="3363" spans="1:6">
      <c r="A3363" s="4" t="str">
        <f t="shared" si="52"/>
        <v>tRNA-Pro-CGG-1-1|19</v>
      </c>
      <c r="B3363" s="4" t="s">
        <v>82</v>
      </c>
      <c r="C3363" s="4" t="s">
        <v>133</v>
      </c>
      <c r="D3363" s="4">
        <v>20</v>
      </c>
      <c r="E3363" s="18" t="s">
        <v>109</v>
      </c>
      <c r="F3363" s="19" t="s">
        <v>130</v>
      </c>
    </row>
    <row r="3364" spans="1:6">
      <c r="A3364" s="4" t="str">
        <f t="shared" si="52"/>
        <v>tRNA-Pro-CGG-1-1|20</v>
      </c>
      <c r="B3364" s="4" t="s">
        <v>82</v>
      </c>
      <c r="C3364" s="4" t="s">
        <v>134</v>
      </c>
      <c r="D3364" s="4">
        <v>21</v>
      </c>
      <c r="E3364" s="18" t="s">
        <v>116</v>
      </c>
      <c r="F3364" s="19" t="s">
        <v>130</v>
      </c>
    </row>
    <row r="3365" spans="1:6">
      <c r="A3365" s="4" t="str">
        <f t="shared" si="52"/>
        <v>tRNA-Pro-CGG-1-1|20a</v>
      </c>
      <c r="B3365" s="4" t="s">
        <v>82</v>
      </c>
      <c r="C3365" s="4" t="s">
        <v>135</v>
      </c>
      <c r="D3365" s="4">
        <v>22</v>
      </c>
      <c r="E3365" s="18" t="s">
        <v>114</v>
      </c>
      <c r="F3365" s="19" t="s">
        <v>130</v>
      </c>
    </row>
    <row r="3366" spans="1:6">
      <c r="A3366" s="4" t="str">
        <f t="shared" si="52"/>
        <v>tRNA-Pro-CGG-1-1|20b</v>
      </c>
      <c r="B3366" s="4" t="s">
        <v>82</v>
      </c>
      <c r="C3366" s="4" t="s">
        <v>197</v>
      </c>
      <c r="D3366" s="4">
        <v>23</v>
      </c>
      <c r="E3366" s="18" t="s">
        <v>114</v>
      </c>
      <c r="F3366" s="19" t="s">
        <v>130</v>
      </c>
    </row>
    <row r="3367" spans="1:6">
      <c r="A3367" s="4" t="str">
        <f t="shared" si="52"/>
        <v>tRNA-Pro-CGG-1-1|21</v>
      </c>
      <c r="B3367" s="4" t="s">
        <v>82</v>
      </c>
      <c r="C3367" s="4" t="s">
        <v>136</v>
      </c>
      <c r="D3367" s="4">
        <v>24</v>
      </c>
      <c r="E3367" s="18" t="s">
        <v>122</v>
      </c>
      <c r="F3367" s="19" t="s">
        <v>130</v>
      </c>
    </row>
    <row r="3368" spans="1:6">
      <c r="A3368" s="4" t="str">
        <f t="shared" si="52"/>
        <v>tRNA-Pro-CGG-1-1|22</v>
      </c>
      <c r="B3368" s="4" t="s">
        <v>82</v>
      </c>
      <c r="C3368" s="4" t="s">
        <v>137</v>
      </c>
      <c r="D3368" s="4">
        <v>25</v>
      </c>
      <c r="E3368" s="8" t="s">
        <v>116</v>
      </c>
      <c r="F3368" s="7" t="s">
        <v>125</v>
      </c>
    </row>
    <row r="3369" spans="1:6">
      <c r="A3369" s="4" t="str">
        <f t="shared" si="52"/>
        <v>tRNA-Pro-CGG-1-1|23</v>
      </c>
      <c r="B3369" s="4" t="s">
        <v>82</v>
      </c>
      <c r="C3369" s="4" t="s">
        <v>138</v>
      </c>
      <c r="D3369" s="4">
        <v>26</v>
      </c>
      <c r="E3369" s="8" t="s">
        <v>114</v>
      </c>
      <c r="F3369" s="7" t="s">
        <v>125</v>
      </c>
    </row>
    <row r="3370" spans="1:6">
      <c r="A3370" s="4" t="str">
        <f t="shared" si="52"/>
        <v>tRNA-Pro-CGG-1-1|24</v>
      </c>
      <c r="B3370" s="4" t="s">
        <v>82</v>
      </c>
      <c r="C3370" s="4" t="s">
        <v>139</v>
      </c>
      <c r="D3370" s="4">
        <v>27</v>
      </c>
      <c r="E3370" s="8" t="s">
        <v>114</v>
      </c>
      <c r="F3370" s="7" t="s">
        <v>125</v>
      </c>
    </row>
    <row r="3371" spans="1:6">
      <c r="A3371" s="4" t="str">
        <f t="shared" si="52"/>
        <v>tRNA-Pro-CGG-1-1|25</v>
      </c>
      <c r="B3371" s="4" t="s">
        <v>82</v>
      </c>
      <c r="C3371" s="4" t="s">
        <v>140</v>
      </c>
      <c r="D3371" s="4">
        <v>28</v>
      </c>
      <c r="E3371" s="8" t="s">
        <v>116</v>
      </c>
      <c r="F3371" s="7" t="s">
        <v>125</v>
      </c>
    </row>
    <row r="3372" spans="1:6">
      <c r="A3372" s="4" t="str">
        <f t="shared" si="52"/>
        <v>tRNA-Pro-CGG-1-1|26</v>
      </c>
      <c r="B3372" s="4" t="s">
        <v>82</v>
      </c>
      <c r="C3372" s="4" t="s">
        <v>141</v>
      </c>
      <c r="D3372" s="4">
        <v>29</v>
      </c>
      <c r="E3372" s="3" t="s">
        <v>116</v>
      </c>
      <c r="F3372" s="4" t="s">
        <v>142</v>
      </c>
    </row>
    <row r="3373" spans="1:6">
      <c r="A3373" s="4" t="str">
        <f t="shared" si="52"/>
        <v>tRNA-Pro-CGG-1-1|27</v>
      </c>
      <c r="B3373" s="4" t="s">
        <v>82</v>
      </c>
      <c r="C3373" s="4" t="s">
        <v>143</v>
      </c>
      <c r="D3373" s="4">
        <v>30</v>
      </c>
      <c r="E3373" s="20" t="s">
        <v>114</v>
      </c>
      <c r="F3373" s="21" t="s">
        <v>144</v>
      </c>
    </row>
    <row r="3374" spans="1:6">
      <c r="A3374" s="4" t="str">
        <f t="shared" si="52"/>
        <v>tRNA-Pro-CGG-1-1|28</v>
      </c>
      <c r="B3374" s="4" t="s">
        <v>82</v>
      </c>
      <c r="C3374" s="4" t="s">
        <v>145</v>
      </c>
      <c r="D3374" s="4">
        <v>31</v>
      </c>
      <c r="E3374" s="20" t="s">
        <v>109</v>
      </c>
      <c r="F3374" s="21" t="s">
        <v>144</v>
      </c>
    </row>
    <row r="3375" spans="1:6">
      <c r="A3375" s="4" t="str">
        <f t="shared" si="52"/>
        <v>tRNA-Pro-CGG-1-1|29</v>
      </c>
      <c r="B3375" s="4" t="s">
        <v>82</v>
      </c>
      <c r="C3375" s="4" t="s">
        <v>146</v>
      </c>
      <c r="D3375" s="4">
        <v>32</v>
      </c>
      <c r="E3375" s="20" t="s">
        <v>109</v>
      </c>
      <c r="F3375" s="21" t="s">
        <v>144</v>
      </c>
    </row>
    <row r="3376" spans="1:6">
      <c r="A3376" s="4" t="str">
        <f t="shared" si="52"/>
        <v>tRNA-Pro-CGG-1-1|30</v>
      </c>
      <c r="B3376" s="4" t="s">
        <v>82</v>
      </c>
      <c r="C3376" s="4" t="s">
        <v>147</v>
      </c>
      <c r="D3376" s="4">
        <v>33</v>
      </c>
      <c r="E3376" s="20" t="s">
        <v>114</v>
      </c>
      <c r="F3376" s="21" t="s">
        <v>144</v>
      </c>
    </row>
    <row r="3377" spans="1:6">
      <c r="A3377" s="4" t="str">
        <f t="shared" si="52"/>
        <v>tRNA-Pro-CGG-1-1|31</v>
      </c>
      <c r="B3377" s="4" t="s">
        <v>82</v>
      </c>
      <c r="C3377" s="4" t="s">
        <v>148</v>
      </c>
      <c r="D3377" s="4">
        <v>34</v>
      </c>
      <c r="E3377" s="20" t="s">
        <v>109</v>
      </c>
      <c r="F3377" s="21" t="s">
        <v>144</v>
      </c>
    </row>
    <row r="3378" spans="1:6">
      <c r="A3378" s="4" t="str">
        <f t="shared" si="52"/>
        <v>tRNA-Pro-CGG-1-1|32</v>
      </c>
      <c r="B3378" s="4" t="s">
        <v>82</v>
      </c>
      <c r="C3378" s="4" t="s">
        <v>149</v>
      </c>
      <c r="D3378" s="4">
        <v>35</v>
      </c>
      <c r="E3378" s="18" t="s">
        <v>116</v>
      </c>
      <c r="F3378" s="19" t="s">
        <v>150</v>
      </c>
    </row>
    <row r="3379" spans="1:6">
      <c r="A3379" s="4" t="str">
        <f t="shared" si="52"/>
        <v>tRNA-Pro-CGG-1-1|33</v>
      </c>
      <c r="B3379" s="4" t="s">
        <v>82</v>
      </c>
      <c r="C3379" s="4" t="s">
        <v>151</v>
      </c>
      <c r="D3379" s="4">
        <v>36</v>
      </c>
      <c r="E3379" s="18" t="s">
        <v>116</v>
      </c>
      <c r="F3379" s="19" t="s">
        <v>150</v>
      </c>
    </row>
    <row r="3380" spans="1:6">
      <c r="A3380" s="4" t="str">
        <f t="shared" si="52"/>
        <v>tRNA-Pro-CGG-1-1|34</v>
      </c>
      <c r="B3380" s="4" t="s">
        <v>82</v>
      </c>
      <c r="C3380" s="4" t="s">
        <v>152</v>
      </c>
      <c r="D3380" s="4">
        <v>37</v>
      </c>
      <c r="E3380" s="18" t="s">
        <v>114</v>
      </c>
      <c r="F3380" s="19" t="s">
        <v>150</v>
      </c>
    </row>
    <row r="3381" spans="1:6">
      <c r="A3381" s="4" t="str">
        <f t="shared" si="52"/>
        <v>tRNA-Pro-CGG-1-1|35</v>
      </c>
      <c r="B3381" s="4" t="s">
        <v>82</v>
      </c>
      <c r="C3381" s="4" t="s">
        <v>153</v>
      </c>
      <c r="D3381" s="4">
        <v>38</v>
      </c>
      <c r="E3381" s="18" t="s">
        <v>109</v>
      </c>
      <c r="F3381" s="19" t="s">
        <v>150</v>
      </c>
    </row>
    <row r="3382" spans="1:6">
      <c r="A3382" s="4" t="str">
        <f t="shared" si="52"/>
        <v>tRNA-Pro-CGG-1-1|36</v>
      </c>
      <c r="B3382" s="4" t="s">
        <v>82</v>
      </c>
      <c r="C3382" s="4" t="s">
        <v>154</v>
      </c>
      <c r="D3382" s="4">
        <v>39</v>
      </c>
      <c r="E3382" s="18" t="s">
        <v>109</v>
      </c>
      <c r="F3382" s="19" t="s">
        <v>150</v>
      </c>
    </row>
    <row r="3383" spans="1:6">
      <c r="A3383" s="4" t="str">
        <f t="shared" si="52"/>
        <v>tRNA-Pro-CGG-1-1|37</v>
      </c>
      <c r="B3383" s="4" t="s">
        <v>82</v>
      </c>
      <c r="C3383" s="4" t="s">
        <v>155</v>
      </c>
      <c r="D3383" s="4">
        <v>40</v>
      </c>
      <c r="E3383" s="18" t="s">
        <v>109</v>
      </c>
      <c r="F3383" s="19" t="s">
        <v>150</v>
      </c>
    </row>
    <row r="3384" spans="1:6">
      <c r="A3384" s="4" t="str">
        <f t="shared" si="52"/>
        <v>tRNA-Pro-CGG-1-1|38</v>
      </c>
      <c r="B3384" s="4" t="s">
        <v>82</v>
      </c>
      <c r="C3384" s="4" t="s">
        <v>156</v>
      </c>
      <c r="D3384" s="4">
        <v>41</v>
      </c>
      <c r="E3384" s="18" t="s">
        <v>122</v>
      </c>
      <c r="F3384" s="19" t="s">
        <v>150</v>
      </c>
    </row>
    <row r="3385" spans="1:6">
      <c r="A3385" s="4" t="str">
        <f t="shared" si="52"/>
        <v>tRNA-Pro-CGG-1-1|39</v>
      </c>
      <c r="B3385" s="4" t="s">
        <v>82</v>
      </c>
      <c r="C3385" s="4" t="s">
        <v>157</v>
      </c>
      <c r="D3385" s="4">
        <v>42</v>
      </c>
      <c r="E3385" s="20" t="s">
        <v>114</v>
      </c>
      <c r="F3385" s="21" t="s">
        <v>144</v>
      </c>
    </row>
    <row r="3386" spans="1:6">
      <c r="A3386" s="4" t="str">
        <f t="shared" si="52"/>
        <v>tRNA-Pro-CGG-1-1|40</v>
      </c>
      <c r="B3386" s="4" t="s">
        <v>82</v>
      </c>
      <c r="C3386" s="4" t="s">
        <v>158</v>
      </c>
      <c r="D3386" s="4">
        <v>43</v>
      </c>
      <c r="E3386" s="20" t="s">
        <v>109</v>
      </c>
      <c r="F3386" s="21" t="s">
        <v>144</v>
      </c>
    </row>
    <row r="3387" spans="1:6">
      <c r="A3387" s="4" t="str">
        <f t="shared" si="52"/>
        <v>tRNA-Pro-CGG-1-1|41</v>
      </c>
      <c r="B3387" s="4" t="s">
        <v>82</v>
      </c>
      <c r="C3387" s="4" t="s">
        <v>159</v>
      </c>
      <c r="D3387" s="4">
        <v>44</v>
      </c>
      <c r="E3387" s="20" t="s">
        <v>114</v>
      </c>
      <c r="F3387" s="21" t="s">
        <v>144</v>
      </c>
    </row>
    <row r="3388" spans="1:6">
      <c r="A3388" s="4" t="str">
        <f t="shared" si="52"/>
        <v>tRNA-Pro-CGG-1-1|42</v>
      </c>
      <c r="B3388" s="4" t="s">
        <v>82</v>
      </c>
      <c r="C3388" s="4" t="s">
        <v>160</v>
      </c>
      <c r="D3388" s="4">
        <v>45</v>
      </c>
      <c r="E3388" s="20" t="s">
        <v>114</v>
      </c>
      <c r="F3388" s="21" t="s">
        <v>144</v>
      </c>
    </row>
    <row r="3389" spans="1:6">
      <c r="A3389" s="4" t="str">
        <f t="shared" si="52"/>
        <v>tRNA-Pro-CGG-1-1|43</v>
      </c>
      <c r="B3389" s="4" t="s">
        <v>82</v>
      </c>
      <c r="C3389" s="4" t="s">
        <v>161</v>
      </c>
      <c r="D3389" s="4">
        <v>46</v>
      </c>
      <c r="E3389" s="20" t="s">
        <v>109</v>
      </c>
      <c r="F3389" s="21" t="s">
        <v>144</v>
      </c>
    </row>
    <row r="3390" spans="1:6">
      <c r="A3390" s="4" t="str">
        <f t="shared" si="52"/>
        <v>tRNA-Pro-CGG-1-1|44</v>
      </c>
      <c r="B3390" s="4" t="s">
        <v>82</v>
      </c>
      <c r="C3390" s="4" t="s">
        <v>162</v>
      </c>
      <c r="D3390" s="4">
        <v>47</v>
      </c>
      <c r="E3390" s="18" t="s">
        <v>109</v>
      </c>
      <c r="F3390" s="19" t="s">
        <v>163</v>
      </c>
    </row>
    <row r="3391" spans="1:6">
      <c r="A3391" s="4" t="str">
        <f t="shared" si="52"/>
        <v>tRNA-Pro-CGG-1-1|45</v>
      </c>
      <c r="B3391" s="4" t="s">
        <v>82</v>
      </c>
      <c r="C3391" s="4" t="s">
        <v>164</v>
      </c>
      <c r="D3391" s="4">
        <v>48</v>
      </c>
      <c r="E3391" s="18" t="s">
        <v>122</v>
      </c>
      <c r="F3391" s="19" t="s">
        <v>163</v>
      </c>
    </row>
    <row r="3392" spans="1:6">
      <c r="A3392" s="4" t="str">
        <f t="shared" si="52"/>
        <v>tRNA-Pro-CGG-1-1|46</v>
      </c>
      <c r="B3392" s="4" t="s">
        <v>82</v>
      </c>
      <c r="C3392" s="4" t="s">
        <v>165</v>
      </c>
      <c r="D3392" s="4">
        <v>49</v>
      </c>
      <c r="E3392" s="18" t="s">
        <v>122</v>
      </c>
      <c r="F3392" s="19" t="s">
        <v>163</v>
      </c>
    </row>
    <row r="3393" spans="1:6">
      <c r="A3393" s="4" t="str">
        <f t="shared" si="52"/>
        <v>tRNA-Pro-CGG-1-1|48</v>
      </c>
      <c r="B3393" s="4" t="s">
        <v>82</v>
      </c>
      <c r="C3393" s="4" t="s">
        <v>167</v>
      </c>
      <c r="D3393" s="4">
        <v>50</v>
      </c>
      <c r="E3393" s="18" t="s">
        <v>114</v>
      </c>
      <c r="F3393" s="19" t="s">
        <v>163</v>
      </c>
    </row>
    <row r="3394" spans="1:6">
      <c r="A3394" s="4" t="str">
        <f t="shared" ref="A3394:A3457" si="53">B3394&amp;"|"&amp;C3394</f>
        <v>tRNA-Pro-CGG-1-1|49</v>
      </c>
      <c r="B3394" s="4" t="s">
        <v>82</v>
      </c>
      <c r="C3394" s="4" t="s">
        <v>168</v>
      </c>
      <c r="D3394" s="4">
        <v>51</v>
      </c>
      <c r="E3394" s="22" t="s">
        <v>114</v>
      </c>
      <c r="F3394" s="10" t="s">
        <v>169</v>
      </c>
    </row>
    <row r="3395" spans="1:6">
      <c r="A3395" s="4" t="str">
        <f t="shared" si="53"/>
        <v>tRNA-Pro-CGG-1-1|50</v>
      </c>
      <c r="B3395" s="4" t="s">
        <v>82</v>
      </c>
      <c r="C3395" s="4" t="s">
        <v>170</v>
      </c>
      <c r="D3395" s="4">
        <v>52</v>
      </c>
      <c r="E3395" s="22" t="s">
        <v>116</v>
      </c>
      <c r="F3395" s="10" t="s">
        <v>169</v>
      </c>
    </row>
    <row r="3396" spans="1:6">
      <c r="A3396" s="4" t="str">
        <f t="shared" si="53"/>
        <v>tRNA-Pro-CGG-1-1|51</v>
      </c>
      <c r="B3396" s="4" t="s">
        <v>82</v>
      </c>
      <c r="C3396" s="4" t="s">
        <v>171</v>
      </c>
      <c r="D3396" s="4">
        <v>53</v>
      </c>
      <c r="E3396" s="22" t="s">
        <v>109</v>
      </c>
      <c r="F3396" s="10" t="s">
        <v>169</v>
      </c>
    </row>
    <row r="3397" spans="1:6">
      <c r="A3397" s="4" t="str">
        <f t="shared" si="53"/>
        <v>tRNA-Pro-CGG-1-1|52</v>
      </c>
      <c r="B3397" s="4" t="s">
        <v>82</v>
      </c>
      <c r="C3397" s="4" t="s">
        <v>172</v>
      </c>
      <c r="D3397" s="4">
        <v>54</v>
      </c>
      <c r="E3397" s="22" t="s">
        <v>122</v>
      </c>
      <c r="F3397" s="10" t="s">
        <v>169</v>
      </c>
    </row>
    <row r="3398" spans="1:6">
      <c r="A3398" s="4" t="str">
        <f t="shared" si="53"/>
        <v>tRNA-Pro-CGG-1-1|53</v>
      </c>
      <c r="B3398" s="4" t="s">
        <v>82</v>
      </c>
      <c r="C3398" s="4" t="s">
        <v>173</v>
      </c>
      <c r="D3398" s="4">
        <v>55</v>
      </c>
      <c r="E3398" s="22" t="s">
        <v>109</v>
      </c>
      <c r="F3398" s="10" t="s">
        <v>169</v>
      </c>
    </row>
    <row r="3399" spans="1:6">
      <c r="A3399" s="4" t="str">
        <f t="shared" si="53"/>
        <v>tRNA-Pro-CGG-1-1|54</v>
      </c>
      <c r="B3399" s="4" t="s">
        <v>82</v>
      </c>
      <c r="C3399" s="4" t="s">
        <v>174</v>
      </c>
      <c r="D3399" s="4">
        <v>56</v>
      </c>
      <c r="E3399" s="18" t="s">
        <v>116</v>
      </c>
      <c r="F3399" s="19" t="s">
        <v>175</v>
      </c>
    </row>
    <row r="3400" spans="1:6">
      <c r="A3400" s="4" t="str">
        <f t="shared" si="53"/>
        <v>tRNA-Pro-CGG-1-1|55</v>
      </c>
      <c r="B3400" s="4" t="s">
        <v>82</v>
      </c>
      <c r="C3400" s="4" t="s">
        <v>176</v>
      </c>
      <c r="D3400" s="4">
        <v>57</v>
      </c>
      <c r="E3400" s="18" t="s">
        <v>116</v>
      </c>
      <c r="F3400" s="19" t="s">
        <v>175</v>
      </c>
    </row>
    <row r="3401" spans="1:6">
      <c r="A3401" s="4" t="str">
        <f t="shared" si="53"/>
        <v>tRNA-Pro-CGG-1-1|56</v>
      </c>
      <c r="B3401" s="4" t="s">
        <v>82</v>
      </c>
      <c r="C3401" s="4" t="s">
        <v>177</v>
      </c>
      <c r="D3401" s="4">
        <v>58</v>
      </c>
      <c r="E3401" s="18" t="s">
        <v>114</v>
      </c>
      <c r="F3401" s="19" t="s">
        <v>175</v>
      </c>
    </row>
    <row r="3402" spans="1:6">
      <c r="A3402" s="4" t="str">
        <f t="shared" si="53"/>
        <v>tRNA-Pro-CGG-1-1|57</v>
      </c>
      <c r="B3402" s="4" t="s">
        <v>82</v>
      </c>
      <c r="C3402" s="4" t="s">
        <v>178</v>
      </c>
      <c r="D3402" s="4">
        <v>59</v>
      </c>
      <c r="E3402" s="18" t="s">
        <v>109</v>
      </c>
      <c r="F3402" s="19" t="s">
        <v>175</v>
      </c>
    </row>
    <row r="3403" spans="1:6">
      <c r="A3403" s="4" t="str">
        <f t="shared" si="53"/>
        <v>tRNA-Pro-CGG-1-1|58</v>
      </c>
      <c r="B3403" s="4" t="s">
        <v>82</v>
      </c>
      <c r="C3403" s="4" t="s">
        <v>179</v>
      </c>
      <c r="D3403" s="4">
        <v>60</v>
      </c>
      <c r="E3403" s="18" t="s">
        <v>122</v>
      </c>
      <c r="F3403" s="19" t="s">
        <v>175</v>
      </c>
    </row>
    <row r="3404" spans="1:6">
      <c r="A3404" s="4" t="str">
        <f t="shared" si="53"/>
        <v>tRNA-Pro-CGG-1-1|59</v>
      </c>
      <c r="B3404" s="4" t="s">
        <v>82</v>
      </c>
      <c r="C3404" s="4" t="s">
        <v>180</v>
      </c>
      <c r="D3404" s="4">
        <v>61</v>
      </c>
      <c r="E3404" s="18" t="s">
        <v>122</v>
      </c>
      <c r="F3404" s="19" t="s">
        <v>175</v>
      </c>
    </row>
    <row r="3405" spans="1:6">
      <c r="A3405" s="4" t="str">
        <f t="shared" si="53"/>
        <v>tRNA-Pro-CGG-1-1|60</v>
      </c>
      <c r="B3405" s="4" t="s">
        <v>82</v>
      </c>
      <c r="C3405" s="4" t="s">
        <v>181</v>
      </c>
      <c r="D3405" s="4">
        <v>62</v>
      </c>
      <c r="E3405" s="18" t="s">
        <v>116</v>
      </c>
      <c r="F3405" s="19" t="s">
        <v>175</v>
      </c>
    </row>
    <row r="3406" spans="1:6">
      <c r="A3406" s="4" t="str">
        <f t="shared" si="53"/>
        <v>tRNA-Pro-CGG-1-1|61</v>
      </c>
      <c r="B3406" s="4" t="s">
        <v>82</v>
      </c>
      <c r="C3406" s="4" t="s">
        <v>182</v>
      </c>
      <c r="D3406" s="4">
        <v>63</v>
      </c>
      <c r="E3406" s="22" t="s">
        <v>114</v>
      </c>
      <c r="F3406" s="10" t="s">
        <v>169</v>
      </c>
    </row>
    <row r="3407" spans="1:6">
      <c r="A3407" s="4" t="str">
        <f t="shared" si="53"/>
        <v>tRNA-Pro-CGG-1-1|62</v>
      </c>
      <c r="B3407" s="4" t="s">
        <v>82</v>
      </c>
      <c r="C3407" s="4" t="s">
        <v>183</v>
      </c>
      <c r="D3407" s="4">
        <v>64</v>
      </c>
      <c r="E3407" s="22" t="s">
        <v>116</v>
      </c>
      <c r="F3407" s="10" t="s">
        <v>169</v>
      </c>
    </row>
    <row r="3408" spans="1:6">
      <c r="A3408" s="4" t="str">
        <f t="shared" si="53"/>
        <v>tRNA-Pro-CGG-1-1|63</v>
      </c>
      <c r="B3408" s="4" t="s">
        <v>82</v>
      </c>
      <c r="C3408" s="4" t="s">
        <v>184</v>
      </c>
      <c r="D3408" s="4">
        <v>65</v>
      </c>
      <c r="E3408" s="22" t="s">
        <v>114</v>
      </c>
      <c r="F3408" s="10" t="s">
        <v>169</v>
      </c>
    </row>
    <row r="3409" spans="1:6">
      <c r="A3409" s="4" t="str">
        <f t="shared" si="53"/>
        <v>tRNA-Pro-CGG-1-1|64</v>
      </c>
      <c r="B3409" s="4" t="s">
        <v>82</v>
      </c>
      <c r="C3409" s="4" t="s">
        <v>185</v>
      </c>
      <c r="D3409" s="4">
        <v>66</v>
      </c>
      <c r="E3409" s="22" t="s">
        <v>122</v>
      </c>
      <c r="F3409" s="10" t="s">
        <v>169</v>
      </c>
    </row>
    <row r="3410" spans="1:6">
      <c r="A3410" s="4" t="str">
        <f t="shared" si="53"/>
        <v>tRNA-Pro-CGG-1-1|65</v>
      </c>
      <c r="B3410" s="4" t="s">
        <v>82</v>
      </c>
      <c r="C3410" s="4" t="s">
        <v>186</v>
      </c>
      <c r="D3410" s="4">
        <v>67</v>
      </c>
      <c r="E3410" s="22" t="s">
        <v>109</v>
      </c>
      <c r="F3410" s="10" t="s">
        <v>169</v>
      </c>
    </row>
    <row r="3411" spans="1:6">
      <c r="A3411" s="4" t="str">
        <f t="shared" si="53"/>
        <v>tRNA-Pro-CGG-1-1|66</v>
      </c>
      <c r="B3411" s="4" t="s">
        <v>82</v>
      </c>
      <c r="C3411" s="4" t="s">
        <v>187</v>
      </c>
      <c r="D3411" s="4">
        <v>68</v>
      </c>
      <c r="E3411" s="16" t="s">
        <v>114</v>
      </c>
      <c r="F3411" s="17" t="s">
        <v>110</v>
      </c>
    </row>
    <row r="3412" spans="1:6">
      <c r="A3412" s="4" t="str">
        <f t="shared" si="53"/>
        <v>tRNA-Pro-CGG-1-1|67</v>
      </c>
      <c r="B3412" s="4" t="s">
        <v>82</v>
      </c>
      <c r="C3412" s="4" t="s">
        <v>188</v>
      </c>
      <c r="D3412" s="4">
        <v>69</v>
      </c>
      <c r="E3412" s="16" t="s">
        <v>109</v>
      </c>
      <c r="F3412" s="17" t="s">
        <v>110</v>
      </c>
    </row>
    <row r="3413" spans="1:6">
      <c r="A3413" s="4" t="str">
        <f t="shared" si="53"/>
        <v>tRNA-Pro-CGG-1-1|68</v>
      </c>
      <c r="B3413" s="4" t="s">
        <v>82</v>
      </c>
      <c r="C3413" s="4" t="s">
        <v>189</v>
      </c>
      <c r="D3413" s="4">
        <v>70</v>
      </c>
      <c r="E3413" s="16" t="s">
        <v>109</v>
      </c>
      <c r="F3413" s="17" t="s">
        <v>110</v>
      </c>
    </row>
    <row r="3414" spans="1:6">
      <c r="A3414" s="4" t="str">
        <f t="shared" si="53"/>
        <v>tRNA-Pro-CGG-1-1|69</v>
      </c>
      <c r="B3414" s="4" t="s">
        <v>82</v>
      </c>
      <c r="C3414" s="4" t="s">
        <v>190</v>
      </c>
      <c r="D3414" s="4">
        <v>71</v>
      </c>
      <c r="E3414" s="16" t="s">
        <v>116</v>
      </c>
      <c r="F3414" s="17" t="s">
        <v>110</v>
      </c>
    </row>
    <row r="3415" spans="1:6">
      <c r="A3415" s="4" t="str">
        <f t="shared" si="53"/>
        <v>tRNA-Pro-CGG-1-1|70</v>
      </c>
      <c r="B3415" s="4" t="s">
        <v>82</v>
      </c>
      <c r="C3415" s="4" t="s">
        <v>191</v>
      </c>
      <c r="D3415" s="4">
        <v>72</v>
      </c>
      <c r="E3415" s="16" t="s">
        <v>114</v>
      </c>
      <c r="F3415" s="17" t="s">
        <v>110</v>
      </c>
    </row>
    <row r="3416" spans="1:6">
      <c r="A3416" s="4" t="str">
        <f t="shared" si="53"/>
        <v>tRNA-Pro-CGG-1-1|71</v>
      </c>
      <c r="B3416" s="4" t="s">
        <v>82</v>
      </c>
      <c r="C3416" s="4" t="s">
        <v>192</v>
      </c>
      <c r="D3416" s="4">
        <v>73</v>
      </c>
      <c r="E3416" s="16" t="s">
        <v>114</v>
      </c>
      <c r="F3416" s="17" t="s">
        <v>110</v>
      </c>
    </row>
    <row r="3417" spans="1:6">
      <c r="A3417" s="4" t="str">
        <f t="shared" si="53"/>
        <v>tRNA-Pro-CGG-1-1|72</v>
      </c>
      <c r="B3417" s="4" t="s">
        <v>82</v>
      </c>
      <c r="C3417" s="4" t="s">
        <v>193</v>
      </c>
      <c r="D3417" s="4">
        <v>74</v>
      </c>
      <c r="E3417" s="16" t="s">
        <v>114</v>
      </c>
      <c r="F3417" s="17" t="s">
        <v>110</v>
      </c>
    </row>
    <row r="3418" spans="1:6">
      <c r="A3418" s="4" t="str">
        <f t="shared" si="53"/>
        <v>tRNA-Pro-GGG-1-1|1</v>
      </c>
      <c r="B3418" s="4" t="s">
        <v>83</v>
      </c>
      <c r="C3418" s="4" t="s">
        <v>108</v>
      </c>
      <c r="D3418" s="4">
        <v>1</v>
      </c>
      <c r="E3418" s="16" t="s">
        <v>109</v>
      </c>
      <c r="F3418" s="17" t="s">
        <v>110</v>
      </c>
    </row>
    <row r="3419" spans="1:6">
      <c r="A3419" s="4" t="str">
        <f t="shared" si="53"/>
        <v>tRNA-Pro-GGG-1-1|2</v>
      </c>
      <c r="B3419" s="4" t="s">
        <v>83</v>
      </c>
      <c r="C3419" s="4" t="s">
        <v>111</v>
      </c>
      <c r="D3419" s="4">
        <v>2</v>
      </c>
      <c r="E3419" s="16" t="s">
        <v>109</v>
      </c>
      <c r="F3419" s="17" t="s">
        <v>110</v>
      </c>
    </row>
    <row r="3420" spans="1:6">
      <c r="A3420" s="4" t="str">
        <f t="shared" si="53"/>
        <v>tRNA-Pro-GGG-1-1|3</v>
      </c>
      <c r="B3420" s="4" t="s">
        <v>83</v>
      </c>
      <c r="C3420" s="4" t="s">
        <v>112</v>
      </c>
      <c r="D3420" s="4">
        <v>3</v>
      </c>
      <c r="E3420" s="16" t="s">
        <v>109</v>
      </c>
      <c r="F3420" s="17" t="s">
        <v>110</v>
      </c>
    </row>
    <row r="3421" spans="1:6">
      <c r="A3421" s="4" t="str">
        <f t="shared" si="53"/>
        <v>tRNA-Pro-GGG-1-1|4</v>
      </c>
      <c r="B3421" s="4" t="s">
        <v>83</v>
      </c>
      <c r="C3421" s="4" t="s">
        <v>113</v>
      </c>
      <c r="D3421" s="4">
        <v>4</v>
      </c>
      <c r="E3421" s="16" t="s">
        <v>109</v>
      </c>
      <c r="F3421" s="17" t="s">
        <v>110</v>
      </c>
    </row>
    <row r="3422" spans="1:6">
      <c r="A3422" s="4" t="str">
        <f t="shared" si="53"/>
        <v>tRNA-Pro-GGG-1-1|5</v>
      </c>
      <c r="B3422" s="4" t="s">
        <v>83</v>
      </c>
      <c r="C3422" s="4" t="s">
        <v>115</v>
      </c>
      <c r="D3422" s="4">
        <v>5</v>
      </c>
      <c r="E3422" s="16" t="s">
        <v>114</v>
      </c>
      <c r="F3422" s="17" t="s">
        <v>110</v>
      </c>
    </row>
    <row r="3423" spans="1:6">
      <c r="A3423" s="4" t="str">
        <f t="shared" si="53"/>
        <v>tRNA-Pro-GGG-1-1|6</v>
      </c>
      <c r="B3423" s="4" t="s">
        <v>83</v>
      </c>
      <c r="C3423" s="4" t="s">
        <v>117</v>
      </c>
      <c r="D3423" s="4">
        <v>6</v>
      </c>
      <c r="E3423" s="16" t="s">
        <v>114</v>
      </c>
      <c r="F3423" s="17" t="s">
        <v>110</v>
      </c>
    </row>
    <row r="3424" spans="1:6">
      <c r="A3424" s="4" t="str">
        <f t="shared" si="53"/>
        <v>tRNA-Pro-GGG-1-1|7</v>
      </c>
      <c r="B3424" s="4" t="s">
        <v>83</v>
      </c>
      <c r="C3424" s="4" t="s">
        <v>118</v>
      </c>
      <c r="D3424" s="4">
        <v>7</v>
      </c>
      <c r="E3424" s="16" t="s">
        <v>109</v>
      </c>
      <c r="F3424" s="17" t="s">
        <v>110</v>
      </c>
    </row>
    <row r="3425" spans="1:6">
      <c r="A3425" s="4" t="str">
        <f t="shared" si="53"/>
        <v>tRNA-Pro-GGG-1-1|8</v>
      </c>
      <c r="B3425" s="4" t="s">
        <v>83</v>
      </c>
      <c r="C3425" s="4" t="s">
        <v>119</v>
      </c>
      <c r="D3425" s="4">
        <v>8</v>
      </c>
      <c r="E3425" s="3" t="s">
        <v>116</v>
      </c>
      <c r="F3425" s="4" t="s">
        <v>120</v>
      </c>
    </row>
    <row r="3426" spans="1:6">
      <c r="A3426" s="4" t="str">
        <f t="shared" si="53"/>
        <v>tRNA-Pro-GGG-1-1|9</v>
      </c>
      <c r="B3426" s="4" t="s">
        <v>83</v>
      </c>
      <c r="C3426" s="4" t="s">
        <v>121</v>
      </c>
      <c r="D3426" s="4">
        <v>9</v>
      </c>
      <c r="E3426" s="3" t="s">
        <v>122</v>
      </c>
      <c r="F3426" s="4" t="s">
        <v>123</v>
      </c>
    </row>
    <row r="3427" spans="1:6">
      <c r="A3427" s="4" t="str">
        <f t="shared" si="53"/>
        <v>tRNA-Pro-GGG-1-1|10</v>
      </c>
      <c r="B3427" s="4" t="s">
        <v>83</v>
      </c>
      <c r="C3427" s="4" t="s">
        <v>124</v>
      </c>
      <c r="D3427" s="4">
        <v>10</v>
      </c>
      <c r="E3427" s="8" t="s">
        <v>109</v>
      </c>
      <c r="F3427" s="7" t="s">
        <v>125</v>
      </c>
    </row>
    <row r="3428" spans="1:6">
      <c r="A3428" s="4" t="str">
        <f t="shared" si="53"/>
        <v>tRNA-Pro-GGG-1-1|11</v>
      </c>
      <c r="B3428" s="4" t="s">
        <v>83</v>
      </c>
      <c r="C3428" s="4" t="s">
        <v>126</v>
      </c>
      <c r="D3428" s="4">
        <v>11</v>
      </c>
      <c r="E3428" s="8" t="s">
        <v>109</v>
      </c>
      <c r="F3428" s="7" t="s">
        <v>125</v>
      </c>
    </row>
    <row r="3429" spans="1:6">
      <c r="A3429" s="4" t="str">
        <f t="shared" si="53"/>
        <v>tRNA-Pro-GGG-1-1|12</v>
      </c>
      <c r="B3429" s="4" t="s">
        <v>83</v>
      </c>
      <c r="C3429" s="4" t="s">
        <v>127</v>
      </c>
      <c r="D3429" s="4">
        <v>12</v>
      </c>
      <c r="E3429" s="8" t="s">
        <v>109</v>
      </c>
      <c r="F3429" s="7" t="s">
        <v>125</v>
      </c>
    </row>
    <row r="3430" spans="1:6">
      <c r="A3430" s="4" t="str">
        <f t="shared" si="53"/>
        <v>tRNA-Pro-GGG-1-1|13</v>
      </c>
      <c r="B3430" s="4" t="s">
        <v>83</v>
      </c>
      <c r="C3430" s="4" t="s">
        <v>128</v>
      </c>
      <c r="D3430" s="4">
        <v>13</v>
      </c>
      <c r="E3430" s="8" t="s">
        <v>116</v>
      </c>
      <c r="F3430" s="7" t="s">
        <v>125</v>
      </c>
    </row>
    <row r="3431" spans="1:6">
      <c r="A3431" s="4" t="str">
        <f t="shared" si="53"/>
        <v>tRNA-Pro-GGG-1-1|14</v>
      </c>
      <c r="B3431" s="4" t="s">
        <v>83</v>
      </c>
      <c r="C3431" s="4" t="s">
        <v>129</v>
      </c>
      <c r="D3431" s="4">
        <v>14</v>
      </c>
      <c r="E3431" s="18" t="s">
        <v>122</v>
      </c>
      <c r="F3431" s="19" t="s">
        <v>130</v>
      </c>
    </row>
    <row r="3432" spans="1:6">
      <c r="A3432" s="4" t="str">
        <f t="shared" si="53"/>
        <v>tRNA-Pro-GGG-1-1|15</v>
      </c>
      <c r="B3432" s="4" t="s">
        <v>83</v>
      </c>
      <c r="C3432" s="4" t="s">
        <v>131</v>
      </c>
      <c r="D3432" s="4">
        <v>15</v>
      </c>
      <c r="E3432" s="18" t="s">
        <v>109</v>
      </c>
      <c r="F3432" s="19" t="s">
        <v>130</v>
      </c>
    </row>
    <row r="3433" spans="1:6">
      <c r="A3433" s="4" t="str">
        <f t="shared" si="53"/>
        <v>tRNA-Pro-GGG-1-1|16</v>
      </c>
      <c r="B3433" s="4" t="s">
        <v>83</v>
      </c>
      <c r="C3433" s="4" t="s">
        <v>194</v>
      </c>
      <c r="D3433" s="4">
        <v>16</v>
      </c>
      <c r="E3433" s="18" t="s">
        <v>114</v>
      </c>
      <c r="F3433" s="19" t="s">
        <v>130</v>
      </c>
    </row>
    <row r="3434" spans="1:6">
      <c r="A3434" s="4" t="str">
        <f t="shared" si="53"/>
        <v>tRNA-Pro-GGG-1-1|17</v>
      </c>
      <c r="B3434" s="4" t="s">
        <v>83</v>
      </c>
      <c r="C3434" s="4" t="s">
        <v>195</v>
      </c>
      <c r="D3434" s="4">
        <v>17</v>
      </c>
      <c r="E3434" s="18" t="s">
        <v>114</v>
      </c>
      <c r="F3434" s="19" t="s">
        <v>130</v>
      </c>
    </row>
    <row r="3435" spans="1:6">
      <c r="A3435" s="4" t="str">
        <f t="shared" si="53"/>
        <v>tRNA-Pro-GGG-1-1|17a</v>
      </c>
      <c r="B3435" s="4" t="s">
        <v>83</v>
      </c>
      <c r="C3435" s="4" t="s">
        <v>196</v>
      </c>
      <c r="D3435" s="4">
        <v>18</v>
      </c>
      <c r="E3435" s="18" t="s">
        <v>116</v>
      </c>
      <c r="F3435" s="19" t="s">
        <v>130</v>
      </c>
    </row>
    <row r="3436" spans="1:6">
      <c r="A3436" s="4" t="str">
        <f t="shared" si="53"/>
        <v>tRNA-Pro-GGG-1-1|18</v>
      </c>
      <c r="B3436" s="4" t="s">
        <v>83</v>
      </c>
      <c r="C3436" s="4" t="s">
        <v>132</v>
      </c>
      <c r="D3436" s="4">
        <v>19</v>
      </c>
      <c r="E3436" s="18" t="s">
        <v>109</v>
      </c>
      <c r="F3436" s="19" t="s">
        <v>130</v>
      </c>
    </row>
    <row r="3437" spans="1:6">
      <c r="A3437" s="4" t="str">
        <f t="shared" si="53"/>
        <v>tRNA-Pro-GGG-1-1|19</v>
      </c>
      <c r="B3437" s="4" t="s">
        <v>83</v>
      </c>
      <c r="C3437" s="4" t="s">
        <v>133</v>
      </c>
      <c r="D3437" s="4">
        <v>20</v>
      </c>
      <c r="E3437" s="18" t="s">
        <v>109</v>
      </c>
      <c r="F3437" s="19" t="s">
        <v>130</v>
      </c>
    </row>
    <row r="3438" spans="1:6">
      <c r="A3438" s="4" t="str">
        <f t="shared" si="53"/>
        <v>tRNA-Pro-GGG-1-1|20</v>
      </c>
      <c r="B3438" s="4" t="s">
        <v>83</v>
      </c>
      <c r="C3438" s="4" t="s">
        <v>134</v>
      </c>
      <c r="D3438" s="4">
        <v>21</v>
      </c>
      <c r="E3438" s="18" t="s">
        <v>116</v>
      </c>
      <c r="F3438" s="19" t="s">
        <v>130</v>
      </c>
    </row>
    <row r="3439" spans="1:6">
      <c r="A3439" s="4" t="str">
        <f t="shared" si="53"/>
        <v>tRNA-Pro-GGG-1-1|20a</v>
      </c>
      <c r="B3439" s="4" t="s">
        <v>83</v>
      </c>
      <c r="C3439" s="4" t="s">
        <v>135</v>
      </c>
      <c r="D3439" s="4">
        <v>22</v>
      </c>
      <c r="E3439" s="18" t="s">
        <v>114</v>
      </c>
      <c r="F3439" s="19" t="s">
        <v>130</v>
      </c>
    </row>
    <row r="3440" spans="1:6">
      <c r="A3440" s="4" t="str">
        <f t="shared" si="53"/>
        <v>tRNA-Pro-GGG-1-1|20b</v>
      </c>
      <c r="B3440" s="4" t="s">
        <v>83</v>
      </c>
      <c r="C3440" s="4" t="s">
        <v>197</v>
      </c>
      <c r="D3440" s="4">
        <v>23</v>
      </c>
      <c r="E3440" s="18" t="s">
        <v>114</v>
      </c>
      <c r="F3440" s="19" t="s">
        <v>130</v>
      </c>
    </row>
    <row r="3441" spans="1:6">
      <c r="A3441" s="4" t="str">
        <f t="shared" si="53"/>
        <v>tRNA-Pro-GGG-1-1|21</v>
      </c>
      <c r="B3441" s="4" t="s">
        <v>83</v>
      </c>
      <c r="C3441" s="4" t="s">
        <v>136</v>
      </c>
      <c r="D3441" s="4">
        <v>24</v>
      </c>
      <c r="E3441" s="18" t="s">
        <v>122</v>
      </c>
      <c r="F3441" s="19" t="s">
        <v>130</v>
      </c>
    </row>
    <row r="3442" spans="1:6">
      <c r="A3442" s="4" t="str">
        <f t="shared" si="53"/>
        <v>tRNA-Pro-GGG-1-1|22</v>
      </c>
      <c r="B3442" s="4" t="s">
        <v>83</v>
      </c>
      <c r="C3442" s="4" t="s">
        <v>137</v>
      </c>
      <c r="D3442" s="4">
        <v>25</v>
      </c>
      <c r="E3442" s="8" t="s">
        <v>116</v>
      </c>
      <c r="F3442" s="7" t="s">
        <v>125</v>
      </c>
    </row>
    <row r="3443" spans="1:6">
      <c r="A3443" s="4" t="str">
        <f t="shared" si="53"/>
        <v>tRNA-Pro-GGG-1-1|23</v>
      </c>
      <c r="B3443" s="4" t="s">
        <v>83</v>
      </c>
      <c r="C3443" s="4" t="s">
        <v>138</v>
      </c>
      <c r="D3443" s="4">
        <v>26</v>
      </c>
      <c r="E3443" s="8" t="s">
        <v>114</v>
      </c>
      <c r="F3443" s="7" t="s">
        <v>125</v>
      </c>
    </row>
    <row r="3444" spans="1:6">
      <c r="A3444" s="4" t="str">
        <f t="shared" si="53"/>
        <v>tRNA-Pro-GGG-1-1|24</v>
      </c>
      <c r="B3444" s="4" t="s">
        <v>83</v>
      </c>
      <c r="C3444" s="4" t="s">
        <v>139</v>
      </c>
      <c r="D3444" s="4">
        <v>27</v>
      </c>
      <c r="E3444" s="8" t="s">
        <v>114</v>
      </c>
      <c r="F3444" s="7" t="s">
        <v>125</v>
      </c>
    </row>
    <row r="3445" spans="1:6">
      <c r="A3445" s="4" t="str">
        <f t="shared" si="53"/>
        <v>tRNA-Pro-GGG-1-1|25</v>
      </c>
      <c r="B3445" s="4" t="s">
        <v>83</v>
      </c>
      <c r="C3445" s="4" t="s">
        <v>140</v>
      </c>
      <c r="D3445" s="4">
        <v>28</v>
      </c>
      <c r="E3445" s="8" t="s">
        <v>116</v>
      </c>
      <c r="F3445" s="7" t="s">
        <v>125</v>
      </c>
    </row>
    <row r="3446" spans="1:6">
      <c r="A3446" s="4" t="str">
        <f t="shared" si="53"/>
        <v>tRNA-Pro-GGG-1-1|26</v>
      </c>
      <c r="B3446" s="4" t="s">
        <v>83</v>
      </c>
      <c r="C3446" s="4" t="s">
        <v>141</v>
      </c>
      <c r="D3446" s="4">
        <v>29</v>
      </c>
      <c r="E3446" s="3" t="s">
        <v>109</v>
      </c>
      <c r="F3446" s="4" t="s">
        <v>142</v>
      </c>
    </row>
    <row r="3447" spans="1:6">
      <c r="A3447" s="4" t="str">
        <f t="shared" si="53"/>
        <v>tRNA-Pro-GGG-1-1|27</v>
      </c>
      <c r="B3447" s="4" t="s">
        <v>83</v>
      </c>
      <c r="C3447" s="4" t="s">
        <v>143</v>
      </c>
      <c r="D3447" s="4">
        <v>30</v>
      </c>
      <c r="E3447" s="20" t="s">
        <v>114</v>
      </c>
      <c r="F3447" s="21" t="s">
        <v>144</v>
      </c>
    </row>
    <row r="3448" spans="1:6">
      <c r="A3448" s="4" t="str">
        <f t="shared" si="53"/>
        <v>tRNA-Pro-GGG-1-1|28</v>
      </c>
      <c r="B3448" s="4" t="s">
        <v>83</v>
      </c>
      <c r="C3448" s="4" t="s">
        <v>145</v>
      </c>
      <c r="D3448" s="4">
        <v>31</v>
      </c>
      <c r="E3448" s="20" t="s">
        <v>122</v>
      </c>
      <c r="F3448" s="21" t="s">
        <v>144</v>
      </c>
    </row>
    <row r="3449" spans="1:6">
      <c r="A3449" s="4" t="str">
        <f t="shared" si="53"/>
        <v>tRNA-Pro-GGG-1-1|29</v>
      </c>
      <c r="B3449" s="4" t="s">
        <v>83</v>
      </c>
      <c r="C3449" s="4" t="s">
        <v>146</v>
      </c>
      <c r="D3449" s="4">
        <v>32</v>
      </c>
      <c r="E3449" s="20" t="s">
        <v>122</v>
      </c>
      <c r="F3449" s="21" t="s">
        <v>144</v>
      </c>
    </row>
    <row r="3450" spans="1:6">
      <c r="A3450" s="4" t="str">
        <f t="shared" si="53"/>
        <v>tRNA-Pro-GGG-1-1|30</v>
      </c>
      <c r="B3450" s="4" t="s">
        <v>83</v>
      </c>
      <c r="C3450" s="4" t="s">
        <v>147</v>
      </c>
      <c r="D3450" s="4">
        <v>33</v>
      </c>
      <c r="E3450" s="20" t="s">
        <v>109</v>
      </c>
      <c r="F3450" s="21" t="s">
        <v>144</v>
      </c>
    </row>
    <row r="3451" spans="1:6">
      <c r="A3451" s="4" t="str">
        <f t="shared" si="53"/>
        <v>tRNA-Pro-GGG-1-1|31</v>
      </c>
      <c r="B3451" s="4" t="s">
        <v>83</v>
      </c>
      <c r="C3451" s="4" t="s">
        <v>148</v>
      </c>
      <c r="D3451" s="4">
        <v>34</v>
      </c>
      <c r="E3451" s="20" t="s">
        <v>109</v>
      </c>
      <c r="F3451" s="21" t="s">
        <v>144</v>
      </c>
    </row>
    <row r="3452" spans="1:6">
      <c r="A3452" s="4" t="str">
        <f t="shared" si="53"/>
        <v>tRNA-Pro-GGG-1-1|32</v>
      </c>
      <c r="B3452" s="4" t="s">
        <v>83</v>
      </c>
      <c r="C3452" s="4" t="s">
        <v>149</v>
      </c>
      <c r="D3452" s="4">
        <v>35</v>
      </c>
      <c r="E3452" s="18" t="s">
        <v>114</v>
      </c>
      <c r="F3452" s="19" t="s">
        <v>150</v>
      </c>
    </row>
    <row r="3453" spans="1:6">
      <c r="A3453" s="4" t="str">
        <f t="shared" si="53"/>
        <v>tRNA-Pro-GGG-1-1|33</v>
      </c>
      <c r="B3453" s="4" t="s">
        <v>83</v>
      </c>
      <c r="C3453" s="4" t="s">
        <v>151</v>
      </c>
      <c r="D3453" s="4">
        <v>36</v>
      </c>
      <c r="E3453" s="18" t="s">
        <v>116</v>
      </c>
      <c r="F3453" s="19" t="s">
        <v>150</v>
      </c>
    </row>
    <row r="3454" spans="1:6">
      <c r="A3454" s="4" t="str">
        <f t="shared" si="53"/>
        <v>tRNA-Pro-GGG-1-1|34</v>
      </c>
      <c r="B3454" s="4" t="s">
        <v>83</v>
      </c>
      <c r="C3454" s="4" t="s">
        <v>152</v>
      </c>
      <c r="D3454" s="4">
        <v>37</v>
      </c>
      <c r="E3454" s="18" t="s">
        <v>109</v>
      </c>
      <c r="F3454" s="19" t="s">
        <v>150</v>
      </c>
    </row>
    <row r="3455" spans="1:6">
      <c r="A3455" s="4" t="str">
        <f t="shared" si="53"/>
        <v>tRNA-Pro-GGG-1-1|35</v>
      </c>
      <c r="B3455" s="4" t="s">
        <v>83</v>
      </c>
      <c r="C3455" s="4" t="s">
        <v>153</v>
      </c>
      <c r="D3455" s="4">
        <v>38</v>
      </c>
      <c r="E3455" s="18" t="s">
        <v>109</v>
      </c>
      <c r="F3455" s="19" t="s">
        <v>150</v>
      </c>
    </row>
    <row r="3456" spans="1:6">
      <c r="A3456" s="4" t="str">
        <f t="shared" si="53"/>
        <v>tRNA-Pro-GGG-1-1|36</v>
      </c>
      <c r="B3456" s="4" t="s">
        <v>83</v>
      </c>
      <c r="C3456" s="4" t="s">
        <v>154</v>
      </c>
      <c r="D3456" s="4">
        <v>39</v>
      </c>
      <c r="E3456" s="18" t="s">
        <v>109</v>
      </c>
      <c r="F3456" s="19" t="s">
        <v>150</v>
      </c>
    </row>
    <row r="3457" spans="1:6">
      <c r="A3457" s="4" t="str">
        <f t="shared" si="53"/>
        <v>tRNA-Pro-GGG-1-1|37</v>
      </c>
      <c r="B3457" s="4" t="s">
        <v>83</v>
      </c>
      <c r="C3457" s="4" t="s">
        <v>155</v>
      </c>
      <c r="D3457" s="4">
        <v>40</v>
      </c>
      <c r="E3457" s="18" t="s">
        <v>109</v>
      </c>
      <c r="F3457" s="19" t="s">
        <v>150</v>
      </c>
    </row>
    <row r="3458" spans="1:6">
      <c r="A3458" s="4" t="str">
        <f t="shared" ref="A3458:A3521" si="54">B3458&amp;"|"&amp;C3458</f>
        <v>tRNA-Pro-GGG-1-1|38</v>
      </c>
      <c r="B3458" s="4" t="s">
        <v>83</v>
      </c>
      <c r="C3458" s="4" t="s">
        <v>156</v>
      </c>
      <c r="D3458" s="4">
        <v>41</v>
      </c>
      <c r="E3458" s="18" t="s">
        <v>109</v>
      </c>
      <c r="F3458" s="19" t="s">
        <v>150</v>
      </c>
    </row>
    <row r="3459" spans="1:6">
      <c r="A3459" s="4" t="str">
        <f t="shared" si="54"/>
        <v>tRNA-Pro-GGG-1-1|39</v>
      </c>
      <c r="B3459" s="4" t="s">
        <v>83</v>
      </c>
      <c r="C3459" s="4" t="s">
        <v>157</v>
      </c>
      <c r="D3459" s="4">
        <v>42</v>
      </c>
      <c r="E3459" s="20" t="s">
        <v>116</v>
      </c>
      <c r="F3459" s="21" t="s">
        <v>144</v>
      </c>
    </row>
    <row r="3460" spans="1:6">
      <c r="A3460" s="4" t="str">
        <f t="shared" si="54"/>
        <v>tRNA-Pro-GGG-1-1|40</v>
      </c>
      <c r="B3460" s="4" t="s">
        <v>83</v>
      </c>
      <c r="C3460" s="4" t="s">
        <v>158</v>
      </c>
      <c r="D3460" s="4">
        <v>43</v>
      </c>
      <c r="E3460" s="20" t="s">
        <v>114</v>
      </c>
      <c r="F3460" s="21" t="s">
        <v>144</v>
      </c>
    </row>
    <row r="3461" spans="1:6">
      <c r="A3461" s="4" t="str">
        <f t="shared" si="54"/>
        <v>tRNA-Pro-GGG-1-1|41</v>
      </c>
      <c r="B3461" s="4" t="s">
        <v>83</v>
      </c>
      <c r="C3461" s="4" t="s">
        <v>159</v>
      </c>
      <c r="D3461" s="4">
        <v>44</v>
      </c>
      <c r="E3461" s="20" t="s">
        <v>116</v>
      </c>
      <c r="F3461" s="21" t="s">
        <v>144</v>
      </c>
    </row>
    <row r="3462" spans="1:6">
      <c r="A3462" s="4" t="str">
        <f t="shared" si="54"/>
        <v>tRNA-Pro-GGG-1-1|42</v>
      </c>
      <c r="B3462" s="4" t="s">
        <v>83</v>
      </c>
      <c r="C3462" s="4" t="s">
        <v>160</v>
      </c>
      <c r="D3462" s="4">
        <v>45</v>
      </c>
      <c r="E3462" s="20" t="s">
        <v>116</v>
      </c>
      <c r="F3462" s="21" t="s">
        <v>144</v>
      </c>
    </row>
    <row r="3463" spans="1:6">
      <c r="A3463" s="4" t="str">
        <f t="shared" si="54"/>
        <v>tRNA-Pro-GGG-1-1|43</v>
      </c>
      <c r="B3463" s="4" t="s">
        <v>83</v>
      </c>
      <c r="C3463" s="4" t="s">
        <v>161</v>
      </c>
      <c r="D3463" s="4">
        <v>46</v>
      </c>
      <c r="E3463" s="20" t="s">
        <v>109</v>
      </c>
      <c r="F3463" s="21" t="s">
        <v>144</v>
      </c>
    </row>
    <row r="3464" spans="1:6">
      <c r="A3464" s="4" t="str">
        <f t="shared" si="54"/>
        <v>tRNA-Pro-GGG-1-1|44</v>
      </c>
      <c r="B3464" s="4" t="s">
        <v>83</v>
      </c>
      <c r="C3464" s="4" t="s">
        <v>162</v>
      </c>
      <c r="D3464" s="4">
        <v>47</v>
      </c>
      <c r="E3464" s="18" t="s">
        <v>114</v>
      </c>
      <c r="F3464" s="19" t="s">
        <v>163</v>
      </c>
    </row>
    <row r="3465" spans="1:6">
      <c r="A3465" s="4" t="str">
        <f t="shared" si="54"/>
        <v>tRNA-Pro-GGG-1-1|45</v>
      </c>
      <c r="B3465" s="4" t="s">
        <v>83</v>
      </c>
      <c r="C3465" s="4" t="s">
        <v>164</v>
      </c>
      <c r="D3465" s="4">
        <v>48</v>
      </c>
      <c r="E3465" s="18" t="s">
        <v>109</v>
      </c>
      <c r="F3465" s="19" t="s">
        <v>163</v>
      </c>
    </row>
    <row r="3466" spans="1:6">
      <c r="A3466" s="4" t="str">
        <f t="shared" si="54"/>
        <v>tRNA-Pro-GGG-1-1|46</v>
      </c>
      <c r="B3466" s="4" t="s">
        <v>83</v>
      </c>
      <c r="C3466" s="4" t="s">
        <v>165</v>
      </c>
      <c r="D3466" s="4">
        <v>49</v>
      </c>
      <c r="E3466" s="18" t="s">
        <v>122</v>
      </c>
      <c r="F3466" s="19" t="s">
        <v>163</v>
      </c>
    </row>
    <row r="3467" spans="1:6">
      <c r="A3467" s="4" t="str">
        <f t="shared" si="54"/>
        <v>tRNA-Pro-GGG-1-1|48</v>
      </c>
      <c r="B3467" s="4" t="s">
        <v>83</v>
      </c>
      <c r="C3467" s="4" t="s">
        <v>167</v>
      </c>
      <c r="D3467" s="4">
        <v>50</v>
      </c>
      <c r="E3467" s="18" t="s">
        <v>114</v>
      </c>
      <c r="F3467" s="19" t="s">
        <v>163</v>
      </c>
    </row>
    <row r="3468" spans="1:6">
      <c r="A3468" s="4" t="str">
        <f t="shared" si="54"/>
        <v>tRNA-Pro-GGG-1-1|49</v>
      </c>
      <c r="B3468" s="4" t="s">
        <v>83</v>
      </c>
      <c r="C3468" s="4" t="s">
        <v>168</v>
      </c>
      <c r="D3468" s="4">
        <v>51</v>
      </c>
      <c r="E3468" s="22" t="s">
        <v>114</v>
      </c>
      <c r="F3468" s="10" t="s">
        <v>169</v>
      </c>
    </row>
    <row r="3469" spans="1:6">
      <c r="A3469" s="4" t="str">
        <f t="shared" si="54"/>
        <v>tRNA-Pro-GGG-1-1|50</v>
      </c>
      <c r="B3469" s="4" t="s">
        <v>83</v>
      </c>
      <c r="C3469" s="4" t="s">
        <v>170</v>
      </c>
      <c r="D3469" s="4">
        <v>52</v>
      </c>
      <c r="E3469" s="22" t="s">
        <v>116</v>
      </c>
      <c r="F3469" s="10" t="s">
        <v>169</v>
      </c>
    </row>
    <row r="3470" spans="1:6">
      <c r="A3470" s="4" t="str">
        <f t="shared" si="54"/>
        <v>tRNA-Pro-GGG-1-1|51</v>
      </c>
      <c r="B3470" s="4" t="s">
        <v>83</v>
      </c>
      <c r="C3470" s="4" t="s">
        <v>171</v>
      </c>
      <c r="D3470" s="4">
        <v>53</v>
      </c>
      <c r="E3470" s="22" t="s">
        <v>109</v>
      </c>
      <c r="F3470" s="10" t="s">
        <v>169</v>
      </c>
    </row>
    <row r="3471" spans="1:6">
      <c r="A3471" s="4" t="str">
        <f t="shared" si="54"/>
        <v>tRNA-Pro-GGG-1-1|52</v>
      </c>
      <c r="B3471" s="4" t="s">
        <v>83</v>
      </c>
      <c r="C3471" s="4" t="s">
        <v>172</v>
      </c>
      <c r="D3471" s="4">
        <v>54</v>
      </c>
      <c r="E3471" s="22" t="s">
        <v>122</v>
      </c>
      <c r="F3471" s="10" t="s">
        <v>169</v>
      </c>
    </row>
    <row r="3472" spans="1:6">
      <c r="A3472" s="4" t="str">
        <f t="shared" si="54"/>
        <v>tRNA-Pro-GGG-1-1|53</v>
      </c>
      <c r="B3472" s="4" t="s">
        <v>83</v>
      </c>
      <c r="C3472" s="4" t="s">
        <v>173</v>
      </c>
      <c r="D3472" s="4">
        <v>55</v>
      </c>
      <c r="E3472" s="22" t="s">
        <v>109</v>
      </c>
      <c r="F3472" s="10" t="s">
        <v>169</v>
      </c>
    </row>
    <row r="3473" spans="1:6">
      <c r="A3473" s="4" t="str">
        <f t="shared" si="54"/>
        <v>tRNA-Pro-GGG-1-1|54</v>
      </c>
      <c r="B3473" s="4" t="s">
        <v>83</v>
      </c>
      <c r="C3473" s="4" t="s">
        <v>174</v>
      </c>
      <c r="D3473" s="4">
        <v>56</v>
      </c>
      <c r="E3473" s="18" t="s">
        <v>116</v>
      </c>
      <c r="F3473" s="19" t="s">
        <v>175</v>
      </c>
    </row>
    <row r="3474" spans="1:6">
      <c r="A3474" s="4" t="str">
        <f t="shared" si="54"/>
        <v>tRNA-Pro-GGG-1-1|55</v>
      </c>
      <c r="B3474" s="4" t="s">
        <v>83</v>
      </c>
      <c r="C3474" s="4" t="s">
        <v>176</v>
      </c>
      <c r="D3474" s="4">
        <v>57</v>
      </c>
      <c r="E3474" s="18" t="s">
        <v>114</v>
      </c>
      <c r="F3474" s="19" t="s">
        <v>175</v>
      </c>
    </row>
    <row r="3475" spans="1:6">
      <c r="A3475" s="4" t="str">
        <f t="shared" si="54"/>
        <v>tRNA-Pro-GGG-1-1|56</v>
      </c>
      <c r="B3475" s="4" t="s">
        <v>83</v>
      </c>
      <c r="C3475" s="4" t="s">
        <v>177</v>
      </c>
      <c r="D3475" s="4">
        <v>58</v>
      </c>
      <c r="E3475" s="18" t="s">
        <v>114</v>
      </c>
      <c r="F3475" s="19" t="s">
        <v>175</v>
      </c>
    </row>
    <row r="3476" spans="1:6">
      <c r="A3476" s="4" t="str">
        <f t="shared" si="54"/>
        <v>tRNA-Pro-GGG-1-1|57</v>
      </c>
      <c r="B3476" s="4" t="s">
        <v>83</v>
      </c>
      <c r="C3476" s="4" t="s">
        <v>178</v>
      </c>
      <c r="D3476" s="4">
        <v>59</v>
      </c>
      <c r="E3476" s="18" t="s">
        <v>122</v>
      </c>
      <c r="F3476" s="19" t="s">
        <v>175</v>
      </c>
    </row>
    <row r="3477" spans="1:6">
      <c r="A3477" s="4" t="str">
        <f t="shared" si="54"/>
        <v>tRNA-Pro-GGG-1-1|58</v>
      </c>
      <c r="B3477" s="4" t="s">
        <v>83</v>
      </c>
      <c r="C3477" s="4" t="s">
        <v>179</v>
      </c>
      <c r="D3477" s="4">
        <v>60</v>
      </c>
      <c r="E3477" s="18" t="s">
        <v>122</v>
      </c>
      <c r="F3477" s="19" t="s">
        <v>175</v>
      </c>
    </row>
    <row r="3478" spans="1:6">
      <c r="A3478" s="4" t="str">
        <f t="shared" si="54"/>
        <v>tRNA-Pro-GGG-1-1|59</v>
      </c>
      <c r="B3478" s="4" t="s">
        <v>83</v>
      </c>
      <c r="C3478" s="4" t="s">
        <v>180</v>
      </c>
      <c r="D3478" s="4">
        <v>61</v>
      </c>
      <c r="E3478" s="18" t="s">
        <v>122</v>
      </c>
      <c r="F3478" s="19" t="s">
        <v>175</v>
      </c>
    </row>
    <row r="3479" spans="1:6">
      <c r="A3479" s="4" t="str">
        <f t="shared" si="54"/>
        <v>tRNA-Pro-GGG-1-1|60</v>
      </c>
      <c r="B3479" s="4" t="s">
        <v>83</v>
      </c>
      <c r="C3479" s="4" t="s">
        <v>181</v>
      </c>
      <c r="D3479" s="4">
        <v>62</v>
      </c>
      <c r="E3479" s="18" t="s">
        <v>116</v>
      </c>
      <c r="F3479" s="19" t="s">
        <v>175</v>
      </c>
    </row>
    <row r="3480" spans="1:6">
      <c r="A3480" s="4" t="str">
        <f t="shared" si="54"/>
        <v>tRNA-Pro-GGG-1-1|61</v>
      </c>
      <c r="B3480" s="4" t="s">
        <v>83</v>
      </c>
      <c r="C3480" s="4" t="s">
        <v>182</v>
      </c>
      <c r="D3480" s="4">
        <v>63</v>
      </c>
      <c r="E3480" s="22" t="s">
        <v>114</v>
      </c>
      <c r="F3480" s="10" t="s">
        <v>169</v>
      </c>
    </row>
    <row r="3481" spans="1:6">
      <c r="A3481" s="4" t="str">
        <f t="shared" si="54"/>
        <v>tRNA-Pro-GGG-1-1|62</v>
      </c>
      <c r="B3481" s="4" t="s">
        <v>83</v>
      </c>
      <c r="C3481" s="4" t="s">
        <v>183</v>
      </c>
      <c r="D3481" s="4">
        <v>64</v>
      </c>
      <c r="E3481" s="22" t="s">
        <v>116</v>
      </c>
      <c r="F3481" s="10" t="s">
        <v>169</v>
      </c>
    </row>
    <row r="3482" spans="1:6">
      <c r="A3482" s="4" t="str">
        <f t="shared" si="54"/>
        <v>tRNA-Pro-GGG-1-1|63</v>
      </c>
      <c r="B3482" s="4" t="s">
        <v>83</v>
      </c>
      <c r="C3482" s="4" t="s">
        <v>184</v>
      </c>
      <c r="D3482" s="4">
        <v>65</v>
      </c>
      <c r="E3482" s="22" t="s">
        <v>114</v>
      </c>
      <c r="F3482" s="10" t="s">
        <v>169</v>
      </c>
    </row>
    <row r="3483" spans="1:6">
      <c r="A3483" s="4" t="str">
        <f t="shared" si="54"/>
        <v>tRNA-Pro-GGG-1-1|64</v>
      </c>
      <c r="B3483" s="4" t="s">
        <v>83</v>
      </c>
      <c r="C3483" s="4" t="s">
        <v>185</v>
      </c>
      <c r="D3483" s="4">
        <v>66</v>
      </c>
      <c r="E3483" s="22" t="s">
        <v>122</v>
      </c>
      <c r="F3483" s="10" t="s">
        <v>169</v>
      </c>
    </row>
    <row r="3484" spans="1:6">
      <c r="A3484" s="4" t="str">
        <f t="shared" si="54"/>
        <v>tRNA-Pro-GGG-1-1|65</v>
      </c>
      <c r="B3484" s="4" t="s">
        <v>83</v>
      </c>
      <c r="C3484" s="4" t="s">
        <v>186</v>
      </c>
      <c r="D3484" s="4">
        <v>67</v>
      </c>
      <c r="E3484" s="22" t="s">
        <v>109</v>
      </c>
      <c r="F3484" s="10" t="s">
        <v>169</v>
      </c>
    </row>
    <row r="3485" spans="1:6">
      <c r="A3485" s="4" t="str">
        <f t="shared" si="54"/>
        <v>tRNA-Pro-GGG-1-1|66</v>
      </c>
      <c r="B3485" s="4" t="s">
        <v>83</v>
      </c>
      <c r="C3485" s="4" t="s">
        <v>187</v>
      </c>
      <c r="D3485" s="4">
        <v>68</v>
      </c>
      <c r="E3485" s="16" t="s">
        <v>114</v>
      </c>
      <c r="F3485" s="17" t="s">
        <v>110</v>
      </c>
    </row>
    <row r="3486" spans="1:6">
      <c r="A3486" s="4" t="str">
        <f t="shared" si="54"/>
        <v>tRNA-Pro-GGG-1-1|67</v>
      </c>
      <c r="B3486" s="4" t="s">
        <v>83</v>
      </c>
      <c r="C3486" s="4" t="s">
        <v>188</v>
      </c>
      <c r="D3486" s="4">
        <v>69</v>
      </c>
      <c r="E3486" s="16" t="s">
        <v>109</v>
      </c>
      <c r="F3486" s="17" t="s">
        <v>110</v>
      </c>
    </row>
    <row r="3487" spans="1:6">
      <c r="A3487" s="4" t="str">
        <f t="shared" si="54"/>
        <v>tRNA-Pro-GGG-1-1|68</v>
      </c>
      <c r="B3487" s="4" t="s">
        <v>83</v>
      </c>
      <c r="C3487" s="4" t="s">
        <v>189</v>
      </c>
      <c r="D3487" s="4">
        <v>70</v>
      </c>
      <c r="E3487" s="16" t="s">
        <v>109</v>
      </c>
      <c r="F3487" s="17" t="s">
        <v>110</v>
      </c>
    </row>
    <row r="3488" spans="1:6">
      <c r="A3488" s="4" t="str">
        <f t="shared" si="54"/>
        <v>tRNA-Pro-GGG-1-1|69</v>
      </c>
      <c r="B3488" s="4" t="s">
        <v>83</v>
      </c>
      <c r="C3488" s="4" t="s">
        <v>190</v>
      </c>
      <c r="D3488" s="4">
        <v>71</v>
      </c>
      <c r="E3488" s="16" t="s">
        <v>114</v>
      </c>
      <c r="F3488" s="17" t="s">
        <v>110</v>
      </c>
    </row>
    <row r="3489" spans="1:6">
      <c r="A3489" s="4" t="str">
        <f t="shared" si="54"/>
        <v>tRNA-Pro-GGG-1-1|70</v>
      </c>
      <c r="B3489" s="4" t="s">
        <v>83</v>
      </c>
      <c r="C3489" s="4" t="s">
        <v>191</v>
      </c>
      <c r="D3489" s="4">
        <v>72</v>
      </c>
      <c r="E3489" s="16" t="s">
        <v>114</v>
      </c>
      <c r="F3489" s="17" t="s">
        <v>110</v>
      </c>
    </row>
    <row r="3490" spans="1:6">
      <c r="A3490" s="4" t="str">
        <f t="shared" si="54"/>
        <v>tRNA-Pro-GGG-1-1|71</v>
      </c>
      <c r="B3490" s="4" t="s">
        <v>83</v>
      </c>
      <c r="C3490" s="4" t="s">
        <v>192</v>
      </c>
      <c r="D3490" s="4">
        <v>73</v>
      </c>
      <c r="E3490" s="16" t="s">
        <v>114</v>
      </c>
      <c r="F3490" s="17" t="s">
        <v>110</v>
      </c>
    </row>
    <row r="3491" spans="1:6">
      <c r="A3491" s="4" t="str">
        <f t="shared" si="54"/>
        <v>tRNA-Pro-GGG-1-1|72</v>
      </c>
      <c r="B3491" s="4" t="s">
        <v>83</v>
      </c>
      <c r="C3491" s="4" t="s">
        <v>193</v>
      </c>
      <c r="D3491" s="4">
        <v>74</v>
      </c>
      <c r="E3491" s="16" t="s">
        <v>114</v>
      </c>
      <c r="F3491" s="17" t="s">
        <v>110</v>
      </c>
    </row>
    <row r="3492" spans="1:6">
      <c r="A3492" s="4" t="str">
        <f t="shared" si="54"/>
        <v>tRNA-Pro-TGG-1-1|1</v>
      </c>
      <c r="B3492" s="4" t="s">
        <v>84</v>
      </c>
      <c r="C3492" s="4" t="s">
        <v>108</v>
      </c>
      <c r="D3492" s="4">
        <v>1</v>
      </c>
      <c r="E3492" s="16" t="s">
        <v>109</v>
      </c>
      <c r="F3492" s="17" t="s">
        <v>110</v>
      </c>
    </row>
    <row r="3493" spans="1:6">
      <c r="A3493" s="4" t="str">
        <f t="shared" si="54"/>
        <v>tRNA-Pro-TGG-1-1|2</v>
      </c>
      <c r="B3493" s="4" t="s">
        <v>84</v>
      </c>
      <c r="C3493" s="4" t="s">
        <v>111</v>
      </c>
      <c r="D3493" s="4">
        <v>2</v>
      </c>
      <c r="E3493" s="16" t="s">
        <v>109</v>
      </c>
      <c r="F3493" s="17" t="s">
        <v>110</v>
      </c>
    </row>
    <row r="3494" spans="1:6">
      <c r="A3494" s="4" t="str">
        <f t="shared" si="54"/>
        <v>tRNA-Pro-TGG-1-1|3</v>
      </c>
      <c r="B3494" s="4" t="s">
        <v>84</v>
      </c>
      <c r="C3494" s="4" t="s">
        <v>112</v>
      </c>
      <c r="D3494" s="4">
        <v>3</v>
      </c>
      <c r="E3494" s="16" t="s">
        <v>109</v>
      </c>
      <c r="F3494" s="17" t="s">
        <v>110</v>
      </c>
    </row>
    <row r="3495" spans="1:6">
      <c r="A3495" s="4" t="str">
        <f t="shared" si="54"/>
        <v>tRNA-Pro-TGG-1-1|4</v>
      </c>
      <c r="B3495" s="4" t="s">
        <v>84</v>
      </c>
      <c r="C3495" s="4" t="s">
        <v>113</v>
      </c>
      <c r="D3495" s="4">
        <v>4</v>
      </c>
      <c r="E3495" s="16" t="s">
        <v>122</v>
      </c>
      <c r="F3495" s="17" t="s">
        <v>110</v>
      </c>
    </row>
    <row r="3496" spans="1:6">
      <c r="A3496" s="4" t="str">
        <f t="shared" si="54"/>
        <v>tRNA-Pro-TGG-1-1|5</v>
      </c>
      <c r="B3496" s="4" t="s">
        <v>84</v>
      </c>
      <c r="C3496" s="4" t="s">
        <v>115</v>
      </c>
      <c r="D3496" s="4">
        <v>5</v>
      </c>
      <c r="E3496" s="16" t="s">
        <v>116</v>
      </c>
      <c r="F3496" s="17" t="s">
        <v>110</v>
      </c>
    </row>
    <row r="3497" spans="1:6">
      <c r="A3497" s="4" t="str">
        <f t="shared" si="54"/>
        <v>tRNA-Pro-TGG-1-1|6</v>
      </c>
      <c r="B3497" s="4" t="s">
        <v>84</v>
      </c>
      <c r="C3497" s="4" t="s">
        <v>117</v>
      </c>
      <c r="D3497" s="4">
        <v>6</v>
      </c>
      <c r="E3497" s="16" t="s">
        <v>122</v>
      </c>
      <c r="F3497" s="17" t="s">
        <v>110</v>
      </c>
    </row>
    <row r="3498" spans="1:6">
      <c r="A3498" s="4" t="str">
        <f t="shared" si="54"/>
        <v>tRNA-Pro-TGG-1-1|7</v>
      </c>
      <c r="B3498" s="4" t="s">
        <v>84</v>
      </c>
      <c r="C3498" s="4" t="s">
        <v>118</v>
      </c>
      <c r="D3498" s="4">
        <v>7</v>
      </c>
      <c r="E3498" s="16" t="s">
        <v>109</v>
      </c>
      <c r="F3498" s="17" t="s">
        <v>110</v>
      </c>
    </row>
    <row r="3499" spans="1:6">
      <c r="A3499" s="4" t="str">
        <f t="shared" si="54"/>
        <v>tRNA-Pro-TGG-1-1|8</v>
      </c>
      <c r="B3499" s="4" t="s">
        <v>84</v>
      </c>
      <c r="C3499" s="4" t="s">
        <v>119</v>
      </c>
      <c r="D3499" s="4">
        <v>8</v>
      </c>
      <c r="E3499" s="3" t="s">
        <v>116</v>
      </c>
      <c r="F3499" s="4" t="s">
        <v>120</v>
      </c>
    </row>
    <row r="3500" spans="1:6">
      <c r="A3500" s="4" t="str">
        <f t="shared" si="54"/>
        <v>tRNA-Pro-TGG-1-1|9</v>
      </c>
      <c r="B3500" s="4" t="s">
        <v>84</v>
      </c>
      <c r="C3500" s="4" t="s">
        <v>121</v>
      </c>
      <c r="D3500" s="4">
        <v>9</v>
      </c>
      <c r="E3500" s="3" t="s">
        <v>122</v>
      </c>
      <c r="F3500" s="4" t="s">
        <v>123</v>
      </c>
    </row>
    <row r="3501" spans="1:6">
      <c r="A3501" s="4" t="str">
        <f t="shared" si="54"/>
        <v>tRNA-Pro-TGG-1-1|10</v>
      </c>
      <c r="B3501" s="4" t="s">
        <v>84</v>
      </c>
      <c r="C3501" s="4" t="s">
        <v>124</v>
      </c>
      <c r="D3501" s="4">
        <v>10</v>
      </c>
      <c r="E3501" s="8" t="s">
        <v>109</v>
      </c>
      <c r="F3501" s="7" t="s">
        <v>125</v>
      </c>
    </row>
    <row r="3502" spans="1:6">
      <c r="A3502" s="4" t="str">
        <f t="shared" si="54"/>
        <v>tRNA-Pro-TGG-1-1|11</v>
      </c>
      <c r="B3502" s="4" t="s">
        <v>84</v>
      </c>
      <c r="C3502" s="4" t="s">
        <v>126</v>
      </c>
      <c r="D3502" s="4">
        <v>11</v>
      </c>
      <c r="E3502" s="8" t="s">
        <v>109</v>
      </c>
      <c r="F3502" s="7" t="s">
        <v>125</v>
      </c>
    </row>
    <row r="3503" spans="1:6">
      <c r="A3503" s="4" t="str">
        <f t="shared" si="54"/>
        <v>tRNA-Pro-TGG-1-1|12</v>
      </c>
      <c r="B3503" s="4" t="s">
        <v>84</v>
      </c>
      <c r="C3503" s="4" t="s">
        <v>127</v>
      </c>
      <c r="D3503" s="4">
        <v>12</v>
      </c>
      <c r="E3503" s="8" t="s">
        <v>109</v>
      </c>
      <c r="F3503" s="7" t="s">
        <v>125</v>
      </c>
    </row>
    <row r="3504" spans="1:6">
      <c r="A3504" s="4" t="str">
        <f t="shared" si="54"/>
        <v>tRNA-Pro-TGG-1-1|13</v>
      </c>
      <c r="B3504" s="4" t="s">
        <v>84</v>
      </c>
      <c r="C3504" s="4" t="s">
        <v>128</v>
      </c>
      <c r="D3504" s="4">
        <v>13</v>
      </c>
      <c r="E3504" s="8" t="s">
        <v>116</v>
      </c>
      <c r="F3504" s="7" t="s">
        <v>125</v>
      </c>
    </row>
    <row r="3505" spans="1:6">
      <c r="A3505" s="4" t="str">
        <f t="shared" si="54"/>
        <v>tRNA-Pro-TGG-1-1|14</v>
      </c>
      <c r="B3505" s="4" t="s">
        <v>84</v>
      </c>
      <c r="C3505" s="4" t="s">
        <v>129</v>
      </c>
      <c r="D3505" s="4">
        <v>14</v>
      </c>
      <c r="E3505" s="18" t="s">
        <v>122</v>
      </c>
      <c r="F3505" s="19" t="s">
        <v>130</v>
      </c>
    </row>
    <row r="3506" spans="1:6">
      <c r="A3506" s="4" t="str">
        <f t="shared" si="54"/>
        <v>tRNA-Pro-TGG-1-1|15</v>
      </c>
      <c r="B3506" s="4" t="s">
        <v>84</v>
      </c>
      <c r="C3506" s="4" t="s">
        <v>131</v>
      </c>
      <c r="D3506" s="4">
        <v>15</v>
      </c>
      <c r="E3506" s="18" t="s">
        <v>109</v>
      </c>
      <c r="F3506" s="19" t="s">
        <v>130</v>
      </c>
    </row>
    <row r="3507" spans="1:6">
      <c r="A3507" s="4" t="str">
        <f t="shared" si="54"/>
        <v>tRNA-Pro-TGG-1-1|16</v>
      </c>
      <c r="B3507" s="4" t="s">
        <v>84</v>
      </c>
      <c r="C3507" s="4" t="s">
        <v>194</v>
      </c>
      <c r="D3507" s="4">
        <v>16</v>
      </c>
      <c r="E3507" s="18" t="s">
        <v>114</v>
      </c>
      <c r="F3507" s="19" t="s">
        <v>130</v>
      </c>
    </row>
    <row r="3508" spans="1:6">
      <c r="A3508" s="4" t="str">
        <f t="shared" si="54"/>
        <v>tRNA-Pro-TGG-1-1|17</v>
      </c>
      <c r="B3508" s="4" t="s">
        <v>84</v>
      </c>
      <c r="C3508" s="4" t="s">
        <v>195</v>
      </c>
      <c r="D3508" s="4">
        <v>17</v>
      </c>
      <c r="E3508" s="18" t="s">
        <v>116</v>
      </c>
      <c r="F3508" s="19" t="s">
        <v>130</v>
      </c>
    </row>
    <row r="3509" spans="1:6">
      <c r="A3509" s="4" t="str">
        <f t="shared" si="54"/>
        <v>tRNA-Pro-TGG-1-1|17a</v>
      </c>
      <c r="B3509" s="4" t="s">
        <v>84</v>
      </c>
      <c r="C3509" s="4" t="s">
        <v>196</v>
      </c>
      <c r="D3509" s="4">
        <v>18</v>
      </c>
      <c r="E3509" s="18" t="s">
        <v>116</v>
      </c>
      <c r="F3509" s="19" t="s">
        <v>130</v>
      </c>
    </row>
    <row r="3510" spans="1:6">
      <c r="A3510" s="4" t="str">
        <f t="shared" si="54"/>
        <v>tRNA-Pro-TGG-1-1|18</v>
      </c>
      <c r="B3510" s="4" t="s">
        <v>84</v>
      </c>
      <c r="C3510" s="4" t="s">
        <v>132</v>
      </c>
      <c r="D3510" s="4">
        <v>19</v>
      </c>
      <c r="E3510" s="18" t="s">
        <v>109</v>
      </c>
      <c r="F3510" s="19" t="s">
        <v>130</v>
      </c>
    </row>
    <row r="3511" spans="1:6">
      <c r="A3511" s="4" t="str">
        <f t="shared" si="54"/>
        <v>tRNA-Pro-TGG-1-1|19</v>
      </c>
      <c r="B3511" s="4" t="s">
        <v>84</v>
      </c>
      <c r="C3511" s="4" t="s">
        <v>133</v>
      </c>
      <c r="D3511" s="4">
        <v>20</v>
      </c>
      <c r="E3511" s="18" t="s">
        <v>109</v>
      </c>
      <c r="F3511" s="19" t="s">
        <v>130</v>
      </c>
    </row>
    <row r="3512" spans="1:6">
      <c r="A3512" s="4" t="str">
        <f t="shared" si="54"/>
        <v>tRNA-Pro-TGG-1-1|20</v>
      </c>
      <c r="B3512" s="4" t="s">
        <v>84</v>
      </c>
      <c r="C3512" s="4" t="s">
        <v>134</v>
      </c>
      <c r="D3512" s="4">
        <v>21</v>
      </c>
      <c r="E3512" s="18" t="s">
        <v>116</v>
      </c>
      <c r="F3512" s="19" t="s">
        <v>130</v>
      </c>
    </row>
    <row r="3513" spans="1:6">
      <c r="A3513" s="4" t="str">
        <f t="shared" si="54"/>
        <v>tRNA-Pro-TGG-1-1|20a</v>
      </c>
      <c r="B3513" s="4" t="s">
        <v>84</v>
      </c>
      <c r="C3513" s="4" t="s">
        <v>135</v>
      </c>
      <c r="D3513" s="4">
        <v>22</v>
      </c>
      <c r="E3513" s="18" t="s">
        <v>114</v>
      </c>
      <c r="F3513" s="19" t="s">
        <v>130</v>
      </c>
    </row>
    <row r="3514" spans="1:6">
      <c r="A3514" s="4" t="str">
        <f t="shared" si="54"/>
        <v>tRNA-Pro-TGG-1-1|20b</v>
      </c>
      <c r="B3514" s="4" t="s">
        <v>84</v>
      </c>
      <c r="C3514" s="4" t="s">
        <v>197</v>
      </c>
      <c r="D3514" s="4">
        <v>23</v>
      </c>
      <c r="E3514" s="18" t="s">
        <v>114</v>
      </c>
      <c r="F3514" s="19" t="s">
        <v>130</v>
      </c>
    </row>
    <row r="3515" spans="1:6">
      <c r="A3515" s="4" t="str">
        <f t="shared" si="54"/>
        <v>tRNA-Pro-TGG-1-1|21</v>
      </c>
      <c r="B3515" s="4" t="s">
        <v>84</v>
      </c>
      <c r="C3515" s="4" t="s">
        <v>136</v>
      </c>
      <c r="D3515" s="4">
        <v>24</v>
      </c>
      <c r="E3515" s="18" t="s">
        <v>122</v>
      </c>
      <c r="F3515" s="19" t="s">
        <v>130</v>
      </c>
    </row>
    <row r="3516" spans="1:6">
      <c r="A3516" s="4" t="str">
        <f t="shared" si="54"/>
        <v>tRNA-Pro-TGG-1-1|22</v>
      </c>
      <c r="B3516" s="4" t="s">
        <v>84</v>
      </c>
      <c r="C3516" s="4" t="s">
        <v>137</v>
      </c>
      <c r="D3516" s="4">
        <v>25</v>
      </c>
      <c r="E3516" s="8" t="s">
        <v>116</v>
      </c>
      <c r="F3516" s="7" t="s">
        <v>125</v>
      </c>
    </row>
    <row r="3517" spans="1:6">
      <c r="A3517" s="4" t="str">
        <f t="shared" si="54"/>
        <v>tRNA-Pro-TGG-1-1|23</v>
      </c>
      <c r="B3517" s="4" t="s">
        <v>84</v>
      </c>
      <c r="C3517" s="4" t="s">
        <v>138</v>
      </c>
      <c r="D3517" s="4">
        <v>26</v>
      </c>
      <c r="E3517" s="8" t="s">
        <v>114</v>
      </c>
      <c r="F3517" s="7" t="s">
        <v>125</v>
      </c>
    </row>
    <row r="3518" spans="1:6">
      <c r="A3518" s="4" t="str">
        <f t="shared" si="54"/>
        <v>tRNA-Pro-TGG-1-1|24</v>
      </c>
      <c r="B3518" s="4" t="s">
        <v>84</v>
      </c>
      <c r="C3518" s="4" t="s">
        <v>139</v>
      </c>
      <c r="D3518" s="4">
        <v>27</v>
      </c>
      <c r="E3518" s="8" t="s">
        <v>114</v>
      </c>
      <c r="F3518" s="7" t="s">
        <v>125</v>
      </c>
    </row>
    <row r="3519" spans="1:6">
      <c r="A3519" s="4" t="str">
        <f t="shared" si="54"/>
        <v>tRNA-Pro-TGG-1-1|25</v>
      </c>
      <c r="B3519" s="4" t="s">
        <v>84</v>
      </c>
      <c r="C3519" s="4" t="s">
        <v>140</v>
      </c>
      <c r="D3519" s="4">
        <v>28</v>
      </c>
      <c r="E3519" s="8" t="s">
        <v>116</v>
      </c>
      <c r="F3519" s="7" t="s">
        <v>125</v>
      </c>
    </row>
    <row r="3520" spans="1:6">
      <c r="A3520" s="4" t="str">
        <f t="shared" si="54"/>
        <v>tRNA-Pro-TGG-1-1|26</v>
      </c>
      <c r="B3520" s="4" t="s">
        <v>84</v>
      </c>
      <c r="C3520" s="4" t="s">
        <v>141</v>
      </c>
      <c r="D3520" s="4">
        <v>29</v>
      </c>
      <c r="E3520" s="3" t="s">
        <v>114</v>
      </c>
      <c r="F3520" s="4" t="s">
        <v>142</v>
      </c>
    </row>
    <row r="3521" spans="1:6">
      <c r="A3521" s="4" t="str">
        <f t="shared" si="54"/>
        <v>tRNA-Pro-TGG-1-1|27</v>
      </c>
      <c r="B3521" s="4" t="s">
        <v>84</v>
      </c>
      <c r="C3521" s="4" t="s">
        <v>143</v>
      </c>
      <c r="D3521" s="4">
        <v>30</v>
      </c>
      <c r="E3521" s="20" t="s">
        <v>109</v>
      </c>
      <c r="F3521" s="21" t="s">
        <v>144</v>
      </c>
    </row>
    <row r="3522" spans="1:6">
      <c r="A3522" s="4" t="str">
        <f t="shared" ref="A3522:A3585" si="55">B3522&amp;"|"&amp;C3522</f>
        <v>tRNA-Pro-TGG-1-1|28</v>
      </c>
      <c r="B3522" s="4" t="s">
        <v>84</v>
      </c>
      <c r="C3522" s="4" t="s">
        <v>145</v>
      </c>
      <c r="D3522" s="4">
        <v>31</v>
      </c>
      <c r="E3522" s="20" t="s">
        <v>122</v>
      </c>
      <c r="F3522" s="21" t="s">
        <v>144</v>
      </c>
    </row>
    <row r="3523" spans="1:6">
      <c r="A3523" s="4" t="str">
        <f t="shared" si="55"/>
        <v>tRNA-Pro-TGG-1-1|29</v>
      </c>
      <c r="B3523" s="4" t="s">
        <v>84</v>
      </c>
      <c r="C3523" s="4" t="s">
        <v>146</v>
      </c>
      <c r="D3523" s="4">
        <v>32</v>
      </c>
      <c r="E3523" s="20" t="s">
        <v>109</v>
      </c>
      <c r="F3523" s="21" t="s">
        <v>144</v>
      </c>
    </row>
    <row r="3524" spans="1:6">
      <c r="A3524" s="4" t="str">
        <f t="shared" si="55"/>
        <v>tRNA-Pro-TGG-1-1|30</v>
      </c>
      <c r="B3524" s="4" t="s">
        <v>84</v>
      </c>
      <c r="C3524" s="4" t="s">
        <v>147</v>
      </c>
      <c r="D3524" s="4">
        <v>33</v>
      </c>
      <c r="E3524" s="20" t="s">
        <v>114</v>
      </c>
      <c r="F3524" s="21" t="s">
        <v>144</v>
      </c>
    </row>
    <row r="3525" spans="1:6">
      <c r="A3525" s="4" t="str">
        <f t="shared" si="55"/>
        <v>tRNA-Pro-TGG-1-1|31</v>
      </c>
      <c r="B3525" s="4" t="s">
        <v>84</v>
      </c>
      <c r="C3525" s="4" t="s">
        <v>148</v>
      </c>
      <c r="D3525" s="4">
        <v>34</v>
      </c>
      <c r="E3525" s="20" t="s">
        <v>109</v>
      </c>
      <c r="F3525" s="21" t="s">
        <v>144</v>
      </c>
    </row>
    <row r="3526" spans="1:6">
      <c r="A3526" s="4" t="str">
        <f t="shared" si="55"/>
        <v>tRNA-Pro-TGG-1-1|32</v>
      </c>
      <c r="B3526" s="4" t="s">
        <v>84</v>
      </c>
      <c r="C3526" s="4" t="s">
        <v>149</v>
      </c>
      <c r="D3526" s="4">
        <v>35</v>
      </c>
      <c r="E3526" s="18" t="s">
        <v>116</v>
      </c>
      <c r="F3526" s="19" t="s">
        <v>150</v>
      </c>
    </row>
    <row r="3527" spans="1:6">
      <c r="A3527" s="4" t="str">
        <f t="shared" si="55"/>
        <v>tRNA-Pro-TGG-1-1|33</v>
      </c>
      <c r="B3527" s="4" t="s">
        <v>84</v>
      </c>
      <c r="C3527" s="4" t="s">
        <v>151</v>
      </c>
      <c r="D3527" s="4">
        <v>36</v>
      </c>
      <c r="E3527" s="18" t="s">
        <v>116</v>
      </c>
      <c r="F3527" s="19" t="s">
        <v>150</v>
      </c>
    </row>
    <row r="3528" spans="1:6">
      <c r="A3528" s="4" t="str">
        <f t="shared" si="55"/>
        <v>tRNA-Pro-TGG-1-1|34</v>
      </c>
      <c r="B3528" s="4" t="s">
        <v>84</v>
      </c>
      <c r="C3528" s="4" t="s">
        <v>152</v>
      </c>
      <c r="D3528" s="4">
        <v>37</v>
      </c>
      <c r="E3528" s="18" t="s">
        <v>116</v>
      </c>
      <c r="F3528" s="19" t="s">
        <v>150</v>
      </c>
    </row>
    <row r="3529" spans="1:6">
      <c r="A3529" s="4" t="str">
        <f t="shared" si="55"/>
        <v>tRNA-Pro-TGG-1-1|35</v>
      </c>
      <c r="B3529" s="4" t="s">
        <v>84</v>
      </c>
      <c r="C3529" s="4" t="s">
        <v>153</v>
      </c>
      <c r="D3529" s="4">
        <v>38</v>
      </c>
      <c r="E3529" s="18" t="s">
        <v>109</v>
      </c>
      <c r="F3529" s="19" t="s">
        <v>150</v>
      </c>
    </row>
    <row r="3530" spans="1:6">
      <c r="A3530" s="4" t="str">
        <f t="shared" si="55"/>
        <v>tRNA-Pro-TGG-1-1|36</v>
      </c>
      <c r="B3530" s="4" t="s">
        <v>84</v>
      </c>
      <c r="C3530" s="4" t="s">
        <v>154</v>
      </c>
      <c r="D3530" s="4">
        <v>39</v>
      </c>
      <c r="E3530" s="18" t="s">
        <v>109</v>
      </c>
      <c r="F3530" s="19" t="s">
        <v>150</v>
      </c>
    </row>
    <row r="3531" spans="1:6">
      <c r="A3531" s="4" t="str">
        <f t="shared" si="55"/>
        <v>tRNA-Pro-TGG-1-1|37</v>
      </c>
      <c r="B3531" s="4" t="s">
        <v>84</v>
      </c>
      <c r="C3531" s="4" t="s">
        <v>155</v>
      </c>
      <c r="D3531" s="4">
        <v>40</v>
      </c>
      <c r="E3531" s="18" t="s">
        <v>109</v>
      </c>
      <c r="F3531" s="19" t="s">
        <v>150</v>
      </c>
    </row>
    <row r="3532" spans="1:6">
      <c r="A3532" s="4" t="str">
        <f t="shared" si="55"/>
        <v>tRNA-Pro-TGG-1-1|38</v>
      </c>
      <c r="B3532" s="4" t="s">
        <v>84</v>
      </c>
      <c r="C3532" s="4" t="s">
        <v>156</v>
      </c>
      <c r="D3532" s="4">
        <v>41</v>
      </c>
      <c r="E3532" s="18" t="s">
        <v>122</v>
      </c>
      <c r="F3532" s="19" t="s">
        <v>150</v>
      </c>
    </row>
    <row r="3533" spans="1:6">
      <c r="A3533" s="4" t="str">
        <f t="shared" si="55"/>
        <v>tRNA-Pro-TGG-1-1|39</v>
      </c>
      <c r="B3533" s="4" t="s">
        <v>84</v>
      </c>
      <c r="C3533" s="4" t="s">
        <v>157</v>
      </c>
      <c r="D3533" s="4">
        <v>42</v>
      </c>
      <c r="E3533" s="20" t="s">
        <v>114</v>
      </c>
      <c r="F3533" s="21" t="s">
        <v>144</v>
      </c>
    </row>
    <row r="3534" spans="1:6">
      <c r="A3534" s="4" t="str">
        <f t="shared" si="55"/>
        <v>tRNA-Pro-TGG-1-1|40</v>
      </c>
      <c r="B3534" s="4" t="s">
        <v>84</v>
      </c>
      <c r="C3534" s="4" t="s">
        <v>158</v>
      </c>
      <c r="D3534" s="4">
        <v>43</v>
      </c>
      <c r="E3534" s="20" t="s">
        <v>109</v>
      </c>
      <c r="F3534" s="21" t="s">
        <v>144</v>
      </c>
    </row>
    <row r="3535" spans="1:6">
      <c r="A3535" s="4" t="str">
        <f t="shared" si="55"/>
        <v>tRNA-Pro-TGG-1-1|41</v>
      </c>
      <c r="B3535" s="4" t="s">
        <v>84</v>
      </c>
      <c r="C3535" s="4" t="s">
        <v>159</v>
      </c>
      <c r="D3535" s="4">
        <v>44</v>
      </c>
      <c r="E3535" s="20" t="s">
        <v>114</v>
      </c>
      <c r="F3535" s="21" t="s">
        <v>144</v>
      </c>
    </row>
    <row r="3536" spans="1:6">
      <c r="A3536" s="4" t="str">
        <f t="shared" si="55"/>
        <v>tRNA-Pro-TGG-1-1|42</v>
      </c>
      <c r="B3536" s="4" t="s">
        <v>84</v>
      </c>
      <c r="C3536" s="4" t="s">
        <v>160</v>
      </c>
      <c r="D3536" s="4">
        <v>45</v>
      </c>
      <c r="E3536" s="20" t="s">
        <v>116</v>
      </c>
      <c r="F3536" s="21" t="s">
        <v>144</v>
      </c>
    </row>
    <row r="3537" spans="1:6">
      <c r="A3537" s="4" t="str">
        <f t="shared" si="55"/>
        <v>tRNA-Pro-TGG-1-1|43</v>
      </c>
      <c r="B3537" s="4" t="s">
        <v>84</v>
      </c>
      <c r="C3537" s="4" t="s">
        <v>161</v>
      </c>
      <c r="D3537" s="4">
        <v>46</v>
      </c>
      <c r="E3537" s="20" t="s">
        <v>116</v>
      </c>
      <c r="F3537" s="21" t="s">
        <v>144</v>
      </c>
    </row>
    <row r="3538" spans="1:6">
      <c r="A3538" s="4" t="str">
        <f t="shared" si="55"/>
        <v>tRNA-Pro-TGG-1-1|44</v>
      </c>
      <c r="B3538" s="4" t="s">
        <v>84</v>
      </c>
      <c r="C3538" s="4" t="s">
        <v>162</v>
      </c>
      <c r="D3538" s="4">
        <v>47</v>
      </c>
      <c r="E3538" s="18" t="s">
        <v>109</v>
      </c>
      <c r="F3538" s="19" t="s">
        <v>163</v>
      </c>
    </row>
    <row r="3539" spans="1:6">
      <c r="A3539" s="4" t="str">
        <f t="shared" si="55"/>
        <v>tRNA-Pro-TGG-1-1|45</v>
      </c>
      <c r="B3539" s="4" t="s">
        <v>84</v>
      </c>
      <c r="C3539" s="4" t="s">
        <v>164</v>
      </c>
      <c r="D3539" s="4">
        <v>48</v>
      </c>
      <c r="E3539" s="18" t="s">
        <v>109</v>
      </c>
      <c r="F3539" s="19" t="s">
        <v>163</v>
      </c>
    </row>
    <row r="3540" spans="1:6">
      <c r="A3540" s="4" t="str">
        <f t="shared" si="55"/>
        <v>tRNA-Pro-TGG-1-1|46</v>
      </c>
      <c r="B3540" s="4" t="s">
        <v>84</v>
      </c>
      <c r="C3540" s="4" t="s">
        <v>165</v>
      </c>
      <c r="D3540" s="4">
        <v>49</v>
      </c>
      <c r="E3540" s="18" t="s">
        <v>122</v>
      </c>
      <c r="F3540" s="19" t="s">
        <v>163</v>
      </c>
    </row>
    <row r="3541" spans="1:6">
      <c r="A3541" s="4" t="str">
        <f t="shared" si="55"/>
        <v>tRNA-Pro-TGG-1-1|48</v>
      </c>
      <c r="B3541" s="4" t="s">
        <v>84</v>
      </c>
      <c r="C3541" s="4" t="s">
        <v>167</v>
      </c>
      <c r="D3541" s="4">
        <v>50</v>
      </c>
      <c r="E3541" s="18" t="s">
        <v>114</v>
      </c>
      <c r="F3541" s="19" t="s">
        <v>163</v>
      </c>
    </row>
    <row r="3542" spans="1:6">
      <c r="A3542" s="4" t="str">
        <f t="shared" si="55"/>
        <v>tRNA-Pro-TGG-1-1|49</v>
      </c>
      <c r="B3542" s="4" t="s">
        <v>84</v>
      </c>
      <c r="C3542" s="4" t="s">
        <v>168</v>
      </c>
      <c r="D3542" s="4">
        <v>51</v>
      </c>
      <c r="E3542" s="22" t="s">
        <v>114</v>
      </c>
      <c r="F3542" s="10" t="s">
        <v>169</v>
      </c>
    </row>
    <row r="3543" spans="1:6">
      <c r="A3543" s="4" t="str">
        <f t="shared" si="55"/>
        <v>tRNA-Pro-TGG-1-1|50</v>
      </c>
      <c r="B3543" s="4" t="s">
        <v>84</v>
      </c>
      <c r="C3543" s="4" t="s">
        <v>170</v>
      </c>
      <c r="D3543" s="4">
        <v>52</v>
      </c>
      <c r="E3543" s="22" t="s">
        <v>109</v>
      </c>
      <c r="F3543" s="10" t="s">
        <v>169</v>
      </c>
    </row>
    <row r="3544" spans="1:6">
      <c r="A3544" s="4" t="str">
        <f t="shared" si="55"/>
        <v>tRNA-Pro-TGG-1-1|51</v>
      </c>
      <c r="B3544" s="4" t="s">
        <v>84</v>
      </c>
      <c r="C3544" s="4" t="s">
        <v>171</v>
      </c>
      <c r="D3544" s="4">
        <v>53</v>
      </c>
      <c r="E3544" s="22" t="s">
        <v>114</v>
      </c>
      <c r="F3544" s="10" t="s">
        <v>169</v>
      </c>
    </row>
    <row r="3545" spans="1:6">
      <c r="A3545" s="4" t="str">
        <f t="shared" si="55"/>
        <v>tRNA-Pro-TGG-1-1|52</v>
      </c>
      <c r="B3545" s="4" t="s">
        <v>84</v>
      </c>
      <c r="C3545" s="4" t="s">
        <v>172</v>
      </c>
      <c r="D3545" s="4">
        <v>54</v>
      </c>
      <c r="E3545" s="22" t="s">
        <v>109</v>
      </c>
      <c r="F3545" s="10" t="s">
        <v>169</v>
      </c>
    </row>
    <row r="3546" spans="1:6">
      <c r="A3546" s="4" t="str">
        <f t="shared" si="55"/>
        <v>tRNA-Pro-TGG-1-1|53</v>
      </c>
      <c r="B3546" s="4" t="s">
        <v>84</v>
      </c>
      <c r="C3546" s="4" t="s">
        <v>173</v>
      </c>
      <c r="D3546" s="4">
        <v>55</v>
      </c>
      <c r="E3546" s="22" t="s">
        <v>109</v>
      </c>
      <c r="F3546" s="10" t="s">
        <v>169</v>
      </c>
    </row>
    <row r="3547" spans="1:6">
      <c r="A3547" s="4" t="str">
        <f t="shared" si="55"/>
        <v>tRNA-Pro-TGG-1-1|54</v>
      </c>
      <c r="B3547" s="4" t="s">
        <v>84</v>
      </c>
      <c r="C3547" s="4" t="s">
        <v>174</v>
      </c>
      <c r="D3547" s="4">
        <v>56</v>
      </c>
      <c r="E3547" s="18" t="s">
        <v>116</v>
      </c>
      <c r="F3547" s="19" t="s">
        <v>175</v>
      </c>
    </row>
    <row r="3548" spans="1:6">
      <c r="A3548" s="4" t="str">
        <f t="shared" si="55"/>
        <v>tRNA-Pro-TGG-1-1|55</v>
      </c>
      <c r="B3548" s="4" t="s">
        <v>84</v>
      </c>
      <c r="C3548" s="4" t="s">
        <v>176</v>
      </c>
      <c r="D3548" s="4">
        <v>57</v>
      </c>
      <c r="E3548" s="18" t="s">
        <v>116</v>
      </c>
      <c r="F3548" s="19" t="s">
        <v>175</v>
      </c>
    </row>
    <row r="3549" spans="1:6">
      <c r="A3549" s="4" t="str">
        <f t="shared" si="55"/>
        <v>tRNA-Pro-TGG-1-1|56</v>
      </c>
      <c r="B3549" s="4" t="s">
        <v>84</v>
      </c>
      <c r="C3549" s="4" t="s">
        <v>177</v>
      </c>
      <c r="D3549" s="4">
        <v>58</v>
      </c>
      <c r="E3549" s="18" t="s">
        <v>114</v>
      </c>
      <c r="F3549" s="19" t="s">
        <v>175</v>
      </c>
    </row>
    <row r="3550" spans="1:6">
      <c r="A3550" s="4" t="str">
        <f t="shared" si="55"/>
        <v>tRNA-Pro-TGG-1-1|57</v>
      </c>
      <c r="B3550" s="4" t="s">
        <v>84</v>
      </c>
      <c r="C3550" s="4" t="s">
        <v>178</v>
      </c>
      <c r="D3550" s="4">
        <v>59</v>
      </c>
      <c r="E3550" s="18" t="s">
        <v>122</v>
      </c>
      <c r="F3550" s="19" t="s">
        <v>175</v>
      </c>
    </row>
    <row r="3551" spans="1:6">
      <c r="A3551" s="4" t="str">
        <f t="shared" si="55"/>
        <v>tRNA-Pro-TGG-1-1|58</v>
      </c>
      <c r="B3551" s="4" t="s">
        <v>84</v>
      </c>
      <c r="C3551" s="4" t="s">
        <v>179</v>
      </c>
      <c r="D3551" s="4">
        <v>60</v>
      </c>
      <c r="E3551" s="18" t="s">
        <v>122</v>
      </c>
      <c r="F3551" s="19" t="s">
        <v>175</v>
      </c>
    </row>
    <row r="3552" spans="1:6">
      <c r="A3552" s="4" t="str">
        <f t="shared" si="55"/>
        <v>tRNA-Pro-TGG-1-1|59</v>
      </c>
      <c r="B3552" s="4" t="s">
        <v>84</v>
      </c>
      <c r="C3552" s="4" t="s">
        <v>180</v>
      </c>
      <c r="D3552" s="4">
        <v>61</v>
      </c>
      <c r="E3552" s="18" t="s">
        <v>122</v>
      </c>
      <c r="F3552" s="19" t="s">
        <v>175</v>
      </c>
    </row>
    <row r="3553" spans="1:6">
      <c r="A3553" s="4" t="str">
        <f t="shared" si="55"/>
        <v>tRNA-Pro-TGG-1-1|60</v>
      </c>
      <c r="B3553" s="4" t="s">
        <v>84</v>
      </c>
      <c r="C3553" s="4" t="s">
        <v>181</v>
      </c>
      <c r="D3553" s="4">
        <v>62</v>
      </c>
      <c r="E3553" s="18" t="s">
        <v>116</v>
      </c>
      <c r="F3553" s="19" t="s">
        <v>175</v>
      </c>
    </row>
    <row r="3554" spans="1:6">
      <c r="A3554" s="4" t="str">
        <f t="shared" si="55"/>
        <v>tRNA-Pro-TGG-1-1|61</v>
      </c>
      <c r="B3554" s="4" t="s">
        <v>84</v>
      </c>
      <c r="C3554" s="4" t="s">
        <v>182</v>
      </c>
      <c r="D3554" s="4">
        <v>63</v>
      </c>
      <c r="E3554" s="22" t="s">
        <v>114</v>
      </c>
      <c r="F3554" s="10" t="s">
        <v>169</v>
      </c>
    </row>
    <row r="3555" spans="1:6">
      <c r="A3555" s="4" t="str">
        <f t="shared" si="55"/>
        <v>tRNA-Pro-TGG-1-1|62</v>
      </c>
      <c r="B3555" s="4" t="s">
        <v>84</v>
      </c>
      <c r="C3555" s="4" t="s">
        <v>183</v>
      </c>
      <c r="D3555" s="4">
        <v>64</v>
      </c>
      <c r="E3555" s="22" t="s">
        <v>114</v>
      </c>
      <c r="F3555" s="10" t="s">
        <v>169</v>
      </c>
    </row>
    <row r="3556" spans="1:6">
      <c r="A3556" s="4" t="str">
        <f t="shared" si="55"/>
        <v>tRNA-Pro-TGG-1-1|63</v>
      </c>
      <c r="B3556" s="4" t="s">
        <v>84</v>
      </c>
      <c r="C3556" s="4" t="s">
        <v>184</v>
      </c>
      <c r="D3556" s="4">
        <v>65</v>
      </c>
      <c r="E3556" s="22" t="s">
        <v>109</v>
      </c>
      <c r="F3556" s="10" t="s">
        <v>169</v>
      </c>
    </row>
    <row r="3557" spans="1:6">
      <c r="A3557" s="4" t="str">
        <f t="shared" si="55"/>
        <v>tRNA-Pro-TGG-1-1|64</v>
      </c>
      <c r="B3557" s="4" t="s">
        <v>84</v>
      </c>
      <c r="C3557" s="4" t="s">
        <v>185</v>
      </c>
      <c r="D3557" s="4">
        <v>66</v>
      </c>
      <c r="E3557" s="22" t="s">
        <v>114</v>
      </c>
      <c r="F3557" s="10" t="s">
        <v>169</v>
      </c>
    </row>
    <row r="3558" spans="1:6">
      <c r="A3558" s="4" t="str">
        <f t="shared" si="55"/>
        <v>tRNA-Pro-TGG-1-1|65</v>
      </c>
      <c r="B3558" s="4" t="s">
        <v>84</v>
      </c>
      <c r="C3558" s="4" t="s">
        <v>186</v>
      </c>
      <c r="D3558" s="4">
        <v>67</v>
      </c>
      <c r="E3558" s="22" t="s">
        <v>109</v>
      </c>
      <c r="F3558" s="10" t="s">
        <v>169</v>
      </c>
    </row>
    <row r="3559" spans="1:6">
      <c r="A3559" s="4" t="str">
        <f t="shared" si="55"/>
        <v>tRNA-Pro-TGG-1-1|66</v>
      </c>
      <c r="B3559" s="4" t="s">
        <v>84</v>
      </c>
      <c r="C3559" s="4" t="s">
        <v>187</v>
      </c>
      <c r="D3559" s="4">
        <v>68</v>
      </c>
      <c r="E3559" s="16" t="s">
        <v>114</v>
      </c>
      <c r="F3559" s="17" t="s">
        <v>110</v>
      </c>
    </row>
    <row r="3560" spans="1:6">
      <c r="A3560" s="4" t="str">
        <f t="shared" si="55"/>
        <v>tRNA-Pro-TGG-1-1|67</v>
      </c>
      <c r="B3560" s="4" t="s">
        <v>84</v>
      </c>
      <c r="C3560" s="4" t="s">
        <v>188</v>
      </c>
      <c r="D3560" s="4">
        <v>69</v>
      </c>
      <c r="E3560" s="16" t="s">
        <v>116</v>
      </c>
      <c r="F3560" s="17" t="s">
        <v>110</v>
      </c>
    </row>
    <row r="3561" spans="1:6">
      <c r="A3561" s="4" t="str">
        <f t="shared" si="55"/>
        <v>tRNA-Pro-TGG-1-1|68</v>
      </c>
      <c r="B3561" s="4" t="s">
        <v>84</v>
      </c>
      <c r="C3561" s="4" t="s">
        <v>189</v>
      </c>
      <c r="D3561" s="4">
        <v>70</v>
      </c>
      <c r="E3561" s="16" t="s">
        <v>122</v>
      </c>
      <c r="F3561" s="17" t="s">
        <v>110</v>
      </c>
    </row>
    <row r="3562" spans="1:6">
      <c r="A3562" s="4" t="str">
        <f t="shared" si="55"/>
        <v>tRNA-Pro-TGG-1-1|69</v>
      </c>
      <c r="B3562" s="4" t="s">
        <v>84</v>
      </c>
      <c r="C3562" s="4" t="s">
        <v>190</v>
      </c>
      <c r="D3562" s="4">
        <v>71</v>
      </c>
      <c r="E3562" s="16" t="s">
        <v>116</v>
      </c>
      <c r="F3562" s="17" t="s">
        <v>110</v>
      </c>
    </row>
    <row r="3563" spans="1:6">
      <c r="A3563" s="4" t="str">
        <f t="shared" si="55"/>
        <v>tRNA-Pro-TGG-1-1|70</v>
      </c>
      <c r="B3563" s="4" t="s">
        <v>84</v>
      </c>
      <c r="C3563" s="4" t="s">
        <v>191</v>
      </c>
      <c r="D3563" s="4">
        <v>72</v>
      </c>
      <c r="E3563" s="16" t="s">
        <v>114</v>
      </c>
      <c r="F3563" s="17" t="s">
        <v>110</v>
      </c>
    </row>
    <row r="3564" spans="1:6">
      <c r="A3564" s="4" t="str">
        <f t="shared" si="55"/>
        <v>tRNA-Pro-TGG-1-1|71</v>
      </c>
      <c r="B3564" s="4" t="s">
        <v>84</v>
      </c>
      <c r="C3564" s="4" t="s">
        <v>192</v>
      </c>
      <c r="D3564" s="4">
        <v>73</v>
      </c>
      <c r="E3564" s="16" t="s">
        <v>114</v>
      </c>
      <c r="F3564" s="17" t="s">
        <v>110</v>
      </c>
    </row>
    <row r="3565" spans="1:6">
      <c r="A3565" s="4" t="str">
        <f t="shared" si="55"/>
        <v>tRNA-Pro-TGG-1-1|72</v>
      </c>
      <c r="B3565" s="4" t="s">
        <v>84</v>
      </c>
      <c r="C3565" s="4" t="s">
        <v>193</v>
      </c>
      <c r="D3565" s="4">
        <v>74</v>
      </c>
      <c r="E3565" s="16" t="s">
        <v>114</v>
      </c>
      <c r="F3565" s="17" t="s">
        <v>110</v>
      </c>
    </row>
    <row r="3566" spans="1:6">
      <c r="A3566" s="4" t="str">
        <f t="shared" si="55"/>
        <v>tRNA-Ser-CGA-1-1|1</v>
      </c>
      <c r="B3566" s="4" t="s">
        <v>85</v>
      </c>
      <c r="C3566" s="4" t="s">
        <v>108</v>
      </c>
      <c r="D3566" s="4">
        <v>1</v>
      </c>
      <c r="E3566" s="16" t="s">
        <v>109</v>
      </c>
      <c r="F3566" s="17" t="s">
        <v>110</v>
      </c>
    </row>
    <row r="3567" spans="1:6">
      <c r="A3567" s="4" t="str">
        <f t="shared" si="55"/>
        <v>tRNA-Ser-CGA-1-1|2</v>
      </c>
      <c r="B3567" s="4" t="s">
        <v>85</v>
      </c>
      <c r="C3567" s="4" t="s">
        <v>111</v>
      </c>
      <c r="D3567" s="4">
        <v>2</v>
      </c>
      <c r="E3567" s="16" t="s">
        <v>114</v>
      </c>
      <c r="F3567" s="17" t="s">
        <v>110</v>
      </c>
    </row>
    <row r="3568" spans="1:6">
      <c r="A3568" s="4" t="str">
        <f t="shared" si="55"/>
        <v>tRNA-Ser-CGA-1-1|3</v>
      </c>
      <c r="B3568" s="4" t="s">
        <v>85</v>
      </c>
      <c r="C3568" s="4" t="s">
        <v>112</v>
      </c>
      <c r="D3568" s="4">
        <v>3</v>
      </c>
      <c r="E3568" s="16" t="s">
        <v>114</v>
      </c>
      <c r="F3568" s="17" t="s">
        <v>110</v>
      </c>
    </row>
    <row r="3569" spans="1:6">
      <c r="A3569" s="4" t="str">
        <f t="shared" si="55"/>
        <v>tRNA-Ser-CGA-1-1|4</v>
      </c>
      <c r="B3569" s="4" t="s">
        <v>85</v>
      </c>
      <c r="C3569" s="4" t="s">
        <v>113</v>
      </c>
      <c r="D3569" s="4">
        <v>4</v>
      </c>
      <c r="E3569" s="16" t="s">
        <v>114</v>
      </c>
      <c r="F3569" s="17" t="s">
        <v>110</v>
      </c>
    </row>
    <row r="3570" spans="1:6">
      <c r="A3570" s="4" t="str">
        <f t="shared" si="55"/>
        <v>tRNA-Ser-CGA-1-1|5</v>
      </c>
      <c r="B3570" s="4" t="s">
        <v>85</v>
      </c>
      <c r="C3570" s="4" t="s">
        <v>115</v>
      </c>
      <c r="D3570" s="4">
        <v>5</v>
      </c>
      <c r="E3570" s="16" t="s">
        <v>122</v>
      </c>
      <c r="F3570" s="17" t="s">
        <v>110</v>
      </c>
    </row>
    <row r="3571" spans="1:6">
      <c r="A3571" s="4" t="str">
        <f t="shared" si="55"/>
        <v>tRNA-Ser-CGA-1-1|6</v>
      </c>
      <c r="B3571" s="4" t="s">
        <v>85</v>
      </c>
      <c r="C3571" s="4" t="s">
        <v>117</v>
      </c>
      <c r="D3571" s="4">
        <v>6</v>
      </c>
      <c r="E3571" s="16" t="s">
        <v>109</v>
      </c>
      <c r="F3571" s="17" t="s">
        <v>110</v>
      </c>
    </row>
    <row r="3572" spans="1:6">
      <c r="A3572" s="4" t="str">
        <f t="shared" si="55"/>
        <v>tRNA-Ser-CGA-1-1|7</v>
      </c>
      <c r="B3572" s="4" t="s">
        <v>85</v>
      </c>
      <c r="C3572" s="4" t="s">
        <v>118</v>
      </c>
      <c r="D3572" s="4">
        <v>7</v>
      </c>
      <c r="E3572" s="16" t="s">
        <v>109</v>
      </c>
      <c r="F3572" s="17" t="s">
        <v>110</v>
      </c>
    </row>
    <row r="3573" spans="1:6">
      <c r="A3573" s="4" t="str">
        <f t="shared" si="55"/>
        <v>tRNA-Ser-CGA-1-1|8</v>
      </c>
      <c r="B3573" s="4" t="s">
        <v>85</v>
      </c>
      <c r="C3573" s="4" t="s">
        <v>119</v>
      </c>
      <c r="D3573" s="4">
        <v>8</v>
      </c>
      <c r="E3573" s="3" t="s">
        <v>116</v>
      </c>
      <c r="F3573" s="4" t="s">
        <v>120</v>
      </c>
    </row>
    <row r="3574" spans="1:6">
      <c r="A3574" s="4" t="str">
        <f t="shared" si="55"/>
        <v>tRNA-Ser-CGA-1-1|9</v>
      </c>
      <c r="B3574" s="4" t="s">
        <v>85</v>
      </c>
      <c r="C3574" s="4" t="s">
        <v>121</v>
      </c>
      <c r="D3574" s="4">
        <v>9</v>
      </c>
      <c r="E3574" s="3" t="s">
        <v>122</v>
      </c>
      <c r="F3574" s="4" t="s">
        <v>123</v>
      </c>
    </row>
    <row r="3575" spans="1:6">
      <c r="A3575" s="4" t="str">
        <f t="shared" si="55"/>
        <v>tRNA-Ser-CGA-1-1|10</v>
      </c>
      <c r="B3575" s="4" t="s">
        <v>85</v>
      </c>
      <c r="C3575" s="4" t="s">
        <v>124</v>
      </c>
      <c r="D3575" s="4">
        <v>10</v>
      </c>
      <c r="E3575" s="8" t="s">
        <v>109</v>
      </c>
      <c r="F3575" s="7" t="s">
        <v>125</v>
      </c>
    </row>
    <row r="3576" spans="1:6">
      <c r="A3576" s="4" t="str">
        <f t="shared" si="55"/>
        <v>tRNA-Ser-CGA-1-1|11</v>
      </c>
      <c r="B3576" s="4" t="s">
        <v>85</v>
      </c>
      <c r="C3576" s="4" t="s">
        <v>126</v>
      </c>
      <c r="D3576" s="4">
        <v>11</v>
      </c>
      <c r="E3576" s="8" t="s">
        <v>116</v>
      </c>
      <c r="F3576" s="7" t="s">
        <v>125</v>
      </c>
    </row>
    <row r="3577" spans="1:6">
      <c r="A3577" s="4" t="str">
        <f t="shared" si="55"/>
        <v>tRNA-Ser-CGA-1-1|12</v>
      </c>
      <c r="B3577" s="4" t="s">
        <v>85</v>
      </c>
      <c r="C3577" s="4" t="s">
        <v>127</v>
      </c>
      <c r="D3577" s="4">
        <v>12</v>
      </c>
      <c r="E3577" s="8" t="s">
        <v>114</v>
      </c>
      <c r="F3577" s="7" t="s">
        <v>125</v>
      </c>
    </row>
    <row r="3578" spans="1:6">
      <c r="A3578" s="4" t="str">
        <f t="shared" si="55"/>
        <v>tRNA-Ser-CGA-1-1|13</v>
      </c>
      <c r="B3578" s="4" t="s">
        <v>85</v>
      </c>
      <c r="C3578" s="4" t="s">
        <v>128</v>
      </c>
      <c r="D3578" s="4">
        <v>13</v>
      </c>
      <c r="E3578" s="8" t="s">
        <v>116</v>
      </c>
      <c r="F3578" s="7" t="s">
        <v>125</v>
      </c>
    </row>
    <row r="3579" spans="1:6">
      <c r="A3579" s="4" t="str">
        <f t="shared" si="55"/>
        <v>tRNA-Ser-CGA-1-1|14</v>
      </c>
      <c r="B3579" s="4" t="s">
        <v>85</v>
      </c>
      <c r="C3579" s="4" t="s">
        <v>129</v>
      </c>
      <c r="D3579" s="4">
        <v>14</v>
      </c>
      <c r="E3579" s="18" t="s">
        <v>122</v>
      </c>
      <c r="F3579" s="19" t="s">
        <v>130</v>
      </c>
    </row>
    <row r="3580" spans="1:6">
      <c r="A3580" s="4" t="str">
        <f t="shared" si="55"/>
        <v>tRNA-Ser-CGA-1-1|15</v>
      </c>
      <c r="B3580" s="4" t="s">
        <v>85</v>
      </c>
      <c r="C3580" s="4" t="s">
        <v>131</v>
      </c>
      <c r="D3580" s="4">
        <v>15</v>
      </c>
      <c r="E3580" s="18" t="s">
        <v>109</v>
      </c>
      <c r="F3580" s="19" t="s">
        <v>130</v>
      </c>
    </row>
    <row r="3581" spans="1:6">
      <c r="A3581" s="4" t="str">
        <f t="shared" si="55"/>
        <v>tRNA-Ser-CGA-1-1|16</v>
      </c>
      <c r="B3581" s="4" t="s">
        <v>85</v>
      </c>
      <c r="C3581" s="4" t="s">
        <v>194</v>
      </c>
      <c r="D3581" s="4">
        <v>16</v>
      </c>
      <c r="E3581" s="18" t="s">
        <v>116</v>
      </c>
      <c r="F3581" s="19" t="s">
        <v>130</v>
      </c>
    </row>
    <row r="3582" spans="1:6">
      <c r="A3582" s="4" t="str">
        <f t="shared" si="55"/>
        <v>tRNA-Ser-CGA-1-1|18</v>
      </c>
      <c r="B3582" s="4" t="s">
        <v>85</v>
      </c>
      <c r="C3582" s="4" t="s">
        <v>132</v>
      </c>
      <c r="D3582" s="4">
        <v>17</v>
      </c>
      <c r="E3582" s="18" t="s">
        <v>109</v>
      </c>
      <c r="F3582" s="19" t="s">
        <v>130</v>
      </c>
    </row>
    <row r="3583" spans="1:6">
      <c r="A3583" s="4" t="str">
        <f t="shared" si="55"/>
        <v>tRNA-Ser-CGA-1-1|19</v>
      </c>
      <c r="B3583" s="4" t="s">
        <v>85</v>
      </c>
      <c r="C3583" s="4" t="s">
        <v>133</v>
      </c>
      <c r="D3583" s="4">
        <v>18</v>
      </c>
      <c r="E3583" s="18" t="s">
        <v>109</v>
      </c>
      <c r="F3583" s="19" t="s">
        <v>130</v>
      </c>
    </row>
    <row r="3584" spans="1:6">
      <c r="A3584" s="4" t="str">
        <f t="shared" si="55"/>
        <v>tRNA-Ser-CGA-1-1|20</v>
      </c>
      <c r="B3584" s="4" t="s">
        <v>85</v>
      </c>
      <c r="C3584" s="4" t="s">
        <v>134</v>
      </c>
      <c r="D3584" s="4">
        <v>19</v>
      </c>
      <c r="E3584" s="18" t="s">
        <v>116</v>
      </c>
      <c r="F3584" s="19" t="s">
        <v>130</v>
      </c>
    </row>
    <row r="3585" spans="1:6">
      <c r="A3585" s="4" t="str">
        <f t="shared" si="55"/>
        <v>tRNA-Ser-CGA-1-1|21</v>
      </c>
      <c r="B3585" s="4" t="s">
        <v>85</v>
      </c>
      <c r="C3585" s="4" t="s">
        <v>136</v>
      </c>
      <c r="D3585" s="4">
        <v>20</v>
      </c>
      <c r="E3585" s="18" t="s">
        <v>122</v>
      </c>
      <c r="F3585" s="19" t="s">
        <v>130</v>
      </c>
    </row>
    <row r="3586" spans="1:6">
      <c r="A3586" s="4" t="str">
        <f t="shared" ref="A3586:A3649" si="56">B3586&amp;"|"&amp;C3586</f>
        <v>tRNA-Ser-CGA-1-1|22</v>
      </c>
      <c r="B3586" s="4" t="s">
        <v>85</v>
      </c>
      <c r="C3586" s="4" t="s">
        <v>137</v>
      </c>
      <c r="D3586" s="4">
        <v>21</v>
      </c>
      <c r="E3586" s="8" t="s">
        <v>122</v>
      </c>
      <c r="F3586" s="7" t="s">
        <v>125</v>
      </c>
    </row>
    <row r="3587" spans="1:6">
      <c r="A3587" s="4" t="str">
        <f t="shared" si="56"/>
        <v>tRNA-Ser-CGA-1-1|23</v>
      </c>
      <c r="B3587" s="4" t="s">
        <v>85</v>
      </c>
      <c r="C3587" s="4" t="s">
        <v>138</v>
      </c>
      <c r="D3587" s="4">
        <v>22</v>
      </c>
      <c r="E3587" s="8" t="s">
        <v>109</v>
      </c>
      <c r="F3587" s="7" t="s">
        <v>125</v>
      </c>
    </row>
    <row r="3588" spans="1:6">
      <c r="A3588" s="4" t="str">
        <f t="shared" si="56"/>
        <v>tRNA-Ser-CGA-1-1|24</v>
      </c>
      <c r="B3588" s="4" t="s">
        <v>85</v>
      </c>
      <c r="C3588" s="4" t="s">
        <v>139</v>
      </c>
      <c r="D3588" s="4">
        <v>23</v>
      </c>
      <c r="E3588" s="8" t="s">
        <v>109</v>
      </c>
      <c r="F3588" s="7" t="s">
        <v>125</v>
      </c>
    </row>
    <row r="3589" spans="1:6">
      <c r="A3589" s="4" t="str">
        <f t="shared" si="56"/>
        <v>tRNA-Ser-CGA-1-1|25</v>
      </c>
      <c r="B3589" s="4" t="s">
        <v>85</v>
      </c>
      <c r="C3589" s="4" t="s">
        <v>140</v>
      </c>
      <c r="D3589" s="4">
        <v>24</v>
      </c>
      <c r="E3589" s="8" t="s">
        <v>114</v>
      </c>
      <c r="F3589" s="7" t="s">
        <v>125</v>
      </c>
    </row>
    <row r="3590" spans="1:6">
      <c r="A3590" s="4" t="str">
        <f t="shared" si="56"/>
        <v>tRNA-Ser-CGA-1-1|26</v>
      </c>
      <c r="B3590" s="4" t="s">
        <v>85</v>
      </c>
      <c r="C3590" s="4" t="s">
        <v>141</v>
      </c>
      <c r="D3590" s="4">
        <v>25</v>
      </c>
      <c r="E3590" s="3" t="s">
        <v>109</v>
      </c>
      <c r="F3590" s="4" t="s">
        <v>142</v>
      </c>
    </row>
    <row r="3591" spans="1:6">
      <c r="A3591" s="4" t="str">
        <f t="shared" si="56"/>
        <v>tRNA-Ser-CGA-1-1|27</v>
      </c>
      <c r="B3591" s="4" t="s">
        <v>85</v>
      </c>
      <c r="C3591" s="4" t="s">
        <v>143</v>
      </c>
      <c r="D3591" s="4">
        <v>26</v>
      </c>
      <c r="E3591" s="20" t="s">
        <v>122</v>
      </c>
      <c r="F3591" s="21" t="s">
        <v>144</v>
      </c>
    </row>
    <row r="3592" spans="1:6">
      <c r="A3592" s="4" t="str">
        <f t="shared" si="56"/>
        <v>tRNA-Ser-CGA-1-1|28</v>
      </c>
      <c r="B3592" s="4" t="s">
        <v>85</v>
      </c>
      <c r="C3592" s="4" t="s">
        <v>145</v>
      </c>
      <c r="D3592" s="4">
        <v>27</v>
      </c>
      <c r="E3592" s="20" t="s">
        <v>114</v>
      </c>
      <c r="F3592" s="21" t="s">
        <v>144</v>
      </c>
    </row>
    <row r="3593" spans="1:6">
      <c r="A3593" s="4" t="str">
        <f t="shared" si="56"/>
        <v>tRNA-Ser-CGA-1-1|29</v>
      </c>
      <c r="B3593" s="4" t="s">
        <v>85</v>
      </c>
      <c r="C3593" s="4" t="s">
        <v>146</v>
      </c>
      <c r="D3593" s="4">
        <v>28</v>
      </c>
      <c r="E3593" s="20" t="s">
        <v>109</v>
      </c>
      <c r="F3593" s="21" t="s">
        <v>144</v>
      </c>
    </row>
    <row r="3594" spans="1:6">
      <c r="A3594" s="4" t="str">
        <f t="shared" si="56"/>
        <v>tRNA-Ser-CGA-1-1|30</v>
      </c>
      <c r="B3594" s="4" t="s">
        <v>85</v>
      </c>
      <c r="C3594" s="4" t="s">
        <v>147</v>
      </c>
      <c r="D3594" s="4">
        <v>29</v>
      </c>
      <c r="E3594" s="20" t="s">
        <v>109</v>
      </c>
      <c r="F3594" s="21" t="s">
        <v>144</v>
      </c>
    </row>
    <row r="3595" spans="1:6">
      <c r="A3595" s="4" t="str">
        <f t="shared" si="56"/>
        <v>tRNA-Ser-CGA-1-1|31</v>
      </c>
      <c r="B3595" s="4" t="s">
        <v>85</v>
      </c>
      <c r="C3595" s="4" t="s">
        <v>148</v>
      </c>
      <c r="D3595" s="4">
        <v>30</v>
      </c>
      <c r="E3595" s="20" t="s">
        <v>116</v>
      </c>
      <c r="F3595" s="21" t="s">
        <v>144</v>
      </c>
    </row>
    <row r="3596" spans="1:6">
      <c r="A3596" s="4" t="str">
        <f t="shared" si="56"/>
        <v>tRNA-Ser-CGA-1-1|32</v>
      </c>
      <c r="B3596" s="4" t="s">
        <v>85</v>
      </c>
      <c r="C3596" s="4" t="s">
        <v>149</v>
      </c>
      <c r="D3596" s="4">
        <v>31</v>
      </c>
      <c r="E3596" s="18" t="s">
        <v>114</v>
      </c>
      <c r="F3596" s="19" t="s">
        <v>150</v>
      </c>
    </row>
    <row r="3597" spans="1:6">
      <c r="A3597" s="4" t="str">
        <f t="shared" si="56"/>
        <v>tRNA-Ser-CGA-1-1|33</v>
      </c>
      <c r="B3597" s="4" t="s">
        <v>85</v>
      </c>
      <c r="C3597" s="4" t="s">
        <v>151</v>
      </c>
      <c r="D3597" s="4">
        <v>32</v>
      </c>
      <c r="E3597" s="18" t="s">
        <v>116</v>
      </c>
      <c r="F3597" s="19" t="s">
        <v>150</v>
      </c>
    </row>
    <row r="3598" spans="1:6">
      <c r="A3598" s="4" t="str">
        <f t="shared" si="56"/>
        <v>tRNA-Ser-CGA-1-1|34</v>
      </c>
      <c r="B3598" s="4" t="s">
        <v>85</v>
      </c>
      <c r="C3598" s="4" t="s">
        <v>152</v>
      </c>
      <c r="D3598" s="4">
        <v>33</v>
      </c>
      <c r="E3598" s="18" t="s">
        <v>114</v>
      </c>
      <c r="F3598" s="19" t="s">
        <v>150</v>
      </c>
    </row>
    <row r="3599" spans="1:6">
      <c r="A3599" s="4" t="str">
        <f t="shared" si="56"/>
        <v>tRNA-Ser-CGA-1-1|35</v>
      </c>
      <c r="B3599" s="4" t="s">
        <v>85</v>
      </c>
      <c r="C3599" s="4" t="s">
        <v>153</v>
      </c>
      <c r="D3599" s="4">
        <v>34</v>
      </c>
      <c r="E3599" s="18" t="s">
        <v>109</v>
      </c>
      <c r="F3599" s="19" t="s">
        <v>150</v>
      </c>
    </row>
    <row r="3600" spans="1:6">
      <c r="A3600" s="4" t="str">
        <f t="shared" si="56"/>
        <v>tRNA-Ser-CGA-1-1|36</v>
      </c>
      <c r="B3600" s="4" t="s">
        <v>85</v>
      </c>
      <c r="C3600" s="4" t="s">
        <v>154</v>
      </c>
      <c r="D3600" s="4">
        <v>35</v>
      </c>
      <c r="E3600" s="18" t="s">
        <v>122</v>
      </c>
      <c r="F3600" s="19" t="s">
        <v>150</v>
      </c>
    </row>
    <row r="3601" spans="1:6">
      <c r="A3601" s="4" t="str">
        <f t="shared" si="56"/>
        <v>tRNA-Ser-CGA-1-1|37</v>
      </c>
      <c r="B3601" s="4" t="s">
        <v>85</v>
      </c>
      <c r="C3601" s="4" t="s">
        <v>155</v>
      </c>
      <c r="D3601" s="4">
        <v>36</v>
      </c>
      <c r="E3601" s="18" t="s">
        <v>122</v>
      </c>
      <c r="F3601" s="19" t="s">
        <v>150</v>
      </c>
    </row>
    <row r="3602" spans="1:6">
      <c r="A3602" s="4" t="str">
        <f t="shared" si="56"/>
        <v>tRNA-Ser-CGA-1-1|38</v>
      </c>
      <c r="B3602" s="4" t="s">
        <v>85</v>
      </c>
      <c r="C3602" s="4" t="s">
        <v>156</v>
      </c>
      <c r="D3602" s="4">
        <v>37</v>
      </c>
      <c r="E3602" s="18" t="s">
        <v>122</v>
      </c>
      <c r="F3602" s="19" t="s">
        <v>150</v>
      </c>
    </row>
    <row r="3603" spans="1:6">
      <c r="A3603" s="4" t="str">
        <f t="shared" si="56"/>
        <v>tRNA-Ser-CGA-1-1|39</v>
      </c>
      <c r="B3603" s="4" t="s">
        <v>85</v>
      </c>
      <c r="C3603" s="4" t="s">
        <v>157</v>
      </c>
      <c r="D3603" s="4">
        <v>38</v>
      </c>
      <c r="E3603" s="20" t="s">
        <v>122</v>
      </c>
      <c r="F3603" s="21" t="s">
        <v>144</v>
      </c>
    </row>
    <row r="3604" spans="1:6">
      <c r="A3604" s="4" t="str">
        <f t="shared" si="56"/>
        <v>tRNA-Ser-CGA-1-1|40</v>
      </c>
      <c r="B3604" s="4" t="s">
        <v>85</v>
      </c>
      <c r="C3604" s="4" t="s">
        <v>158</v>
      </c>
      <c r="D3604" s="4">
        <v>39</v>
      </c>
      <c r="E3604" s="20" t="s">
        <v>114</v>
      </c>
      <c r="F3604" s="21" t="s">
        <v>144</v>
      </c>
    </row>
    <row r="3605" spans="1:6">
      <c r="A3605" s="4" t="str">
        <f t="shared" si="56"/>
        <v>tRNA-Ser-CGA-1-1|41</v>
      </c>
      <c r="B3605" s="4" t="s">
        <v>85</v>
      </c>
      <c r="C3605" s="4" t="s">
        <v>159</v>
      </c>
      <c r="D3605" s="4">
        <v>40</v>
      </c>
      <c r="E3605" s="20" t="s">
        <v>114</v>
      </c>
      <c r="F3605" s="21" t="s">
        <v>144</v>
      </c>
    </row>
    <row r="3606" spans="1:6">
      <c r="A3606" s="4" t="str">
        <f t="shared" si="56"/>
        <v>tRNA-Ser-CGA-1-1|42</v>
      </c>
      <c r="B3606" s="4" t="s">
        <v>85</v>
      </c>
      <c r="C3606" s="4" t="s">
        <v>160</v>
      </c>
      <c r="D3606" s="4">
        <v>41</v>
      </c>
      <c r="E3606" s="20" t="s">
        <v>109</v>
      </c>
      <c r="F3606" s="21" t="s">
        <v>144</v>
      </c>
    </row>
    <row r="3607" spans="1:6">
      <c r="A3607" s="4" t="str">
        <f t="shared" si="56"/>
        <v>tRNA-Ser-CGA-1-1|43</v>
      </c>
      <c r="B3607" s="4" t="s">
        <v>85</v>
      </c>
      <c r="C3607" s="4" t="s">
        <v>161</v>
      </c>
      <c r="D3607" s="4">
        <v>42</v>
      </c>
      <c r="E3607" s="20" t="s">
        <v>116</v>
      </c>
      <c r="F3607" s="21" t="s">
        <v>144</v>
      </c>
    </row>
    <row r="3608" spans="1:6">
      <c r="A3608" s="4" t="str">
        <f t="shared" si="56"/>
        <v>tRNA-Ser-CGA-1-1|44</v>
      </c>
      <c r="B3608" s="4" t="s">
        <v>85</v>
      </c>
      <c r="C3608" s="4" t="s">
        <v>162</v>
      </c>
      <c r="D3608" s="4">
        <v>43</v>
      </c>
      <c r="E3608" s="18" t="s">
        <v>116</v>
      </c>
      <c r="F3608" s="19" t="s">
        <v>163</v>
      </c>
    </row>
    <row r="3609" spans="1:6">
      <c r="A3609" s="4" t="str">
        <f t="shared" si="56"/>
        <v>tRNA-Ser-CGA-1-1|45</v>
      </c>
      <c r="B3609" s="4" t="s">
        <v>85</v>
      </c>
      <c r="C3609" s="4" t="s">
        <v>164</v>
      </c>
      <c r="D3609" s="4">
        <v>44</v>
      </c>
      <c r="E3609" s="18" t="s">
        <v>116</v>
      </c>
      <c r="F3609" s="19" t="s">
        <v>163</v>
      </c>
    </row>
    <row r="3610" spans="1:6">
      <c r="A3610" s="4" t="str">
        <f t="shared" si="56"/>
        <v>tRNA-Ser-CGA-1-1|e1</v>
      </c>
      <c r="B3610" s="4" t="s">
        <v>85</v>
      </c>
      <c r="C3610" s="4" t="s">
        <v>198</v>
      </c>
      <c r="D3610" s="4">
        <v>45</v>
      </c>
      <c r="E3610" s="18" t="s">
        <v>114</v>
      </c>
      <c r="F3610" s="19" t="s">
        <v>163</v>
      </c>
    </row>
    <row r="3611" spans="1:6">
      <c r="A3611" s="4" t="str">
        <f t="shared" si="56"/>
        <v>tRNA-Ser-CGA-1-1|e2</v>
      </c>
      <c r="B3611" s="4" t="s">
        <v>85</v>
      </c>
      <c r="C3611" s="4" t="s">
        <v>199</v>
      </c>
      <c r="D3611" s="4">
        <v>46</v>
      </c>
      <c r="E3611" s="18" t="s">
        <v>116</v>
      </c>
      <c r="F3611" s="19" t="s">
        <v>163</v>
      </c>
    </row>
    <row r="3612" spans="1:6">
      <c r="A3612" s="4" t="str">
        <f t="shared" si="56"/>
        <v>tRNA-Ser-CGA-1-1|e3</v>
      </c>
      <c r="B3612" s="4" t="s">
        <v>85</v>
      </c>
      <c r="C3612" s="4" t="s">
        <v>200</v>
      </c>
      <c r="D3612" s="4">
        <v>47</v>
      </c>
      <c r="E3612" s="18" t="s">
        <v>116</v>
      </c>
      <c r="F3612" s="19" t="s">
        <v>163</v>
      </c>
    </row>
    <row r="3613" spans="1:6">
      <c r="A3613" s="4" t="str">
        <f t="shared" si="56"/>
        <v>tRNA-Ser-CGA-1-1|e4</v>
      </c>
      <c r="B3613" s="4" t="s">
        <v>85</v>
      </c>
      <c r="C3613" s="4" t="s">
        <v>201</v>
      </c>
      <c r="D3613" s="4">
        <v>48</v>
      </c>
      <c r="E3613" s="18" t="s">
        <v>114</v>
      </c>
      <c r="F3613" s="19" t="s">
        <v>163</v>
      </c>
    </row>
    <row r="3614" spans="1:6">
      <c r="A3614" s="4" t="str">
        <f t="shared" si="56"/>
        <v>tRNA-Ser-CGA-1-1|e5</v>
      </c>
      <c r="B3614" s="4" t="s">
        <v>85</v>
      </c>
      <c r="C3614" s="4" t="s">
        <v>202</v>
      </c>
      <c r="D3614" s="4">
        <v>49</v>
      </c>
      <c r="E3614" s="18" t="s">
        <v>116</v>
      </c>
      <c r="F3614" s="19" t="s">
        <v>163</v>
      </c>
    </row>
    <row r="3615" spans="1:6">
      <c r="A3615" s="4" t="str">
        <f t="shared" si="56"/>
        <v>tRNA-Ser-CGA-1-1|e6</v>
      </c>
      <c r="B3615" s="4" t="s">
        <v>85</v>
      </c>
      <c r="C3615" s="4" t="s">
        <v>203</v>
      </c>
      <c r="D3615" s="4">
        <v>50</v>
      </c>
      <c r="E3615" s="18" t="s">
        <v>116</v>
      </c>
      <c r="F3615" s="19" t="s">
        <v>163</v>
      </c>
    </row>
    <row r="3616" spans="1:6">
      <c r="A3616" s="4" t="str">
        <f t="shared" si="56"/>
        <v>tRNA-Ser-CGA-1-1|e7</v>
      </c>
      <c r="B3616" s="4" t="s">
        <v>85</v>
      </c>
      <c r="C3616" s="4" t="s">
        <v>204</v>
      </c>
      <c r="D3616" s="4">
        <v>51</v>
      </c>
      <c r="E3616" s="18" t="s">
        <v>116</v>
      </c>
      <c r="F3616" s="19" t="s">
        <v>163</v>
      </c>
    </row>
    <row r="3617" spans="1:6">
      <c r="A3617" s="4" t="str">
        <f t="shared" si="56"/>
        <v>tRNA-Ser-CGA-1-1|e8</v>
      </c>
      <c r="B3617" s="4" t="s">
        <v>85</v>
      </c>
      <c r="C3617" s="4" t="s">
        <v>205</v>
      </c>
      <c r="D3617" s="4">
        <v>52</v>
      </c>
      <c r="E3617" s="18" t="s">
        <v>109</v>
      </c>
      <c r="F3617" s="19" t="s">
        <v>163</v>
      </c>
    </row>
    <row r="3618" spans="1:6">
      <c r="A3618" s="4" t="str">
        <f t="shared" si="56"/>
        <v>tRNA-Ser-CGA-1-1|e9</v>
      </c>
      <c r="B3618" s="4" t="s">
        <v>85</v>
      </c>
      <c r="C3618" s="4" t="s">
        <v>206</v>
      </c>
      <c r="D3618" s="4">
        <v>53</v>
      </c>
      <c r="E3618" s="18" t="s">
        <v>109</v>
      </c>
      <c r="F3618" s="19" t="s">
        <v>163</v>
      </c>
    </row>
    <row r="3619" spans="1:6">
      <c r="A3619" s="4" t="str">
        <f t="shared" si="56"/>
        <v>tRNA-Ser-CGA-1-1|e10</v>
      </c>
      <c r="B3619" s="4" t="s">
        <v>85</v>
      </c>
      <c r="C3619" s="4" t="s">
        <v>207</v>
      </c>
      <c r="D3619" s="4">
        <v>54</v>
      </c>
      <c r="E3619" s="18" t="s">
        <v>109</v>
      </c>
      <c r="F3619" s="19" t="s">
        <v>163</v>
      </c>
    </row>
    <row r="3620" spans="1:6">
      <c r="A3620" s="4" t="str">
        <f t="shared" si="56"/>
        <v>tRNA-Ser-CGA-1-1|e11</v>
      </c>
      <c r="B3620" s="4" t="s">
        <v>85</v>
      </c>
      <c r="C3620" s="4" t="s">
        <v>208</v>
      </c>
      <c r="D3620" s="4">
        <v>55</v>
      </c>
      <c r="E3620" s="18" t="s">
        <v>122</v>
      </c>
      <c r="F3620" s="19" t="s">
        <v>163</v>
      </c>
    </row>
    <row r="3621" spans="1:6">
      <c r="A3621" s="4" t="str">
        <f t="shared" si="56"/>
        <v>tRNA-Ser-CGA-1-1|e12</v>
      </c>
      <c r="B3621" s="4" t="s">
        <v>85</v>
      </c>
      <c r="C3621" s="4" t="s">
        <v>209</v>
      </c>
      <c r="D3621" s="4">
        <v>56</v>
      </c>
      <c r="E3621" s="18" t="s">
        <v>109</v>
      </c>
      <c r="F3621" s="19" t="s">
        <v>163</v>
      </c>
    </row>
    <row r="3622" spans="1:6">
      <c r="A3622" s="4" t="str">
        <f t="shared" si="56"/>
        <v>tRNA-Ser-CGA-1-1|46</v>
      </c>
      <c r="B3622" s="4" t="s">
        <v>85</v>
      </c>
      <c r="C3622" s="4" t="s">
        <v>165</v>
      </c>
      <c r="D3622" s="4">
        <v>57</v>
      </c>
      <c r="E3622" s="18" t="s">
        <v>122</v>
      </c>
      <c r="F3622" s="19" t="s">
        <v>163</v>
      </c>
    </row>
    <row r="3623" spans="1:6">
      <c r="A3623" s="4" t="str">
        <f t="shared" si="56"/>
        <v>tRNA-Ser-CGA-1-1|47</v>
      </c>
      <c r="B3623" s="4" t="s">
        <v>85</v>
      </c>
      <c r="C3623" s="4" t="s">
        <v>166</v>
      </c>
      <c r="D3623" s="4">
        <v>58</v>
      </c>
      <c r="E3623" s="18" t="s">
        <v>109</v>
      </c>
      <c r="F3623" s="19" t="s">
        <v>163</v>
      </c>
    </row>
    <row r="3624" spans="1:6">
      <c r="A3624" s="4" t="str">
        <f t="shared" si="56"/>
        <v>tRNA-Ser-CGA-1-1|48</v>
      </c>
      <c r="B3624" s="4" t="s">
        <v>85</v>
      </c>
      <c r="C3624" s="4" t="s">
        <v>167</v>
      </c>
      <c r="D3624" s="4">
        <v>59</v>
      </c>
      <c r="E3624" s="18" t="s">
        <v>114</v>
      </c>
      <c r="F3624" s="19" t="s">
        <v>163</v>
      </c>
    </row>
    <row r="3625" spans="1:6">
      <c r="A3625" s="4" t="str">
        <f t="shared" si="56"/>
        <v>tRNA-Ser-CGA-1-1|49</v>
      </c>
      <c r="B3625" s="4" t="s">
        <v>85</v>
      </c>
      <c r="C3625" s="4" t="s">
        <v>168</v>
      </c>
      <c r="D3625" s="4">
        <v>60</v>
      </c>
      <c r="E3625" s="22" t="s">
        <v>109</v>
      </c>
      <c r="F3625" s="10" t="s">
        <v>169</v>
      </c>
    </row>
    <row r="3626" spans="1:6">
      <c r="A3626" s="4" t="str">
        <f t="shared" si="56"/>
        <v>tRNA-Ser-CGA-1-1|50</v>
      </c>
      <c r="B3626" s="4" t="s">
        <v>85</v>
      </c>
      <c r="C3626" s="4" t="s">
        <v>170</v>
      </c>
      <c r="D3626" s="4">
        <v>61</v>
      </c>
      <c r="E3626" s="22" t="s">
        <v>114</v>
      </c>
      <c r="F3626" s="10" t="s">
        <v>169</v>
      </c>
    </row>
    <row r="3627" spans="1:6">
      <c r="A3627" s="4" t="str">
        <f t="shared" si="56"/>
        <v>tRNA-Ser-CGA-1-1|51</v>
      </c>
      <c r="B3627" s="4" t="s">
        <v>85</v>
      </c>
      <c r="C3627" s="4" t="s">
        <v>171</v>
      </c>
      <c r="D3627" s="4">
        <v>62</v>
      </c>
      <c r="E3627" s="22" t="s">
        <v>122</v>
      </c>
      <c r="F3627" s="10" t="s">
        <v>169</v>
      </c>
    </row>
    <row r="3628" spans="1:6">
      <c r="A3628" s="4" t="str">
        <f t="shared" si="56"/>
        <v>tRNA-Ser-CGA-1-1|52</v>
      </c>
      <c r="B3628" s="4" t="s">
        <v>85</v>
      </c>
      <c r="C3628" s="4" t="s">
        <v>172</v>
      </c>
      <c r="D3628" s="4">
        <v>63</v>
      </c>
      <c r="E3628" s="22" t="s">
        <v>109</v>
      </c>
      <c r="F3628" s="10" t="s">
        <v>169</v>
      </c>
    </row>
    <row r="3629" spans="1:6">
      <c r="A3629" s="4" t="str">
        <f t="shared" si="56"/>
        <v>tRNA-Ser-CGA-1-1|53</v>
      </c>
      <c r="B3629" s="4" t="s">
        <v>85</v>
      </c>
      <c r="C3629" s="4" t="s">
        <v>173</v>
      </c>
      <c r="D3629" s="4">
        <v>64</v>
      </c>
      <c r="E3629" s="22" t="s">
        <v>109</v>
      </c>
      <c r="F3629" s="10" t="s">
        <v>169</v>
      </c>
    </row>
    <row r="3630" spans="1:6">
      <c r="A3630" s="4" t="str">
        <f t="shared" si="56"/>
        <v>tRNA-Ser-CGA-1-1|54</v>
      </c>
      <c r="B3630" s="4" t="s">
        <v>85</v>
      </c>
      <c r="C3630" s="4" t="s">
        <v>174</v>
      </c>
      <c r="D3630" s="4">
        <v>65</v>
      </c>
      <c r="E3630" s="18" t="s">
        <v>116</v>
      </c>
      <c r="F3630" s="19" t="s">
        <v>175</v>
      </c>
    </row>
    <row r="3631" spans="1:6">
      <c r="A3631" s="4" t="str">
        <f t="shared" si="56"/>
        <v>tRNA-Ser-CGA-1-1|55</v>
      </c>
      <c r="B3631" s="4" t="s">
        <v>85</v>
      </c>
      <c r="C3631" s="4" t="s">
        <v>176</v>
      </c>
      <c r="D3631" s="4">
        <v>66</v>
      </c>
      <c r="E3631" s="18" t="s">
        <v>116</v>
      </c>
      <c r="F3631" s="19" t="s">
        <v>175</v>
      </c>
    </row>
    <row r="3632" spans="1:6">
      <c r="A3632" s="4" t="str">
        <f t="shared" si="56"/>
        <v>tRNA-Ser-CGA-1-1|56</v>
      </c>
      <c r="B3632" s="4" t="s">
        <v>85</v>
      </c>
      <c r="C3632" s="4" t="s">
        <v>177</v>
      </c>
      <c r="D3632" s="4">
        <v>67</v>
      </c>
      <c r="E3632" s="18" t="s">
        <v>114</v>
      </c>
      <c r="F3632" s="19" t="s">
        <v>175</v>
      </c>
    </row>
    <row r="3633" spans="1:6">
      <c r="A3633" s="4" t="str">
        <f t="shared" si="56"/>
        <v>tRNA-Ser-CGA-1-1|57</v>
      </c>
      <c r="B3633" s="4" t="s">
        <v>85</v>
      </c>
      <c r="C3633" s="4" t="s">
        <v>178</v>
      </c>
      <c r="D3633" s="4">
        <v>68</v>
      </c>
      <c r="E3633" s="18" t="s">
        <v>122</v>
      </c>
      <c r="F3633" s="19" t="s">
        <v>175</v>
      </c>
    </row>
    <row r="3634" spans="1:6">
      <c r="A3634" s="4" t="str">
        <f t="shared" si="56"/>
        <v>tRNA-Ser-CGA-1-1|58</v>
      </c>
      <c r="B3634" s="4" t="s">
        <v>85</v>
      </c>
      <c r="C3634" s="4" t="s">
        <v>179</v>
      </c>
      <c r="D3634" s="4">
        <v>69</v>
      </c>
      <c r="E3634" s="18" t="s">
        <v>122</v>
      </c>
      <c r="F3634" s="19" t="s">
        <v>175</v>
      </c>
    </row>
    <row r="3635" spans="1:6">
      <c r="A3635" s="4" t="str">
        <f t="shared" si="56"/>
        <v>tRNA-Ser-CGA-1-1|59</v>
      </c>
      <c r="B3635" s="4" t="s">
        <v>85</v>
      </c>
      <c r="C3635" s="4" t="s">
        <v>180</v>
      </c>
      <c r="D3635" s="4">
        <v>70</v>
      </c>
      <c r="E3635" s="18" t="s">
        <v>122</v>
      </c>
      <c r="F3635" s="19" t="s">
        <v>175</v>
      </c>
    </row>
    <row r="3636" spans="1:6">
      <c r="A3636" s="4" t="str">
        <f t="shared" si="56"/>
        <v>tRNA-Ser-CGA-1-1|60</v>
      </c>
      <c r="B3636" s="4" t="s">
        <v>85</v>
      </c>
      <c r="C3636" s="4" t="s">
        <v>181</v>
      </c>
      <c r="D3636" s="4">
        <v>71</v>
      </c>
      <c r="E3636" s="18" t="s">
        <v>116</v>
      </c>
      <c r="F3636" s="19" t="s">
        <v>175</v>
      </c>
    </row>
    <row r="3637" spans="1:6">
      <c r="A3637" s="4" t="str">
        <f t="shared" si="56"/>
        <v>tRNA-Ser-CGA-1-1|61</v>
      </c>
      <c r="B3637" s="4" t="s">
        <v>85</v>
      </c>
      <c r="C3637" s="4" t="s">
        <v>182</v>
      </c>
      <c r="D3637" s="4">
        <v>72</v>
      </c>
      <c r="E3637" s="22" t="s">
        <v>114</v>
      </c>
      <c r="F3637" s="10" t="s">
        <v>169</v>
      </c>
    </row>
    <row r="3638" spans="1:6">
      <c r="A3638" s="4" t="str">
        <f t="shared" si="56"/>
        <v>tRNA-Ser-CGA-1-1|62</v>
      </c>
      <c r="B3638" s="4" t="s">
        <v>85</v>
      </c>
      <c r="C3638" s="4" t="s">
        <v>183</v>
      </c>
      <c r="D3638" s="4">
        <v>73</v>
      </c>
      <c r="E3638" s="22" t="s">
        <v>114</v>
      </c>
      <c r="F3638" s="10" t="s">
        <v>169</v>
      </c>
    </row>
    <row r="3639" spans="1:6">
      <c r="A3639" s="4" t="str">
        <f t="shared" si="56"/>
        <v>tRNA-Ser-CGA-1-1|63</v>
      </c>
      <c r="B3639" s="4" t="s">
        <v>85</v>
      </c>
      <c r="C3639" s="4" t="s">
        <v>184</v>
      </c>
      <c r="D3639" s="4">
        <v>74</v>
      </c>
      <c r="E3639" s="22" t="s">
        <v>116</v>
      </c>
      <c r="F3639" s="10" t="s">
        <v>169</v>
      </c>
    </row>
    <row r="3640" spans="1:6">
      <c r="A3640" s="4" t="str">
        <f t="shared" si="56"/>
        <v>tRNA-Ser-CGA-1-1|64</v>
      </c>
      <c r="B3640" s="4" t="s">
        <v>85</v>
      </c>
      <c r="C3640" s="4" t="s">
        <v>185</v>
      </c>
      <c r="D3640" s="4">
        <v>75</v>
      </c>
      <c r="E3640" s="22" t="s">
        <v>109</v>
      </c>
      <c r="F3640" s="10" t="s">
        <v>169</v>
      </c>
    </row>
    <row r="3641" spans="1:6">
      <c r="A3641" s="4" t="str">
        <f t="shared" si="56"/>
        <v>tRNA-Ser-CGA-1-1|65</v>
      </c>
      <c r="B3641" s="4" t="s">
        <v>85</v>
      </c>
      <c r="C3641" s="4" t="s">
        <v>186</v>
      </c>
      <c r="D3641" s="4">
        <v>76</v>
      </c>
      <c r="E3641" s="22" t="s">
        <v>114</v>
      </c>
      <c r="F3641" s="10" t="s">
        <v>169</v>
      </c>
    </row>
    <row r="3642" spans="1:6">
      <c r="A3642" s="4" t="str">
        <f t="shared" si="56"/>
        <v>tRNA-Ser-CGA-1-1|66</v>
      </c>
      <c r="B3642" s="4" t="s">
        <v>85</v>
      </c>
      <c r="C3642" s="4" t="s">
        <v>187</v>
      </c>
      <c r="D3642" s="4">
        <v>77</v>
      </c>
      <c r="E3642" s="16" t="s">
        <v>114</v>
      </c>
      <c r="F3642" s="17" t="s">
        <v>110</v>
      </c>
    </row>
    <row r="3643" spans="1:6">
      <c r="A3643" s="4" t="str">
        <f t="shared" si="56"/>
        <v>tRNA-Ser-CGA-1-1|67</v>
      </c>
      <c r="B3643" s="4" t="s">
        <v>85</v>
      </c>
      <c r="C3643" s="4" t="s">
        <v>188</v>
      </c>
      <c r="D3643" s="4">
        <v>78</v>
      </c>
      <c r="E3643" s="16" t="s">
        <v>114</v>
      </c>
      <c r="F3643" s="17" t="s">
        <v>110</v>
      </c>
    </row>
    <row r="3644" spans="1:6">
      <c r="A3644" s="4" t="str">
        <f t="shared" si="56"/>
        <v>tRNA-Ser-CGA-1-1|68</v>
      </c>
      <c r="B3644" s="4" t="s">
        <v>85</v>
      </c>
      <c r="C3644" s="4" t="s">
        <v>189</v>
      </c>
      <c r="D3644" s="4">
        <v>79</v>
      </c>
      <c r="E3644" s="16" t="s">
        <v>116</v>
      </c>
      <c r="F3644" s="17" t="s">
        <v>110</v>
      </c>
    </row>
    <row r="3645" spans="1:6">
      <c r="A3645" s="4" t="str">
        <f t="shared" si="56"/>
        <v>tRNA-Ser-CGA-1-1|69</v>
      </c>
      <c r="B3645" s="4" t="s">
        <v>85</v>
      </c>
      <c r="C3645" s="4" t="s">
        <v>190</v>
      </c>
      <c r="D3645" s="4">
        <v>80</v>
      </c>
      <c r="E3645" s="16" t="s">
        <v>109</v>
      </c>
      <c r="F3645" s="17" t="s">
        <v>110</v>
      </c>
    </row>
    <row r="3646" spans="1:6">
      <c r="A3646" s="4" t="str">
        <f t="shared" si="56"/>
        <v>tRNA-Ser-CGA-1-1|70</v>
      </c>
      <c r="B3646" s="4" t="s">
        <v>85</v>
      </c>
      <c r="C3646" s="4" t="s">
        <v>191</v>
      </c>
      <c r="D3646" s="4">
        <v>81</v>
      </c>
      <c r="E3646" s="16" t="s">
        <v>109</v>
      </c>
      <c r="F3646" s="17" t="s">
        <v>110</v>
      </c>
    </row>
    <row r="3647" spans="1:6">
      <c r="A3647" s="4" t="str">
        <f t="shared" si="56"/>
        <v>tRNA-Ser-CGA-1-1|71</v>
      </c>
      <c r="B3647" s="4" t="s">
        <v>85</v>
      </c>
      <c r="C3647" s="4" t="s">
        <v>192</v>
      </c>
      <c r="D3647" s="4">
        <v>82</v>
      </c>
      <c r="E3647" s="16" t="s">
        <v>109</v>
      </c>
      <c r="F3647" s="17" t="s">
        <v>110</v>
      </c>
    </row>
    <row r="3648" spans="1:6">
      <c r="A3648" s="4" t="str">
        <f t="shared" si="56"/>
        <v>tRNA-Ser-CGA-1-1|72</v>
      </c>
      <c r="B3648" s="4" t="s">
        <v>85</v>
      </c>
      <c r="C3648" s="4" t="s">
        <v>193</v>
      </c>
      <c r="D3648" s="4">
        <v>83</v>
      </c>
      <c r="E3648" s="16" t="s">
        <v>114</v>
      </c>
      <c r="F3648" s="17" t="s">
        <v>110</v>
      </c>
    </row>
    <row r="3649" spans="1:6">
      <c r="A3649" s="4" t="str">
        <f t="shared" si="56"/>
        <v>tRNA-Ser-GCT-1-1|1</v>
      </c>
      <c r="B3649" s="4" t="s">
        <v>86</v>
      </c>
      <c r="C3649" s="4" t="s">
        <v>108</v>
      </c>
      <c r="D3649" s="4">
        <v>1</v>
      </c>
      <c r="E3649" s="16" t="s">
        <v>109</v>
      </c>
      <c r="F3649" s="17" t="s">
        <v>110</v>
      </c>
    </row>
    <row r="3650" spans="1:6">
      <c r="A3650" s="4" t="str">
        <f t="shared" ref="A3650:A3713" si="57">B3650&amp;"|"&amp;C3650</f>
        <v>tRNA-Ser-GCT-1-1|2</v>
      </c>
      <c r="B3650" s="4" t="s">
        <v>86</v>
      </c>
      <c r="C3650" s="4" t="s">
        <v>111</v>
      </c>
      <c r="D3650" s="4">
        <v>2</v>
      </c>
      <c r="E3650" s="16" t="s">
        <v>122</v>
      </c>
      <c r="F3650" s="17" t="s">
        <v>110</v>
      </c>
    </row>
    <row r="3651" spans="1:6">
      <c r="A3651" s="4" t="str">
        <f t="shared" si="57"/>
        <v>tRNA-Ser-GCT-1-1|3</v>
      </c>
      <c r="B3651" s="4" t="s">
        <v>86</v>
      </c>
      <c r="C3651" s="4" t="s">
        <v>112</v>
      </c>
      <c r="D3651" s="4">
        <v>3</v>
      </c>
      <c r="E3651" s="16" t="s">
        <v>114</v>
      </c>
      <c r="F3651" s="17" t="s">
        <v>110</v>
      </c>
    </row>
    <row r="3652" spans="1:6">
      <c r="A3652" s="4" t="str">
        <f t="shared" si="57"/>
        <v>tRNA-Ser-GCT-1-1|4</v>
      </c>
      <c r="B3652" s="4" t="s">
        <v>86</v>
      </c>
      <c r="C3652" s="4" t="s">
        <v>113</v>
      </c>
      <c r="D3652" s="4">
        <v>4</v>
      </c>
      <c r="E3652" s="16" t="s">
        <v>109</v>
      </c>
      <c r="F3652" s="17" t="s">
        <v>110</v>
      </c>
    </row>
    <row r="3653" spans="1:6">
      <c r="A3653" s="4" t="str">
        <f t="shared" si="57"/>
        <v>tRNA-Ser-GCT-1-1|5</v>
      </c>
      <c r="B3653" s="4" t="s">
        <v>86</v>
      </c>
      <c r="C3653" s="4" t="s">
        <v>115</v>
      </c>
      <c r="D3653" s="4">
        <v>5</v>
      </c>
      <c r="E3653" s="16" t="s">
        <v>122</v>
      </c>
      <c r="F3653" s="17" t="s">
        <v>110</v>
      </c>
    </row>
    <row r="3654" spans="1:6">
      <c r="A3654" s="4" t="str">
        <f t="shared" si="57"/>
        <v>tRNA-Ser-GCT-1-1|6</v>
      </c>
      <c r="B3654" s="4" t="s">
        <v>86</v>
      </c>
      <c r="C3654" s="4" t="s">
        <v>117</v>
      </c>
      <c r="D3654" s="4">
        <v>6</v>
      </c>
      <c r="E3654" s="16" t="s">
        <v>109</v>
      </c>
      <c r="F3654" s="17" t="s">
        <v>110</v>
      </c>
    </row>
    <row r="3655" spans="1:6">
      <c r="A3655" s="4" t="str">
        <f t="shared" si="57"/>
        <v>tRNA-Ser-GCT-1-1|7</v>
      </c>
      <c r="B3655" s="4" t="s">
        <v>86</v>
      </c>
      <c r="C3655" s="4" t="s">
        <v>118</v>
      </c>
      <c r="D3655" s="4">
        <v>7</v>
      </c>
      <c r="E3655" s="16" t="s">
        <v>122</v>
      </c>
      <c r="F3655" s="17" t="s">
        <v>110</v>
      </c>
    </row>
    <row r="3656" spans="1:6">
      <c r="A3656" s="4" t="str">
        <f t="shared" si="57"/>
        <v>tRNA-Ser-GCT-1-1|8</v>
      </c>
      <c r="B3656" s="4" t="s">
        <v>86</v>
      </c>
      <c r="C3656" s="4" t="s">
        <v>119</v>
      </c>
      <c r="D3656" s="4">
        <v>8</v>
      </c>
      <c r="E3656" s="3" t="s">
        <v>116</v>
      </c>
      <c r="F3656" s="4" t="s">
        <v>120</v>
      </c>
    </row>
    <row r="3657" spans="1:6">
      <c r="A3657" s="4" t="str">
        <f t="shared" si="57"/>
        <v>tRNA-Ser-GCT-1-1|9</v>
      </c>
      <c r="B3657" s="4" t="s">
        <v>86</v>
      </c>
      <c r="C3657" s="4" t="s">
        <v>121</v>
      </c>
      <c r="D3657" s="4">
        <v>9</v>
      </c>
      <c r="E3657" s="3" t="s">
        <v>122</v>
      </c>
      <c r="F3657" s="4" t="s">
        <v>123</v>
      </c>
    </row>
    <row r="3658" spans="1:6">
      <c r="A3658" s="4" t="str">
        <f t="shared" si="57"/>
        <v>tRNA-Ser-GCT-1-1|10</v>
      </c>
      <c r="B3658" s="4" t="s">
        <v>86</v>
      </c>
      <c r="C3658" s="4" t="s">
        <v>124</v>
      </c>
      <c r="D3658" s="4">
        <v>10</v>
      </c>
      <c r="E3658" s="8" t="s">
        <v>109</v>
      </c>
      <c r="F3658" s="7" t="s">
        <v>125</v>
      </c>
    </row>
    <row r="3659" spans="1:6">
      <c r="A3659" s="4" t="str">
        <f t="shared" si="57"/>
        <v>tRNA-Ser-GCT-1-1|11</v>
      </c>
      <c r="B3659" s="4" t="s">
        <v>86</v>
      </c>
      <c r="C3659" s="4" t="s">
        <v>126</v>
      </c>
      <c r="D3659" s="4">
        <v>11</v>
      </c>
      <c r="E3659" s="8" t="s">
        <v>114</v>
      </c>
      <c r="F3659" s="7" t="s">
        <v>125</v>
      </c>
    </row>
    <row r="3660" spans="1:6">
      <c r="A3660" s="4" t="str">
        <f t="shared" si="57"/>
        <v>tRNA-Ser-GCT-1-1|12</v>
      </c>
      <c r="B3660" s="4" t="s">
        <v>86</v>
      </c>
      <c r="C3660" s="4" t="s">
        <v>127</v>
      </c>
      <c r="D3660" s="4">
        <v>12</v>
      </c>
      <c r="E3660" s="8" t="s">
        <v>114</v>
      </c>
      <c r="F3660" s="7" t="s">
        <v>125</v>
      </c>
    </row>
    <row r="3661" spans="1:6">
      <c r="A3661" s="4" t="str">
        <f t="shared" si="57"/>
        <v>tRNA-Ser-GCT-1-1|13</v>
      </c>
      <c r="B3661" s="4" t="s">
        <v>86</v>
      </c>
      <c r="C3661" s="4" t="s">
        <v>128</v>
      </c>
      <c r="D3661" s="4">
        <v>13</v>
      </c>
      <c r="E3661" s="8" t="s">
        <v>122</v>
      </c>
      <c r="F3661" s="7" t="s">
        <v>125</v>
      </c>
    </row>
    <row r="3662" spans="1:6">
      <c r="A3662" s="4" t="str">
        <f t="shared" si="57"/>
        <v>tRNA-Ser-GCT-1-1|14</v>
      </c>
      <c r="B3662" s="4" t="s">
        <v>86</v>
      </c>
      <c r="C3662" s="4" t="s">
        <v>129</v>
      </c>
      <c r="D3662" s="4">
        <v>14</v>
      </c>
      <c r="E3662" s="18" t="s">
        <v>122</v>
      </c>
      <c r="F3662" s="19" t="s">
        <v>130</v>
      </c>
    </row>
    <row r="3663" spans="1:6">
      <c r="A3663" s="4" t="str">
        <f t="shared" si="57"/>
        <v>tRNA-Ser-GCT-1-1|15</v>
      </c>
      <c r="B3663" s="4" t="s">
        <v>86</v>
      </c>
      <c r="C3663" s="4" t="s">
        <v>131</v>
      </c>
      <c r="D3663" s="4">
        <v>15</v>
      </c>
      <c r="E3663" s="18" t="s">
        <v>109</v>
      </c>
      <c r="F3663" s="19" t="s">
        <v>130</v>
      </c>
    </row>
    <row r="3664" spans="1:6">
      <c r="A3664" s="4" t="str">
        <f t="shared" si="57"/>
        <v>tRNA-Ser-GCT-1-1|16</v>
      </c>
      <c r="B3664" s="4" t="s">
        <v>86</v>
      </c>
      <c r="C3664" s="4" t="s">
        <v>194</v>
      </c>
      <c r="D3664" s="4">
        <v>16</v>
      </c>
      <c r="E3664" s="18" t="s">
        <v>114</v>
      </c>
      <c r="F3664" s="19" t="s">
        <v>130</v>
      </c>
    </row>
    <row r="3665" spans="1:6">
      <c r="A3665" s="4" t="str">
        <f t="shared" si="57"/>
        <v>tRNA-Ser-GCT-1-1|17</v>
      </c>
      <c r="B3665" s="4" t="s">
        <v>86</v>
      </c>
      <c r="C3665" s="4" t="s">
        <v>195</v>
      </c>
      <c r="D3665" s="4">
        <v>17</v>
      </c>
      <c r="E3665" s="18" t="s">
        <v>114</v>
      </c>
      <c r="F3665" s="19" t="s">
        <v>130</v>
      </c>
    </row>
    <row r="3666" spans="1:6">
      <c r="A3666" s="4" t="str">
        <f t="shared" si="57"/>
        <v>tRNA-Ser-GCT-1-1|17a</v>
      </c>
      <c r="B3666" s="4" t="s">
        <v>86</v>
      </c>
      <c r="C3666" s="4" t="s">
        <v>196</v>
      </c>
      <c r="D3666" s="4">
        <v>18</v>
      </c>
      <c r="E3666" s="18" t="s">
        <v>114</v>
      </c>
      <c r="F3666" s="19" t="s">
        <v>130</v>
      </c>
    </row>
    <row r="3667" spans="1:6">
      <c r="A3667" s="4" t="str">
        <f t="shared" si="57"/>
        <v>tRNA-Ser-GCT-1-1|18</v>
      </c>
      <c r="B3667" s="4" t="s">
        <v>86</v>
      </c>
      <c r="C3667" s="4" t="s">
        <v>132</v>
      </c>
      <c r="D3667" s="4">
        <v>19</v>
      </c>
      <c r="E3667" s="18" t="s">
        <v>109</v>
      </c>
      <c r="F3667" s="19" t="s">
        <v>130</v>
      </c>
    </row>
    <row r="3668" spans="1:6">
      <c r="A3668" s="4" t="str">
        <f t="shared" si="57"/>
        <v>tRNA-Ser-GCT-1-1|19</v>
      </c>
      <c r="B3668" s="4" t="s">
        <v>86</v>
      </c>
      <c r="C3668" s="4" t="s">
        <v>133</v>
      </c>
      <c r="D3668" s="4">
        <v>20</v>
      </c>
      <c r="E3668" s="18" t="s">
        <v>109</v>
      </c>
      <c r="F3668" s="19" t="s">
        <v>130</v>
      </c>
    </row>
    <row r="3669" spans="1:6">
      <c r="A3669" s="4" t="str">
        <f t="shared" si="57"/>
        <v>tRNA-Ser-GCT-1-1|20</v>
      </c>
      <c r="B3669" s="4" t="s">
        <v>86</v>
      </c>
      <c r="C3669" s="4" t="s">
        <v>134</v>
      </c>
      <c r="D3669" s="4">
        <v>21</v>
      </c>
      <c r="E3669" s="18" t="s">
        <v>116</v>
      </c>
      <c r="F3669" s="19" t="s">
        <v>130</v>
      </c>
    </row>
    <row r="3670" spans="1:6">
      <c r="A3670" s="4" t="str">
        <f t="shared" si="57"/>
        <v>tRNA-Ser-GCT-1-1|21</v>
      </c>
      <c r="B3670" s="4" t="s">
        <v>86</v>
      </c>
      <c r="C3670" s="4" t="s">
        <v>136</v>
      </c>
      <c r="D3670" s="4">
        <v>22</v>
      </c>
      <c r="E3670" s="18" t="s">
        <v>122</v>
      </c>
      <c r="F3670" s="19" t="s">
        <v>130</v>
      </c>
    </row>
    <row r="3671" spans="1:6">
      <c r="A3671" s="4" t="str">
        <f t="shared" si="57"/>
        <v>tRNA-Ser-GCT-1-1|22</v>
      </c>
      <c r="B3671" s="4" t="s">
        <v>86</v>
      </c>
      <c r="C3671" s="4" t="s">
        <v>137</v>
      </c>
      <c r="D3671" s="4">
        <v>23</v>
      </c>
      <c r="E3671" s="8" t="s">
        <v>116</v>
      </c>
      <c r="F3671" s="7" t="s">
        <v>125</v>
      </c>
    </row>
    <row r="3672" spans="1:6">
      <c r="A3672" s="4" t="str">
        <f t="shared" si="57"/>
        <v>tRNA-Ser-GCT-1-1|23</v>
      </c>
      <c r="B3672" s="4" t="s">
        <v>86</v>
      </c>
      <c r="C3672" s="4" t="s">
        <v>138</v>
      </c>
      <c r="D3672" s="4">
        <v>24</v>
      </c>
      <c r="E3672" s="8" t="s">
        <v>109</v>
      </c>
      <c r="F3672" s="7" t="s">
        <v>125</v>
      </c>
    </row>
    <row r="3673" spans="1:6">
      <c r="A3673" s="4" t="str">
        <f t="shared" si="57"/>
        <v>tRNA-Ser-GCT-1-1|24</v>
      </c>
      <c r="B3673" s="4" t="s">
        <v>86</v>
      </c>
      <c r="C3673" s="4" t="s">
        <v>139</v>
      </c>
      <c r="D3673" s="4">
        <v>25</v>
      </c>
      <c r="E3673" s="8" t="s">
        <v>109</v>
      </c>
      <c r="F3673" s="7" t="s">
        <v>125</v>
      </c>
    </row>
    <row r="3674" spans="1:6">
      <c r="A3674" s="4" t="str">
        <f t="shared" si="57"/>
        <v>tRNA-Ser-GCT-1-1|25</v>
      </c>
      <c r="B3674" s="4" t="s">
        <v>86</v>
      </c>
      <c r="C3674" s="4" t="s">
        <v>140</v>
      </c>
      <c r="D3674" s="4">
        <v>26</v>
      </c>
      <c r="E3674" s="8" t="s">
        <v>114</v>
      </c>
      <c r="F3674" s="7" t="s">
        <v>125</v>
      </c>
    </row>
    <row r="3675" spans="1:6">
      <c r="A3675" s="4" t="str">
        <f t="shared" si="57"/>
        <v>tRNA-Ser-GCT-1-1|26</v>
      </c>
      <c r="B3675" s="4" t="s">
        <v>86</v>
      </c>
      <c r="C3675" s="4" t="s">
        <v>141</v>
      </c>
      <c r="D3675" s="4">
        <v>27</v>
      </c>
      <c r="E3675" s="3" t="s">
        <v>109</v>
      </c>
      <c r="F3675" s="4" t="s">
        <v>142</v>
      </c>
    </row>
    <row r="3676" spans="1:6">
      <c r="A3676" s="4" t="str">
        <f t="shared" si="57"/>
        <v>tRNA-Ser-GCT-1-1|27</v>
      </c>
      <c r="B3676" s="4" t="s">
        <v>86</v>
      </c>
      <c r="C3676" s="4" t="s">
        <v>143</v>
      </c>
      <c r="D3676" s="4">
        <v>28</v>
      </c>
      <c r="E3676" s="20" t="s">
        <v>114</v>
      </c>
      <c r="F3676" s="21" t="s">
        <v>144</v>
      </c>
    </row>
    <row r="3677" spans="1:6">
      <c r="A3677" s="4" t="str">
        <f t="shared" si="57"/>
        <v>tRNA-Ser-GCT-1-1|28</v>
      </c>
      <c r="B3677" s="4" t="s">
        <v>86</v>
      </c>
      <c r="C3677" s="4" t="s">
        <v>145</v>
      </c>
      <c r="D3677" s="4">
        <v>29</v>
      </c>
      <c r="E3677" s="20" t="s">
        <v>109</v>
      </c>
      <c r="F3677" s="21" t="s">
        <v>144</v>
      </c>
    </row>
    <row r="3678" spans="1:6">
      <c r="A3678" s="4" t="str">
        <f t="shared" si="57"/>
        <v>tRNA-Ser-GCT-1-1|29</v>
      </c>
      <c r="B3678" s="4" t="s">
        <v>86</v>
      </c>
      <c r="C3678" s="4" t="s">
        <v>146</v>
      </c>
      <c r="D3678" s="4">
        <v>30</v>
      </c>
      <c r="E3678" s="20" t="s">
        <v>109</v>
      </c>
      <c r="F3678" s="21" t="s">
        <v>144</v>
      </c>
    </row>
    <row r="3679" spans="1:6">
      <c r="A3679" s="4" t="str">
        <f t="shared" si="57"/>
        <v>tRNA-Ser-GCT-1-1|30</v>
      </c>
      <c r="B3679" s="4" t="s">
        <v>86</v>
      </c>
      <c r="C3679" s="4" t="s">
        <v>147</v>
      </c>
      <c r="D3679" s="4">
        <v>31</v>
      </c>
      <c r="E3679" s="20" t="s">
        <v>109</v>
      </c>
      <c r="F3679" s="21" t="s">
        <v>144</v>
      </c>
    </row>
    <row r="3680" spans="1:6">
      <c r="A3680" s="4" t="str">
        <f t="shared" si="57"/>
        <v>tRNA-Ser-GCT-1-1|31</v>
      </c>
      <c r="B3680" s="4" t="s">
        <v>86</v>
      </c>
      <c r="C3680" s="4" t="s">
        <v>148</v>
      </c>
      <c r="D3680" s="4">
        <v>32</v>
      </c>
      <c r="E3680" s="20" t="s">
        <v>122</v>
      </c>
      <c r="F3680" s="21" t="s">
        <v>144</v>
      </c>
    </row>
    <row r="3681" spans="1:6">
      <c r="A3681" s="4" t="str">
        <f t="shared" si="57"/>
        <v>tRNA-Ser-GCT-1-1|32</v>
      </c>
      <c r="B3681" s="4" t="s">
        <v>86</v>
      </c>
      <c r="C3681" s="4" t="s">
        <v>149</v>
      </c>
      <c r="D3681" s="4">
        <v>33</v>
      </c>
      <c r="E3681" s="18" t="s">
        <v>116</v>
      </c>
      <c r="F3681" s="19" t="s">
        <v>150</v>
      </c>
    </row>
    <row r="3682" spans="1:6">
      <c r="A3682" s="4" t="str">
        <f t="shared" si="57"/>
        <v>tRNA-Ser-GCT-1-1|33</v>
      </c>
      <c r="B3682" s="4" t="s">
        <v>86</v>
      </c>
      <c r="C3682" s="4" t="s">
        <v>151</v>
      </c>
      <c r="D3682" s="4">
        <v>34</v>
      </c>
      <c r="E3682" s="18" t="s">
        <v>116</v>
      </c>
      <c r="F3682" s="19" t="s">
        <v>150</v>
      </c>
    </row>
    <row r="3683" spans="1:6">
      <c r="A3683" s="4" t="str">
        <f t="shared" si="57"/>
        <v>tRNA-Ser-GCT-1-1|34</v>
      </c>
      <c r="B3683" s="4" t="s">
        <v>86</v>
      </c>
      <c r="C3683" s="4" t="s">
        <v>152</v>
      </c>
      <c r="D3683" s="4">
        <v>35</v>
      </c>
      <c r="E3683" s="18" t="s">
        <v>109</v>
      </c>
      <c r="F3683" s="19" t="s">
        <v>150</v>
      </c>
    </row>
    <row r="3684" spans="1:6">
      <c r="A3684" s="4" t="str">
        <f t="shared" si="57"/>
        <v>tRNA-Ser-GCT-1-1|35</v>
      </c>
      <c r="B3684" s="4" t="s">
        <v>86</v>
      </c>
      <c r="C3684" s="4" t="s">
        <v>153</v>
      </c>
      <c r="D3684" s="4">
        <v>36</v>
      </c>
      <c r="E3684" s="18" t="s">
        <v>114</v>
      </c>
      <c r="F3684" s="19" t="s">
        <v>150</v>
      </c>
    </row>
    <row r="3685" spans="1:6">
      <c r="A3685" s="4" t="str">
        <f t="shared" si="57"/>
        <v>tRNA-Ser-GCT-1-1|36</v>
      </c>
      <c r="B3685" s="4" t="s">
        <v>86</v>
      </c>
      <c r="C3685" s="4" t="s">
        <v>154</v>
      </c>
      <c r="D3685" s="4">
        <v>37</v>
      </c>
      <c r="E3685" s="18" t="s">
        <v>116</v>
      </c>
      <c r="F3685" s="19" t="s">
        <v>150</v>
      </c>
    </row>
    <row r="3686" spans="1:6">
      <c r="A3686" s="4" t="str">
        <f t="shared" si="57"/>
        <v>tRNA-Ser-GCT-1-1|37</v>
      </c>
      <c r="B3686" s="4" t="s">
        <v>86</v>
      </c>
      <c r="C3686" s="4" t="s">
        <v>155</v>
      </c>
      <c r="D3686" s="4">
        <v>38</v>
      </c>
      <c r="E3686" s="18" t="s">
        <v>122</v>
      </c>
      <c r="F3686" s="19" t="s">
        <v>150</v>
      </c>
    </row>
    <row r="3687" spans="1:6">
      <c r="A3687" s="4" t="str">
        <f t="shared" si="57"/>
        <v>tRNA-Ser-GCT-1-1|38</v>
      </c>
      <c r="B3687" s="4" t="s">
        <v>86</v>
      </c>
      <c r="C3687" s="4" t="s">
        <v>156</v>
      </c>
      <c r="D3687" s="4">
        <v>39</v>
      </c>
      <c r="E3687" s="18" t="s">
        <v>122</v>
      </c>
      <c r="F3687" s="19" t="s">
        <v>150</v>
      </c>
    </row>
    <row r="3688" spans="1:6">
      <c r="A3688" s="4" t="str">
        <f t="shared" si="57"/>
        <v>tRNA-Ser-GCT-1-1|39</v>
      </c>
      <c r="B3688" s="4" t="s">
        <v>86</v>
      </c>
      <c r="C3688" s="4" t="s">
        <v>157</v>
      </c>
      <c r="D3688" s="4">
        <v>40</v>
      </c>
      <c r="E3688" s="20" t="s">
        <v>116</v>
      </c>
      <c r="F3688" s="21" t="s">
        <v>144</v>
      </c>
    </row>
    <row r="3689" spans="1:6">
      <c r="A3689" s="4" t="str">
        <f t="shared" si="57"/>
        <v>tRNA-Ser-GCT-1-1|40</v>
      </c>
      <c r="B3689" s="4" t="s">
        <v>86</v>
      </c>
      <c r="C3689" s="4" t="s">
        <v>158</v>
      </c>
      <c r="D3689" s="4">
        <v>41</v>
      </c>
      <c r="E3689" s="20" t="s">
        <v>114</v>
      </c>
      <c r="F3689" s="21" t="s">
        <v>144</v>
      </c>
    </row>
    <row r="3690" spans="1:6">
      <c r="A3690" s="4" t="str">
        <f t="shared" si="57"/>
        <v>tRNA-Ser-GCT-1-1|41</v>
      </c>
      <c r="B3690" s="4" t="s">
        <v>86</v>
      </c>
      <c r="C3690" s="4" t="s">
        <v>159</v>
      </c>
      <c r="D3690" s="4">
        <v>42</v>
      </c>
      <c r="E3690" s="20" t="s">
        <v>114</v>
      </c>
      <c r="F3690" s="21" t="s">
        <v>144</v>
      </c>
    </row>
    <row r="3691" spans="1:6">
      <c r="A3691" s="4" t="str">
        <f t="shared" si="57"/>
        <v>tRNA-Ser-GCT-1-1|42</v>
      </c>
      <c r="B3691" s="4" t="s">
        <v>86</v>
      </c>
      <c r="C3691" s="4" t="s">
        <v>160</v>
      </c>
      <c r="D3691" s="4">
        <v>43</v>
      </c>
      <c r="E3691" s="20" t="s">
        <v>114</v>
      </c>
      <c r="F3691" s="21" t="s">
        <v>144</v>
      </c>
    </row>
    <row r="3692" spans="1:6">
      <c r="A3692" s="4" t="str">
        <f t="shared" si="57"/>
        <v>tRNA-Ser-GCT-1-1|43</v>
      </c>
      <c r="B3692" s="4" t="s">
        <v>86</v>
      </c>
      <c r="C3692" s="4" t="s">
        <v>161</v>
      </c>
      <c r="D3692" s="4">
        <v>44</v>
      </c>
      <c r="E3692" s="20" t="s">
        <v>109</v>
      </c>
      <c r="F3692" s="21" t="s">
        <v>144</v>
      </c>
    </row>
    <row r="3693" spans="1:6">
      <c r="A3693" s="4" t="str">
        <f t="shared" si="57"/>
        <v>tRNA-Ser-GCT-1-1|44</v>
      </c>
      <c r="B3693" s="4" t="s">
        <v>86</v>
      </c>
      <c r="C3693" s="4" t="s">
        <v>162</v>
      </c>
      <c r="D3693" s="4">
        <v>45</v>
      </c>
      <c r="E3693" s="18" t="s">
        <v>116</v>
      </c>
      <c r="F3693" s="19" t="s">
        <v>163</v>
      </c>
    </row>
    <row r="3694" spans="1:6">
      <c r="A3694" s="4" t="str">
        <f t="shared" si="57"/>
        <v>tRNA-Ser-GCT-1-1|45</v>
      </c>
      <c r="B3694" s="4" t="s">
        <v>86</v>
      </c>
      <c r="C3694" s="4" t="s">
        <v>164</v>
      </c>
      <c r="D3694" s="4">
        <v>46</v>
      </c>
      <c r="E3694" s="18" t="s">
        <v>109</v>
      </c>
      <c r="F3694" s="19" t="s">
        <v>163</v>
      </c>
    </row>
    <row r="3695" spans="1:6">
      <c r="A3695" s="4" t="str">
        <f t="shared" si="57"/>
        <v>tRNA-Ser-GCT-1-1|e1</v>
      </c>
      <c r="B3695" s="4" t="s">
        <v>86</v>
      </c>
      <c r="C3695" s="4" t="s">
        <v>198</v>
      </c>
      <c r="D3695" s="4">
        <v>47</v>
      </c>
      <c r="E3695" s="18" t="s">
        <v>122</v>
      </c>
      <c r="F3695" s="19" t="s">
        <v>163</v>
      </c>
    </row>
    <row r="3696" spans="1:6">
      <c r="A3696" s="4" t="str">
        <f t="shared" si="57"/>
        <v>tRNA-Ser-GCT-1-1|e2</v>
      </c>
      <c r="B3696" s="4" t="s">
        <v>86</v>
      </c>
      <c r="C3696" s="4" t="s">
        <v>199</v>
      </c>
      <c r="D3696" s="4">
        <v>48</v>
      </c>
      <c r="E3696" s="18" t="s">
        <v>116</v>
      </c>
      <c r="F3696" s="19" t="s">
        <v>163</v>
      </c>
    </row>
    <row r="3697" spans="1:6">
      <c r="A3697" s="4" t="str">
        <f t="shared" si="57"/>
        <v>tRNA-Ser-GCT-1-1|e3</v>
      </c>
      <c r="B3697" s="4" t="s">
        <v>86</v>
      </c>
      <c r="C3697" s="4" t="s">
        <v>200</v>
      </c>
      <c r="D3697" s="4">
        <v>49</v>
      </c>
      <c r="E3697" s="18" t="s">
        <v>109</v>
      </c>
      <c r="F3697" s="19" t="s">
        <v>163</v>
      </c>
    </row>
    <row r="3698" spans="1:6">
      <c r="A3698" s="4" t="str">
        <f t="shared" si="57"/>
        <v>tRNA-Ser-GCT-1-1|e4</v>
      </c>
      <c r="B3698" s="4" t="s">
        <v>86</v>
      </c>
      <c r="C3698" s="4" t="s">
        <v>201</v>
      </c>
      <c r="D3698" s="4">
        <v>50</v>
      </c>
      <c r="E3698" s="18" t="s">
        <v>114</v>
      </c>
      <c r="F3698" s="19" t="s">
        <v>163</v>
      </c>
    </row>
    <row r="3699" spans="1:6">
      <c r="A3699" s="4" t="str">
        <f t="shared" si="57"/>
        <v>tRNA-Ser-GCT-1-1|e5</v>
      </c>
      <c r="B3699" s="4" t="s">
        <v>86</v>
      </c>
      <c r="C3699" s="4" t="s">
        <v>202</v>
      </c>
      <c r="D3699" s="4">
        <v>51</v>
      </c>
      <c r="E3699" s="18" t="s">
        <v>116</v>
      </c>
      <c r="F3699" s="19" t="s">
        <v>163</v>
      </c>
    </row>
    <row r="3700" spans="1:6">
      <c r="A3700" s="4" t="str">
        <f t="shared" si="57"/>
        <v>tRNA-Ser-GCT-1-1|e6</v>
      </c>
      <c r="B3700" s="4" t="s">
        <v>86</v>
      </c>
      <c r="C3700" s="4" t="s">
        <v>203</v>
      </c>
      <c r="D3700" s="4">
        <v>52</v>
      </c>
      <c r="E3700" s="18" t="s">
        <v>114</v>
      </c>
      <c r="F3700" s="19" t="s">
        <v>163</v>
      </c>
    </row>
    <row r="3701" spans="1:6">
      <c r="A3701" s="4" t="str">
        <f t="shared" si="57"/>
        <v>tRNA-Ser-GCT-1-1|e7</v>
      </c>
      <c r="B3701" s="4" t="s">
        <v>86</v>
      </c>
      <c r="C3701" s="4" t="s">
        <v>204</v>
      </c>
      <c r="D3701" s="4">
        <v>53</v>
      </c>
      <c r="E3701" s="18" t="s">
        <v>116</v>
      </c>
      <c r="F3701" s="19" t="s">
        <v>163</v>
      </c>
    </row>
    <row r="3702" spans="1:6">
      <c r="A3702" s="4" t="str">
        <f t="shared" si="57"/>
        <v>tRNA-Ser-GCT-1-1|e8</v>
      </c>
      <c r="B3702" s="4" t="s">
        <v>86</v>
      </c>
      <c r="C3702" s="4" t="s">
        <v>205</v>
      </c>
      <c r="D3702" s="4">
        <v>54</v>
      </c>
      <c r="E3702" s="18" t="s">
        <v>109</v>
      </c>
      <c r="F3702" s="19" t="s">
        <v>163</v>
      </c>
    </row>
    <row r="3703" spans="1:6">
      <c r="A3703" s="4" t="str">
        <f t="shared" si="57"/>
        <v>tRNA-Ser-GCT-1-1|e9</v>
      </c>
      <c r="B3703" s="4" t="s">
        <v>86</v>
      </c>
      <c r="C3703" s="4" t="s">
        <v>206</v>
      </c>
      <c r="D3703" s="4">
        <v>55</v>
      </c>
      <c r="E3703" s="18" t="s">
        <v>114</v>
      </c>
      <c r="F3703" s="19" t="s">
        <v>163</v>
      </c>
    </row>
    <row r="3704" spans="1:6">
      <c r="A3704" s="4" t="str">
        <f t="shared" si="57"/>
        <v>tRNA-Ser-GCT-1-1|e10</v>
      </c>
      <c r="B3704" s="4" t="s">
        <v>86</v>
      </c>
      <c r="C3704" s="4" t="s">
        <v>207</v>
      </c>
      <c r="D3704" s="4">
        <v>56</v>
      </c>
      <c r="E3704" s="18" t="s">
        <v>109</v>
      </c>
      <c r="F3704" s="19" t="s">
        <v>163</v>
      </c>
    </row>
    <row r="3705" spans="1:6">
      <c r="A3705" s="4" t="str">
        <f t="shared" si="57"/>
        <v>tRNA-Ser-GCT-1-1|e11</v>
      </c>
      <c r="B3705" s="4" t="s">
        <v>86</v>
      </c>
      <c r="C3705" s="4" t="s">
        <v>208</v>
      </c>
      <c r="D3705" s="4">
        <v>57</v>
      </c>
      <c r="E3705" s="18" t="s">
        <v>116</v>
      </c>
      <c r="F3705" s="19" t="s">
        <v>163</v>
      </c>
    </row>
    <row r="3706" spans="1:6">
      <c r="A3706" s="4" t="str">
        <f t="shared" si="57"/>
        <v>tRNA-Ser-GCT-1-1|46</v>
      </c>
      <c r="B3706" s="4" t="s">
        <v>86</v>
      </c>
      <c r="C3706" s="4" t="s">
        <v>165</v>
      </c>
      <c r="D3706" s="4">
        <v>58</v>
      </c>
      <c r="E3706" s="18" t="s">
        <v>114</v>
      </c>
      <c r="F3706" s="19" t="s">
        <v>163</v>
      </c>
    </row>
    <row r="3707" spans="1:6">
      <c r="A3707" s="4" t="str">
        <f t="shared" si="57"/>
        <v>tRNA-Ser-GCT-1-1|47</v>
      </c>
      <c r="B3707" s="4" t="s">
        <v>86</v>
      </c>
      <c r="C3707" s="4" t="s">
        <v>166</v>
      </c>
      <c r="D3707" s="4">
        <v>59</v>
      </c>
      <c r="E3707" s="18" t="s">
        <v>114</v>
      </c>
      <c r="F3707" s="19" t="s">
        <v>163</v>
      </c>
    </row>
    <row r="3708" spans="1:6">
      <c r="A3708" s="4" t="str">
        <f t="shared" si="57"/>
        <v>tRNA-Ser-GCT-1-1|48</v>
      </c>
      <c r="B3708" s="4" t="s">
        <v>86</v>
      </c>
      <c r="C3708" s="4" t="s">
        <v>167</v>
      </c>
      <c r="D3708" s="4">
        <v>60</v>
      </c>
      <c r="E3708" s="18" t="s">
        <v>114</v>
      </c>
      <c r="F3708" s="19" t="s">
        <v>163</v>
      </c>
    </row>
    <row r="3709" spans="1:6">
      <c r="A3709" s="4" t="str">
        <f t="shared" si="57"/>
        <v>tRNA-Ser-GCT-1-1|49</v>
      </c>
      <c r="B3709" s="4" t="s">
        <v>86</v>
      </c>
      <c r="C3709" s="4" t="s">
        <v>168</v>
      </c>
      <c r="D3709" s="4">
        <v>61</v>
      </c>
      <c r="E3709" s="22" t="s">
        <v>109</v>
      </c>
      <c r="F3709" s="10" t="s">
        <v>169</v>
      </c>
    </row>
    <row r="3710" spans="1:6">
      <c r="A3710" s="4" t="str">
        <f t="shared" si="57"/>
        <v>tRNA-Ser-GCT-1-1|50</v>
      </c>
      <c r="B3710" s="4" t="s">
        <v>86</v>
      </c>
      <c r="C3710" s="4" t="s">
        <v>170</v>
      </c>
      <c r="D3710" s="4">
        <v>62</v>
      </c>
      <c r="E3710" s="22" t="s">
        <v>109</v>
      </c>
      <c r="F3710" s="10" t="s">
        <v>169</v>
      </c>
    </row>
    <row r="3711" spans="1:6">
      <c r="A3711" s="4" t="str">
        <f t="shared" si="57"/>
        <v>tRNA-Ser-GCT-1-1|51</v>
      </c>
      <c r="B3711" s="4" t="s">
        <v>86</v>
      </c>
      <c r="C3711" s="4" t="s">
        <v>171</v>
      </c>
      <c r="D3711" s="4">
        <v>63</v>
      </c>
      <c r="E3711" s="22" t="s">
        <v>109</v>
      </c>
      <c r="F3711" s="10" t="s">
        <v>169</v>
      </c>
    </row>
    <row r="3712" spans="1:6">
      <c r="A3712" s="4" t="str">
        <f t="shared" si="57"/>
        <v>tRNA-Ser-GCT-1-1|52</v>
      </c>
      <c r="B3712" s="4" t="s">
        <v>86</v>
      </c>
      <c r="C3712" s="4" t="s">
        <v>172</v>
      </c>
      <c r="D3712" s="4">
        <v>64</v>
      </c>
      <c r="E3712" s="22" t="s">
        <v>109</v>
      </c>
      <c r="F3712" s="10" t="s">
        <v>169</v>
      </c>
    </row>
    <row r="3713" spans="1:6">
      <c r="A3713" s="4" t="str">
        <f t="shared" si="57"/>
        <v>tRNA-Ser-GCT-1-1|53</v>
      </c>
      <c r="B3713" s="4" t="s">
        <v>86</v>
      </c>
      <c r="C3713" s="4" t="s">
        <v>173</v>
      </c>
      <c r="D3713" s="4">
        <v>65</v>
      </c>
      <c r="E3713" s="22" t="s">
        <v>109</v>
      </c>
      <c r="F3713" s="10" t="s">
        <v>169</v>
      </c>
    </row>
    <row r="3714" spans="1:6">
      <c r="A3714" s="4" t="str">
        <f t="shared" ref="A3714:A3777" si="58">B3714&amp;"|"&amp;C3714</f>
        <v>tRNA-Ser-GCT-1-1|54</v>
      </c>
      <c r="B3714" s="4" t="s">
        <v>86</v>
      </c>
      <c r="C3714" s="4" t="s">
        <v>174</v>
      </c>
      <c r="D3714" s="4">
        <v>66</v>
      </c>
      <c r="E3714" s="18" t="s">
        <v>116</v>
      </c>
      <c r="F3714" s="19" t="s">
        <v>175</v>
      </c>
    </row>
    <row r="3715" spans="1:6">
      <c r="A3715" s="4" t="str">
        <f t="shared" si="58"/>
        <v>tRNA-Ser-GCT-1-1|55</v>
      </c>
      <c r="B3715" s="4" t="s">
        <v>86</v>
      </c>
      <c r="C3715" s="4" t="s">
        <v>176</v>
      </c>
      <c r="D3715" s="4">
        <v>67</v>
      </c>
      <c r="E3715" s="18" t="s">
        <v>116</v>
      </c>
      <c r="F3715" s="19" t="s">
        <v>175</v>
      </c>
    </row>
    <row r="3716" spans="1:6">
      <c r="A3716" s="4" t="str">
        <f t="shared" si="58"/>
        <v>tRNA-Ser-GCT-1-1|56</v>
      </c>
      <c r="B3716" s="4" t="s">
        <v>86</v>
      </c>
      <c r="C3716" s="4" t="s">
        <v>177</v>
      </c>
      <c r="D3716" s="4">
        <v>68</v>
      </c>
      <c r="E3716" s="18" t="s">
        <v>114</v>
      </c>
      <c r="F3716" s="19" t="s">
        <v>175</v>
      </c>
    </row>
    <row r="3717" spans="1:6">
      <c r="A3717" s="4" t="str">
        <f t="shared" si="58"/>
        <v>tRNA-Ser-GCT-1-1|57</v>
      </c>
      <c r="B3717" s="4" t="s">
        <v>86</v>
      </c>
      <c r="C3717" s="4" t="s">
        <v>178</v>
      </c>
      <c r="D3717" s="4">
        <v>69</v>
      </c>
      <c r="E3717" s="18" t="s">
        <v>109</v>
      </c>
      <c r="F3717" s="19" t="s">
        <v>175</v>
      </c>
    </row>
    <row r="3718" spans="1:6">
      <c r="A3718" s="4" t="str">
        <f t="shared" si="58"/>
        <v>tRNA-Ser-GCT-1-1|58</v>
      </c>
      <c r="B3718" s="4" t="s">
        <v>86</v>
      </c>
      <c r="C3718" s="4" t="s">
        <v>179</v>
      </c>
      <c r="D3718" s="4">
        <v>70</v>
      </c>
      <c r="E3718" s="18" t="s">
        <v>122</v>
      </c>
      <c r="F3718" s="19" t="s">
        <v>175</v>
      </c>
    </row>
    <row r="3719" spans="1:6">
      <c r="A3719" s="4" t="str">
        <f t="shared" si="58"/>
        <v>tRNA-Ser-GCT-1-1|59</v>
      </c>
      <c r="B3719" s="4" t="s">
        <v>86</v>
      </c>
      <c r="C3719" s="4" t="s">
        <v>180</v>
      </c>
      <c r="D3719" s="4">
        <v>71</v>
      </c>
      <c r="E3719" s="18" t="s">
        <v>109</v>
      </c>
      <c r="F3719" s="19" t="s">
        <v>175</v>
      </c>
    </row>
    <row r="3720" spans="1:6">
      <c r="A3720" s="4" t="str">
        <f t="shared" si="58"/>
        <v>tRNA-Ser-GCT-1-1|60</v>
      </c>
      <c r="B3720" s="4" t="s">
        <v>86</v>
      </c>
      <c r="C3720" s="4" t="s">
        <v>181</v>
      </c>
      <c r="D3720" s="4">
        <v>72</v>
      </c>
      <c r="E3720" s="18" t="s">
        <v>116</v>
      </c>
      <c r="F3720" s="19" t="s">
        <v>175</v>
      </c>
    </row>
    <row r="3721" spans="1:6">
      <c r="A3721" s="4" t="str">
        <f t="shared" si="58"/>
        <v>tRNA-Ser-GCT-1-1|61</v>
      </c>
      <c r="B3721" s="4" t="s">
        <v>86</v>
      </c>
      <c r="C3721" s="4" t="s">
        <v>182</v>
      </c>
      <c r="D3721" s="4">
        <v>73</v>
      </c>
      <c r="E3721" s="22" t="s">
        <v>114</v>
      </c>
      <c r="F3721" s="10" t="s">
        <v>169</v>
      </c>
    </row>
    <row r="3722" spans="1:6">
      <c r="A3722" s="4" t="str">
        <f t="shared" si="58"/>
        <v>tRNA-Ser-GCT-1-1|62</v>
      </c>
      <c r="B3722" s="4" t="s">
        <v>86</v>
      </c>
      <c r="C3722" s="4" t="s">
        <v>183</v>
      </c>
      <c r="D3722" s="4">
        <v>74</v>
      </c>
      <c r="E3722" s="22" t="s">
        <v>114</v>
      </c>
      <c r="F3722" s="10" t="s">
        <v>169</v>
      </c>
    </row>
    <row r="3723" spans="1:6">
      <c r="A3723" s="4" t="str">
        <f t="shared" si="58"/>
        <v>tRNA-Ser-GCT-1-1|63</v>
      </c>
      <c r="B3723" s="4" t="s">
        <v>86</v>
      </c>
      <c r="C3723" s="4" t="s">
        <v>184</v>
      </c>
      <c r="D3723" s="4">
        <v>75</v>
      </c>
      <c r="E3723" s="22" t="s">
        <v>114</v>
      </c>
      <c r="F3723" s="10" t="s">
        <v>169</v>
      </c>
    </row>
    <row r="3724" spans="1:6">
      <c r="A3724" s="4" t="str">
        <f t="shared" si="58"/>
        <v>tRNA-Ser-GCT-1-1|64</v>
      </c>
      <c r="B3724" s="4" t="s">
        <v>86</v>
      </c>
      <c r="C3724" s="4" t="s">
        <v>185</v>
      </c>
      <c r="D3724" s="4">
        <v>76</v>
      </c>
      <c r="E3724" s="22" t="s">
        <v>114</v>
      </c>
      <c r="F3724" s="10" t="s">
        <v>169</v>
      </c>
    </row>
    <row r="3725" spans="1:6">
      <c r="A3725" s="4" t="str">
        <f t="shared" si="58"/>
        <v>tRNA-Ser-GCT-1-1|65</v>
      </c>
      <c r="B3725" s="4" t="s">
        <v>86</v>
      </c>
      <c r="C3725" s="4" t="s">
        <v>186</v>
      </c>
      <c r="D3725" s="4">
        <v>77</v>
      </c>
      <c r="E3725" s="22" t="s">
        <v>114</v>
      </c>
      <c r="F3725" s="10" t="s">
        <v>169</v>
      </c>
    </row>
    <row r="3726" spans="1:6">
      <c r="A3726" s="4" t="str">
        <f t="shared" si="58"/>
        <v>tRNA-Ser-GCT-1-1|66</v>
      </c>
      <c r="B3726" s="4" t="s">
        <v>86</v>
      </c>
      <c r="C3726" s="4" t="s">
        <v>187</v>
      </c>
      <c r="D3726" s="4">
        <v>78</v>
      </c>
      <c r="E3726" s="16" t="s">
        <v>116</v>
      </c>
      <c r="F3726" s="17" t="s">
        <v>110</v>
      </c>
    </row>
    <row r="3727" spans="1:6">
      <c r="A3727" s="4" t="str">
        <f t="shared" si="58"/>
        <v>tRNA-Ser-GCT-1-1|67</v>
      </c>
      <c r="B3727" s="4" t="s">
        <v>86</v>
      </c>
      <c r="C3727" s="4" t="s">
        <v>188</v>
      </c>
      <c r="D3727" s="4">
        <v>79</v>
      </c>
      <c r="E3727" s="16" t="s">
        <v>114</v>
      </c>
      <c r="F3727" s="17" t="s">
        <v>110</v>
      </c>
    </row>
    <row r="3728" spans="1:6">
      <c r="A3728" s="4" t="str">
        <f t="shared" si="58"/>
        <v>tRNA-Ser-GCT-1-1|68</v>
      </c>
      <c r="B3728" s="4" t="s">
        <v>86</v>
      </c>
      <c r="C3728" s="4" t="s">
        <v>189</v>
      </c>
      <c r="D3728" s="4">
        <v>80</v>
      </c>
      <c r="E3728" s="16" t="s">
        <v>116</v>
      </c>
      <c r="F3728" s="17" t="s">
        <v>110</v>
      </c>
    </row>
    <row r="3729" spans="1:6">
      <c r="A3729" s="4" t="str">
        <f t="shared" si="58"/>
        <v>tRNA-Ser-GCT-1-1|69</v>
      </c>
      <c r="B3729" s="4" t="s">
        <v>86</v>
      </c>
      <c r="C3729" s="4" t="s">
        <v>190</v>
      </c>
      <c r="D3729" s="4">
        <v>81</v>
      </c>
      <c r="E3729" s="16" t="s">
        <v>114</v>
      </c>
      <c r="F3729" s="17" t="s">
        <v>110</v>
      </c>
    </row>
    <row r="3730" spans="1:6">
      <c r="A3730" s="4" t="str">
        <f t="shared" si="58"/>
        <v>tRNA-Ser-GCT-1-1|70</v>
      </c>
      <c r="B3730" s="4" t="s">
        <v>86</v>
      </c>
      <c r="C3730" s="4" t="s">
        <v>191</v>
      </c>
      <c r="D3730" s="4">
        <v>82</v>
      </c>
      <c r="E3730" s="16" t="s">
        <v>109</v>
      </c>
      <c r="F3730" s="17" t="s">
        <v>110</v>
      </c>
    </row>
    <row r="3731" spans="1:6">
      <c r="A3731" s="4" t="str">
        <f t="shared" si="58"/>
        <v>tRNA-Ser-GCT-1-1|71</v>
      </c>
      <c r="B3731" s="4" t="s">
        <v>86</v>
      </c>
      <c r="C3731" s="4" t="s">
        <v>192</v>
      </c>
      <c r="D3731" s="4">
        <v>83</v>
      </c>
      <c r="E3731" s="16" t="s">
        <v>116</v>
      </c>
      <c r="F3731" s="17" t="s">
        <v>110</v>
      </c>
    </row>
    <row r="3732" spans="1:6">
      <c r="A3732" s="4" t="str">
        <f t="shared" si="58"/>
        <v>tRNA-Ser-GCT-1-1|72</v>
      </c>
      <c r="B3732" s="4" t="s">
        <v>86</v>
      </c>
      <c r="C3732" s="4" t="s">
        <v>193</v>
      </c>
      <c r="D3732" s="4">
        <v>84</v>
      </c>
      <c r="E3732" s="16" t="s">
        <v>114</v>
      </c>
      <c r="F3732" s="17" t="s">
        <v>110</v>
      </c>
    </row>
    <row r="3733" spans="1:6">
      <c r="A3733" s="4" t="str">
        <f t="shared" si="58"/>
        <v>tRNA-Ser-GGA-1-1|1</v>
      </c>
      <c r="B3733" s="4" t="s">
        <v>87</v>
      </c>
      <c r="C3733" s="4" t="s">
        <v>108</v>
      </c>
      <c r="D3733" s="4">
        <v>1</v>
      </c>
      <c r="E3733" s="16" t="s">
        <v>109</v>
      </c>
      <c r="F3733" s="17" t="s">
        <v>110</v>
      </c>
    </row>
    <row r="3734" spans="1:6">
      <c r="A3734" s="4" t="str">
        <f t="shared" si="58"/>
        <v>tRNA-Ser-GGA-1-1|2</v>
      </c>
      <c r="B3734" s="4" t="s">
        <v>87</v>
      </c>
      <c r="C3734" s="4" t="s">
        <v>111</v>
      </c>
      <c r="D3734" s="4">
        <v>2</v>
      </c>
      <c r="E3734" s="16" t="s">
        <v>114</v>
      </c>
      <c r="F3734" s="17" t="s">
        <v>110</v>
      </c>
    </row>
    <row r="3735" spans="1:6">
      <c r="A3735" s="4" t="str">
        <f t="shared" si="58"/>
        <v>tRNA-Ser-GGA-1-1|3</v>
      </c>
      <c r="B3735" s="4" t="s">
        <v>87</v>
      </c>
      <c r="C3735" s="4" t="s">
        <v>112</v>
      </c>
      <c r="D3735" s="4">
        <v>3</v>
      </c>
      <c r="E3735" s="16" t="s">
        <v>114</v>
      </c>
      <c r="F3735" s="17" t="s">
        <v>110</v>
      </c>
    </row>
    <row r="3736" spans="1:6">
      <c r="A3736" s="4" t="str">
        <f t="shared" si="58"/>
        <v>tRNA-Ser-GGA-1-1|4</v>
      </c>
      <c r="B3736" s="4" t="s">
        <v>87</v>
      </c>
      <c r="C3736" s="4" t="s">
        <v>113</v>
      </c>
      <c r="D3736" s="4">
        <v>4</v>
      </c>
      <c r="E3736" s="16" t="s">
        <v>109</v>
      </c>
      <c r="F3736" s="17" t="s">
        <v>110</v>
      </c>
    </row>
    <row r="3737" spans="1:6">
      <c r="A3737" s="4" t="str">
        <f t="shared" si="58"/>
        <v>tRNA-Ser-GGA-1-1|5</v>
      </c>
      <c r="B3737" s="4" t="s">
        <v>87</v>
      </c>
      <c r="C3737" s="4" t="s">
        <v>115</v>
      </c>
      <c r="D3737" s="4">
        <v>5</v>
      </c>
      <c r="E3737" s="16" t="s">
        <v>122</v>
      </c>
      <c r="F3737" s="17" t="s">
        <v>110</v>
      </c>
    </row>
    <row r="3738" spans="1:6">
      <c r="A3738" s="4" t="str">
        <f t="shared" si="58"/>
        <v>tRNA-Ser-GGA-1-1|6</v>
      </c>
      <c r="B3738" s="4" t="s">
        <v>87</v>
      </c>
      <c r="C3738" s="4" t="s">
        <v>117</v>
      </c>
      <c r="D3738" s="4">
        <v>6</v>
      </c>
      <c r="E3738" s="16" t="s">
        <v>109</v>
      </c>
      <c r="F3738" s="17" t="s">
        <v>110</v>
      </c>
    </row>
    <row r="3739" spans="1:6">
      <c r="A3739" s="4" t="str">
        <f t="shared" si="58"/>
        <v>tRNA-Ser-GGA-1-1|7</v>
      </c>
      <c r="B3739" s="4" t="s">
        <v>87</v>
      </c>
      <c r="C3739" s="4" t="s">
        <v>118</v>
      </c>
      <c r="D3739" s="4">
        <v>7</v>
      </c>
      <c r="E3739" s="16" t="s">
        <v>109</v>
      </c>
      <c r="F3739" s="17" t="s">
        <v>110</v>
      </c>
    </row>
    <row r="3740" spans="1:6">
      <c r="A3740" s="4" t="str">
        <f t="shared" si="58"/>
        <v>tRNA-Ser-GGA-1-1|8</v>
      </c>
      <c r="B3740" s="4" t="s">
        <v>87</v>
      </c>
      <c r="C3740" s="4" t="s">
        <v>119</v>
      </c>
      <c r="D3740" s="4">
        <v>8</v>
      </c>
      <c r="E3740" s="3" t="s">
        <v>116</v>
      </c>
      <c r="F3740" s="4" t="s">
        <v>120</v>
      </c>
    </row>
    <row r="3741" spans="1:6">
      <c r="A3741" s="4" t="str">
        <f t="shared" si="58"/>
        <v>tRNA-Ser-GGA-1-1|9</v>
      </c>
      <c r="B3741" s="4" t="s">
        <v>87</v>
      </c>
      <c r="C3741" s="4" t="s">
        <v>121</v>
      </c>
      <c r="D3741" s="4">
        <v>9</v>
      </c>
      <c r="E3741" s="3" t="s">
        <v>122</v>
      </c>
      <c r="F3741" s="4" t="s">
        <v>123</v>
      </c>
    </row>
    <row r="3742" spans="1:6">
      <c r="A3742" s="4" t="str">
        <f t="shared" si="58"/>
        <v>tRNA-Ser-GGA-1-1|10</v>
      </c>
      <c r="B3742" s="4" t="s">
        <v>87</v>
      </c>
      <c r="C3742" s="4" t="s">
        <v>124</v>
      </c>
      <c r="D3742" s="4">
        <v>10</v>
      </c>
      <c r="E3742" s="8" t="s">
        <v>109</v>
      </c>
      <c r="F3742" s="7" t="s">
        <v>125</v>
      </c>
    </row>
    <row r="3743" spans="1:6">
      <c r="A3743" s="4" t="str">
        <f t="shared" si="58"/>
        <v>tRNA-Ser-GGA-1-1|11</v>
      </c>
      <c r="B3743" s="4" t="s">
        <v>87</v>
      </c>
      <c r="C3743" s="4" t="s">
        <v>126</v>
      </c>
      <c r="D3743" s="4">
        <v>11</v>
      </c>
      <c r="E3743" s="8" t="s">
        <v>116</v>
      </c>
      <c r="F3743" s="7" t="s">
        <v>125</v>
      </c>
    </row>
    <row r="3744" spans="1:6">
      <c r="A3744" s="4" t="str">
        <f t="shared" si="58"/>
        <v>tRNA-Ser-GGA-1-1|12</v>
      </c>
      <c r="B3744" s="4" t="s">
        <v>87</v>
      </c>
      <c r="C3744" s="4" t="s">
        <v>127</v>
      </c>
      <c r="D3744" s="4">
        <v>12</v>
      </c>
      <c r="E3744" s="8" t="s">
        <v>114</v>
      </c>
      <c r="F3744" s="7" t="s">
        <v>125</v>
      </c>
    </row>
    <row r="3745" spans="1:6">
      <c r="A3745" s="4" t="str">
        <f t="shared" si="58"/>
        <v>tRNA-Ser-GGA-1-1|13</v>
      </c>
      <c r="B3745" s="4" t="s">
        <v>87</v>
      </c>
      <c r="C3745" s="4" t="s">
        <v>128</v>
      </c>
      <c r="D3745" s="4">
        <v>13</v>
      </c>
      <c r="E3745" s="8" t="s">
        <v>116</v>
      </c>
      <c r="F3745" s="7" t="s">
        <v>125</v>
      </c>
    </row>
    <row r="3746" spans="1:6">
      <c r="A3746" s="4" t="str">
        <f t="shared" si="58"/>
        <v>tRNA-Ser-GGA-1-1|14</v>
      </c>
      <c r="B3746" s="4" t="s">
        <v>87</v>
      </c>
      <c r="C3746" s="4" t="s">
        <v>129</v>
      </c>
      <c r="D3746" s="4">
        <v>14</v>
      </c>
      <c r="E3746" s="18" t="s">
        <v>122</v>
      </c>
      <c r="F3746" s="19" t="s">
        <v>130</v>
      </c>
    </row>
    <row r="3747" spans="1:6">
      <c r="A3747" s="4" t="str">
        <f t="shared" si="58"/>
        <v>tRNA-Ser-GGA-1-1|15</v>
      </c>
      <c r="B3747" s="4" t="s">
        <v>87</v>
      </c>
      <c r="C3747" s="4" t="s">
        <v>131</v>
      </c>
      <c r="D3747" s="4">
        <v>15</v>
      </c>
      <c r="E3747" s="18" t="s">
        <v>109</v>
      </c>
      <c r="F3747" s="19" t="s">
        <v>130</v>
      </c>
    </row>
    <row r="3748" spans="1:6">
      <c r="A3748" s="4" t="str">
        <f t="shared" si="58"/>
        <v>tRNA-Ser-GGA-1-1|16</v>
      </c>
      <c r="B3748" s="4" t="s">
        <v>87</v>
      </c>
      <c r="C3748" s="4" t="s">
        <v>194</v>
      </c>
      <c r="D3748" s="4">
        <v>16</v>
      </c>
      <c r="E3748" s="18" t="s">
        <v>116</v>
      </c>
      <c r="F3748" s="19" t="s">
        <v>130</v>
      </c>
    </row>
    <row r="3749" spans="1:6">
      <c r="A3749" s="4" t="str">
        <f t="shared" si="58"/>
        <v>tRNA-Ser-GGA-1-1|18</v>
      </c>
      <c r="B3749" s="4" t="s">
        <v>87</v>
      </c>
      <c r="C3749" s="4" t="s">
        <v>132</v>
      </c>
      <c r="D3749" s="4">
        <v>17</v>
      </c>
      <c r="E3749" s="18" t="s">
        <v>109</v>
      </c>
      <c r="F3749" s="19" t="s">
        <v>130</v>
      </c>
    </row>
    <row r="3750" spans="1:6">
      <c r="A3750" s="4" t="str">
        <f t="shared" si="58"/>
        <v>tRNA-Ser-GGA-1-1|19</v>
      </c>
      <c r="B3750" s="4" t="s">
        <v>87</v>
      </c>
      <c r="C3750" s="4" t="s">
        <v>133</v>
      </c>
      <c r="D3750" s="4">
        <v>18</v>
      </c>
      <c r="E3750" s="18" t="s">
        <v>109</v>
      </c>
      <c r="F3750" s="19" t="s">
        <v>130</v>
      </c>
    </row>
    <row r="3751" spans="1:6">
      <c r="A3751" s="4" t="str">
        <f t="shared" si="58"/>
        <v>tRNA-Ser-GGA-1-1|20</v>
      </c>
      <c r="B3751" s="4" t="s">
        <v>87</v>
      </c>
      <c r="C3751" s="4" t="s">
        <v>134</v>
      </c>
      <c r="D3751" s="4">
        <v>19</v>
      </c>
      <c r="E3751" s="18" t="s">
        <v>116</v>
      </c>
      <c r="F3751" s="19" t="s">
        <v>130</v>
      </c>
    </row>
    <row r="3752" spans="1:6">
      <c r="A3752" s="4" t="str">
        <f t="shared" si="58"/>
        <v>tRNA-Ser-GGA-1-1|21</v>
      </c>
      <c r="B3752" s="4" t="s">
        <v>87</v>
      </c>
      <c r="C3752" s="4" t="s">
        <v>136</v>
      </c>
      <c r="D3752" s="4">
        <v>20</v>
      </c>
      <c r="E3752" s="18" t="s">
        <v>122</v>
      </c>
      <c r="F3752" s="19" t="s">
        <v>130</v>
      </c>
    </row>
    <row r="3753" spans="1:6">
      <c r="A3753" s="4" t="str">
        <f t="shared" si="58"/>
        <v>tRNA-Ser-GGA-1-1|22</v>
      </c>
      <c r="B3753" s="4" t="s">
        <v>87</v>
      </c>
      <c r="C3753" s="4" t="s">
        <v>137</v>
      </c>
      <c r="D3753" s="4">
        <v>21</v>
      </c>
      <c r="E3753" s="8" t="s">
        <v>109</v>
      </c>
      <c r="F3753" s="7" t="s">
        <v>125</v>
      </c>
    </row>
    <row r="3754" spans="1:6">
      <c r="A3754" s="4" t="str">
        <f t="shared" si="58"/>
        <v>tRNA-Ser-GGA-1-1|23</v>
      </c>
      <c r="B3754" s="4" t="s">
        <v>87</v>
      </c>
      <c r="C3754" s="4" t="s">
        <v>138</v>
      </c>
      <c r="D3754" s="4">
        <v>22</v>
      </c>
      <c r="E3754" s="8" t="s">
        <v>109</v>
      </c>
      <c r="F3754" s="7" t="s">
        <v>125</v>
      </c>
    </row>
    <row r="3755" spans="1:6">
      <c r="A3755" s="4" t="str">
        <f t="shared" si="58"/>
        <v>tRNA-Ser-GGA-1-1|24</v>
      </c>
      <c r="B3755" s="4" t="s">
        <v>87</v>
      </c>
      <c r="C3755" s="4" t="s">
        <v>139</v>
      </c>
      <c r="D3755" s="4">
        <v>23</v>
      </c>
      <c r="E3755" s="8" t="s">
        <v>109</v>
      </c>
      <c r="F3755" s="7" t="s">
        <v>125</v>
      </c>
    </row>
    <row r="3756" spans="1:6">
      <c r="A3756" s="4" t="str">
        <f t="shared" si="58"/>
        <v>tRNA-Ser-GGA-1-1|25</v>
      </c>
      <c r="B3756" s="4" t="s">
        <v>87</v>
      </c>
      <c r="C3756" s="4" t="s">
        <v>140</v>
      </c>
      <c r="D3756" s="4">
        <v>24</v>
      </c>
      <c r="E3756" s="8" t="s">
        <v>114</v>
      </c>
      <c r="F3756" s="7" t="s">
        <v>125</v>
      </c>
    </row>
    <row r="3757" spans="1:6">
      <c r="A3757" s="4" t="str">
        <f t="shared" si="58"/>
        <v>tRNA-Ser-GGA-1-1|26</v>
      </c>
      <c r="B3757" s="4" t="s">
        <v>87</v>
      </c>
      <c r="C3757" s="4" t="s">
        <v>141</v>
      </c>
      <c r="D3757" s="4">
        <v>25</v>
      </c>
      <c r="E3757" s="3" t="s">
        <v>109</v>
      </c>
      <c r="F3757" s="4" t="s">
        <v>142</v>
      </c>
    </row>
    <row r="3758" spans="1:6">
      <c r="A3758" s="4" t="str">
        <f t="shared" si="58"/>
        <v>tRNA-Ser-GGA-1-1|27</v>
      </c>
      <c r="B3758" s="4" t="s">
        <v>87</v>
      </c>
      <c r="C3758" s="4" t="s">
        <v>143</v>
      </c>
      <c r="D3758" s="4">
        <v>26</v>
      </c>
      <c r="E3758" s="20" t="s">
        <v>114</v>
      </c>
      <c r="F3758" s="21" t="s">
        <v>144</v>
      </c>
    </row>
    <row r="3759" spans="1:6">
      <c r="A3759" s="4" t="str">
        <f t="shared" si="58"/>
        <v>tRNA-Ser-GGA-1-1|28</v>
      </c>
      <c r="B3759" s="4" t="s">
        <v>87</v>
      </c>
      <c r="C3759" s="4" t="s">
        <v>145</v>
      </c>
      <c r="D3759" s="4">
        <v>27</v>
      </c>
      <c r="E3759" s="20" t="s">
        <v>122</v>
      </c>
      <c r="F3759" s="21" t="s">
        <v>144</v>
      </c>
    </row>
    <row r="3760" spans="1:6">
      <c r="A3760" s="4" t="str">
        <f t="shared" si="58"/>
        <v>tRNA-Ser-GGA-1-1|29</v>
      </c>
      <c r="B3760" s="4" t="s">
        <v>87</v>
      </c>
      <c r="C3760" s="4" t="s">
        <v>146</v>
      </c>
      <c r="D3760" s="4">
        <v>28</v>
      </c>
      <c r="E3760" s="20" t="s">
        <v>122</v>
      </c>
      <c r="F3760" s="21" t="s">
        <v>144</v>
      </c>
    </row>
    <row r="3761" spans="1:6">
      <c r="A3761" s="4" t="str">
        <f t="shared" si="58"/>
        <v>tRNA-Ser-GGA-1-1|30</v>
      </c>
      <c r="B3761" s="4" t="s">
        <v>87</v>
      </c>
      <c r="C3761" s="4" t="s">
        <v>147</v>
      </c>
      <c r="D3761" s="4">
        <v>29</v>
      </c>
      <c r="E3761" s="20" t="s">
        <v>109</v>
      </c>
      <c r="F3761" s="21" t="s">
        <v>144</v>
      </c>
    </row>
    <row r="3762" spans="1:6">
      <c r="A3762" s="4" t="str">
        <f t="shared" si="58"/>
        <v>tRNA-Ser-GGA-1-1|31</v>
      </c>
      <c r="B3762" s="4" t="s">
        <v>87</v>
      </c>
      <c r="C3762" s="4" t="s">
        <v>148</v>
      </c>
      <c r="D3762" s="4">
        <v>30</v>
      </c>
      <c r="E3762" s="20" t="s">
        <v>114</v>
      </c>
      <c r="F3762" s="21" t="s">
        <v>144</v>
      </c>
    </row>
    <row r="3763" spans="1:6">
      <c r="A3763" s="4" t="str">
        <f t="shared" si="58"/>
        <v>tRNA-Ser-GGA-1-1|32</v>
      </c>
      <c r="B3763" s="4" t="s">
        <v>87</v>
      </c>
      <c r="C3763" s="4" t="s">
        <v>149</v>
      </c>
      <c r="D3763" s="4">
        <v>31</v>
      </c>
      <c r="E3763" s="18" t="s">
        <v>114</v>
      </c>
      <c r="F3763" s="19" t="s">
        <v>150</v>
      </c>
    </row>
    <row r="3764" spans="1:6">
      <c r="A3764" s="4" t="str">
        <f t="shared" si="58"/>
        <v>tRNA-Ser-GGA-1-1|33</v>
      </c>
      <c r="B3764" s="4" t="s">
        <v>87</v>
      </c>
      <c r="C3764" s="4" t="s">
        <v>151</v>
      </c>
      <c r="D3764" s="4">
        <v>32</v>
      </c>
      <c r="E3764" s="18" t="s">
        <v>116</v>
      </c>
      <c r="F3764" s="19" t="s">
        <v>150</v>
      </c>
    </row>
    <row r="3765" spans="1:6">
      <c r="A3765" s="4" t="str">
        <f t="shared" si="58"/>
        <v>tRNA-Ser-GGA-1-1|34</v>
      </c>
      <c r="B3765" s="4" t="s">
        <v>87</v>
      </c>
      <c r="C3765" s="4" t="s">
        <v>152</v>
      </c>
      <c r="D3765" s="4">
        <v>33</v>
      </c>
      <c r="E3765" s="18" t="s">
        <v>109</v>
      </c>
      <c r="F3765" s="19" t="s">
        <v>150</v>
      </c>
    </row>
    <row r="3766" spans="1:6">
      <c r="A3766" s="4" t="str">
        <f t="shared" si="58"/>
        <v>tRNA-Ser-GGA-1-1|35</v>
      </c>
      <c r="B3766" s="4" t="s">
        <v>87</v>
      </c>
      <c r="C3766" s="4" t="s">
        <v>153</v>
      </c>
      <c r="D3766" s="4">
        <v>34</v>
      </c>
      <c r="E3766" s="18" t="s">
        <v>109</v>
      </c>
      <c r="F3766" s="19" t="s">
        <v>150</v>
      </c>
    </row>
    <row r="3767" spans="1:6">
      <c r="A3767" s="4" t="str">
        <f t="shared" si="58"/>
        <v>tRNA-Ser-GGA-1-1|36</v>
      </c>
      <c r="B3767" s="4" t="s">
        <v>87</v>
      </c>
      <c r="C3767" s="4" t="s">
        <v>154</v>
      </c>
      <c r="D3767" s="4">
        <v>35</v>
      </c>
      <c r="E3767" s="18" t="s">
        <v>122</v>
      </c>
      <c r="F3767" s="19" t="s">
        <v>150</v>
      </c>
    </row>
    <row r="3768" spans="1:6">
      <c r="A3768" s="4" t="str">
        <f t="shared" si="58"/>
        <v>tRNA-Ser-GGA-1-1|37</v>
      </c>
      <c r="B3768" s="4" t="s">
        <v>87</v>
      </c>
      <c r="C3768" s="4" t="s">
        <v>155</v>
      </c>
      <c r="D3768" s="4">
        <v>36</v>
      </c>
      <c r="E3768" s="18" t="s">
        <v>122</v>
      </c>
      <c r="F3768" s="19" t="s">
        <v>150</v>
      </c>
    </row>
    <row r="3769" spans="1:6">
      <c r="A3769" s="4" t="str">
        <f t="shared" si="58"/>
        <v>tRNA-Ser-GGA-1-1|38</v>
      </c>
      <c r="B3769" s="4" t="s">
        <v>87</v>
      </c>
      <c r="C3769" s="4" t="s">
        <v>156</v>
      </c>
      <c r="D3769" s="4">
        <v>37</v>
      </c>
      <c r="E3769" s="18" t="s">
        <v>122</v>
      </c>
      <c r="F3769" s="19" t="s">
        <v>150</v>
      </c>
    </row>
    <row r="3770" spans="1:6">
      <c r="A3770" s="4" t="str">
        <f t="shared" si="58"/>
        <v>tRNA-Ser-GGA-1-1|39</v>
      </c>
      <c r="B3770" s="4" t="s">
        <v>87</v>
      </c>
      <c r="C3770" s="4" t="s">
        <v>157</v>
      </c>
      <c r="D3770" s="4">
        <v>38</v>
      </c>
      <c r="E3770" s="20" t="s">
        <v>109</v>
      </c>
      <c r="F3770" s="21" t="s">
        <v>144</v>
      </c>
    </row>
    <row r="3771" spans="1:6">
      <c r="A3771" s="4" t="str">
        <f t="shared" si="58"/>
        <v>tRNA-Ser-GGA-1-1|40</v>
      </c>
      <c r="B3771" s="4" t="s">
        <v>87</v>
      </c>
      <c r="C3771" s="4" t="s">
        <v>158</v>
      </c>
      <c r="D3771" s="4">
        <v>39</v>
      </c>
      <c r="E3771" s="20" t="s">
        <v>114</v>
      </c>
      <c r="F3771" s="21" t="s">
        <v>144</v>
      </c>
    </row>
    <row r="3772" spans="1:6">
      <c r="A3772" s="4" t="str">
        <f t="shared" si="58"/>
        <v>tRNA-Ser-GGA-1-1|41</v>
      </c>
      <c r="B3772" s="4" t="s">
        <v>87</v>
      </c>
      <c r="C3772" s="4" t="s">
        <v>159</v>
      </c>
      <c r="D3772" s="4">
        <v>40</v>
      </c>
      <c r="E3772" s="20" t="s">
        <v>116</v>
      </c>
      <c r="F3772" s="21" t="s">
        <v>144</v>
      </c>
    </row>
    <row r="3773" spans="1:6">
      <c r="A3773" s="4" t="str">
        <f t="shared" si="58"/>
        <v>tRNA-Ser-GGA-1-1|42</v>
      </c>
      <c r="B3773" s="4" t="s">
        <v>87</v>
      </c>
      <c r="C3773" s="4" t="s">
        <v>160</v>
      </c>
      <c r="D3773" s="4">
        <v>41</v>
      </c>
      <c r="E3773" s="20" t="s">
        <v>116</v>
      </c>
      <c r="F3773" s="21" t="s">
        <v>144</v>
      </c>
    </row>
    <row r="3774" spans="1:6">
      <c r="A3774" s="4" t="str">
        <f t="shared" si="58"/>
        <v>tRNA-Ser-GGA-1-1|43</v>
      </c>
      <c r="B3774" s="4" t="s">
        <v>87</v>
      </c>
      <c r="C3774" s="4" t="s">
        <v>161</v>
      </c>
      <c r="D3774" s="4">
        <v>42</v>
      </c>
      <c r="E3774" s="20" t="s">
        <v>109</v>
      </c>
      <c r="F3774" s="21" t="s">
        <v>144</v>
      </c>
    </row>
    <row r="3775" spans="1:6">
      <c r="A3775" s="4" t="str">
        <f t="shared" si="58"/>
        <v>tRNA-Ser-GGA-1-1|44</v>
      </c>
      <c r="B3775" s="4" t="s">
        <v>87</v>
      </c>
      <c r="C3775" s="4" t="s">
        <v>162</v>
      </c>
      <c r="D3775" s="4">
        <v>43</v>
      </c>
      <c r="E3775" s="18" t="s">
        <v>116</v>
      </c>
      <c r="F3775" s="19" t="s">
        <v>163</v>
      </c>
    </row>
    <row r="3776" spans="1:6">
      <c r="A3776" s="4" t="str">
        <f t="shared" si="58"/>
        <v>tRNA-Ser-GGA-1-1|45</v>
      </c>
      <c r="B3776" s="4" t="s">
        <v>87</v>
      </c>
      <c r="C3776" s="4" t="s">
        <v>164</v>
      </c>
      <c r="D3776" s="4">
        <v>44</v>
      </c>
      <c r="E3776" s="18" t="s">
        <v>109</v>
      </c>
      <c r="F3776" s="19" t="s">
        <v>163</v>
      </c>
    </row>
    <row r="3777" spans="1:6">
      <c r="A3777" s="4" t="str">
        <f t="shared" si="58"/>
        <v>tRNA-Ser-GGA-1-1|e1</v>
      </c>
      <c r="B3777" s="4" t="s">
        <v>87</v>
      </c>
      <c r="C3777" s="4" t="s">
        <v>198</v>
      </c>
      <c r="D3777" s="4">
        <v>45</v>
      </c>
      <c r="E3777" s="18" t="s">
        <v>109</v>
      </c>
      <c r="F3777" s="19" t="s">
        <v>163</v>
      </c>
    </row>
    <row r="3778" spans="1:6">
      <c r="A3778" s="4" t="str">
        <f t="shared" ref="A3778:A3841" si="59">B3778&amp;"|"&amp;C3778</f>
        <v>tRNA-Ser-GGA-1-1|e2</v>
      </c>
      <c r="B3778" s="4" t="s">
        <v>87</v>
      </c>
      <c r="C3778" s="4" t="s">
        <v>199</v>
      </c>
      <c r="D3778" s="4">
        <v>46</v>
      </c>
      <c r="E3778" s="18" t="s">
        <v>109</v>
      </c>
      <c r="F3778" s="19" t="s">
        <v>163</v>
      </c>
    </row>
    <row r="3779" spans="1:6">
      <c r="A3779" s="4" t="str">
        <f t="shared" si="59"/>
        <v>tRNA-Ser-GGA-1-1|e3</v>
      </c>
      <c r="B3779" s="4" t="s">
        <v>87</v>
      </c>
      <c r="C3779" s="4" t="s">
        <v>200</v>
      </c>
      <c r="D3779" s="4">
        <v>47</v>
      </c>
      <c r="E3779" s="18" t="s">
        <v>109</v>
      </c>
      <c r="F3779" s="19" t="s">
        <v>163</v>
      </c>
    </row>
    <row r="3780" spans="1:6">
      <c r="A3780" s="4" t="str">
        <f t="shared" si="59"/>
        <v>tRNA-Ser-GGA-1-1|e4</v>
      </c>
      <c r="B3780" s="4" t="s">
        <v>87</v>
      </c>
      <c r="C3780" s="4" t="s">
        <v>201</v>
      </c>
      <c r="D3780" s="4">
        <v>48</v>
      </c>
      <c r="E3780" s="18" t="s">
        <v>114</v>
      </c>
      <c r="F3780" s="19" t="s">
        <v>163</v>
      </c>
    </row>
    <row r="3781" spans="1:6">
      <c r="A3781" s="4" t="str">
        <f t="shared" si="59"/>
        <v>tRNA-Ser-GGA-1-1|e5</v>
      </c>
      <c r="B3781" s="4" t="s">
        <v>87</v>
      </c>
      <c r="C3781" s="4" t="s">
        <v>202</v>
      </c>
      <c r="D3781" s="4">
        <v>49</v>
      </c>
      <c r="E3781" s="18" t="s">
        <v>114</v>
      </c>
      <c r="F3781" s="19" t="s">
        <v>163</v>
      </c>
    </row>
    <row r="3782" spans="1:6">
      <c r="A3782" s="4" t="str">
        <f t="shared" si="59"/>
        <v>tRNA-Ser-GGA-1-1|e6</v>
      </c>
      <c r="B3782" s="4" t="s">
        <v>87</v>
      </c>
      <c r="C3782" s="4" t="s">
        <v>203</v>
      </c>
      <c r="D3782" s="4">
        <v>50</v>
      </c>
      <c r="E3782" s="18" t="s">
        <v>116</v>
      </c>
      <c r="F3782" s="19" t="s">
        <v>163</v>
      </c>
    </row>
    <row r="3783" spans="1:6">
      <c r="A3783" s="4" t="str">
        <f t="shared" si="59"/>
        <v>tRNA-Ser-GGA-1-1|e7</v>
      </c>
      <c r="B3783" s="4" t="s">
        <v>87</v>
      </c>
      <c r="C3783" s="4" t="s">
        <v>204</v>
      </c>
      <c r="D3783" s="4">
        <v>51</v>
      </c>
      <c r="E3783" s="18" t="s">
        <v>122</v>
      </c>
      <c r="F3783" s="19" t="s">
        <v>163</v>
      </c>
    </row>
    <row r="3784" spans="1:6">
      <c r="A3784" s="4" t="str">
        <f t="shared" si="59"/>
        <v>tRNA-Ser-GGA-1-1|e8</v>
      </c>
      <c r="B3784" s="4" t="s">
        <v>87</v>
      </c>
      <c r="C3784" s="4" t="s">
        <v>205</v>
      </c>
      <c r="D3784" s="4">
        <v>52</v>
      </c>
      <c r="E3784" s="18" t="s">
        <v>109</v>
      </c>
      <c r="F3784" s="19" t="s">
        <v>163</v>
      </c>
    </row>
    <row r="3785" spans="1:6">
      <c r="A3785" s="4" t="str">
        <f t="shared" si="59"/>
        <v>tRNA-Ser-GGA-1-1|e9</v>
      </c>
      <c r="B3785" s="4" t="s">
        <v>87</v>
      </c>
      <c r="C3785" s="4" t="s">
        <v>206</v>
      </c>
      <c r="D3785" s="4">
        <v>53</v>
      </c>
      <c r="E3785" s="18" t="s">
        <v>114</v>
      </c>
      <c r="F3785" s="19" t="s">
        <v>163</v>
      </c>
    </row>
    <row r="3786" spans="1:6">
      <c r="A3786" s="4" t="str">
        <f t="shared" si="59"/>
        <v>tRNA-Ser-GGA-1-1|e10</v>
      </c>
      <c r="B3786" s="4" t="s">
        <v>87</v>
      </c>
      <c r="C3786" s="4" t="s">
        <v>207</v>
      </c>
      <c r="D3786" s="4">
        <v>54</v>
      </c>
      <c r="E3786" s="18" t="s">
        <v>114</v>
      </c>
      <c r="F3786" s="19" t="s">
        <v>163</v>
      </c>
    </row>
    <row r="3787" spans="1:6">
      <c r="A3787" s="4" t="str">
        <f t="shared" si="59"/>
        <v>tRNA-Ser-GGA-1-1|e11</v>
      </c>
      <c r="B3787" s="4" t="s">
        <v>87</v>
      </c>
      <c r="C3787" s="4" t="s">
        <v>208</v>
      </c>
      <c r="D3787" s="4">
        <v>55</v>
      </c>
      <c r="E3787" s="18" t="s">
        <v>114</v>
      </c>
      <c r="F3787" s="19" t="s">
        <v>163</v>
      </c>
    </row>
    <row r="3788" spans="1:6">
      <c r="A3788" s="4" t="str">
        <f t="shared" si="59"/>
        <v>tRNA-Ser-GGA-1-1|46</v>
      </c>
      <c r="B3788" s="4" t="s">
        <v>87</v>
      </c>
      <c r="C3788" s="4" t="s">
        <v>165</v>
      </c>
      <c r="D3788" s="4">
        <v>56</v>
      </c>
      <c r="E3788" s="18" t="s">
        <v>114</v>
      </c>
      <c r="F3788" s="19" t="s">
        <v>163</v>
      </c>
    </row>
    <row r="3789" spans="1:6">
      <c r="A3789" s="4" t="str">
        <f t="shared" si="59"/>
        <v>tRNA-Ser-GGA-1-1|47</v>
      </c>
      <c r="B3789" s="4" t="s">
        <v>87</v>
      </c>
      <c r="C3789" s="4" t="s">
        <v>166</v>
      </c>
      <c r="D3789" s="4">
        <v>57</v>
      </c>
      <c r="E3789" s="18" t="s">
        <v>116</v>
      </c>
      <c r="F3789" s="19" t="s">
        <v>163</v>
      </c>
    </row>
    <row r="3790" spans="1:6">
      <c r="A3790" s="4" t="str">
        <f t="shared" si="59"/>
        <v>tRNA-Ser-GGA-1-1|48</v>
      </c>
      <c r="B3790" s="4" t="s">
        <v>87</v>
      </c>
      <c r="C3790" s="4" t="s">
        <v>167</v>
      </c>
      <c r="D3790" s="4">
        <v>58</v>
      </c>
      <c r="E3790" s="18" t="s">
        <v>114</v>
      </c>
      <c r="F3790" s="19" t="s">
        <v>163</v>
      </c>
    </row>
    <row r="3791" spans="1:6">
      <c r="A3791" s="4" t="str">
        <f t="shared" si="59"/>
        <v>tRNA-Ser-GGA-1-1|49</v>
      </c>
      <c r="B3791" s="4" t="s">
        <v>87</v>
      </c>
      <c r="C3791" s="4" t="s">
        <v>168</v>
      </c>
      <c r="D3791" s="4">
        <v>59</v>
      </c>
      <c r="E3791" s="22" t="s">
        <v>109</v>
      </c>
      <c r="F3791" s="10" t="s">
        <v>169</v>
      </c>
    </row>
    <row r="3792" spans="1:6">
      <c r="A3792" s="4" t="str">
        <f t="shared" si="59"/>
        <v>tRNA-Ser-GGA-1-1|50</v>
      </c>
      <c r="B3792" s="4" t="s">
        <v>87</v>
      </c>
      <c r="C3792" s="4" t="s">
        <v>170</v>
      </c>
      <c r="D3792" s="4">
        <v>60</v>
      </c>
      <c r="E3792" s="22" t="s">
        <v>109</v>
      </c>
      <c r="F3792" s="10" t="s">
        <v>169</v>
      </c>
    </row>
    <row r="3793" spans="1:6">
      <c r="A3793" s="4" t="str">
        <f t="shared" si="59"/>
        <v>tRNA-Ser-GGA-1-1|51</v>
      </c>
      <c r="B3793" s="4" t="s">
        <v>87</v>
      </c>
      <c r="C3793" s="4" t="s">
        <v>171</v>
      </c>
      <c r="D3793" s="4">
        <v>61</v>
      </c>
      <c r="E3793" s="22" t="s">
        <v>109</v>
      </c>
      <c r="F3793" s="10" t="s">
        <v>169</v>
      </c>
    </row>
    <row r="3794" spans="1:6">
      <c r="A3794" s="4" t="str">
        <f t="shared" si="59"/>
        <v>tRNA-Ser-GGA-1-1|52</v>
      </c>
      <c r="B3794" s="4" t="s">
        <v>87</v>
      </c>
      <c r="C3794" s="4" t="s">
        <v>172</v>
      </c>
      <c r="D3794" s="4">
        <v>62</v>
      </c>
      <c r="E3794" s="22" t="s">
        <v>122</v>
      </c>
      <c r="F3794" s="10" t="s">
        <v>169</v>
      </c>
    </row>
    <row r="3795" spans="1:6">
      <c r="A3795" s="4" t="str">
        <f t="shared" si="59"/>
        <v>tRNA-Ser-GGA-1-1|53</v>
      </c>
      <c r="B3795" s="4" t="s">
        <v>87</v>
      </c>
      <c r="C3795" s="4" t="s">
        <v>173</v>
      </c>
      <c r="D3795" s="4">
        <v>63</v>
      </c>
      <c r="E3795" s="22" t="s">
        <v>109</v>
      </c>
      <c r="F3795" s="10" t="s">
        <v>169</v>
      </c>
    </row>
    <row r="3796" spans="1:6">
      <c r="A3796" s="4" t="str">
        <f t="shared" si="59"/>
        <v>tRNA-Ser-GGA-1-1|54</v>
      </c>
      <c r="B3796" s="4" t="s">
        <v>87</v>
      </c>
      <c r="C3796" s="4" t="s">
        <v>174</v>
      </c>
      <c r="D3796" s="4">
        <v>64</v>
      </c>
      <c r="E3796" s="18" t="s">
        <v>116</v>
      </c>
      <c r="F3796" s="19" t="s">
        <v>175</v>
      </c>
    </row>
    <row r="3797" spans="1:6">
      <c r="A3797" s="4" t="str">
        <f t="shared" si="59"/>
        <v>tRNA-Ser-GGA-1-1|55</v>
      </c>
      <c r="B3797" s="4" t="s">
        <v>87</v>
      </c>
      <c r="C3797" s="4" t="s">
        <v>176</v>
      </c>
      <c r="D3797" s="4">
        <v>65</v>
      </c>
      <c r="E3797" s="18" t="s">
        <v>116</v>
      </c>
      <c r="F3797" s="19" t="s">
        <v>175</v>
      </c>
    </row>
    <row r="3798" spans="1:6">
      <c r="A3798" s="4" t="str">
        <f t="shared" si="59"/>
        <v>tRNA-Ser-GGA-1-1|56</v>
      </c>
      <c r="B3798" s="4" t="s">
        <v>87</v>
      </c>
      <c r="C3798" s="4" t="s">
        <v>177</v>
      </c>
      <c r="D3798" s="4">
        <v>66</v>
      </c>
      <c r="E3798" s="18" t="s">
        <v>114</v>
      </c>
      <c r="F3798" s="19" t="s">
        <v>175</v>
      </c>
    </row>
    <row r="3799" spans="1:6">
      <c r="A3799" s="4" t="str">
        <f t="shared" si="59"/>
        <v>tRNA-Ser-GGA-1-1|57</v>
      </c>
      <c r="B3799" s="4" t="s">
        <v>87</v>
      </c>
      <c r="C3799" s="4" t="s">
        <v>178</v>
      </c>
      <c r="D3799" s="4">
        <v>67</v>
      </c>
      <c r="E3799" s="18" t="s">
        <v>109</v>
      </c>
      <c r="F3799" s="19" t="s">
        <v>175</v>
      </c>
    </row>
    <row r="3800" spans="1:6">
      <c r="A3800" s="4" t="str">
        <f t="shared" si="59"/>
        <v>tRNA-Ser-GGA-1-1|58</v>
      </c>
      <c r="B3800" s="4" t="s">
        <v>87</v>
      </c>
      <c r="C3800" s="4" t="s">
        <v>179</v>
      </c>
      <c r="D3800" s="4">
        <v>68</v>
      </c>
      <c r="E3800" s="18" t="s">
        <v>122</v>
      </c>
      <c r="F3800" s="19" t="s">
        <v>175</v>
      </c>
    </row>
    <row r="3801" spans="1:6">
      <c r="A3801" s="4" t="str">
        <f t="shared" si="59"/>
        <v>tRNA-Ser-GGA-1-1|59</v>
      </c>
      <c r="B3801" s="4" t="s">
        <v>87</v>
      </c>
      <c r="C3801" s="4" t="s">
        <v>180</v>
      </c>
      <c r="D3801" s="4">
        <v>69</v>
      </c>
      <c r="E3801" s="18" t="s">
        <v>122</v>
      </c>
      <c r="F3801" s="19" t="s">
        <v>175</v>
      </c>
    </row>
    <row r="3802" spans="1:6">
      <c r="A3802" s="4" t="str">
        <f t="shared" si="59"/>
        <v>tRNA-Ser-GGA-1-1|60</v>
      </c>
      <c r="B3802" s="4" t="s">
        <v>87</v>
      </c>
      <c r="C3802" s="4" t="s">
        <v>181</v>
      </c>
      <c r="D3802" s="4">
        <v>70</v>
      </c>
      <c r="E3802" s="18" t="s">
        <v>116</v>
      </c>
      <c r="F3802" s="19" t="s">
        <v>175</v>
      </c>
    </row>
    <row r="3803" spans="1:6">
      <c r="A3803" s="4" t="str">
        <f t="shared" si="59"/>
        <v>tRNA-Ser-GGA-1-1|61</v>
      </c>
      <c r="B3803" s="4" t="s">
        <v>87</v>
      </c>
      <c r="C3803" s="4" t="s">
        <v>182</v>
      </c>
      <c r="D3803" s="4">
        <v>71</v>
      </c>
      <c r="E3803" s="22" t="s">
        <v>114</v>
      </c>
      <c r="F3803" s="10" t="s">
        <v>169</v>
      </c>
    </row>
    <row r="3804" spans="1:6">
      <c r="A3804" s="4" t="str">
        <f t="shared" si="59"/>
        <v>tRNA-Ser-GGA-1-1|62</v>
      </c>
      <c r="B3804" s="4" t="s">
        <v>87</v>
      </c>
      <c r="C3804" s="4" t="s">
        <v>183</v>
      </c>
      <c r="D3804" s="4">
        <v>72</v>
      </c>
      <c r="E3804" s="22" t="s">
        <v>116</v>
      </c>
      <c r="F3804" s="10" t="s">
        <v>169</v>
      </c>
    </row>
    <row r="3805" spans="1:6">
      <c r="A3805" s="4" t="str">
        <f t="shared" si="59"/>
        <v>tRNA-Ser-GGA-1-1|63</v>
      </c>
      <c r="B3805" s="4" t="s">
        <v>87</v>
      </c>
      <c r="C3805" s="4" t="s">
        <v>184</v>
      </c>
      <c r="D3805" s="4">
        <v>73</v>
      </c>
      <c r="E3805" s="22" t="s">
        <v>114</v>
      </c>
      <c r="F3805" s="10" t="s">
        <v>169</v>
      </c>
    </row>
    <row r="3806" spans="1:6">
      <c r="A3806" s="4" t="str">
        <f t="shared" si="59"/>
        <v>tRNA-Ser-GGA-1-1|64</v>
      </c>
      <c r="B3806" s="4" t="s">
        <v>87</v>
      </c>
      <c r="C3806" s="4" t="s">
        <v>185</v>
      </c>
      <c r="D3806" s="4">
        <v>74</v>
      </c>
      <c r="E3806" s="22" t="s">
        <v>114</v>
      </c>
      <c r="F3806" s="10" t="s">
        <v>169</v>
      </c>
    </row>
    <row r="3807" spans="1:6">
      <c r="A3807" s="4" t="str">
        <f t="shared" si="59"/>
        <v>tRNA-Ser-GGA-1-1|65</v>
      </c>
      <c r="B3807" s="4" t="s">
        <v>87</v>
      </c>
      <c r="C3807" s="4" t="s">
        <v>186</v>
      </c>
      <c r="D3807" s="4">
        <v>75</v>
      </c>
      <c r="E3807" s="22" t="s">
        <v>114</v>
      </c>
      <c r="F3807" s="10" t="s">
        <v>169</v>
      </c>
    </row>
    <row r="3808" spans="1:6">
      <c r="A3808" s="4" t="str">
        <f t="shared" si="59"/>
        <v>tRNA-Ser-GGA-1-1|66</v>
      </c>
      <c r="B3808" s="4" t="s">
        <v>87</v>
      </c>
      <c r="C3808" s="4" t="s">
        <v>187</v>
      </c>
      <c r="D3808" s="4">
        <v>76</v>
      </c>
      <c r="E3808" s="16" t="s">
        <v>114</v>
      </c>
      <c r="F3808" s="17" t="s">
        <v>110</v>
      </c>
    </row>
    <row r="3809" spans="1:6">
      <c r="A3809" s="4" t="str">
        <f t="shared" si="59"/>
        <v>tRNA-Ser-GGA-1-1|67</v>
      </c>
      <c r="B3809" s="4" t="s">
        <v>87</v>
      </c>
      <c r="C3809" s="4" t="s">
        <v>188</v>
      </c>
      <c r="D3809" s="4">
        <v>77</v>
      </c>
      <c r="E3809" s="16" t="s">
        <v>114</v>
      </c>
      <c r="F3809" s="17" t="s">
        <v>110</v>
      </c>
    </row>
    <row r="3810" spans="1:6">
      <c r="A3810" s="4" t="str">
        <f t="shared" si="59"/>
        <v>tRNA-Ser-GGA-1-1|68</v>
      </c>
      <c r="B3810" s="4" t="s">
        <v>87</v>
      </c>
      <c r="C3810" s="4" t="s">
        <v>189</v>
      </c>
      <c r="D3810" s="4">
        <v>78</v>
      </c>
      <c r="E3810" s="16" t="s">
        <v>116</v>
      </c>
      <c r="F3810" s="17" t="s">
        <v>110</v>
      </c>
    </row>
    <row r="3811" spans="1:6">
      <c r="A3811" s="4" t="str">
        <f t="shared" si="59"/>
        <v>tRNA-Ser-GGA-1-1|69</v>
      </c>
      <c r="B3811" s="4" t="s">
        <v>87</v>
      </c>
      <c r="C3811" s="4" t="s">
        <v>190</v>
      </c>
      <c r="D3811" s="4">
        <v>79</v>
      </c>
      <c r="E3811" s="16" t="s">
        <v>114</v>
      </c>
      <c r="F3811" s="17" t="s">
        <v>110</v>
      </c>
    </row>
    <row r="3812" spans="1:6">
      <c r="A3812" s="4" t="str">
        <f t="shared" si="59"/>
        <v>tRNA-Ser-GGA-1-1|70</v>
      </c>
      <c r="B3812" s="4" t="s">
        <v>87</v>
      </c>
      <c r="C3812" s="4" t="s">
        <v>191</v>
      </c>
      <c r="D3812" s="4">
        <v>80</v>
      </c>
      <c r="E3812" s="16" t="s">
        <v>109</v>
      </c>
      <c r="F3812" s="17" t="s">
        <v>110</v>
      </c>
    </row>
    <row r="3813" spans="1:6">
      <c r="A3813" s="4" t="str">
        <f t="shared" si="59"/>
        <v>tRNA-Ser-GGA-1-1|71</v>
      </c>
      <c r="B3813" s="4" t="s">
        <v>87</v>
      </c>
      <c r="C3813" s="4" t="s">
        <v>192</v>
      </c>
      <c r="D3813" s="4">
        <v>81</v>
      </c>
      <c r="E3813" s="16" t="s">
        <v>109</v>
      </c>
      <c r="F3813" s="17" t="s">
        <v>110</v>
      </c>
    </row>
    <row r="3814" spans="1:6">
      <c r="A3814" s="4" t="str">
        <f t="shared" si="59"/>
        <v>tRNA-Ser-GGA-1-1|72</v>
      </c>
      <c r="B3814" s="4" t="s">
        <v>87</v>
      </c>
      <c r="C3814" s="4" t="s">
        <v>193</v>
      </c>
      <c r="D3814" s="4">
        <v>82</v>
      </c>
      <c r="E3814" s="16" t="s">
        <v>114</v>
      </c>
      <c r="F3814" s="17" t="s">
        <v>110</v>
      </c>
    </row>
    <row r="3815" spans="1:6">
      <c r="A3815" s="4" t="str">
        <f t="shared" si="59"/>
        <v>tRNA-Ser-TGA-1-1|1</v>
      </c>
      <c r="B3815" s="4" t="s">
        <v>88</v>
      </c>
      <c r="C3815" s="4" t="s">
        <v>108</v>
      </c>
      <c r="D3815" s="4">
        <v>1</v>
      </c>
      <c r="E3815" s="16" t="s">
        <v>109</v>
      </c>
      <c r="F3815" s="17" t="s">
        <v>110</v>
      </c>
    </row>
    <row r="3816" spans="1:6">
      <c r="A3816" s="4" t="str">
        <f t="shared" si="59"/>
        <v>tRNA-Ser-TGA-1-1|2</v>
      </c>
      <c r="B3816" s="4" t="s">
        <v>88</v>
      </c>
      <c r="C3816" s="4" t="s">
        <v>111</v>
      </c>
      <c r="D3816" s="4">
        <v>2</v>
      </c>
      <c r="E3816" s="16" t="s">
        <v>114</v>
      </c>
      <c r="F3816" s="17" t="s">
        <v>110</v>
      </c>
    </row>
    <row r="3817" spans="1:6">
      <c r="A3817" s="4" t="str">
        <f t="shared" si="59"/>
        <v>tRNA-Ser-TGA-1-1|3</v>
      </c>
      <c r="B3817" s="4" t="s">
        <v>88</v>
      </c>
      <c r="C3817" s="4" t="s">
        <v>112</v>
      </c>
      <c r="D3817" s="4">
        <v>3</v>
      </c>
      <c r="E3817" s="16" t="s">
        <v>116</v>
      </c>
      <c r="F3817" s="17" t="s">
        <v>110</v>
      </c>
    </row>
    <row r="3818" spans="1:6">
      <c r="A3818" s="4" t="str">
        <f t="shared" si="59"/>
        <v>tRNA-Ser-TGA-1-1|4</v>
      </c>
      <c r="B3818" s="4" t="s">
        <v>88</v>
      </c>
      <c r="C3818" s="4" t="s">
        <v>113</v>
      </c>
      <c r="D3818" s="4">
        <v>4</v>
      </c>
      <c r="E3818" s="16" t="s">
        <v>109</v>
      </c>
      <c r="F3818" s="17" t="s">
        <v>110</v>
      </c>
    </row>
    <row r="3819" spans="1:6">
      <c r="A3819" s="4" t="str">
        <f t="shared" si="59"/>
        <v>tRNA-Ser-TGA-1-1|5</v>
      </c>
      <c r="B3819" s="4" t="s">
        <v>88</v>
      </c>
      <c r="C3819" s="4" t="s">
        <v>115</v>
      </c>
      <c r="D3819" s="4">
        <v>5</v>
      </c>
      <c r="E3819" s="16" t="s">
        <v>122</v>
      </c>
      <c r="F3819" s="17" t="s">
        <v>110</v>
      </c>
    </row>
    <row r="3820" spans="1:6">
      <c r="A3820" s="4" t="str">
        <f t="shared" si="59"/>
        <v>tRNA-Ser-TGA-1-1|6</v>
      </c>
      <c r="B3820" s="4" t="s">
        <v>88</v>
      </c>
      <c r="C3820" s="4" t="s">
        <v>117</v>
      </c>
      <c r="D3820" s="4">
        <v>6</v>
      </c>
      <c r="E3820" s="16" t="s">
        <v>109</v>
      </c>
      <c r="F3820" s="17" t="s">
        <v>110</v>
      </c>
    </row>
    <row r="3821" spans="1:6">
      <c r="A3821" s="4" t="str">
        <f t="shared" si="59"/>
        <v>tRNA-Ser-TGA-1-1|7</v>
      </c>
      <c r="B3821" s="4" t="s">
        <v>88</v>
      </c>
      <c r="C3821" s="4" t="s">
        <v>118</v>
      </c>
      <c r="D3821" s="4">
        <v>7</v>
      </c>
      <c r="E3821" s="16" t="s">
        <v>109</v>
      </c>
      <c r="F3821" s="17" t="s">
        <v>110</v>
      </c>
    </row>
    <row r="3822" spans="1:6">
      <c r="A3822" s="4" t="str">
        <f t="shared" si="59"/>
        <v>tRNA-Ser-TGA-1-1|8</v>
      </c>
      <c r="B3822" s="4" t="s">
        <v>88</v>
      </c>
      <c r="C3822" s="4" t="s">
        <v>119</v>
      </c>
      <c r="D3822" s="4">
        <v>8</v>
      </c>
      <c r="E3822" s="3" t="s">
        <v>116</v>
      </c>
      <c r="F3822" s="4" t="s">
        <v>120</v>
      </c>
    </row>
    <row r="3823" spans="1:6">
      <c r="A3823" s="4" t="str">
        <f t="shared" si="59"/>
        <v>tRNA-Ser-TGA-1-1|9</v>
      </c>
      <c r="B3823" s="4" t="s">
        <v>88</v>
      </c>
      <c r="C3823" s="4" t="s">
        <v>121</v>
      </c>
      <c r="D3823" s="4">
        <v>9</v>
      </c>
      <c r="E3823" s="3" t="s">
        <v>122</v>
      </c>
      <c r="F3823" s="4" t="s">
        <v>123</v>
      </c>
    </row>
    <row r="3824" spans="1:6">
      <c r="A3824" s="4" t="str">
        <f t="shared" si="59"/>
        <v>tRNA-Ser-TGA-1-1|10</v>
      </c>
      <c r="B3824" s="4" t="s">
        <v>88</v>
      </c>
      <c r="C3824" s="4" t="s">
        <v>124</v>
      </c>
      <c r="D3824" s="4">
        <v>10</v>
      </c>
      <c r="E3824" s="8" t="s">
        <v>109</v>
      </c>
      <c r="F3824" s="7" t="s">
        <v>125</v>
      </c>
    </row>
    <row r="3825" spans="1:6">
      <c r="A3825" s="4" t="str">
        <f t="shared" si="59"/>
        <v>tRNA-Ser-TGA-1-1|11</v>
      </c>
      <c r="B3825" s="4" t="s">
        <v>88</v>
      </c>
      <c r="C3825" s="4" t="s">
        <v>126</v>
      </c>
      <c r="D3825" s="4">
        <v>11</v>
      </c>
      <c r="E3825" s="8" t="s">
        <v>114</v>
      </c>
      <c r="F3825" s="7" t="s">
        <v>125</v>
      </c>
    </row>
    <row r="3826" spans="1:6">
      <c r="A3826" s="4" t="str">
        <f t="shared" si="59"/>
        <v>tRNA-Ser-TGA-1-1|12</v>
      </c>
      <c r="B3826" s="4" t="s">
        <v>88</v>
      </c>
      <c r="C3826" s="4" t="s">
        <v>127</v>
      </c>
      <c r="D3826" s="4">
        <v>12</v>
      </c>
      <c r="E3826" s="8" t="s">
        <v>114</v>
      </c>
      <c r="F3826" s="7" t="s">
        <v>125</v>
      </c>
    </row>
    <row r="3827" spans="1:6">
      <c r="A3827" s="4" t="str">
        <f t="shared" si="59"/>
        <v>tRNA-Ser-TGA-1-1|13</v>
      </c>
      <c r="B3827" s="4" t="s">
        <v>88</v>
      </c>
      <c r="C3827" s="4" t="s">
        <v>128</v>
      </c>
      <c r="D3827" s="4">
        <v>13</v>
      </c>
      <c r="E3827" s="8" t="s">
        <v>114</v>
      </c>
      <c r="F3827" s="7" t="s">
        <v>125</v>
      </c>
    </row>
    <row r="3828" spans="1:6">
      <c r="A3828" s="4" t="str">
        <f t="shared" si="59"/>
        <v>tRNA-Ser-TGA-1-1|14</v>
      </c>
      <c r="B3828" s="4" t="s">
        <v>88</v>
      </c>
      <c r="C3828" s="4" t="s">
        <v>129</v>
      </c>
      <c r="D3828" s="4">
        <v>14</v>
      </c>
      <c r="E3828" s="18" t="s">
        <v>122</v>
      </c>
      <c r="F3828" s="19" t="s">
        <v>130</v>
      </c>
    </row>
    <row r="3829" spans="1:6">
      <c r="A3829" s="4" t="str">
        <f t="shared" si="59"/>
        <v>tRNA-Ser-TGA-1-1|15</v>
      </c>
      <c r="B3829" s="4" t="s">
        <v>88</v>
      </c>
      <c r="C3829" s="4" t="s">
        <v>131</v>
      </c>
      <c r="D3829" s="4">
        <v>15</v>
      </c>
      <c r="E3829" s="18" t="s">
        <v>109</v>
      </c>
      <c r="F3829" s="19" t="s">
        <v>130</v>
      </c>
    </row>
    <row r="3830" spans="1:6">
      <c r="A3830" s="4" t="str">
        <f t="shared" si="59"/>
        <v>tRNA-Ser-TGA-1-1|16</v>
      </c>
      <c r="B3830" s="4" t="s">
        <v>88</v>
      </c>
      <c r="C3830" s="4" t="s">
        <v>194</v>
      </c>
      <c r="D3830" s="4">
        <v>16</v>
      </c>
      <c r="E3830" s="18" t="s">
        <v>114</v>
      </c>
      <c r="F3830" s="19" t="s">
        <v>130</v>
      </c>
    </row>
    <row r="3831" spans="1:6">
      <c r="A3831" s="4" t="str">
        <f t="shared" si="59"/>
        <v>tRNA-Ser-TGA-1-1|18</v>
      </c>
      <c r="B3831" s="4" t="s">
        <v>88</v>
      </c>
      <c r="C3831" s="4" t="s">
        <v>132</v>
      </c>
      <c r="D3831" s="4">
        <v>17</v>
      </c>
      <c r="E3831" s="18" t="s">
        <v>109</v>
      </c>
      <c r="F3831" s="19" t="s">
        <v>130</v>
      </c>
    </row>
    <row r="3832" spans="1:6">
      <c r="A3832" s="4" t="str">
        <f t="shared" si="59"/>
        <v>tRNA-Ser-TGA-1-1|19</v>
      </c>
      <c r="B3832" s="4" t="s">
        <v>88</v>
      </c>
      <c r="C3832" s="4" t="s">
        <v>133</v>
      </c>
      <c r="D3832" s="4">
        <v>18</v>
      </c>
      <c r="E3832" s="18" t="s">
        <v>109</v>
      </c>
      <c r="F3832" s="19" t="s">
        <v>130</v>
      </c>
    </row>
    <row r="3833" spans="1:6">
      <c r="A3833" s="4" t="str">
        <f t="shared" si="59"/>
        <v>tRNA-Ser-TGA-1-1|20</v>
      </c>
      <c r="B3833" s="4" t="s">
        <v>88</v>
      </c>
      <c r="C3833" s="4" t="s">
        <v>134</v>
      </c>
      <c r="D3833" s="4">
        <v>19</v>
      </c>
      <c r="E3833" s="18" t="s">
        <v>122</v>
      </c>
      <c r="F3833" s="19" t="s">
        <v>130</v>
      </c>
    </row>
    <row r="3834" spans="1:6">
      <c r="A3834" s="4" t="str">
        <f t="shared" si="59"/>
        <v>tRNA-Ser-TGA-1-1|20a</v>
      </c>
      <c r="B3834" s="4" t="s">
        <v>88</v>
      </c>
      <c r="C3834" s="4" t="s">
        <v>135</v>
      </c>
      <c r="D3834" s="4">
        <v>20</v>
      </c>
      <c r="E3834" s="18" t="s">
        <v>114</v>
      </c>
      <c r="F3834" s="19" t="s">
        <v>130</v>
      </c>
    </row>
    <row r="3835" spans="1:6">
      <c r="A3835" s="4" t="str">
        <f t="shared" si="59"/>
        <v>tRNA-Ser-TGA-1-1|20b</v>
      </c>
      <c r="B3835" s="4" t="s">
        <v>88</v>
      </c>
      <c r="C3835" s="4" t="s">
        <v>197</v>
      </c>
      <c r="D3835" s="4">
        <v>21</v>
      </c>
      <c r="E3835" s="18" t="s">
        <v>116</v>
      </c>
      <c r="F3835" s="19" t="s">
        <v>130</v>
      </c>
    </row>
    <row r="3836" spans="1:6">
      <c r="A3836" s="4" t="str">
        <f t="shared" si="59"/>
        <v>tRNA-Ser-TGA-1-1|21</v>
      </c>
      <c r="B3836" s="4" t="s">
        <v>88</v>
      </c>
      <c r="C3836" s="4" t="s">
        <v>136</v>
      </c>
      <c r="D3836" s="4">
        <v>22</v>
      </c>
      <c r="E3836" s="18" t="s">
        <v>122</v>
      </c>
      <c r="F3836" s="19" t="s">
        <v>130</v>
      </c>
    </row>
    <row r="3837" spans="1:6">
      <c r="A3837" s="4" t="str">
        <f t="shared" si="59"/>
        <v>tRNA-Ser-TGA-1-1|22</v>
      </c>
      <c r="B3837" s="4" t="s">
        <v>88</v>
      </c>
      <c r="C3837" s="4" t="s">
        <v>137</v>
      </c>
      <c r="D3837" s="4">
        <v>23</v>
      </c>
      <c r="E3837" s="8" t="s">
        <v>114</v>
      </c>
      <c r="F3837" s="7" t="s">
        <v>125</v>
      </c>
    </row>
    <row r="3838" spans="1:6">
      <c r="A3838" s="4" t="str">
        <f t="shared" si="59"/>
        <v>tRNA-Ser-TGA-1-1|23</v>
      </c>
      <c r="B3838" s="4" t="s">
        <v>88</v>
      </c>
      <c r="C3838" s="4" t="s">
        <v>138</v>
      </c>
      <c r="D3838" s="4">
        <v>24</v>
      </c>
      <c r="E3838" s="8" t="s">
        <v>109</v>
      </c>
      <c r="F3838" s="7" t="s">
        <v>125</v>
      </c>
    </row>
    <row r="3839" spans="1:6">
      <c r="A3839" s="4" t="str">
        <f t="shared" si="59"/>
        <v>tRNA-Ser-TGA-1-1|24</v>
      </c>
      <c r="B3839" s="4" t="s">
        <v>88</v>
      </c>
      <c r="C3839" s="4" t="s">
        <v>139</v>
      </c>
      <c r="D3839" s="4">
        <v>25</v>
      </c>
      <c r="E3839" s="8" t="s">
        <v>109</v>
      </c>
      <c r="F3839" s="7" t="s">
        <v>125</v>
      </c>
    </row>
    <row r="3840" spans="1:6">
      <c r="A3840" s="4" t="str">
        <f t="shared" si="59"/>
        <v>tRNA-Ser-TGA-1-1|25</v>
      </c>
      <c r="B3840" s="4" t="s">
        <v>88</v>
      </c>
      <c r="C3840" s="4" t="s">
        <v>140</v>
      </c>
      <c r="D3840" s="4">
        <v>26</v>
      </c>
      <c r="E3840" s="8" t="s">
        <v>114</v>
      </c>
      <c r="F3840" s="7" t="s">
        <v>125</v>
      </c>
    </row>
    <row r="3841" spans="1:6">
      <c r="A3841" s="4" t="str">
        <f t="shared" si="59"/>
        <v>tRNA-Ser-TGA-1-1|26</v>
      </c>
      <c r="B3841" s="4" t="s">
        <v>88</v>
      </c>
      <c r="C3841" s="4" t="s">
        <v>141</v>
      </c>
      <c r="D3841" s="4">
        <v>27</v>
      </c>
      <c r="E3841" s="3" t="s">
        <v>109</v>
      </c>
      <c r="F3841" s="4" t="s">
        <v>142</v>
      </c>
    </row>
    <row r="3842" spans="1:6">
      <c r="A3842" s="4" t="str">
        <f t="shared" ref="A3842:A3905" si="60">B3842&amp;"|"&amp;C3842</f>
        <v>tRNA-Ser-TGA-1-1|27</v>
      </c>
      <c r="B3842" s="4" t="s">
        <v>88</v>
      </c>
      <c r="C3842" s="4" t="s">
        <v>143</v>
      </c>
      <c r="D3842" s="4">
        <v>28</v>
      </c>
      <c r="E3842" s="20" t="s">
        <v>114</v>
      </c>
      <c r="F3842" s="21" t="s">
        <v>144</v>
      </c>
    </row>
    <row r="3843" spans="1:6">
      <c r="A3843" s="4" t="str">
        <f t="shared" si="60"/>
        <v>tRNA-Ser-TGA-1-1|28</v>
      </c>
      <c r="B3843" s="4" t="s">
        <v>88</v>
      </c>
      <c r="C3843" s="4" t="s">
        <v>145</v>
      </c>
      <c r="D3843" s="4">
        <v>29</v>
      </c>
      <c r="E3843" s="20" t="s">
        <v>114</v>
      </c>
      <c r="F3843" s="21" t="s">
        <v>144</v>
      </c>
    </row>
    <row r="3844" spans="1:6">
      <c r="A3844" s="4" t="str">
        <f t="shared" si="60"/>
        <v>tRNA-Ser-TGA-1-1|29</v>
      </c>
      <c r="B3844" s="4" t="s">
        <v>88</v>
      </c>
      <c r="C3844" s="4" t="s">
        <v>146</v>
      </c>
      <c r="D3844" s="4">
        <v>30</v>
      </c>
      <c r="E3844" s="20" t="s">
        <v>109</v>
      </c>
      <c r="F3844" s="21" t="s">
        <v>144</v>
      </c>
    </row>
    <row r="3845" spans="1:6">
      <c r="A3845" s="4" t="str">
        <f t="shared" si="60"/>
        <v>tRNA-Ser-TGA-1-1|30</v>
      </c>
      <c r="B3845" s="4" t="s">
        <v>88</v>
      </c>
      <c r="C3845" s="4" t="s">
        <v>147</v>
      </c>
      <c r="D3845" s="4">
        <v>31</v>
      </c>
      <c r="E3845" s="20" t="s">
        <v>109</v>
      </c>
      <c r="F3845" s="21" t="s">
        <v>144</v>
      </c>
    </row>
    <row r="3846" spans="1:6">
      <c r="A3846" s="4" t="str">
        <f t="shared" si="60"/>
        <v>tRNA-Ser-TGA-1-1|31</v>
      </c>
      <c r="B3846" s="4" t="s">
        <v>88</v>
      </c>
      <c r="C3846" s="4" t="s">
        <v>148</v>
      </c>
      <c r="D3846" s="4">
        <v>32</v>
      </c>
      <c r="E3846" s="20" t="s">
        <v>116</v>
      </c>
      <c r="F3846" s="21" t="s">
        <v>144</v>
      </c>
    </row>
    <row r="3847" spans="1:6">
      <c r="A3847" s="4" t="str">
        <f t="shared" si="60"/>
        <v>tRNA-Ser-TGA-1-1|32</v>
      </c>
      <c r="B3847" s="4" t="s">
        <v>88</v>
      </c>
      <c r="C3847" s="4" t="s">
        <v>149</v>
      </c>
      <c r="D3847" s="4">
        <v>33</v>
      </c>
      <c r="E3847" s="18" t="s">
        <v>114</v>
      </c>
      <c r="F3847" s="19" t="s">
        <v>150</v>
      </c>
    </row>
    <row r="3848" spans="1:6">
      <c r="A3848" s="4" t="str">
        <f t="shared" si="60"/>
        <v>tRNA-Ser-TGA-1-1|33</v>
      </c>
      <c r="B3848" s="4" t="s">
        <v>88</v>
      </c>
      <c r="C3848" s="4" t="s">
        <v>151</v>
      </c>
      <c r="D3848" s="4">
        <v>34</v>
      </c>
      <c r="E3848" s="18" t="s">
        <v>116</v>
      </c>
      <c r="F3848" s="19" t="s">
        <v>150</v>
      </c>
    </row>
    <row r="3849" spans="1:6">
      <c r="A3849" s="4" t="str">
        <f t="shared" si="60"/>
        <v>tRNA-Ser-TGA-1-1|34</v>
      </c>
      <c r="B3849" s="4" t="s">
        <v>88</v>
      </c>
      <c r="C3849" s="4" t="s">
        <v>152</v>
      </c>
      <c r="D3849" s="4">
        <v>35</v>
      </c>
      <c r="E3849" s="18" t="s">
        <v>116</v>
      </c>
      <c r="F3849" s="19" t="s">
        <v>150</v>
      </c>
    </row>
    <row r="3850" spans="1:6">
      <c r="A3850" s="4" t="str">
        <f t="shared" si="60"/>
        <v>tRNA-Ser-TGA-1-1|35</v>
      </c>
      <c r="B3850" s="4" t="s">
        <v>88</v>
      </c>
      <c r="C3850" s="4" t="s">
        <v>153</v>
      </c>
      <c r="D3850" s="4">
        <v>36</v>
      </c>
      <c r="E3850" s="18" t="s">
        <v>109</v>
      </c>
      <c r="F3850" s="19" t="s">
        <v>150</v>
      </c>
    </row>
    <row r="3851" spans="1:6">
      <c r="A3851" s="4" t="str">
        <f t="shared" si="60"/>
        <v>tRNA-Ser-TGA-1-1|36</v>
      </c>
      <c r="B3851" s="4" t="s">
        <v>88</v>
      </c>
      <c r="C3851" s="4" t="s">
        <v>154</v>
      </c>
      <c r="D3851" s="4">
        <v>37</v>
      </c>
      <c r="E3851" s="18" t="s">
        <v>122</v>
      </c>
      <c r="F3851" s="19" t="s">
        <v>150</v>
      </c>
    </row>
    <row r="3852" spans="1:6">
      <c r="A3852" s="4" t="str">
        <f t="shared" si="60"/>
        <v>tRNA-Ser-TGA-1-1|37</v>
      </c>
      <c r="B3852" s="4" t="s">
        <v>88</v>
      </c>
      <c r="C3852" s="4" t="s">
        <v>155</v>
      </c>
      <c r="D3852" s="4">
        <v>38</v>
      </c>
      <c r="E3852" s="18" t="s">
        <v>122</v>
      </c>
      <c r="F3852" s="19" t="s">
        <v>150</v>
      </c>
    </row>
    <row r="3853" spans="1:6">
      <c r="A3853" s="4" t="str">
        <f t="shared" si="60"/>
        <v>tRNA-Ser-TGA-1-1|38</v>
      </c>
      <c r="B3853" s="4" t="s">
        <v>88</v>
      </c>
      <c r="C3853" s="4" t="s">
        <v>156</v>
      </c>
      <c r="D3853" s="4">
        <v>39</v>
      </c>
      <c r="E3853" s="18" t="s">
        <v>122</v>
      </c>
      <c r="F3853" s="19" t="s">
        <v>150</v>
      </c>
    </row>
    <row r="3854" spans="1:6">
      <c r="A3854" s="4" t="str">
        <f t="shared" si="60"/>
        <v>tRNA-Ser-TGA-1-1|39</v>
      </c>
      <c r="B3854" s="4" t="s">
        <v>88</v>
      </c>
      <c r="C3854" s="4" t="s">
        <v>157</v>
      </c>
      <c r="D3854" s="4">
        <v>40</v>
      </c>
      <c r="E3854" s="20" t="s">
        <v>122</v>
      </c>
      <c r="F3854" s="21" t="s">
        <v>144</v>
      </c>
    </row>
    <row r="3855" spans="1:6">
      <c r="A3855" s="4" t="str">
        <f t="shared" si="60"/>
        <v>tRNA-Ser-TGA-1-1|40</v>
      </c>
      <c r="B3855" s="4" t="s">
        <v>88</v>
      </c>
      <c r="C3855" s="4" t="s">
        <v>158</v>
      </c>
      <c r="D3855" s="4">
        <v>41</v>
      </c>
      <c r="E3855" s="20" t="s">
        <v>114</v>
      </c>
      <c r="F3855" s="21" t="s">
        <v>144</v>
      </c>
    </row>
    <row r="3856" spans="1:6">
      <c r="A3856" s="4" t="str">
        <f t="shared" si="60"/>
        <v>tRNA-Ser-TGA-1-1|41</v>
      </c>
      <c r="B3856" s="4" t="s">
        <v>88</v>
      </c>
      <c r="C3856" s="4" t="s">
        <v>159</v>
      </c>
      <c r="D3856" s="4">
        <v>42</v>
      </c>
      <c r="E3856" s="20" t="s">
        <v>114</v>
      </c>
      <c r="F3856" s="21" t="s">
        <v>144</v>
      </c>
    </row>
    <row r="3857" spans="1:6">
      <c r="A3857" s="4" t="str">
        <f t="shared" si="60"/>
        <v>tRNA-Ser-TGA-1-1|42</v>
      </c>
      <c r="B3857" s="4" t="s">
        <v>88</v>
      </c>
      <c r="C3857" s="4" t="s">
        <v>160</v>
      </c>
      <c r="D3857" s="4">
        <v>43</v>
      </c>
      <c r="E3857" s="20" t="s">
        <v>109</v>
      </c>
      <c r="F3857" s="21" t="s">
        <v>144</v>
      </c>
    </row>
    <row r="3858" spans="1:6">
      <c r="A3858" s="4" t="str">
        <f t="shared" si="60"/>
        <v>tRNA-Ser-TGA-1-1|43</v>
      </c>
      <c r="B3858" s="4" t="s">
        <v>88</v>
      </c>
      <c r="C3858" s="4" t="s">
        <v>161</v>
      </c>
      <c r="D3858" s="4">
        <v>44</v>
      </c>
      <c r="E3858" s="20" t="s">
        <v>109</v>
      </c>
      <c r="F3858" s="21" t="s">
        <v>144</v>
      </c>
    </row>
    <row r="3859" spans="1:6">
      <c r="A3859" s="4" t="str">
        <f t="shared" si="60"/>
        <v>tRNA-Ser-TGA-1-1|44</v>
      </c>
      <c r="B3859" s="4" t="s">
        <v>88</v>
      </c>
      <c r="C3859" s="4" t="s">
        <v>162</v>
      </c>
      <c r="D3859" s="4">
        <v>45</v>
      </c>
      <c r="E3859" s="18" t="s">
        <v>116</v>
      </c>
      <c r="F3859" s="19" t="s">
        <v>163</v>
      </c>
    </row>
    <row r="3860" spans="1:6">
      <c r="A3860" s="4" t="str">
        <f t="shared" si="60"/>
        <v>tRNA-Ser-TGA-1-1|45</v>
      </c>
      <c r="B3860" s="4" t="s">
        <v>88</v>
      </c>
      <c r="C3860" s="4" t="s">
        <v>164</v>
      </c>
      <c r="D3860" s="4">
        <v>46</v>
      </c>
      <c r="E3860" s="18" t="s">
        <v>122</v>
      </c>
      <c r="F3860" s="19" t="s">
        <v>163</v>
      </c>
    </row>
    <row r="3861" spans="1:6">
      <c r="A3861" s="4" t="str">
        <f t="shared" si="60"/>
        <v>tRNA-Ser-TGA-1-1|e1</v>
      </c>
      <c r="B3861" s="4" t="s">
        <v>88</v>
      </c>
      <c r="C3861" s="4" t="s">
        <v>198</v>
      </c>
      <c r="D3861" s="4">
        <v>47</v>
      </c>
      <c r="E3861" s="18" t="s">
        <v>109</v>
      </c>
      <c r="F3861" s="19" t="s">
        <v>163</v>
      </c>
    </row>
    <row r="3862" spans="1:6">
      <c r="A3862" s="4" t="str">
        <f t="shared" si="60"/>
        <v>tRNA-Ser-TGA-1-1|e2</v>
      </c>
      <c r="B3862" s="4" t="s">
        <v>88</v>
      </c>
      <c r="C3862" s="4" t="s">
        <v>199</v>
      </c>
      <c r="D3862" s="4">
        <v>48</v>
      </c>
      <c r="E3862" s="18" t="s">
        <v>114</v>
      </c>
      <c r="F3862" s="19" t="s">
        <v>163</v>
      </c>
    </row>
    <row r="3863" spans="1:6">
      <c r="A3863" s="4" t="str">
        <f t="shared" si="60"/>
        <v>tRNA-Ser-TGA-1-1|e3</v>
      </c>
      <c r="B3863" s="4" t="s">
        <v>88</v>
      </c>
      <c r="C3863" s="4" t="s">
        <v>200</v>
      </c>
      <c r="D3863" s="4">
        <v>49</v>
      </c>
      <c r="E3863" s="18" t="s">
        <v>109</v>
      </c>
      <c r="F3863" s="19" t="s">
        <v>163</v>
      </c>
    </row>
    <row r="3864" spans="1:6">
      <c r="A3864" s="4" t="str">
        <f t="shared" si="60"/>
        <v>tRNA-Ser-TGA-1-1|e4</v>
      </c>
      <c r="B3864" s="4" t="s">
        <v>88</v>
      </c>
      <c r="C3864" s="4" t="s">
        <v>201</v>
      </c>
      <c r="D3864" s="4">
        <v>50</v>
      </c>
      <c r="E3864" s="18" t="s">
        <v>114</v>
      </c>
      <c r="F3864" s="19" t="s">
        <v>163</v>
      </c>
    </row>
    <row r="3865" spans="1:6">
      <c r="A3865" s="4" t="str">
        <f t="shared" si="60"/>
        <v>tRNA-Ser-TGA-1-1|e5</v>
      </c>
      <c r="B3865" s="4" t="s">
        <v>88</v>
      </c>
      <c r="C3865" s="4" t="s">
        <v>202</v>
      </c>
      <c r="D3865" s="4">
        <v>51</v>
      </c>
      <c r="E3865" s="18" t="s">
        <v>116</v>
      </c>
      <c r="F3865" s="19" t="s">
        <v>163</v>
      </c>
    </row>
    <row r="3866" spans="1:6">
      <c r="A3866" s="4" t="str">
        <f t="shared" si="60"/>
        <v>tRNA-Ser-TGA-1-1|e6</v>
      </c>
      <c r="B3866" s="4" t="s">
        <v>88</v>
      </c>
      <c r="C3866" s="4" t="s">
        <v>203</v>
      </c>
      <c r="D3866" s="4">
        <v>52</v>
      </c>
      <c r="E3866" s="18" t="s">
        <v>116</v>
      </c>
      <c r="F3866" s="19" t="s">
        <v>163</v>
      </c>
    </row>
    <row r="3867" spans="1:6">
      <c r="A3867" s="4" t="str">
        <f t="shared" si="60"/>
        <v>tRNA-Ser-TGA-1-1|e7</v>
      </c>
      <c r="B3867" s="4" t="s">
        <v>88</v>
      </c>
      <c r="C3867" s="4" t="s">
        <v>204</v>
      </c>
      <c r="D3867" s="4">
        <v>53</v>
      </c>
      <c r="E3867" s="18" t="s">
        <v>116</v>
      </c>
      <c r="F3867" s="19" t="s">
        <v>163</v>
      </c>
    </row>
    <row r="3868" spans="1:6">
      <c r="A3868" s="4" t="str">
        <f t="shared" si="60"/>
        <v>tRNA-Ser-TGA-1-1|e8</v>
      </c>
      <c r="B3868" s="4" t="s">
        <v>88</v>
      </c>
      <c r="C3868" s="4" t="s">
        <v>205</v>
      </c>
      <c r="D3868" s="4">
        <v>54</v>
      </c>
      <c r="E3868" s="18" t="s">
        <v>109</v>
      </c>
      <c r="F3868" s="19" t="s">
        <v>163</v>
      </c>
    </row>
    <row r="3869" spans="1:6">
      <c r="A3869" s="4" t="str">
        <f t="shared" si="60"/>
        <v>tRNA-Ser-TGA-1-1|e9</v>
      </c>
      <c r="B3869" s="4" t="s">
        <v>88</v>
      </c>
      <c r="C3869" s="4" t="s">
        <v>206</v>
      </c>
      <c r="D3869" s="4">
        <v>55</v>
      </c>
      <c r="E3869" s="18" t="s">
        <v>114</v>
      </c>
      <c r="F3869" s="19" t="s">
        <v>163</v>
      </c>
    </row>
    <row r="3870" spans="1:6">
      <c r="A3870" s="4" t="str">
        <f t="shared" si="60"/>
        <v>tRNA-Ser-TGA-1-1|e10</v>
      </c>
      <c r="B3870" s="4" t="s">
        <v>88</v>
      </c>
      <c r="C3870" s="4" t="s">
        <v>207</v>
      </c>
      <c r="D3870" s="4">
        <v>56</v>
      </c>
      <c r="E3870" s="18" t="s">
        <v>109</v>
      </c>
      <c r="F3870" s="19" t="s">
        <v>163</v>
      </c>
    </row>
    <row r="3871" spans="1:6">
      <c r="A3871" s="4" t="str">
        <f t="shared" si="60"/>
        <v>tRNA-Ser-TGA-1-1|e11</v>
      </c>
      <c r="B3871" s="4" t="s">
        <v>88</v>
      </c>
      <c r="C3871" s="4" t="s">
        <v>208</v>
      </c>
      <c r="D3871" s="4">
        <v>57</v>
      </c>
      <c r="E3871" s="18" t="s">
        <v>114</v>
      </c>
      <c r="F3871" s="19" t="s">
        <v>163</v>
      </c>
    </row>
    <row r="3872" spans="1:6">
      <c r="A3872" s="4" t="str">
        <f t="shared" si="60"/>
        <v>tRNA-Ser-TGA-1-1|46</v>
      </c>
      <c r="B3872" s="4" t="s">
        <v>88</v>
      </c>
      <c r="C3872" s="4" t="s">
        <v>165</v>
      </c>
      <c r="D3872" s="4">
        <v>58</v>
      </c>
      <c r="E3872" s="18" t="s">
        <v>116</v>
      </c>
      <c r="F3872" s="19" t="s">
        <v>163</v>
      </c>
    </row>
    <row r="3873" spans="1:6">
      <c r="A3873" s="4" t="str">
        <f t="shared" si="60"/>
        <v>tRNA-Ser-TGA-1-1|47</v>
      </c>
      <c r="B3873" s="4" t="s">
        <v>88</v>
      </c>
      <c r="C3873" s="4" t="s">
        <v>166</v>
      </c>
      <c r="D3873" s="4">
        <v>59</v>
      </c>
      <c r="E3873" s="18" t="s">
        <v>122</v>
      </c>
      <c r="F3873" s="19" t="s">
        <v>163</v>
      </c>
    </row>
    <row r="3874" spans="1:6">
      <c r="A3874" s="4" t="str">
        <f t="shared" si="60"/>
        <v>tRNA-Ser-TGA-1-1|48</v>
      </c>
      <c r="B3874" s="4" t="s">
        <v>88</v>
      </c>
      <c r="C3874" s="4" t="s">
        <v>167</v>
      </c>
      <c r="D3874" s="4">
        <v>60</v>
      </c>
      <c r="E3874" s="18" t="s">
        <v>114</v>
      </c>
      <c r="F3874" s="19" t="s">
        <v>163</v>
      </c>
    </row>
    <row r="3875" spans="1:6">
      <c r="A3875" s="4" t="str">
        <f t="shared" si="60"/>
        <v>tRNA-Ser-TGA-1-1|49</v>
      </c>
      <c r="B3875" s="4" t="s">
        <v>88</v>
      </c>
      <c r="C3875" s="4" t="s">
        <v>168</v>
      </c>
      <c r="D3875" s="4">
        <v>61</v>
      </c>
      <c r="E3875" s="22" t="s">
        <v>109</v>
      </c>
      <c r="F3875" s="10" t="s">
        <v>169</v>
      </c>
    </row>
    <row r="3876" spans="1:6">
      <c r="A3876" s="4" t="str">
        <f t="shared" si="60"/>
        <v>tRNA-Ser-TGA-1-1|50</v>
      </c>
      <c r="B3876" s="4" t="s">
        <v>88</v>
      </c>
      <c r="C3876" s="4" t="s">
        <v>170</v>
      </c>
      <c r="D3876" s="4">
        <v>62</v>
      </c>
      <c r="E3876" s="22" t="s">
        <v>109</v>
      </c>
      <c r="F3876" s="10" t="s">
        <v>169</v>
      </c>
    </row>
    <row r="3877" spans="1:6">
      <c r="A3877" s="4" t="str">
        <f t="shared" si="60"/>
        <v>tRNA-Ser-TGA-1-1|51</v>
      </c>
      <c r="B3877" s="4" t="s">
        <v>88</v>
      </c>
      <c r="C3877" s="4" t="s">
        <v>171</v>
      </c>
      <c r="D3877" s="4">
        <v>63</v>
      </c>
      <c r="E3877" s="22" t="s">
        <v>109</v>
      </c>
      <c r="F3877" s="10" t="s">
        <v>169</v>
      </c>
    </row>
    <row r="3878" spans="1:6">
      <c r="A3878" s="4" t="str">
        <f t="shared" si="60"/>
        <v>tRNA-Ser-TGA-1-1|52</v>
      </c>
      <c r="B3878" s="4" t="s">
        <v>88</v>
      </c>
      <c r="C3878" s="4" t="s">
        <v>172</v>
      </c>
      <c r="D3878" s="4">
        <v>64</v>
      </c>
      <c r="E3878" s="22" t="s">
        <v>122</v>
      </c>
      <c r="F3878" s="10" t="s">
        <v>169</v>
      </c>
    </row>
    <row r="3879" spans="1:6">
      <c r="A3879" s="4" t="str">
        <f t="shared" si="60"/>
        <v>tRNA-Ser-TGA-1-1|53</v>
      </c>
      <c r="B3879" s="4" t="s">
        <v>88</v>
      </c>
      <c r="C3879" s="4" t="s">
        <v>173</v>
      </c>
      <c r="D3879" s="4">
        <v>65</v>
      </c>
      <c r="E3879" s="22" t="s">
        <v>109</v>
      </c>
      <c r="F3879" s="10" t="s">
        <v>169</v>
      </c>
    </row>
    <row r="3880" spans="1:6">
      <c r="A3880" s="4" t="str">
        <f t="shared" si="60"/>
        <v>tRNA-Ser-TGA-1-1|54</v>
      </c>
      <c r="B3880" s="4" t="s">
        <v>88</v>
      </c>
      <c r="C3880" s="4" t="s">
        <v>174</v>
      </c>
      <c r="D3880" s="4">
        <v>66</v>
      </c>
      <c r="E3880" s="18" t="s">
        <v>116</v>
      </c>
      <c r="F3880" s="19" t="s">
        <v>175</v>
      </c>
    </row>
    <row r="3881" spans="1:6">
      <c r="A3881" s="4" t="str">
        <f t="shared" si="60"/>
        <v>tRNA-Ser-TGA-1-1|55</v>
      </c>
      <c r="B3881" s="4" t="s">
        <v>88</v>
      </c>
      <c r="C3881" s="4" t="s">
        <v>176</v>
      </c>
      <c r="D3881" s="4">
        <v>67</v>
      </c>
      <c r="E3881" s="18" t="s">
        <v>116</v>
      </c>
      <c r="F3881" s="19" t="s">
        <v>175</v>
      </c>
    </row>
    <row r="3882" spans="1:6">
      <c r="A3882" s="4" t="str">
        <f t="shared" si="60"/>
        <v>tRNA-Ser-TGA-1-1|56</v>
      </c>
      <c r="B3882" s="4" t="s">
        <v>88</v>
      </c>
      <c r="C3882" s="4" t="s">
        <v>177</v>
      </c>
      <c r="D3882" s="4">
        <v>68</v>
      </c>
      <c r="E3882" s="18" t="s">
        <v>114</v>
      </c>
      <c r="F3882" s="19" t="s">
        <v>175</v>
      </c>
    </row>
    <row r="3883" spans="1:6">
      <c r="A3883" s="4" t="str">
        <f t="shared" si="60"/>
        <v>tRNA-Ser-TGA-1-1|57</v>
      </c>
      <c r="B3883" s="4" t="s">
        <v>88</v>
      </c>
      <c r="C3883" s="4" t="s">
        <v>178</v>
      </c>
      <c r="D3883" s="4">
        <v>69</v>
      </c>
      <c r="E3883" s="18" t="s">
        <v>109</v>
      </c>
      <c r="F3883" s="19" t="s">
        <v>175</v>
      </c>
    </row>
    <row r="3884" spans="1:6">
      <c r="A3884" s="4" t="str">
        <f t="shared" si="60"/>
        <v>tRNA-Ser-TGA-1-1|58</v>
      </c>
      <c r="B3884" s="4" t="s">
        <v>88</v>
      </c>
      <c r="C3884" s="4" t="s">
        <v>179</v>
      </c>
      <c r="D3884" s="4">
        <v>70</v>
      </c>
      <c r="E3884" s="18" t="s">
        <v>122</v>
      </c>
      <c r="F3884" s="19" t="s">
        <v>175</v>
      </c>
    </row>
    <row r="3885" spans="1:6">
      <c r="A3885" s="4" t="str">
        <f t="shared" si="60"/>
        <v>tRNA-Ser-TGA-1-1|59</v>
      </c>
      <c r="B3885" s="4" t="s">
        <v>88</v>
      </c>
      <c r="C3885" s="4" t="s">
        <v>180</v>
      </c>
      <c r="D3885" s="4">
        <v>71</v>
      </c>
      <c r="E3885" s="18" t="s">
        <v>122</v>
      </c>
      <c r="F3885" s="19" t="s">
        <v>175</v>
      </c>
    </row>
    <row r="3886" spans="1:6">
      <c r="A3886" s="4" t="str">
        <f t="shared" si="60"/>
        <v>tRNA-Ser-TGA-1-1|60</v>
      </c>
      <c r="B3886" s="4" t="s">
        <v>88</v>
      </c>
      <c r="C3886" s="4" t="s">
        <v>181</v>
      </c>
      <c r="D3886" s="4">
        <v>72</v>
      </c>
      <c r="E3886" s="18" t="s">
        <v>116</v>
      </c>
      <c r="F3886" s="19" t="s">
        <v>175</v>
      </c>
    </row>
    <row r="3887" spans="1:6">
      <c r="A3887" s="4" t="str">
        <f t="shared" si="60"/>
        <v>tRNA-Ser-TGA-1-1|61</v>
      </c>
      <c r="B3887" s="4" t="s">
        <v>88</v>
      </c>
      <c r="C3887" s="4" t="s">
        <v>182</v>
      </c>
      <c r="D3887" s="4">
        <v>73</v>
      </c>
      <c r="E3887" s="22" t="s">
        <v>114</v>
      </c>
      <c r="F3887" s="10" t="s">
        <v>169</v>
      </c>
    </row>
    <row r="3888" spans="1:6">
      <c r="A3888" s="4" t="str">
        <f t="shared" si="60"/>
        <v>tRNA-Ser-TGA-1-1|62</v>
      </c>
      <c r="B3888" s="4" t="s">
        <v>88</v>
      </c>
      <c r="C3888" s="4" t="s">
        <v>183</v>
      </c>
      <c r="D3888" s="4">
        <v>74</v>
      </c>
      <c r="E3888" s="22" t="s">
        <v>116</v>
      </c>
      <c r="F3888" s="10" t="s">
        <v>169</v>
      </c>
    </row>
    <row r="3889" spans="1:6">
      <c r="A3889" s="4" t="str">
        <f t="shared" si="60"/>
        <v>tRNA-Ser-TGA-1-1|63</v>
      </c>
      <c r="B3889" s="4" t="s">
        <v>88</v>
      </c>
      <c r="C3889" s="4" t="s">
        <v>184</v>
      </c>
      <c r="D3889" s="4">
        <v>75</v>
      </c>
      <c r="E3889" s="22" t="s">
        <v>114</v>
      </c>
      <c r="F3889" s="10" t="s">
        <v>169</v>
      </c>
    </row>
    <row r="3890" spans="1:6">
      <c r="A3890" s="4" t="str">
        <f t="shared" si="60"/>
        <v>tRNA-Ser-TGA-1-1|64</v>
      </c>
      <c r="B3890" s="4" t="s">
        <v>88</v>
      </c>
      <c r="C3890" s="4" t="s">
        <v>185</v>
      </c>
      <c r="D3890" s="4">
        <v>76</v>
      </c>
      <c r="E3890" s="22" t="s">
        <v>114</v>
      </c>
      <c r="F3890" s="10" t="s">
        <v>169</v>
      </c>
    </row>
    <row r="3891" spans="1:6">
      <c r="A3891" s="4" t="str">
        <f t="shared" si="60"/>
        <v>tRNA-Ser-TGA-1-1|65</v>
      </c>
      <c r="B3891" s="4" t="s">
        <v>88</v>
      </c>
      <c r="C3891" s="4" t="s">
        <v>186</v>
      </c>
      <c r="D3891" s="4">
        <v>77</v>
      </c>
      <c r="E3891" s="22" t="s">
        <v>114</v>
      </c>
      <c r="F3891" s="10" t="s">
        <v>169</v>
      </c>
    </row>
    <row r="3892" spans="1:6">
      <c r="A3892" s="4" t="str">
        <f t="shared" si="60"/>
        <v>tRNA-Ser-TGA-1-1|66</v>
      </c>
      <c r="B3892" s="4" t="s">
        <v>88</v>
      </c>
      <c r="C3892" s="4" t="s">
        <v>187</v>
      </c>
      <c r="D3892" s="4">
        <v>78</v>
      </c>
      <c r="E3892" s="16" t="s">
        <v>114</v>
      </c>
      <c r="F3892" s="17" t="s">
        <v>110</v>
      </c>
    </row>
    <row r="3893" spans="1:6">
      <c r="A3893" s="4" t="str">
        <f t="shared" si="60"/>
        <v>tRNA-Ser-TGA-1-1|67</v>
      </c>
      <c r="B3893" s="4" t="s">
        <v>88</v>
      </c>
      <c r="C3893" s="4" t="s">
        <v>188</v>
      </c>
      <c r="D3893" s="4">
        <v>79</v>
      </c>
      <c r="E3893" s="16" t="s">
        <v>114</v>
      </c>
      <c r="F3893" s="17" t="s">
        <v>110</v>
      </c>
    </row>
    <row r="3894" spans="1:6">
      <c r="A3894" s="4" t="str">
        <f t="shared" si="60"/>
        <v>tRNA-Ser-TGA-1-1|68</v>
      </c>
      <c r="B3894" s="4" t="s">
        <v>88</v>
      </c>
      <c r="C3894" s="4" t="s">
        <v>189</v>
      </c>
      <c r="D3894" s="4">
        <v>80</v>
      </c>
      <c r="E3894" s="16" t="s">
        <v>116</v>
      </c>
      <c r="F3894" s="17" t="s">
        <v>110</v>
      </c>
    </row>
    <row r="3895" spans="1:6">
      <c r="A3895" s="4" t="str">
        <f t="shared" si="60"/>
        <v>tRNA-Ser-TGA-1-1|69</v>
      </c>
      <c r="B3895" s="4" t="s">
        <v>88</v>
      </c>
      <c r="C3895" s="4" t="s">
        <v>190</v>
      </c>
      <c r="D3895" s="4">
        <v>81</v>
      </c>
      <c r="E3895" s="16" t="s">
        <v>114</v>
      </c>
      <c r="F3895" s="17" t="s">
        <v>110</v>
      </c>
    </row>
    <row r="3896" spans="1:6">
      <c r="A3896" s="4" t="str">
        <f t="shared" si="60"/>
        <v>tRNA-Ser-TGA-1-1|70</v>
      </c>
      <c r="B3896" s="4" t="s">
        <v>88</v>
      </c>
      <c r="C3896" s="4" t="s">
        <v>191</v>
      </c>
      <c r="D3896" s="4">
        <v>82</v>
      </c>
      <c r="E3896" s="16" t="s">
        <v>122</v>
      </c>
      <c r="F3896" s="17" t="s">
        <v>110</v>
      </c>
    </row>
    <row r="3897" spans="1:6">
      <c r="A3897" s="4" t="str">
        <f t="shared" si="60"/>
        <v>tRNA-Ser-TGA-1-1|71</v>
      </c>
      <c r="B3897" s="4" t="s">
        <v>88</v>
      </c>
      <c r="C3897" s="4" t="s">
        <v>192</v>
      </c>
      <c r="D3897" s="4">
        <v>83</v>
      </c>
      <c r="E3897" s="16" t="s">
        <v>109</v>
      </c>
      <c r="F3897" s="17" t="s">
        <v>110</v>
      </c>
    </row>
    <row r="3898" spans="1:6">
      <c r="A3898" s="4" t="str">
        <f t="shared" si="60"/>
        <v>tRNA-Ser-TGA-1-1|72</v>
      </c>
      <c r="B3898" s="4" t="s">
        <v>88</v>
      </c>
      <c r="C3898" s="4" t="s">
        <v>193</v>
      </c>
      <c r="D3898" s="4">
        <v>84</v>
      </c>
      <c r="E3898" s="16" t="s">
        <v>114</v>
      </c>
      <c r="F3898" s="17" t="s">
        <v>110</v>
      </c>
    </row>
    <row r="3899" spans="1:6">
      <c r="A3899" s="4" t="str">
        <f t="shared" si="60"/>
        <v>tRNA-Thr-CGT-1-1|1</v>
      </c>
      <c r="B3899" s="4" t="s">
        <v>89</v>
      </c>
      <c r="C3899" s="4" t="s">
        <v>108</v>
      </c>
      <c r="D3899" s="4">
        <v>1</v>
      </c>
      <c r="E3899" s="16" t="s">
        <v>109</v>
      </c>
      <c r="F3899" s="17" t="s">
        <v>110</v>
      </c>
    </row>
    <row r="3900" spans="1:6">
      <c r="A3900" s="4" t="str">
        <f t="shared" si="60"/>
        <v>tRNA-Thr-CGT-1-1|2</v>
      </c>
      <c r="B3900" s="4" t="s">
        <v>89</v>
      </c>
      <c r="C3900" s="4" t="s">
        <v>111</v>
      </c>
      <c r="D3900" s="4">
        <v>2</v>
      </c>
      <c r="E3900" s="16" t="s">
        <v>114</v>
      </c>
      <c r="F3900" s="17" t="s">
        <v>110</v>
      </c>
    </row>
    <row r="3901" spans="1:6">
      <c r="A3901" s="4" t="str">
        <f t="shared" si="60"/>
        <v>tRNA-Thr-CGT-1-1|3</v>
      </c>
      <c r="B3901" s="4" t="s">
        <v>89</v>
      </c>
      <c r="C3901" s="4" t="s">
        <v>112</v>
      </c>
      <c r="D3901" s="4">
        <v>3</v>
      </c>
      <c r="E3901" s="16" t="s">
        <v>114</v>
      </c>
      <c r="F3901" s="17" t="s">
        <v>110</v>
      </c>
    </row>
    <row r="3902" spans="1:6">
      <c r="A3902" s="4" t="str">
        <f t="shared" si="60"/>
        <v>tRNA-Thr-CGT-1-1|4</v>
      </c>
      <c r="B3902" s="4" t="s">
        <v>89</v>
      </c>
      <c r="C3902" s="4" t="s">
        <v>113</v>
      </c>
      <c r="D3902" s="4">
        <v>4</v>
      </c>
      <c r="E3902" s="16" t="s">
        <v>109</v>
      </c>
      <c r="F3902" s="17" t="s">
        <v>110</v>
      </c>
    </row>
    <row r="3903" spans="1:6">
      <c r="A3903" s="4" t="str">
        <f t="shared" si="60"/>
        <v>tRNA-Thr-CGT-1-1|5</v>
      </c>
      <c r="B3903" s="4" t="s">
        <v>89</v>
      </c>
      <c r="C3903" s="4" t="s">
        <v>115</v>
      </c>
      <c r="D3903" s="4">
        <v>5</v>
      </c>
      <c r="E3903" s="16" t="s">
        <v>116</v>
      </c>
      <c r="F3903" s="17" t="s">
        <v>110</v>
      </c>
    </row>
    <row r="3904" spans="1:6">
      <c r="A3904" s="4" t="str">
        <f t="shared" si="60"/>
        <v>tRNA-Thr-CGT-1-1|6</v>
      </c>
      <c r="B3904" s="4" t="s">
        <v>89</v>
      </c>
      <c r="C3904" s="4" t="s">
        <v>117</v>
      </c>
      <c r="D3904" s="4">
        <v>6</v>
      </c>
      <c r="E3904" s="16" t="s">
        <v>114</v>
      </c>
      <c r="F3904" s="17" t="s">
        <v>110</v>
      </c>
    </row>
    <row r="3905" spans="1:6">
      <c r="A3905" s="4" t="str">
        <f t="shared" si="60"/>
        <v>tRNA-Thr-CGT-1-1|7</v>
      </c>
      <c r="B3905" s="4" t="s">
        <v>89</v>
      </c>
      <c r="C3905" s="4" t="s">
        <v>118</v>
      </c>
      <c r="D3905" s="4">
        <v>7</v>
      </c>
      <c r="E3905" s="16" t="s">
        <v>109</v>
      </c>
      <c r="F3905" s="17" t="s">
        <v>110</v>
      </c>
    </row>
    <row r="3906" spans="1:6">
      <c r="A3906" s="4" t="str">
        <f t="shared" ref="A3906:A3969" si="61">B3906&amp;"|"&amp;C3906</f>
        <v>tRNA-Thr-CGT-1-1|8</v>
      </c>
      <c r="B3906" s="4" t="s">
        <v>89</v>
      </c>
      <c r="C3906" s="4" t="s">
        <v>119</v>
      </c>
      <c r="D3906" s="4">
        <v>8</v>
      </c>
      <c r="E3906" s="3" t="s">
        <v>116</v>
      </c>
      <c r="F3906" s="4" t="s">
        <v>120</v>
      </c>
    </row>
    <row r="3907" spans="1:6">
      <c r="A3907" s="4" t="str">
        <f t="shared" si="61"/>
        <v>tRNA-Thr-CGT-1-1|9</v>
      </c>
      <c r="B3907" s="4" t="s">
        <v>89</v>
      </c>
      <c r="C3907" s="4" t="s">
        <v>121</v>
      </c>
      <c r="D3907" s="4">
        <v>9</v>
      </c>
      <c r="E3907" s="3" t="s">
        <v>109</v>
      </c>
      <c r="F3907" s="4" t="s">
        <v>123</v>
      </c>
    </row>
    <row r="3908" spans="1:6">
      <c r="A3908" s="4" t="str">
        <f t="shared" si="61"/>
        <v>tRNA-Thr-CGT-1-1|10</v>
      </c>
      <c r="B3908" s="4" t="s">
        <v>89</v>
      </c>
      <c r="C3908" s="4" t="s">
        <v>124</v>
      </c>
      <c r="D3908" s="4">
        <v>10</v>
      </c>
      <c r="E3908" s="8" t="s">
        <v>109</v>
      </c>
      <c r="F3908" s="7" t="s">
        <v>125</v>
      </c>
    </row>
    <row r="3909" spans="1:6">
      <c r="A3909" s="4" t="str">
        <f t="shared" si="61"/>
        <v>tRNA-Thr-CGT-1-1|11</v>
      </c>
      <c r="B3909" s="4" t="s">
        <v>89</v>
      </c>
      <c r="C3909" s="4" t="s">
        <v>126</v>
      </c>
      <c r="D3909" s="4">
        <v>11</v>
      </c>
      <c r="E3909" s="8" t="s">
        <v>114</v>
      </c>
      <c r="F3909" s="7" t="s">
        <v>125</v>
      </c>
    </row>
    <row r="3910" spans="1:6">
      <c r="A3910" s="4" t="str">
        <f t="shared" si="61"/>
        <v>tRNA-Thr-CGT-1-1|12</v>
      </c>
      <c r="B3910" s="4" t="s">
        <v>89</v>
      </c>
      <c r="C3910" s="4" t="s">
        <v>127</v>
      </c>
      <c r="D3910" s="4">
        <v>12</v>
      </c>
      <c r="E3910" s="8" t="s">
        <v>116</v>
      </c>
      <c r="F3910" s="7" t="s">
        <v>125</v>
      </c>
    </row>
    <row r="3911" spans="1:6">
      <c r="A3911" s="4" t="str">
        <f t="shared" si="61"/>
        <v>tRNA-Thr-CGT-1-1|13</v>
      </c>
      <c r="B3911" s="4" t="s">
        <v>89</v>
      </c>
      <c r="C3911" s="4" t="s">
        <v>128</v>
      </c>
      <c r="D3911" s="4">
        <v>13</v>
      </c>
      <c r="E3911" s="8" t="s">
        <v>116</v>
      </c>
      <c r="F3911" s="7" t="s">
        <v>125</v>
      </c>
    </row>
    <row r="3912" spans="1:6">
      <c r="A3912" s="4" t="str">
        <f t="shared" si="61"/>
        <v>tRNA-Thr-CGT-1-1|14</v>
      </c>
      <c r="B3912" s="4" t="s">
        <v>89</v>
      </c>
      <c r="C3912" s="4" t="s">
        <v>129</v>
      </c>
      <c r="D3912" s="4">
        <v>14</v>
      </c>
      <c r="E3912" s="18" t="s">
        <v>122</v>
      </c>
      <c r="F3912" s="19" t="s">
        <v>130</v>
      </c>
    </row>
    <row r="3913" spans="1:6">
      <c r="A3913" s="4" t="str">
        <f t="shared" si="61"/>
        <v>tRNA-Thr-CGT-1-1|15</v>
      </c>
      <c r="B3913" s="4" t="s">
        <v>89</v>
      </c>
      <c r="C3913" s="4" t="s">
        <v>131</v>
      </c>
      <c r="D3913" s="4">
        <v>15</v>
      </c>
      <c r="E3913" s="18" t="s">
        <v>109</v>
      </c>
      <c r="F3913" s="19" t="s">
        <v>130</v>
      </c>
    </row>
    <row r="3914" spans="1:6">
      <c r="A3914" s="4" t="str">
        <f t="shared" si="61"/>
        <v>tRNA-Thr-CGT-1-1|16</v>
      </c>
      <c r="B3914" s="4" t="s">
        <v>89</v>
      </c>
      <c r="C3914" s="4" t="s">
        <v>194</v>
      </c>
      <c r="D3914" s="4">
        <v>16</v>
      </c>
      <c r="E3914" s="18" t="s">
        <v>114</v>
      </c>
      <c r="F3914" s="19" t="s">
        <v>130</v>
      </c>
    </row>
    <row r="3915" spans="1:6">
      <c r="A3915" s="4" t="str">
        <f t="shared" si="61"/>
        <v>tRNA-Thr-CGT-1-1|18</v>
      </c>
      <c r="B3915" s="4" t="s">
        <v>89</v>
      </c>
      <c r="C3915" s="4" t="s">
        <v>132</v>
      </c>
      <c r="D3915" s="4">
        <v>17</v>
      </c>
      <c r="E3915" s="18" t="s">
        <v>109</v>
      </c>
      <c r="F3915" s="19" t="s">
        <v>130</v>
      </c>
    </row>
    <row r="3916" spans="1:6">
      <c r="A3916" s="4" t="str">
        <f t="shared" si="61"/>
        <v>tRNA-Thr-CGT-1-1|19</v>
      </c>
      <c r="B3916" s="4" t="s">
        <v>89</v>
      </c>
      <c r="C3916" s="4" t="s">
        <v>133</v>
      </c>
      <c r="D3916" s="4">
        <v>18</v>
      </c>
      <c r="E3916" s="18" t="s">
        <v>109</v>
      </c>
      <c r="F3916" s="19" t="s">
        <v>130</v>
      </c>
    </row>
    <row r="3917" spans="1:6">
      <c r="A3917" s="4" t="str">
        <f t="shared" si="61"/>
        <v>tRNA-Thr-CGT-1-1|20</v>
      </c>
      <c r="B3917" s="4" t="s">
        <v>89</v>
      </c>
      <c r="C3917" s="4" t="s">
        <v>134</v>
      </c>
      <c r="D3917" s="4">
        <v>19</v>
      </c>
      <c r="E3917" s="18" t="s">
        <v>116</v>
      </c>
      <c r="F3917" s="19" t="s">
        <v>130</v>
      </c>
    </row>
    <row r="3918" spans="1:6">
      <c r="A3918" s="4" t="str">
        <f t="shared" si="61"/>
        <v>tRNA-Thr-CGT-1-1|21</v>
      </c>
      <c r="B3918" s="4" t="s">
        <v>89</v>
      </c>
      <c r="C3918" s="4" t="s">
        <v>136</v>
      </c>
      <c r="D3918" s="4">
        <v>20</v>
      </c>
      <c r="E3918" s="18" t="s">
        <v>122</v>
      </c>
      <c r="F3918" s="19" t="s">
        <v>130</v>
      </c>
    </row>
    <row r="3919" spans="1:6">
      <c r="A3919" s="4" t="str">
        <f t="shared" si="61"/>
        <v>tRNA-Thr-CGT-1-1|22</v>
      </c>
      <c r="B3919" s="4" t="s">
        <v>89</v>
      </c>
      <c r="C3919" s="4" t="s">
        <v>137</v>
      </c>
      <c r="D3919" s="4">
        <v>21</v>
      </c>
      <c r="E3919" s="8" t="s">
        <v>116</v>
      </c>
      <c r="F3919" s="7" t="s">
        <v>125</v>
      </c>
    </row>
    <row r="3920" spans="1:6">
      <c r="A3920" s="4" t="str">
        <f t="shared" si="61"/>
        <v>tRNA-Thr-CGT-1-1|23</v>
      </c>
      <c r="B3920" s="4" t="s">
        <v>89</v>
      </c>
      <c r="C3920" s="4" t="s">
        <v>138</v>
      </c>
      <c r="D3920" s="4">
        <v>22</v>
      </c>
      <c r="E3920" s="8" t="s">
        <v>122</v>
      </c>
      <c r="F3920" s="7" t="s">
        <v>125</v>
      </c>
    </row>
    <row r="3921" spans="1:6">
      <c r="A3921" s="4" t="str">
        <f t="shared" si="61"/>
        <v>tRNA-Thr-CGT-1-1|24</v>
      </c>
      <c r="B3921" s="4" t="s">
        <v>89</v>
      </c>
      <c r="C3921" s="4" t="s">
        <v>139</v>
      </c>
      <c r="D3921" s="4">
        <v>23</v>
      </c>
      <c r="E3921" s="8" t="s">
        <v>109</v>
      </c>
      <c r="F3921" s="7" t="s">
        <v>125</v>
      </c>
    </row>
    <row r="3922" spans="1:6">
      <c r="A3922" s="4" t="str">
        <f t="shared" si="61"/>
        <v>tRNA-Thr-CGT-1-1|25</v>
      </c>
      <c r="B3922" s="4" t="s">
        <v>89</v>
      </c>
      <c r="C3922" s="4" t="s">
        <v>140</v>
      </c>
      <c r="D3922" s="4">
        <v>24</v>
      </c>
      <c r="E3922" s="8" t="s">
        <v>114</v>
      </c>
      <c r="F3922" s="7" t="s">
        <v>125</v>
      </c>
    </row>
    <row r="3923" spans="1:6">
      <c r="A3923" s="4" t="str">
        <f t="shared" si="61"/>
        <v>tRNA-Thr-CGT-1-1|26</v>
      </c>
      <c r="B3923" s="4" t="s">
        <v>89</v>
      </c>
      <c r="C3923" s="4" t="s">
        <v>141</v>
      </c>
      <c r="D3923" s="4">
        <v>25</v>
      </c>
      <c r="E3923" s="3" t="s">
        <v>109</v>
      </c>
      <c r="F3923" s="4" t="s">
        <v>142</v>
      </c>
    </row>
    <row r="3924" spans="1:6">
      <c r="A3924" s="4" t="str">
        <f t="shared" si="61"/>
        <v>tRNA-Thr-CGT-1-1|27</v>
      </c>
      <c r="B3924" s="4" t="s">
        <v>89</v>
      </c>
      <c r="C3924" s="4" t="s">
        <v>143</v>
      </c>
      <c r="D3924" s="4">
        <v>26</v>
      </c>
      <c r="E3924" s="20" t="s">
        <v>109</v>
      </c>
      <c r="F3924" s="21" t="s">
        <v>144</v>
      </c>
    </row>
    <row r="3925" spans="1:6">
      <c r="A3925" s="4" t="str">
        <f t="shared" si="61"/>
        <v>tRNA-Thr-CGT-1-1|28</v>
      </c>
      <c r="B3925" s="4" t="s">
        <v>89</v>
      </c>
      <c r="C3925" s="4" t="s">
        <v>145</v>
      </c>
      <c r="D3925" s="4">
        <v>27</v>
      </c>
      <c r="E3925" s="20" t="s">
        <v>114</v>
      </c>
      <c r="F3925" s="21" t="s">
        <v>144</v>
      </c>
    </row>
    <row r="3926" spans="1:6">
      <c r="A3926" s="4" t="str">
        <f t="shared" si="61"/>
        <v>tRNA-Thr-CGT-1-1|29</v>
      </c>
      <c r="B3926" s="4" t="s">
        <v>89</v>
      </c>
      <c r="C3926" s="4" t="s">
        <v>146</v>
      </c>
      <c r="D3926" s="4">
        <v>28</v>
      </c>
      <c r="E3926" s="20" t="s">
        <v>116</v>
      </c>
      <c r="F3926" s="21" t="s">
        <v>144</v>
      </c>
    </row>
    <row r="3927" spans="1:6">
      <c r="A3927" s="4" t="str">
        <f t="shared" si="61"/>
        <v>tRNA-Thr-CGT-1-1|30</v>
      </c>
      <c r="B3927" s="4" t="s">
        <v>89</v>
      </c>
      <c r="C3927" s="4" t="s">
        <v>147</v>
      </c>
      <c r="D3927" s="4">
        <v>29</v>
      </c>
      <c r="E3927" s="20" t="s">
        <v>109</v>
      </c>
      <c r="F3927" s="21" t="s">
        <v>144</v>
      </c>
    </row>
    <row r="3928" spans="1:6">
      <c r="A3928" s="4" t="str">
        <f t="shared" si="61"/>
        <v>tRNA-Thr-CGT-1-1|31</v>
      </c>
      <c r="B3928" s="4" t="s">
        <v>89</v>
      </c>
      <c r="C3928" s="4" t="s">
        <v>148</v>
      </c>
      <c r="D3928" s="4">
        <v>30</v>
      </c>
      <c r="E3928" s="20" t="s">
        <v>122</v>
      </c>
      <c r="F3928" s="21" t="s">
        <v>144</v>
      </c>
    </row>
    <row r="3929" spans="1:6">
      <c r="A3929" s="4" t="str">
        <f t="shared" si="61"/>
        <v>tRNA-Thr-CGT-1-1|32</v>
      </c>
      <c r="B3929" s="4" t="s">
        <v>89</v>
      </c>
      <c r="C3929" s="4" t="s">
        <v>149</v>
      </c>
      <c r="D3929" s="4">
        <v>31</v>
      </c>
      <c r="E3929" s="18" t="s">
        <v>116</v>
      </c>
      <c r="F3929" s="19" t="s">
        <v>150</v>
      </c>
    </row>
    <row r="3930" spans="1:6">
      <c r="A3930" s="4" t="str">
        <f t="shared" si="61"/>
        <v>tRNA-Thr-CGT-1-1|33</v>
      </c>
      <c r="B3930" s="4" t="s">
        <v>89</v>
      </c>
      <c r="C3930" s="4" t="s">
        <v>151</v>
      </c>
      <c r="D3930" s="4">
        <v>32</v>
      </c>
      <c r="E3930" s="18" t="s">
        <v>116</v>
      </c>
      <c r="F3930" s="19" t="s">
        <v>150</v>
      </c>
    </row>
    <row r="3931" spans="1:6">
      <c r="A3931" s="4" t="str">
        <f t="shared" si="61"/>
        <v>tRNA-Thr-CGT-1-1|34</v>
      </c>
      <c r="B3931" s="4" t="s">
        <v>89</v>
      </c>
      <c r="C3931" s="4" t="s">
        <v>152</v>
      </c>
      <c r="D3931" s="4">
        <v>33</v>
      </c>
      <c r="E3931" s="18" t="s">
        <v>114</v>
      </c>
      <c r="F3931" s="19" t="s">
        <v>150</v>
      </c>
    </row>
    <row r="3932" spans="1:6">
      <c r="A3932" s="4" t="str">
        <f t="shared" si="61"/>
        <v>tRNA-Thr-CGT-1-1|35</v>
      </c>
      <c r="B3932" s="4" t="s">
        <v>89</v>
      </c>
      <c r="C3932" s="4" t="s">
        <v>153</v>
      </c>
      <c r="D3932" s="4">
        <v>34</v>
      </c>
      <c r="E3932" s="18" t="s">
        <v>109</v>
      </c>
      <c r="F3932" s="19" t="s">
        <v>150</v>
      </c>
    </row>
    <row r="3933" spans="1:6">
      <c r="A3933" s="4" t="str">
        <f t="shared" si="61"/>
        <v>tRNA-Thr-CGT-1-1|36</v>
      </c>
      <c r="B3933" s="4" t="s">
        <v>89</v>
      </c>
      <c r="C3933" s="4" t="s">
        <v>154</v>
      </c>
      <c r="D3933" s="4">
        <v>35</v>
      </c>
      <c r="E3933" s="18" t="s">
        <v>116</v>
      </c>
      <c r="F3933" s="19" t="s">
        <v>150</v>
      </c>
    </row>
    <row r="3934" spans="1:6">
      <c r="A3934" s="4" t="str">
        <f t="shared" si="61"/>
        <v>tRNA-Thr-CGT-1-1|37</v>
      </c>
      <c r="B3934" s="4" t="s">
        <v>89</v>
      </c>
      <c r="C3934" s="4" t="s">
        <v>155</v>
      </c>
      <c r="D3934" s="4">
        <v>36</v>
      </c>
      <c r="E3934" s="18" t="s">
        <v>122</v>
      </c>
      <c r="F3934" s="19" t="s">
        <v>150</v>
      </c>
    </row>
    <row r="3935" spans="1:6">
      <c r="A3935" s="4" t="str">
        <f t="shared" si="61"/>
        <v>tRNA-Thr-CGT-1-1|38</v>
      </c>
      <c r="B3935" s="4" t="s">
        <v>89</v>
      </c>
      <c r="C3935" s="4" t="s">
        <v>156</v>
      </c>
      <c r="D3935" s="4">
        <v>37</v>
      </c>
      <c r="E3935" s="18" t="s">
        <v>122</v>
      </c>
      <c r="F3935" s="19" t="s">
        <v>150</v>
      </c>
    </row>
    <row r="3936" spans="1:6">
      <c r="A3936" s="4" t="str">
        <f t="shared" si="61"/>
        <v>tRNA-Thr-CGT-1-1|39</v>
      </c>
      <c r="B3936" s="4" t="s">
        <v>89</v>
      </c>
      <c r="C3936" s="4" t="s">
        <v>157</v>
      </c>
      <c r="D3936" s="4">
        <v>38</v>
      </c>
      <c r="E3936" s="20" t="s">
        <v>116</v>
      </c>
      <c r="F3936" s="21" t="s">
        <v>144</v>
      </c>
    </row>
    <row r="3937" spans="1:6">
      <c r="A3937" s="4" t="str">
        <f t="shared" si="61"/>
        <v>tRNA-Thr-CGT-1-1|40</v>
      </c>
      <c r="B3937" s="4" t="s">
        <v>89</v>
      </c>
      <c r="C3937" s="4" t="s">
        <v>158</v>
      </c>
      <c r="D3937" s="4">
        <v>39</v>
      </c>
      <c r="E3937" s="20" t="s">
        <v>114</v>
      </c>
      <c r="F3937" s="21" t="s">
        <v>144</v>
      </c>
    </row>
    <row r="3938" spans="1:6">
      <c r="A3938" s="4" t="str">
        <f t="shared" si="61"/>
        <v>tRNA-Thr-CGT-1-1|41</v>
      </c>
      <c r="B3938" s="4" t="s">
        <v>89</v>
      </c>
      <c r="C3938" s="4" t="s">
        <v>159</v>
      </c>
      <c r="D3938" s="4">
        <v>40</v>
      </c>
      <c r="E3938" s="20" t="s">
        <v>122</v>
      </c>
      <c r="F3938" s="21" t="s">
        <v>144</v>
      </c>
    </row>
    <row r="3939" spans="1:6">
      <c r="A3939" s="4" t="str">
        <f t="shared" si="61"/>
        <v>tRNA-Thr-CGT-1-1|42</v>
      </c>
      <c r="B3939" s="4" t="s">
        <v>89</v>
      </c>
      <c r="C3939" s="4" t="s">
        <v>160</v>
      </c>
      <c r="D3939" s="4">
        <v>41</v>
      </c>
      <c r="E3939" s="20" t="s">
        <v>109</v>
      </c>
      <c r="F3939" s="21" t="s">
        <v>144</v>
      </c>
    </row>
    <row r="3940" spans="1:6">
      <c r="A3940" s="4" t="str">
        <f t="shared" si="61"/>
        <v>tRNA-Thr-CGT-1-1|43</v>
      </c>
      <c r="B3940" s="4" t="s">
        <v>89</v>
      </c>
      <c r="C3940" s="4" t="s">
        <v>161</v>
      </c>
      <c r="D3940" s="4">
        <v>42</v>
      </c>
      <c r="E3940" s="20" t="s">
        <v>114</v>
      </c>
      <c r="F3940" s="21" t="s">
        <v>144</v>
      </c>
    </row>
    <row r="3941" spans="1:6">
      <c r="A3941" s="4" t="str">
        <f t="shared" si="61"/>
        <v>tRNA-Thr-CGT-1-1|44</v>
      </c>
      <c r="B3941" s="4" t="s">
        <v>89</v>
      </c>
      <c r="C3941" s="4" t="s">
        <v>162</v>
      </c>
      <c r="D3941" s="4">
        <v>43</v>
      </c>
      <c r="E3941" s="18" t="s">
        <v>122</v>
      </c>
      <c r="F3941" s="19" t="s">
        <v>163</v>
      </c>
    </row>
    <row r="3942" spans="1:6">
      <c r="A3942" s="4" t="str">
        <f t="shared" si="61"/>
        <v>tRNA-Thr-CGT-1-1|45</v>
      </c>
      <c r="B3942" s="4" t="s">
        <v>89</v>
      </c>
      <c r="C3942" s="4" t="s">
        <v>164</v>
      </c>
      <c r="D3942" s="4">
        <v>44</v>
      </c>
      <c r="E3942" s="18" t="s">
        <v>109</v>
      </c>
      <c r="F3942" s="19" t="s">
        <v>163</v>
      </c>
    </row>
    <row r="3943" spans="1:6">
      <c r="A3943" s="4" t="str">
        <f t="shared" si="61"/>
        <v>tRNA-Thr-CGT-1-1|46</v>
      </c>
      <c r="B3943" s="4" t="s">
        <v>89</v>
      </c>
      <c r="C3943" s="4" t="s">
        <v>165</v>
      </c>
      <c r="D3943" s="4">
        <v>45</v>
      </c>
      <c r="E3943" s="18" t="s">
        <v>109</v>
      </c>
      <c r="F3943" s="19" t="s">
        <v>163</v>
      </c>
    </row>
    <row r="3944" spans="1:6">
      <c r="A3944" s="4" t="str">
        <f t="shared" si="61"/>
        <v>tRNA-Thr-CGT-1-1|47</v>
      </c>
      <c r="B3944" s="4" t="s">
        <v>89</v>
      </c>
      <c r="C3944" s="4" t="s">
        <v>166</v>
      </c>
      <c r="D3944" s="4">
        <v>46</v>
      </c>
      <c r="E3944" s="18" t="s">
        <v>116</v>
      </c>
      <c r="F3944" s="19" t="s">
        <v>163</v>
      </c>
    </row>
    <row r="3945" spans="1:6">
      <c r="A3945" s="4" t="str">
        <f t="shared" si="61"/>
        <v>tRNA-Thr-CGT-1-1|48</v>
      </c>
      <c r="B3945" s="4" t="s">
        <v>89</v>
      </c>
      <c r="C3945" s="4" t="s">
        <v>167</v>
      </c>
      <c r="D3945" s="4">
        <v>47</v>
      </c>
      <c r="E3945" s="18" t="s">
        <v>114</v>
      </c>
      <c r="F3945" s="19" t="s">
        <v>163</v>
      </c>
    </row>
    <row r="3946" spans="1:6">
      <c r="A3946" s="4" t="str">
        <f t="shared" si="61"/>
        <v>tRNA-Thr-CGT-1-1|49</v>
      </c>
      <c r="B3946" s="4" t="s">
        <v>89</v>
      </c>
      <c r="C3946" s="4" t="s">
        <v>168</v>
      </c>
      <c r="D3946" s="4">
        <v>48</v>
      </c>
      <c r="E3946" s="22" t="s">
        <v>109</v>
      </c>
      <c r="F3946" s="10" t="s">
        <v>169</v>
      </c>
    </row>
    <row r="3947" spans="1:6">
      <c r="A3947" s="4" t="str">
        <f t="shared" si="61"/>
        <v>tRNA-Thr-CGT-1-1|50</v>
      </c>
      <c r="B3947" s="4" t="s">
        <v>89</v>
      </c>
      <c r="C3947" s="4" t="s">
        <v>170</v>
      </c>
      <c r="D3947" s="4">
        <v>49</v>
      </c>
      <c r="E3947" s="22" t="s">
        <v>122</v>
      </c>
      <c r="F3947" s="10" t="s">
        <v>169</v>
      </c>
    </row>
    <row r="3948" spans="1:6">
      <c r="A3948" s="4" t="str">
        <f t="shared" si="61"/>
        <v>tRNA-Thr-CGT-1-1|51</v>
      </c>
      <c r="B3948" s="4" t="s">
        <v>89</v>
      </c>
      <c r="C3948" s="4" t="s">
        <v>171</v>
      </c>
      <c r="D3948" s="4">
        <v>50</v>
      </c>
      <c r="E3948" s="22" t="s">
        <v>109</v>
      </c>
      <c r="F3948" s="10" t="s">
        <v>169</v>
      </c>
    </row>
    <row r="3949" spans="1:6">
      <c r="A3949" s="4" t="str">
        <f t="shared" si="61"/>
        <v>tRNA-Thr-CGT-1-1|52</v>
      </c>
      <c r="B3949" s="4" t="s">
        <v>89</v>
      </c>
      <c r="C3949" s="4" t="s">
        <v>172</v>
      </c>
      <c r="D3949" s="4">
        <v>51</v>
      </c>
      <c r="E3949" s="22" t="s">
        <v>109</v>
      </c>
      <c r="F3949" s="10" t="s">
        <v>169</v>
      </c>
    </row>
    <row r="3950" spans="1:6">
      <c r="A3950" s="4" t="str">
        <f t="shared" si="61"/>
        <v>tRNA-Thr-CGT-1-1|53</v>
      </c>
      <c r="B3950" s="4" t="s">
        <v>89</v>
      </c>
      <c r="C3950" s="4" t="s">
        <v>173</v>
      </c>
      <c r="D3950" s="4">
        <v>52</v>
      </c>
      <c r="E3950" s="22" t="s">
        <v>109</v>
      </c>
      <c r="F3950" s="10" t="s">
        <v>169</v>
      </c>
    </row>
    <row r="3951" spans="1:6">
      <c r="A3951" s="4" t="str">
        <f t="shared" si="61"/>
        <v>tRNA-Thr-CGT-1-1|54</v>
      </c>
      <c r="B3951" s="4" t="s">
        <v>89</v>
      </c>
      <c r="C3951" s="4" t="s">
        <v>174</v>
      </c>
      <c r="D3951" s="4">
        <v>53</v>
      </c>
      <c r="E3951" s="18" t="s">
        <v>116</v>
      </c>
      <c r="F3951" s="19" t="s">
        <v>175</v>
      </c>
    </row>
    <row r="3952" spans="1:6">
      <c r="A3952" s="4" t="str">
        <f t="shared" si="61"/>
        <v>tRNA-Thr-CGT-1-1|55</v>
      </c>
      <c r="B3952" s="4" t="s">
        <v>89</v>
      </c>
      <c r="C3952" s="4" t="s">
        <v>176</v>
      </c>
      <c r="D3952" s="4">
        <v>54</v>
      </c>
      <c r="E3952" s="18" t="s">
        <v>116</v>
      </c>
      <c r="F3952" s="19" t="s">
        <v>175</v>
      </c>
    </row>
    <row r="3953" spans="1:6">
      <c r="A3953" s="4" t="str">
        <f t="shared" si="61"/>
        <v>tRNA-Thr-CGT-1-1|56</v>
      </c>
      <c r="B3953" s="4" t="s">
        <v>89</v>
      </c>
      <c r="C3953" s="4" t="s">
        <v>177</v>
      </c>
      <c r="D3953" s="4">
        <v>55</v>
      </c>
      <c r="E3953" s="18" t="s">
        <v>114</v>
      </c>
      <c r="F3953" s="19" t="s">
        <v>175</v>
      </c>
    </row>
    <row r="3954" spans="1:6">
      <c r="A3954" s="4" t="str">
        <f t="shared" si="61"/>
        <v>tRNA-Thr-CGT-1-1|57</v>
      </c>
      <c r="B3954" s="4" t="s">
        <v>89</v>
      </c>
      <c r="C3954" s="4" t="s">
        <v>178</v>
      </c>
      <c r="D3954" s="4">
        <v>56</v>
      </c>
      <c r="E3954" s="18" t="s">
        <v>122</v>
      </c>
      <c r="F3954" s="19" t="s">
        <v>175</v>
      </c>
    </row>
    <row r="3955" spans="1:6">
      <c r="A3955" s="4" t="str">
        <f t="shared" si="61"/>
        <v>tRNA-Thr-CGT-1-1|58</v>
      </c>
      <c r="B3955" s="4" t="s">
        <v>89</v>
      </c>
      <c r="C3955" s="4" t="s">
        <v>179</v>
      </c>
      <c r="D3955" s="4">
        <v>57</v>
      </c>
      <c r="E3955" s="18" t="s">
        <v>122</v>
      </c>
      <c r="F3955" s="19" t="s">
        <v>175</v>
      </c>
    </row>
    <row r="3956" spans="1:6">
      <c r="A3956" s="4" t="str">
        <f t="shared" si="61"/>
        <v>tRNA-Thr-CGT-1-1|59</v>
      </c>
      <c r="B3956" s="4" t="s">
        <v>89</v>
      </c>
      <c r="C3956" s="4" t="s">
        <v>180</v>
      </c>
      <c r="D3956" s="4">
        <v>58</v>
      </c>
      <c r="E3956" s="18" t="s">
        <v>109</v>
      </c>
      <c r="F3956" s="19" t="s">
        <v>175</v>
      </c>
    </row>
    <row r="3957" spans="1:6">
      <c r="A3957" s="4" t="str">
        <f t="shared" si="61"/>
        <v>tRNA-Thr-CGT-1-1|60</v>
      </c>
      <c r="B3957" s="4" t="s">
        <v>89</v>
      </c>
      <c r="C3957" s="4" t="s">
        <v>181</v>
      </c>
      <c r="D3957" s="4">
        <v>59</v>
      </c>
      <c r="E3957" s="18" t="s">
        <v>116</v>
      </c>
      <c r="F3957" s="19" t="s">
        <v>175</v>
      </c>
    </row>
    <row r="3958" spans="1:6">
      <c r="A3958" s="4" t="str">
        <f t="shared" si="61"/>
        <v>tRNA-Thr-CGT-1-1|61</v>
      </c>
      <c r="B3958" s="4" t="s">
        <v>89</v>
      </c>
      <c r="C3958" s="4" t="s">
        <v>182</v>
      </c>
      <c r="D3958" s="4">
        <v>60</v>
      </c>
      <c r="E3958" s="22" t="s">
        <v>114</v>
      </c>
      <c r="F3958" s="10" t="s">
        <v>169</v>
      </c>
    </row>
    <row r="3959" spans="1:6">
      <c r="A3959" s="4" t="str">
        <f t="shared" si="61"/>
        <v>tRNA-Thr-CGT-1-1|62</v>
      </c>
      <c r="B3959" s="4" t="s">
        <v>89</v>
      </c>
      <c r="C3959" s="4" t="s">
        <v>183</v>
      </c>
      <c r="D3959" s="4">
        <v>61</v>
      </c>
      <c r="E3959" s="22" t="s">
        <v>114</v>
      </c>
      <c r="F3959" s="10" t="s">
        <v>169</v>
      </c>
    </row>
    <row r="3960" spans="1:6">
      <c r="A3960" s="4" t="str">
        <f t="shared" si="61"/>
        <v>tRNA-Thr-CGT-1-1|63</v>
      </c>
      <c r="B3960" s="4" t="s">
        <v>89</v>
      </c>
      <c r="C3960" s="4" t="s">
        <v>184</v>
      </c>
      <c r="D3960" s="4">
        <v>62</v>
      </c>
      <c r="E3960" s="22" t="s">
        <v>114</v>
      </c>
      <c r="F3960" s="10" t="s">
        <v>169</v>
      </c>
    </row>
    <row r="3961" spans="1:6">
      <c r="A3961" s="4" t="str">
        <f t="shared" si="61"/>
        <v>tRNA-Thr-CGT-1-1|64</v>
      </c>
      <c r="B3961" s="4" t="s">
        <v>89</v>
      </c>
      <c r="C3961" s="4" t="s">
        <v>185</v>
      </c>
      <c r="D3961" s="4">
        <v>63</v>
      </c>
      <c r="E3961" s="22" t="s">
        <v>114</v>
      </c>
      <c r="F3961" s="10" t="s">
        <v>169</v>
      </c>
    </row>
    <row r="3962" spans="1:6">
      <c r="A3962" s="4" t="str">
        <f t="shared" si="61"/>
        <v>tRNA-Thr-CGT-1-1|65</v>
      </c>
      <c r="B3962" s="4" t="s">
        <v>89</v>
      </c>
      <c r="C3962" s="4" t="s">
        <v>186</v>
      </c>
      <c r="D3962" s="4">
        <v>64</v>
      </c>
      <c r="E3962" s="22" t="s">
        <v>114</v>
      </c>
      <c r="F3962" s="10" t="s">
        <v>169</v>
      </c>
    </row>
    <row r="3963" spans="1:6">
      <c r="A3963" s="4" t="str">
        <f t="shared" si="61"/>
        <v>tRNA-Thr-CGT-1-1|66</v>
      </c>
      <c r="B3963" s="4" t="s">
        <v>89</v>
      </c>
      <c r="C3963" s="4" t="s">
        <v>187</v>
      </c>
      <c r="D3963" s="4">
        <v>65</v>
      </c>
      <c r="E3963" s="16" t="s">
        <v>114</v>
      </c>
      <c r="F3963" s="17" t="s">
        <v>110</v>
      </c>
    </row>
    <row r="3964" spans="1:6">
      <c r="A3964" s="4" t="str">
        <f t="shared" si="61"/>
        <v>tRNA-Thr-CGT-1-1|67</v>
      </c>
      <c r="B3964" s="4" t="s">
        <v>89</v>
      </c>
      <c r="C3964" s="4" t="s">
        <v>188</v>
      </c>
      <c r="D3964" s="4">
        <v>66</v>
      </c>
      <c r="E3964" s="16" t="s">
        <v>109</v>
      </c>
      <c r="F3964" s="17" t="s">
        <v>110</v>
      </c>
    </row>
    <row r="3965" spans="1:6">
      <c r="A3965" s="4" t="str">
        <f t="shared" si="61"/>
        <v>tRNA-Thr-CGT-1-1|68</v>
      </c>
      <c r="B3965" s="4" t="s">
        <v>89</v>
      </c>
      <c r="C3965" s="4" t="s">
        <v>189</v>
      </c>
      <c r="D3965" s="4">
        <v>67</v>
      </c>
      <c r="E3965" s="16" t="s">
        <v>109</v>
      </c>
      <c r="F3965" s="17" t="s">
        <v>110</v>
      </c>
    </row>
    <row r="3966" spans="1:6">
      <c r="A3966" s="4" t="str">
        <f t="shared" si="61"/>
        <v>tRNA-Thr-CGT-1-1|69</v>
      </c>
      <c r="B3966" s="4" t="s">
        <v>89</v>
      </c>
      <c r="C3966" s="4" t="s">
        <v>190</v>
      </c>
      <c r="D3966" s="4">
        <v>68</v>
      </c>
      <c r="E3966" s="16" t="s">
        <v>114</v>
      </c>
      <c r="F3966" s="17" t="s">
        <v>110</v>
      </c>
    </row>
    <row r="3967" spans="1:6">
      <c r="A3967" s="4" t="str">
        <f t="shared" si="61"/>
        <v>tRNA-Thr-CGT-1-1|70</v>
      </c>
      <c r="B3967" s="4" t="s">
        <v>89</v>
      </c>
      <c r="C3967" s="4" t="s">
        <v>191</v>
      </c>
      <c r="D3967" s="4">
        <v>69</v>
      </c>
      <c r="E3967" s="16" t="s">
        <v>109</v>
      </c>
      <c r="F3967" s="17" t="s">
        <v>110</v>
      </c>
    </row>
    <row r="3968" spans="1:6">
      <c r="A3968" s="4" t="str">
        <f t="shared" si="61"/>
        <v>tRNA-Thr-CGT-1-1|71</v>
      </c>
      <c r="B3968" s="4" t="s">
        <v>89</v>
      </c>
      <c r="C3968" s="4" t="s">
        <v>192</v>
      </c>
      <c r="D3968" s="4">
        <v>70</v>
      </c>
      <c r="E3968" s="16" t="s">
        <v>109</v>
      </c>
      <c r="F3968" s="17" t="s">
        <v>110</v>
      </c>
    </row>
    <row r="3969" spans="1:6">
      <c r="A3969" s="4" t="str">
        <f t="shared" si="61"/>
        <v>tRNA-Thr-CGT-1-1|72</v>
      </c>
      <c r="B3969" s="4" t="s">
        <v>89</v>
      </c>
      <c r="C3969" s="4" t="s">
        <v>193</v>
      </c>
      <c r="D3969" s="4">
        <v>71</v>
      </c>
      <c r="E3969" s="16" t="s">
        <v>114</v>
      </c>
      <c r="F3969" s="17" t="s">
        <v>110</v>
      </c>
    </row>
    <row r="3970" spans="1:6">
      <c r="A3970" s="4" t="str">
        <f t="shared" ref="A3970:A4033" si="62">B3970&amp;"|"&amp;C3970</f>
        <v>tRNA-Thr-GGT-1-1|1</v>
      </c>
      <c r="B3970" s="4" t="s">
        <v>90</v>
      </c>
      <c r="C3970" s="4" t="s">
        <v>108</v>
      </c>
      <c r="D3970" s="4">
        <v>1</v>
      </c>
      <c r="E3970" s="16" t="s">
        <v>109</v>
      </c>
      <c r="F3970" s="17" t="s">
        <v>110</v>
      </c>
    </row>
    <row r="3971" spans="1:6">
      <c r="A3971" s="4" t="str">
        <f t="shared" si="62"/>
        <v>tRNA-Thr-GGT-1-1|2</v>
      </c>
      <c r="B3971" s="4" t="s">
        <v>90</v>
      </c>
      <c r="C3971" s="4" t="s">
        <v>111</v>
      </c>
      <c r="D3971" s="4">
        <v>2</v>
      </c>
      <c r="E3971" s="16" t="s">
        <v>114</v>
      </c>
      <c r="F3971" s="17" t="s">
        <v>110</v>
      </c>
    </row>
    <row r="3972" spans="1:6">
      <c r="A3972" s="4" t="str">
        <f t="shared" si="62"/>
        <v>tRNA-Thr-GGT-1-1|3</v>
      </c>
      <c r="B3972" s="4" t="s">
        <v>90</v>
      </c>
      <c r="C3972" s="4" t="s">
        <v>112</v>
      </c>
      <c r="D3972" s="4">
        <v>3</v>
      </c>
      <c r="E3972" s="16" t="s">
        <v>114</v>
      </c>
      <c r="F3972" s="17" t="s">
        <v>110</v>
      </c>
    </row>
    <row r="3973" spans="1:6">
      <c r="A3973" s="4" t="str">
        <f t="shared" si="62"/>
        <v>tRNA-Thr-GGT-1-1|4</v>
      </c>
      <c r="B3973" s="4" t="s">
        <v>90</v>
      </c>
      <c r="C3973" s="4" t="s">
        <v>113</v>
      </c>
      <c r="D3973" s="4">
        <v>4</v>
      </c>
      <c r="E3973" s="16" t="s">
        <v>116</v>
      </c>
      <c r="F3973" s="17" t="s">
        <v>110</v>
      </c>
    </row>
    <row r="3974" spans="1:6">
      <c r="A3974" s="4" t="str">
        <f t="shared" si="62"/>
        <v>tRNA-Thr-GGT-1-1|5</v>
      </c>
      <c r="B3974" s="4" t="s">
        <v>90</v>
      </c>
      <c r="C3974" s="4" t="s">
        <v>115</v>
      </c>
      <c r="D3974" s="4">
        <v>5</v>
      </c>
      <c r="E3974" s="16" t="s">
        <v>116</v>
      </c>
      <c r="F3974" s="17" t="s">
        <v>110</v>
      </c>
    </row>
    <row r="3975" spans="1:6">
      <c r="A3975" s="4" t="str">
        <f t="shared" si="62"/>
        <v>tRNA-Thr-GGT-1-1|6</v>
      </c>
      <c r="B3975" s="4" t="s">
        <v>90</v>
      </c>
      <c r="C3975" s="4" t="s">
        <v>117</v>
      </c>
      <c r="D3975" s="4">
        <v>6</v>
      </c>
      <c r="E3975" s="16" t="s">
        <v>109</v>
      </c>
      <c r="F3975" s="17" t="s">
        <v>110</v>
      </c>
    </row>
    <row r="3976" spans="1:6">
      <c r="A3976" s="4" t="str">
        <f t="shared" si="62"/>
        <v>tRNA-Thr-GGT-1-1|7</v>
      </c>
      <c r="B3976" s="4" t="s">
        <v>90</v>
      </c>
      <c r="C3976" s="4" t="s">
        <v>118</v>
      </c>
      <c r="D3976" s="4">
        <v>7</v>
      </c>
      <c r="E3976" s="16" t="s">
        <v>109</v>
      </c>
      <c r="F3976" s="17" t="s">
        <v>110</v>
      </c>
    </row>
    <row r="3977" spans="1:6">
      <c r="A3977" s="4" t="str">
        <f t="shared" si="62"/>
        <v>tRNA-Thr-GGT-1-1|8</v>
      </c>
      <c r="B3977" s="4" t="s">
        <v>90</v>
      </c>
      <c r="C3977" s="4" t="s">
        <v>119</v>
      </c>
      <c r="D3977" s="4">
        <v>8</v>
      </c>
      <c r="E3977" s="3" t="s">
        <v>116</v>
      </c>
      <c r="F3977" s="4" t="s">
        <v>120</v>
      </c>
    </row>
    <row r="3978" spans="1:6">
      <c r="A3978" s="4" t="str">
        <f t="shared" si="62"/>
        <v>tRNA-Thr-GGT-1-1|9</v>
      </c>
      <c r="B3978" s="4" t="s">
        <v>90</v>
      </c>
      <c r="C3978" s="4" t="s">
        <v>121</v>
      </c>
      <c r="D3978" s="4">
        <v>9</v>
      </c>
      <c r="E3978" s="3" t="s">
        <v>109</v>
      </c>
      <c r="F3978" s="4" t="s">
        <v>123</v>
      </c>
    </row>
    <row r="3979" spans="1:6">
      <c r="A3979" s="4" t="str">
        <f t="shared" si="62"/>
        <v>tRNA-Thr-GGT-1-1|10</v>
      </c>
      <c r="B3979" s="4" t="s">
        <v>90</v>
      </c>
      <c r="C3979" s="4" t="s">
        <v>124</v>
      </c>
      <c r="D3979" s="4">
        <v>10</v>
      </c>
      <c r="E3979" s="8" t="s">
        <v>109</v>
      </c>
      <c r="F3979" s="7" t="s">
        <v>125</v>
      </c>
    </row>
    <row r="3980" spans="1:6">
      <c r="A3980" s="4" t="str">
        <f t="shared" si="62"/>
        <v>tRNA-Thr-GGT-1-1|11</v>
      </c>
      <c r="B3980" s="4" t="s">
        <v>90</v>
      </c>
      <c r="C3980" s="4" t="s">
        <v>126</v>
      </c>
      <c r="D3980" s="4">
        <v>11</v>
      </c>
      <c r="E3980" s="8" t="s">
        <v>114</v>
      </c>
      <c r="F3980" s="7" t="s">
        <v>125</v>
      </c>
    </row>
    <row r="3981" spans="1:6">
      <c r="A3981" s="4" t="str">
        <f t="shared" si="62"/>
        <v>tRNA-Thr-GGT-1-1|12</v>
      </c>
      <c r="B3981" s="4" t="s">
        <v>90</v>
      </c>
      <c r="C3981" s="4" t="s">
        <v>127</v>
      </c>
      <c r="D3981" s="4">
        <v>12</v>
      </c>
      <c r="E3981" s="8" t="s">
        <v>116</v>
      </c>
      <c r="F3981" s="7" t="s">
        <v>125</v>
      </c>
    </row>
    <row r="3982" spans="1:6">
      <c r="A3982" s="4" t="str">
        <f t="shared" si="62"/>
        <v>tRNA-Thr-GGT-1-1|13</v>
      </c>
      <c r="B3982" s="4" t="s">
        <v>90</v>
      </c>
      <c r="C3982" s="4" t="s">
        <v>128</v>
      </c>
      <c r="D3982" s="4">
        <v>13</v>
      </c>
      <c r="E3982" s="8" t="s">
        <v>116</v>
      </c>
      <c r="F3982" s="7" t="s">
        <v>125</v>
      </c>
    </row>
    <row r="3983" spans="1:6">
      <c r="A3983" s="4" t="str">
        <f t="shared" si="62"/>
        <v>tRNA-Thr-GGT-1-1|14</v>
      </c>
      <c r="B3983" s="4" t="s">
        <v>90</v>
      </c>
      <c r="C3983" s="4" t="s">
        <v>129</v>
      </c>
      <c r="D3983" s="4">
        <v>14</v>
      </c>
      <c r="E3983" s="18" t="s">
        <v>122</v>
      </c>
      <c r="F3983" s="19" t="s">
        <v>130</v>
      </c>
    </row>
    <row r="3984" spans="1:6">
      <c r="A3984" s="4" t="str">
        <f t="shared" si="62"/>
        <v>tRNA-Thr-GGT-1-1|15</v>
      </c>
      <c r="B3984" s="4" t="s">
        <v>90</v>
      </c>
      <c r="C3984" s="4" t="s">
        <v>131</v>
      </c>
      <c r="D3984" s="4">
        <v>15</v>
      </c>
      <c r="E3984" s="18" t="s">
        <v>109</v>
      </c>
      <c r="F3984" s="19" t="s">
        <v>130</v>
      </c>
    </row>
    <row r="3985" spans="1:6">
      <c r="A3985" s="4" t="str">
        <f t="shared" si="62"/>
        <v>tRNA-Thr-GGT-1-1|18</v>
      </c>
      <c r="B3985" s="4" t="s">
        <v>90</v>
      </c>
      <c r="C3985" s="4" t="s">
        <v>132</v>
      </c>
      <c r="D3985" s="4">
        <v>16</v>
      </c>
      <c r="E3985" s="18" t="s">
        <v>109</v>
      </c>
      <c r="F3985" s="19" t="s">
        <v>130</v>
      </c>
    </row>
    <row r="3986" spans="1:6">
      <c r="A3986" s="4" t="str">
        <f t="shared" si="62"/>
        <v>tRNA-Thr-GGT-1-1|19</v>
      </c>
      <c r="B3986" s="4" t="s">
        <v>90</v>
      </c>
      <c r="C3986" s="4" t="s">
        <v>133</v>
      </c>
      <c r="D3986" s="4">
        <v>17</v>
      </c>
      <c r="E3986" s="18" t="s">
        <v>109</v>
      </c>
      <c r="F3986" s="19" t="s">
        <v>130</v>
      </c>
    </row>
    <row r="3987" spans="1:6">
      <c r="A3987" s="4" t="str">
        <f t="shared" si="62"/>
        <v>tRNA-Thr-GGT-1-1|20</v>
      </c>
      <c r="B3987" s="4" t="s">
        <v>90</v>
      </c>
      <c r="C3987" s="4" t="s">
        <v>134</v>
      </c>
      <c r="D3987" s="4">
        <v>18</v>
      </c>
      <c r="E3987" s="18" t="s">
        <v>109</v>
      </c>
      <c r="F3987" s="19" t="s">
        <v>130</v>
      </c>
    </row>
    <row r="3988" spans="1:6">
      <c r="A3988" s="4" t="str">
        <f t="shared" si="62"/>
        <v>tRNA-Thr-GGT-1-1|20a</v>
      </c>
      <c r="B3988" s="4" t="s">
        <v>90</v>
      </c>
      <c r="C3988" s="4" t="s">
        <v>135</v>
      </c>
      <c r="D3988" s="4">
        <v>19</v>
      </c>
      <c r="E3988" s="18" t="s">
        <v>116</v>
      </c>
      <c r="F3988" s="19" t="s">
        <v>130</v>
      </c>
    </row>
    <row r="3989" spans="1:6">
      <c r="A3989" s="4" t="str">
        <f t="shared" si="62"/>
        <v>tRNA-Thr-GGT-1-1|21</v>
      </c>
      <c r="B3989" s="4" t="s">
        <v>90</v>
      </c>
      <c r="C3989" s="4" t="s">
        <v>136</v>
      </c>
      <c r="D3989" s="4">
        <v>20</v>
      </c>
      <c r="E3989" s="18" t="s">
        <v>122</v>
      </c>
      <c r="F3989" s="19" t="s">
        <v>130</v>
      </c>
    </row>
    <row r="3990" spans="1:6">
      <c r="A3990" s="4" t="str">
        <f t="shared" si="62"/>
        <v>tRNA-Thr-GGT-1-1|22</v>
      </c>
      <c r="B3990" s="4" t="s">
        <v>90</v>
      </c>
      <c r="C3990" s="4" t="s">
        <v>137</v>
      </c>
      <c r="D3990" s="4">
        <v>21</v>
      </c>
      <c r="E3990" s="8" t="s">
        <v>116</v>
      </c>
      <c r="F3990" s="7" t="s">
        <v>125</v>
      </c>
    </row>
    <row r="3991" spans="1:6">
      <c r="A3991" s="4" t="str">
        <f t="shared" si="62"/>
        <v>tRNA-Thr-GGT-1-1|23</v>
      </c>
      <c r="B3991" s="4" t="s">
        <v>90</v>
      </c>
      <c r="C3991" s="4" t="s">
        <v>138</v>
      </c>
      <c r="D3991" s="4">
        <v>22</v>
      </c>
      <c r="E3991" s="8" t="s">
        <v>122</v>
      </c>
      <c r="F3991" s="7" t="s">
        <v>125</v>
      </c>
    </row>
    <row r="3992" spans="1:6">
      <c r="A3992" s="4" t="str">
        <f t="shared" si="62"/>
        <v>tRNA-Thr-GGT-1-1|24</v>
      </c>
      <c r="B3992" s="4" t="s">
        <v>90</v>
      </c>
      <c r="C3992" s="4" t="s">
        <v>139</v>
      </c>
      <c r="D3992" s="4">
        <v>23</v>
      </c>
      <c r="E3992" s="8" t="s">
        <v>109</v>
      </c>
      <c r="F3992" s="7" t="s">
        <v>125</v>
      </c>
    </row>
    <row r="3993" spans="1:6">
      <c r="A3993" s="4" t="str">
        <f t="shared" si="62"/>
        <v>tRNA-Thr-GGT-1-1|25</v>
      </c>
      <c r="B3993" s="4" t="s">
        <v>90</v>
      </c>
      <c r="C3993" s="4" t="s">
        <v>140</v>
      </c>
      <c r="D3993" s="4">
        <v>24</v>
      </c>
      <c r="E3993" s="8" t="s">
        <v>114</v>
      </c>
      <c r="F3993" s="7" t="s">
        <v>125</v>
      </c>
    </row>
    <row r="3994" spans="1:6">
      <c r="A3994" s="4" t="str">
        <f t="shared" si="62"/>
        <v>tRNA-Thr-GGT-1-1|26</v>
      </c>
      <c r="B3994" s="4" t="s">
        <v>90</v>
      </c>
      <c r="C3994" s="4" t="s">
        <v>141</v>
      </c>
      <c r="D3994" s="4">
        <v>25</v>
      </c>
      <c r="E3994" s="3" t="s">
        <v>109</v>
      </c>
      <c r="F3994" s="4" t="s">
        <v>142</v>
      </c>
    </row>
    <row r="3995" spans="1:6">
      <c r="A3995" s="4" t="str">
        <f t="shared" si="62"/>
        <v>tRNA-Thr-GGT-1-1|27</v>
      </c>
      <c r="B3995" s="4" t="s">
        <v>90</v>
      </c>
      <c r="C3995" s="4" t="s">
        <v>143</v>
      </c>
      <c r="D3995" s="4">
        <v>26</v>
      </c>
      <c r="E3995" s="20" t="s">
        <v>114</v>
      </c>
      <c r="F3995" s="21" t="s">
        <v>144</v>
      </c>
    </row>
    <row r="3996" spans="1:6">
      <c r="A3996" s="4" t="str">
        <f t="shared" si="62"/>
        <v>tRNA-Thr-GGT-1-1|28</v>
      </c>
      <c r="B3996" s="4" t="s">
        <v>90</v>
      </c>
      <c r="C3996" s="4" t="s">
        <v>145</v>
      </c>
      <c r="D3996" s="4">
        <v>27</v>
      </c>
      <c r="E3996" s="20" t="s">
        <v>109</v>
      </c>
      <c r="F3996" s="21" t="s">
        <v>144</v>
      </c>
    </row>
    <row r="3997" spans="1:6">
      <c r="A3997" s="4" t="str">
        <f t="shared" si="62"/>
        <v>tRNA-Thr-GGT-1-1|29</v>
      </c>
      <c r="B3997" s="4" t="s">
        <v>90</v>
      </c>
      <c r="C3997" s="4" t="s">
        <v>146</v>
      </c>
      <c r="D3997" s="4">
        <v>28</v>
      </c>
      <c r="E3997" s="20" t="s">
        <v>116</v>
      </c>
      <c r="F3997" s="21" t="s">
        <v>144</v>
      </c>
    </row>
    <row r="3998" spans="1:6">
      <c r="A3998" s="4" t="str">
        <f t="shared" si="62"/>
        <v>tRNA-Thr-GGT-1-1|30</v>
      </c>
      <c r="B3998" s="4" t="s">
        <v>90</v>
      </c>
      <c r="C3998" s="4" t="s">
        <v>147</v>
      </c>
      <c r="D3998" s="4">
        <v>29</v>
      </c>
      <c r="E3998" s="20" t="s">
        <v>114</v>
      </c>
      <c r="F3998" s="21" t="s">
        <v>144</v>
      </c>
    </row>
    <row r="3999" spans="1:6">
      <c r="A3999" s="4" t="str">
        <f t="shared" si="62"/>
        <v>tRNA-Thr-GGT-1-1|31</v>
      </c>
      <c r="B3999" s="4" t="s">
        <v>90</v>
      </c>
      <c r="C3999" s="4" t="s">
        <v>148</v>
      </c>
      <c r="D3999" s="4">
        <v>30</v>
      </c>
      <c r="E3999" s="20" t="s">
        <v>114</v>
      </c>
      <c r="F3999" s="21" t="s">
        <v>144</v>
      </c>
    </row>
    <row r="4000" spans="1:6">
      <c r="A4000" s="4" t="str">
        <f t="shared" si="62"/>
        <v>tRNA-Thr-GGT-1-1|32</v>
      </c>
      <c r="B4000" s="4" t="s">
        <v>90</v>
      </c>
      <c r="C4000" s="4" t="s">
        <v>149</v>
      </c>
      <c r="D4000" s="4">
        <v>31</v>
      </c>
      <c r="E4000" s="18" t="s">
        <v>116</v>
      </c>
      <c r="F4000" s="19" t="s">
        <v>150</v>
      </c>
    </row>
    <row r="4001" spans="1:6">
      <c r="A4001" s="4" t="str">
        <f t="shared" si="62"/>
        <v>tRNA-Thr-GGT-1-1|33</v>
      </c>
      <c r="B4001" s="4" t="s">
        <v>90</v>
      </c>
      <c r="C4001" s="4" t="s">
        <v>151</v>
      </c>
      <c r="D4001" s="4">
        <v>32</v>
      </c>
      <c r="E4001" s="18" t="s">
        <v>116</v>
      </c>
      <c r="F4001" s="19" t="s">
        <v>150</v>
      </c>
    </row>
    <row r="4002" spans="1:6">
      <c r="A4002" s="4" t="str">
        <f t="shared" si="62"/>
        <v>tRNA-Thr-GGT-1-1|34</v>
      </c>
      <c r="B4002" s="4" t="s">
        <v>90</v>
      </c>
      <c r="C4002" s="4" t="s">
        <v>152</v>
      </c>
      <c r="D4002" s="4">
        <v>33</v>
      </c>
      <c r="E4002" s="18" t="s">
        <v>109</v>
      </c>
      <c r="F4002" s="19" t="s">
        <v>150</v>
      </c>
    </row>
    <row r="4003" spans="1:6">
      <c r="A4003" s="4" t="str">
        <f t="shared" si="62"/>
        <v>tRNA-Thr-GGT-1-1|35</v>
      </c>
      <c r="B4003" s="4" t="s">
        <v>90</v>
      </c>
      <c r="C4003" s="4" t="s">
        <v>153</v>
      </c>
      <c r="D4003" s="4">
        <v>34</v>
      </c>
      <c r="E4003" s="18" t="s">
        <v>109</v>
      </c>
      <c r="F4003" s="19" t="s">
        <v>150</v>
      </c>
    </row>
    <row r="4004" spans="1:6">
      <c r="A4004" s="4" t="str">
        <f t="shared" si="62"/>
        <v>tRNA-Thr-GGT-1-1|36</v>
      </c>
      <c r="B4004" s="4" t="s">
        <v>90</v>
      </c>
      <c r="C4004" s="4" t="s">
        <v>154</v>
      </c>
      <c r="D4004" s="4">
        <v>35</v>
      </c>
      <c r="E4004" s="18" t="s">
        <v>116</v>
      </c>
      <c r="F4004" s="19" t="s">
        <v>150</v>
      </c>
    </row>
    <row r="4005" spans="1:6">
      <c r="A4005" s="4" t="str">
        <f t="shared" si="62"/>
        <v>tRNA-Thr-GGT-1-1|37</v>
      </c>
      <c r="B4005" s="4" t="s">
        <v>90</v>
      </c>
      <c r="C4005" s="4" t="s">
        <v>155</v>
      </c>
      <c r="D4005" s="4">
        <v>36</v>
      </c>
      <c r="E4005" s="18" t="s">
        <v>122</v>
      </c>
      <c r="F4005" s="19" t="s">
        <v>150</v>
      </c>
    </row>
    <row r="4006" spans="1:6">
      <c r="A4006" s="4" t="str">
        <f t="shared" si="62"/>
        <v>tRNA-Thr-GGT-1-1|38</v>
      </c>
      <c r="B4006" s="4" t="s">
        <v>90</v>
      </c>
      <c r="C4006" s="4" t="s">
        <v>156</v>
      </c>
      <c r="D4006" s="4">
        <v>37</v>
      </c>
      <c r="E4006" s="18" t="s">
        <v>122</v>
      </c>
      <c r="F4006" s="19" t="s">
        <v>150</v>
      </c>
    </row>
    <row r="4007" spans="1:6">
      <c r="A4007" s="4" t="str">
        <f t="shared" si="62"/>
        <v>tRNA-Thr-GGT-1-1|39</v>
      </c>
      <c r="B4007" s="4" t="s">
        <v>90</v>
      </c>
      <c r="C4007" s="4" t="s">
        <v>157</v>
      </c>
      <c r="D4007" s="4">
        <v>38</v>
      </c>
      <c r="E4007" s="20" t="s">
        <v>109</v>
      </c>
      <c r="F4007" s="21" t="s">
        <v>144</v>
      </c>
    </row>
    <row r="4008" spans="1:6">
      <c r="A4008" s="4" t="str">
        <f t="shared" si="62"/>
        <v>tRNA-Thr-GGT-1-1|40</v>
      </c>
      <c r="B4008" s="4" t="s">
        <v>90</v>
      </c>
      <c r="C4008" s="4" t="s">
        <v>158</v>
      </c>
      <c r="D4008" s="4">
        <v>39</v>
      </c>
      <c r="E4008" s="20" t="s">
        <v>109</v>
      </c>
      <c r="F4008" s="21" t="s">
        <v>144</v>
      </c>
    </row>
    <row r="4009" spans="1:6">
      <c r="A4009" s="4" t="str">
        <f t="shared" si="62"/>
        <v>tRNA-Thr-GGT-1-1|41</v>
      </c>
      <c r="B4009" s="4" t="s">
        <v>90</v>
      </c>
      <c r="C4009" s="4" t="s">
        <v>159</v>
      </c>
      <c r="D4009" s="4">
        <v>40</v>
      </c>
      <c r="E4009" s="20" t="s">
        <v>122</v>
      </c>
      <c r="F4009" s="21" t="s">
        <v>144</v>
      </c>
    </row>
    <row r="4010" spans="1:6">
      <c r="A4010" s="4" t="str">
        <f t="shared" si="62"/>
        <v>tRNA-Thr-GGT-1-1|42</v>
      </c>
      <c r="B4010" s="4" t="s">
        <v>90</v>
      </c>
      <c r="C4010" s="4" t="s">
        <v>160</v>
      </c>
      <c r="D4010" s="4">
        <v>41</v>
      </c>
      <c r="E4010" s="20" t="s">
        <v>114</v>
      </c>
      <c r="F4010" s="21" t="s">
        <v>144</v>
      </c>
    </row>
    <row r="4011" spans="1:6">
      <c r="A4011" s="4" t="str">
        <f t="shared" si="62"/>
        <v>tRNA-Thr-GGT-1-1|43</v>
      </c>
      <c r="B4011" s="4" t="s">
        <v>90</v>
      </c>
      <c r="C4011" s="4" t="s">
        <v>161</v>
      </c>
      <c r="D4011" s="4">
        <v>42</v>
      </c>
      <c r="E4011" s="20" t="s">
        <v>109</v>
      </c>
      <c r="F4011" s="21" t="s">
        <v>144</v>
      </c>
    </row>
    <row r="4012" spans="1:6">
      <c r="A4012" s="4" t="str">
        <f t="shared" si="62"/>
        <v>tRNA-Thr-GGT-1-1|44</v>
      </c>
      <c r="B4012" s="4" t="s">
        <v>90</v>
      </c>
      <c r="C4012" s="4" t="s">
        <v>162</v>
      </c>
      <c r="D4012" s="4">
        <v>43</v>
      </c>
      <c r="E4012" s="18" t="s">
        <v>122</v>
      </c>
      <c r="F4012" s="19" t="s">
        <v>163</v>
      </c>
    </row>
    <row r="4013" spans="1:6">
      <c r="A4013" s="4" t="str">
        <f t="shared" si="62"/>
        <v>tRNA-Thr-GGT-1-1|45</v>
      </c>
      <c r="B4013" s="4" t="s">
        <v>90</v>
      </c>
      <c r="C4013" s="4" t="s">
        <v>164</v>
      </c>
      <c r="D4013" s="4">
        <v>44</v>
      </c>
      <c r="E4013" s="18" t="s">
        <v>109</v>
      </c>
      <c r="F4013" s="19" t="s">
        <v>163</v>
      </c>
    </row>
    <row r="4014" spans="1:6">
      <c r="A4014" s="4" t="str">
        <f t="shared" si="62"/>
        <v>tRNA-Thr-GGT-1-1|46</v>
      </c>
      <c r="B4014" s="4" t="s">
        <v>90</v>
      </c>
      <c r="C4014" s="4" t="s">
        <v>165</v>
      </c>
      <c r="D4014" s="4">
        <v>45</v>
      </c>
      <c r="E4014" s="18" t="s">
        <v>109</v>
      </c>
      <c r="F4014" s="19" t="s">
        <v>163</v>
      </c>
    </row>
    <row r="4015" spans="1:6">
      <c r="A4015" s="4" t="str">
        <f t="shared" si="62"/>
        <v>tRNA-Thr-GGT-1-1|47</v>
      </c>
      <c r="B4015" s="4" t="s">
        <v>90</v>
      </c>
      <c r="C4015" s="4" t="s">
        <v>166</v>
      </c>
      <c r="D4015" s="4">
        <v>46</v>
      </c>
      <c r="E4015" s="18" t="s">
        <v>116</v>
      </c>
      <c r="F4015" s="19" t="s">
        <v>163</v>
      </c>
    </row>
    <row r="4016" spans="1:6">
      <c r="A4016" s="4" t="str">
        <f t="shared" si="62"/>
        <v>tRNA-Thr-GGT-1-1|48</v>
      </c>
      <c r="B4016" s="4" t="s">
        <v>90</v>
      </c>
      <c r="C4016" s="4" t="s">
        <v>167</v>
      </c>
      <c r="D4016" s="4">
        <v>47</v>
      </c>
      <c r="E4016" s="18" t="s">
        <v>114</v>
      </c>
      <c r="F4016" s="19" t="s">
        <v>163</v>
      </c>
    </row>
    <row r="4017" spans="1:6">
      <c r="A4017" s="4" t="str">
        <f t="shared" si="62"/>
        <v>tRNA-Thr-GGT-1-1|49</v>
      </c>
      <c r="B4017" s="4" t="s">
        <v>90</v>
      </c>
      <c r="C4017" s="4" t="s">
        <v>168</v>
      </c>
      <c r="D4017" s="4">
        <v>48</v>
      </c>
      <c r="E4017" s="22" t="s">
        <v>109</v>
      </c>
      <c r="F4017" s="10" t="s">
        <v>169</v>
      </c>
    </row>
    <row r="4018" spans="1:6">
      <c r="A4018" s="4" t="str">
        <f t="shared" si="62"/>
        <v>tRNA-Thr-GGT-1-1|50</v>
      </c>
      <c r="B4018" s="4" t="s">
        <v>90</v>
      </c>
      <c r="C4018" s="4" t="s">
        <v>170</v>
      </c>
      <c r="D4018" s="4">
        <v>49</v>
      </c>
      <c r="E4018" s="22" t="s">
        <v>114</v>
      </c>
      <c r="F4018" s="10" t="s">
        <v>169</v>
      </c>
    </row>
    <row r="4019" spans="1:6">
      <c r="A4019" s="4" t="str">
        <f t="shared" si="62"/>
        <v>tRNA-Thr-GGT-1-1|51</v>
      </c>
      <c r="B4019" s="4" t="s">
        <v>90</v>
      </c>
      <c r="C4019" s="4" t="s">
        <v>171</v>
      </c>
      <c r="D4019" s="4">
        <v>50</v>
      </c>
      <c r="E4019" s="22" t="s">
        <v>109</v>
      </c>
      <c r="F4019" s="10" t="s">
        <v>169</v>
      </c>
    </row>
    <row r="4020" spans="1:6">
      <c r="A4020" s="4" t="str">
        <f t="shared" si="62"/>
        <v>tRNA-Thr-GGT-1-1|52</v>
      </c>
      <c r="B4020" s="4" t="s">
        <v>90</v>
      </c>
      <c r="C4020" s="4" t="s">
        <v>172</v>
      </c>
      <c r="D4020" s="4">
        <v>51</v>
      </c>
      <c r="E4020" s="22" t="s">
        <v>109</v>
      </c>
      <c r="F4020" s="10" t="s">
        <v>169</v>
      </c>
    </row>
    <row r="4021" spans="1:6">
      <c r="A4021" s="4" t="str">
        <f t="shared" si="62"/>
        <v>tRNA-Thr-GGT-1-1|53</v>
      </c>
      <c r="B4021" s="4" t="s">
        <v>90</v>
      </c>
      <c r="C4021" s="4" t="s">
        <v>173</v>
      </c>
      <c r="D4021" s="4">
        <v>52</v>
      </c>
      <c r="E4021" s="22" t="s">
        <v>109</v>
      </c>
      <c r="F4021" s="10" t="s">
        <v>169</v>
      </c>
    </row>
    <row r="4022" spans="1:6">
      <c r="A4022" s="4" t="str">
        <f t="shared" si="62"/>
        <v>tRNA-Thr-GGT-1-1|54</v>
      </c>
      <c r="B4022" s="4" t="s">
        <v>90</v>
      </c>
      <c r="C4022" s="4" t="s">
        <v>174</v>
      </c>
      <c r="D4022" s="4">
        <v>53</v>
      </c>
      <c r="E4022" s="18" t="s">
        <v>116</v>
      </c>
      <c r="F4022" s="19" t="s">
        <v>175</v>
      </c>
    </row>
    <row r="4023" spans="1:6">
      <c r="A4023" s="4" t="str">
        <f t="shared" si="62"/>
        <v>tRNA-Thr-GGT-1-1|55</v>
      </c>
      <c r="B4023" s="4" t="s">
        <v>90</v>
      </c>
      <c r="C4023" s="4" t="s">
        <v>176</v>
      </c>
      <c r="D4023" s="4">
        <v>54</v>
      </c>
      <c r="E4023" s="18" t="s">
        <v>116</v>
      </c>
      <c r="F4023" s="19" t="s">
        <v>175</v>
      </c>
    </row>
    <row r="4024" spans="1:6">
      <c r="A4024" s="4" t="str">
        <f t="shared" si="62"/>
        <v>tRNA-Thr-GGT-1-1|56</v>
      </c>
      <c r="B4024" s="4" t="s">
        <v>90</v>
      </c>
      <c r="C4024" s="4" t="s">
        <v>177</v>
      </c>
      <c r="D4024" s="4">
        <v>55</v>
      </c>
      <c r="E4024" s="18" t="s">
        <v>114</v>
      </c>
      <c r="F4024" s="19" t="s">
        <v>175</v>
      </c>
    </row>
    <row r="4025" spans="1:6">
      <c r="A4025" s="4" t="str">
        <f t="shared" si="62"/>
        <v>tRNA-Thr-GGT-1-1|57</v>
      </c>
      <c r="B4025" s="4" t="s">
        <v>90</v>
      </c>
      <c r="C4025" s="4" t="s">
        <v>178</v>
      </c>
      <c r="D4025" s="4">
        <v>56</v>
      </c>
      <c r="E4025" s="18" t="s">
        <v>122</v>
      </c>
      <c r="F4025" s="19" t="s">
        <v>175</v>
      </c>
    </row>
    <row r="4026" spans="1:6">
      <c r="A4026" s="4" t="str">
        <f t="shared" si="62"/>
        <v>tRNA-Thr-GGT-1-1|58</v>
      </c>
      <c r="B4026" s="4" t="s">
        <v>90</v>
      </c>
      <c r="C4026" s="4" t="s">
        <v>179</v>
      </c>
      <c r="D4026" s="4">
        <v>57</v>
      </c>
      <c r="E4026" s="18" t="s">
        <v>122</v>
      </c>
      <c r="F4026" s="19" t="s">
        <v>175</v>
      </c>
    </row>
    <row r="4027" spans="1:6">
      <c r="A4027" s="4" t="str">
        <f t="shared" si="62"/>
        <v>tRNA-Thr-GGT-1-1|59</v>
      </c>
      <c r="B4027" s="4" t="s">
        <v>90</v>
      </c>
      <c r="C4027" s="4" t="s">
        <v>180</v>
      </c>
      <c r="D4027" s="4">
        <v>58</v>
      </c>
      <c r="E4027" s="18" t="s">
        <v>122</v>
      </c>
      <c r="F4027" s="19" t="s">
        <v>175</v>
      </c>
    </row>
    <row r="4028" spans="1:6">
      <c r="A4028" s="4" t="str">
        <f t="shared" si="62"/>
        <v>tRNA-Thr-GGT-1-1|60</v>
      </c>
      <c r="B4028" s="4" t="s">
        <v>90</v>
      </c>
      <c r="C4028" s="4" t="s">
        <v>181</v>
      </c>
      <c r="D4028" s="4">
        <v>59</v>
      </c>
      <c r="E4028" s="18" t="s">
        <v>116</v>
      </c>
      <c r="F4028" s="19" t="s">
        <v>175</v>
      </c>
    </row>
    <row r="4029" spans="1:6">
      <c r="A4029" s="4" t="str">
        <f t="shared" si="62"/>
        <v>tRNA-Thr-GGT-1-1|61</v>
      </c>
      <c r="B4029" s="4" t="s">
        <v>90</v>
      </c>
      <c r="C4029" s="4" t="s">
        <v>182</v>
      </c>
      <c r="D4029" s="4">
        <v>60</v>
      </c>
      <c r="E4029" s="22" t="s">
        <v>114</v>
      </c>
      <c r="F4029" s="10" t="s">
        <v>169</v>
      </c>
    </row>
    <row r="4030" spans="1:6">
      <c r="A4030" s="4" t="str">
        <f t="shared" si="62"/>
        <v>tRNA-Thr-GGT-1-1|62</v>
      </c>
      <c r="B4030" s="4" t="s">
        <v>90</v>
      </c>
      <c r="C4030" s="4" t="s">
        <v>183</v>
      </c>
      <c r="D4030" s="4">
        <v>61</v>
      </c>
      <c r="E4030" s="22" t="s">
        <v>114</v>
      </c>
      <c r="F4030" s="10" t="s">
        <v>169</v>
      </c>
    </row>
    <row r="4031" spans="1:6">
      <c r="A4031" s="4" t="str">
        <f t="shared" si="62"/>
        <v>tRNA-Thr-GGT-1-1|63</v>
      </c>
      <c r="B4031" s="4" t="s">
        <v>90</v>
      </c>
      <c r="C4031" s="4" t="s">
        <v>184</v>
      </c>
      <c r="D4031" s="4">
        <v>62</v>
      </c>
      <c r="E4031" s="22" t="s">
        <v>114</v>
      </c>
      <c r="F4031" s="10" t="s">
        <v>169</v>
      </c>
    </row>
    <row r="4032" spans="1:6">
      <c r="A4032" s="4" t="str">
        <f t="shared" si="62"/>
        <v>tRNA-Thr-GGT-1-1|64</v>
      </c>
      <c r="B4032" s="4" t="s">
        <v>90</v>
      </c>
      <c r="C4032" s="4" t="s">
        <v>185</v>
      </c>
      <c r="D4032" s="4">
        <v>63</v>
      </c>
      <c r="E4032" s="22" t="s">
        <v>109</v>
      </c>
      <c r="F4032" s="10" t="s">
        <v>169</v>
      </c>
    </row>
    <row r="4033" spans="1:6">
      <c r="A4033" s="4" t="str">
        <f t="shared" si="62"/>
        <v>tRNA-Thr-GGT-1-1|65</v>
      </c>
      <c r="B4033" s="4" t="s">
        <v>90</v>
      </c>
      <c r="C4033" s="4" t="s">
        <v>186</v>
      </c>
      <c r="D4033" s="4">
        <v>64</v>
      </c>
      <c r="E4033" s="22" t="s">
        <v>114</v>
      </c>
      <c r="F4033" s="10" t="s">
        <v>169</v>
      </c>
    </row>
    <row r="4034" spans="1:6">
      <c r="A4034" s="4" t="str">
        <f t="shared" ref="A4034:A4097" si="63">B4034&amp;"|"&amp;C4034</f>
        <v>tRNA-Thr-GGT-1-1|66</v>
      </c>
      <c r="B4034" s="4" t="s">
        <v>90</v>
      </c>
      <c r="C4034" s="4" t="s">
        <v>187</v>
      </c>
      <c r="D4034" s="4">
        <v>65</v>
      </c>
      <c r="E4034" s="16" t="s">
        <v>114</v>
      </c>
      <c r="F4034" s="17" t="s">
        <v>110</v>
      </c>
    </row>
    <row r="4035" spans="1:6">
      <c r="A4035" s="4" t="str">
        <f t="shared" si="63"/>
        <v>tRNA-Thr-GGT-1-1|67</v>
      </c>
      <c r="B4035" s="4" t="s">
        <v>90</v>
      </c>
      <c r="C4035" s="4" t="s">
        <v>188</v>
      </c>
      <c r="D4035" s="4">
        <v>66</v>
      </c>
      <c r="E4035" s="16" t="s">
        <v>114</v>
      </c>
      <c r="F4035" s="17" t="s">
        <v>110</v>
      </c>
    </row>
    <row r="4036" spans="1:6">
      <c r="A4036" s="4" t="str">
        <f t="shared" si="63"/>
        <v>tRNA-Thr-GGT-1-1|68</v>
      </c>
      <c r="B4036" s="4" t="s">
        <v>90</v>
      </c>
      <c r="C4036" s="4" t="s">
        <v>189</v>
      </c>
      <c r="D4036" s="4">
        <v>67</v>
      </c>
      <c r="E4036" s="16" t="s">
        <v>109</v>
      </c>
      <c r="F4036" s="17" t="s">
        <v>110</v>
      </c>
    </row>
    <row r="4037" spans="1:6">
      <c r="A4037" s="4" t="str">
        <f t="shared" si="63"/>
        <v>tRNA-Thr-GGT-1-1|69</v>
      </c>
      <c r="B4037" s="4" t="s">
        <v>90</v>
      </c>
      <c r="C4037" s="4" t="s">
        <v>190</v>
      </c>
      <c r="D4037" s="4">
        <v>68</v>
      </c>
      <c r="E4037" s="16" t="s">
        <v>122</v>
      </c>
      <c r="F4037" s="17" t="s">
        <v>110</v>
      </c>
    </row>
    <row r="4038" spans="1:6">
      <c r="A4038" s="4" t="str">
        <f t="shared" si="63"/>
        <v>tRNA-Thr-GGT-1-1|70</v>
      </c>
      <c r="B4038" s="4" t="s">
        <v>90</v>
      </c>
      <c r="C4038" s="4" t="s">
        <v>191</v>
      </c>
      <c r="D4038" s="4">
        <v>69</v>
      </c>
      <c r="E4038" s="16" t="s">
        <v>109</v>
      </c>
      <c r="F4038" s="17" t="s">
        <v>110</v>
      </c>
    </row>
    <row r="4039" spans="1:6">
      <c r="A4039" s="4" t="str">
        <f t="shared" si="63"/>
        <v>tRNA-Thr-GGT-1-1|71</v>
      </c>
      <c r="B4039" s="4" t="s">
        <v>90</v>
      </c>
      <c r="C4039" s="4" t="s">
        <v>192</v>
      </c>
      <c r="D4039" s="4">
        <v>70</v>
      </c>
      <c r="E4039" s="16" t="s">
        <v>109</v>
      </c>
      <c r="F4039" s="17" t="s">
        <v>110</v>
      </c>
    </row>
    <row r="4040" spans="1:6">
      <c r="A4040" s="4" t="str">
        <f t="shared" si="63"/>
        <v>tRNA-Thr-GGT-1-1|72</v>
      </c>
      <c r="B4040" s="4" t="s">
        <v>90</v>
      </c>
      <c r="C4040" s="4" t="s">
        <v>193</v>
      </c>
      <c r="D4040" s="4">
        <v>71</v>
      </c>
      <c r="E4040" s="16" t="s">
        <v>114</v>
      </c>
      <c r="F4040" s="17" t="s">
        <v>110</v>
      </c>
    </row>
    <row r="4041" spans="1:6">
      <c r="A4041" s="4" t="str">
        <f t="shared" si="63"/>
        <v>tRNA-Thr-TGT-1-1|1</v>
      </c>
      <c r="B4041" s="4" t="s">
        <v>91</v>
      </c>
      <c r="C4041" s="4" t="s">
        <v>108</v>
      </c>
      <c r="D4041" s="4">
        <v>1</v>
      </c>
      <c r="E4041" s="16" t="s">
        <v>109</v>
      </c>
      <c r="F4041" s="17" t="s">
        <v>110</v>
      </c>
    </row>
    <row r="4042" spans="1:6">
      <c r="A4042" s="4" t="str">
        <f t="shared" si="63"/>
        <v>tRNA-Thr-TGT-1-1|2</v>
      </c>
      <c r="B4042" s="4" t="s">
        <v>91</v>
      </c>
      <c r="C4042" s="4" t="s">
        <v>111</v>
      </c>
      <c r="D4042" s="4">
        <v>2</v>
      </c>
      <c r="E4042" s="16" t="s">
        <v>114</v>
      </c>
      <c r="F4042" s="17" t="s">
        <v>110</v>
      </c>
    </row>
    <row r="4043" spans="1:6">
      <c r="A4043" s="4" t="str">
        <f t="shared" si="63"/>
        <v>tRNA-Thr-TGT-1-1|3</v>
      </c>
      <c r="B4043" s="4" t="s">
        <v>91</v>
      </c>
      <c r="C4043" s="4" t="s">
        <v>112</v>
      </c>
      <c r="D4043" s="4">
        <v>3</v>
      </c>
      <c r="E4043" s="16" t="s">
        <v>114</v>
      </c>
      <c r="F4043" s="17" t="s">
        <v>110</v>
      </c>
    </row>
    <row r="4044" spans="1:6">
      <c r="A4044" s="4" t="str">
        <f t="shared" si="63"/>
        <v>tRNA-Thr-TGT-1-1|4</v>
      </c>
      <c r="B4044" s="4" t="s">
        <v>91</v>
      </c>
      <c r="C4044" s="4" t="s">
        <v>113</v>
      </c>
      <c r="D4044" s="4">
        <v>4</v>
      </c>
      <c r="E4044" s="16" t="s">
        <v>116</v>
      </c>
      <c r="F4044" s="17" t="s">
        <v>110</v>
      </c>
    </row>
    <row r="4045" spans="1:6">
      <c r="A4045" s="4" t="str">
        <f t="shared" si="63"/>
        <v>tRNA-Thr-TGT-1-1|5</v>
      </c>
      <c r="B4045" s="4" t="s">
        <v>91</v>
      </c>
      <c r="C4045" s="4" t="s">
        <v>115</v>
      </c>
      <c r="D4045" s="4">
        <v>5</v>
      </c>
      <c r="E4045" s="16" t="s">
        <v>114</v>
      </c>
      <c r="F4045" s="17" t="s">
        <v>110</v>
      </c>
    </row>
    <row r="4046" spans="1:6">
      <c r="A4046" s="4" t="str">
        <f t="shared" si="63"/>
        <v>tRNA-Thr-TGT-1-1|6</v>
      </c>
      <c r="B4046" s="4" t="s">
        <v>91</v>
      </c>
      <c r="C4046" s="4" t="s">
        <v>117</v>
      </c>
      <c r="D4046" s="4">
        <v>6</v>
      </c>
      <c r="E4046" s="16" t="s">
        <v>109</v>
      </c>
      <c r="F4046" s="17" t="s">
        <v>110</v>
      </c>
    </row>
    <row r="4047" spans="1:6">
      <c r="A4047" s="4" t="str">
        <f t="shared" si="63"/>
        <v>tRNA-Thr-TGT-1-1|7</v>
      </c>
      <c r="B4047" s="4" t="s">
        <v>91</v>
      </c>
      <c r="C4047" s="4" t="s">
        <v>118</v>
      </c>
      <c r="D4047" s="4">
        <v>7</v>
      </c>
      <c r="E4047" s="16" t="s">
        <v>116</v>
      </c>
      <c r="F4047" s="17" t="s">
        <v>110</v>
      </c>
    </row>
    <row r="4048" spans="1:6">
      <c r="A4048" s="4" t="str">
        <f t="shared" si="63"/>
        <v>tRNA-Thr-TGT-1-1|8</v>
      </c>
      <c r="B4048" s="4" t="s">
        <v>91</v>
      </c>
      <c r="C4048" s="4" t="s">
        <v>119</v>
      </c>
      <c r="D4048" s="4">
        <v>8</v>
      </c>
      <c r="E4048" s="3" t="s">
        <v>116</v>
      </c>
      <c r="F4048" s="4" t="s">
        <v>120</v>
      </c>
    </row>
    <row r="4049" spans="1:6">
      <c r="A4049" s="4" t="str">
        <f t="shared" si="63"/>
        <v>tRNA-Thr-TGT-1-1|9</v>
      </c>
      <c r="B4049" s="4" t="s">
        <v>91</v>
      </c>
      <c r="C4049" s="4" t="s">
        <v>121</v>
      </c>
      <c r="D4049" s="4">
        <v>9</v>
      </c>
      <c r="E4049" s="3" t="s">
        <v>109</v>
      </c>
      <c r="F4049" s="4" t="s">
        <v>123</v>
      </c>
    </row>
    <row r="4050" spans="1:6">
      <c r="A4050" s="4" t="str">
        <f t="shared" si="63"/>
        <v>tRNA-Thr-TGT-1-1|10</v>
      </c>
      <c r="B4050" s="4" t="s">
        <v>91</v>
      </c>
      <c r="C4050" s="4" t="s">
        <v>124</v>
      </c>
      <c r="D4050" s="4">
        <v>10</v>
      </c>
      <c r="E4050" s="8" t="s">
        <v>109</v>
      </c>
      <c r="F4050" s="7" t="s">
        <v>125</v>
      </c>
    </row>
    <row r="4051" spans="1:6">
      <c r="A4051" s="4" t="str">
        <f t="shared" si="63"/>
        <v>tRNA-Thr-TGT-1-1|11</v>
      </c>
      <c r="B4051" s="4" t="s">
        <v>91</v>
      </c>
      <c r="C4051" s="4" t="s">
        <v>126</v>
      </c>
      <c r="D4051" s="4">
        <v>11</v>
      </c>
      <c r="E4051" s="8" t="s">
        <v>114</v>
      </c>
      <c r="F4051" s="7" t="s">
        <v>125</v>
      </c>
    </row>
    <row r="4052" spans="1:6">
      <c r="A4052" s="4" t="str">
        <f t="shared" si="63"/>
        <v>tRNA-Thr-TGT-1-1|12</v>
      </c>
      <c r="B4052" s="4" t="s">
        <v>91</v>
      </c>
      <c r="C4052" s="4" t="s">
        <v>127</v>
      </c>
      <c r="D4052" s="4">
        <v>12</v>
      </c>
      <c r="E4052" s="8" t="s">
        <v>116</v>
      </c>
      <c r="F4052" s="7" t="s">
        <v>125</v>
      </c>
    </row>
    <row r="4053" spans="1:6">
      <c r="A4053" s="4" t="str">
        <f t="shared" si="63"/>
        <v>tRNA-Thr-TGT-1-1|13</v>
      </c>
      <c r="B4053" s="4" t="s">
        <v>91</v>
      </c>
      <c r="C4053" s="4" t="s">
        <v>128</v>
      </c>
      <c r="D4053" s="4">
        <v>13</v>
      </c>
      <c r="E4053" s="8" t="s">
        <v>114</v>
      </c>
      <c r="F4053" s="7" t="s">
        <v>125</v>
      </c>
    </row>
    <row r="4054" spans="1:6">
      <c r="A4054" s="4" t="str">
        <f t="shared" si="63"/>
        <v>tRNA-Thr-TGT-1-1|14</v>
      </c>
      <c r="B4054" s="4" t="s">
        <v>91</v>
      </c>
      <c r="C4054" s="4" t="s">
        <v>129</v>
      </c>
      <c r="D4054" s="4">
        <v>14</v>
      </c>
      <c r="E4054" s="18" t="s">
        <v>122</v>
      </c>
      <c r="F4054" s="19" t="s">
        <v>130</v>
      </c>
    </row>
    <row r="4055" spans="1:6">
      <c r="A4055" s="4" t="str">
        <f t="shared" si="63"/>
        <v>tRNA-Thr-TGT-1-1|15</v>
      </c>
      <c r="B4055" s="4" t="s">
        <v>91</v>
      </c>
      <c r="C4055" s="4" t="s">
        <v>131</v>
      </c>
      <c r="D4055" s="4">
        <v>15</v>
      </c>
      <c r="E4055" s="18" t="s">
        <v>109</v>
      </c>
      <c r="F4055" s="19" t="s">
        <v>130</v>
      </c>
    </row>
    <row r="4056" spans="1:6">
      <c r="A4056" s="4" t="str">
        <f t="shared" si="63"/>
        <v>tRNA-Thr-TGT-1-1|16</v>
      </c>
      <c r="B4056" s="4" t="s">
        <v>91</v>
      </c>
      <c r="C4056" s="4" t="s">
        <v>194</v>
      </c>
      <c r="D4056" s="4">
        <v>16</v>
      </c>
      <c r="E4056" s="18" t="s">
        <v>114</v>
      </c>
      <c r="F4056" s="19" t="s">
        <v>130</v>
      </c>
    </row>
    <row r="4057" spans="1:6">
      <c r="A4057" s="4" t="str">
        <f t="shared" si="63"/>
        <v>tRNA-Thr-TGT-1-1|17</v>
      </c>
      <c r="B4057" s="4" t="s">
        <v>91</v>
      </c>
      <c r="C4057" s="4" t="s">
        <v>195</v>
      </c>
      <c r="D4057" s="4">
        <v>17</v>
      </c>
      <c r="E4057" s="18" t="s">
        <v>114</v>
      </c>
      <c r="F4057" s="19" t="s">
        <v>130</v>
      </c>
    </row>
    <row r="4058" spans="1:6">
      <c r="A4058" s="4" t="str">
        <f t="shared" si="63"/>
        <v>tRNA-Thr-TGT-1-1|17a</v>
      </c>
      <c r="B4058" s="4" t="s">
        <v>91</v>
      </c>
      <c r="C4058" s="4" t="s">
        <v>196</v>
      </c>
      <c r="D4058" s="4">
        <v>18</v>
      </c>
      <c r="E4058" s="18" t="s">
        <v>114</v>
      </c>
      <c r="F4058" s="19" t="s">
        <v>130</v>
      </c>
    </row>
    <row r="4059" spans="1:6">
      <c r="A4059" s="4" t="str">
        <f t="shared" si="63"/>
        <v>tRNA-Thr-TGT-1-1|18</v>
      </c>
      <c r="B4059" s="4" t="s">
        <v>91</v>
      </c>
      <c r="C4059" s="4" t="s">
        <v>132</v>
      </c>
      <c r="D4059" s="4">
        <v>19</v>
      </c>
      <c r="E4059" s="18" t="s">
        <v>109</v>
      </c>
      <c r="F4059" s="19" t="s">
        <v>130</v>
      </c>
    </row>
    <row r="4060" spans="1:6">
      <c r="A4060" s="4" t="str">
        <f t="shared" si="63"/>
        <v>tRNA-Thr-TGT-1-1|19</v>
      </c>
      <c r="B4060" s="4" t="s">
        <v>91</v>
      </c>
      <c r="C4060" s="4" t="s">
        <v>133</v>
      </c>
      <c r="D4060" s="4">
        <v>20</v>
      </c>
      <c r="E4060" s="18" t="s">
        <v>109</v>
      </c>
      <c r="F4060" s="19" t="s">
        <v>130</v>
      </c>
    </row>
    <row r="4061" spans="1:6">
      <c r="A4061" s="4" t="str">
        <f t="shared" si="63"/>
        <v>tRNA-Thr-TGT-1-1|20</v>
      </c>
      <c r="B4061" s="4" t="s">
        <v>91</v>
      </c>
      <c r="C4061" s="4" t="s">
        <v>134</v>
      </c>
      <c r="D4061" s="4">
        <v>21</v>
      </c>
      <c r="E4061" s="18" t="s">
        <v>116</v>
      </c>
      <c r="F4061" s="19" t="s">
        <v>130</v>
      </c>
    </row>
    <row r="4062" spans="1:6">
      <c r="A4062" s="4" t="str">
        <f t="shared" si="63"/>
        <v>tRNA-Thr-TGT-1-1|21</v>
      </c>
      <c r="B4062" s="4" t="s">
        <v>91</v>
      </c>
      <c r="C4062" s="4" t="s">
        <v>136</v>
      </c>
      <c r="D4062" s="4">
        <v>22</v>
      </c>
      <c r="E4062" s="18" t="s">
        <v>122</v>
      </c>
      <c r="F4062" s="19" t="s">
        <v>130</v>
      </c>
    </row>
    <row r="4063" spans="1:6">
      <c r="A4063" s="4" t="str">
        <f t="shared" si="63"/>
        <v>tRNA-Thr-TGT-1-1|22</v>
      </c>
      <c r="B4063" s="4" t="s">
        <v>91</v>
      </c>
      <c r="C4063" s="4" t="s">
        <v>137</v>
      </c>
      <c r="D4063" s="4">
        <v>23</v>
      </c>
      <c r="E4063" s="8" t="s">
        <v>109</v>
      </c>
      <c r="F4063" s="7" t="s">
        <v>125</v>
      </c>
    </row>
    <row r="4064" spans="1:6">
      <c r="A4064" s="4" t="str">
        <f t="shared" si="63"/>
        <v>tRNA-Thr-TGT-1-1|23</v>
      </c>
      <c r="B4064" s="4" t="s">
        <v>91</v>
      </c>
      <c r="C4064" s="4" t="s">
        <v>138</v>
      </c>
      <c r="D4064" s="4">
        <v>24</v>
      </c>
      <c r="E4064" s="8" t="s">
        <v>122</v>
      </c>
      <c r="F4064" s="7" t="s">
        <v>125</v>
      </c>
    </row>
    <row r="4065" spans="1:6">
      <c r="A4065" s="4" t="str">
        <f t="shared" si="63"/>
        <v>tRNA-Thr-TGT-1-1|24</v>
      </c>
      <c r="B4065" s="4" t="s">
        <v>91</v>
      </c>
      <c r="C4065" s="4" t="s">
        <v>139</v>
      </c>
      <c r="D4065" s="4">
        <v>25</v>
      </c>
      <c r="E4065" s="8" t="s">
        <v>109</v>
      </c>
      <c r="F4065" s="7" t="s">
        <v>125</v>
      </c>
    </row>
    <row r="4066" spans="1:6">
      <c r="A4066" s="4" t="str">
        <f t="shared" si="63"/>
        <v>tRNA-Thr-TGT-1-1|25</v>
      </c>
      <c r="B4066" s="4" t="s">
        <v>91</v>
      </c>
      <c r="C4066" s="4" t="s">
        <v>140</v>
      </c>
      <c r="D4066" s="4">
        <v>26</v>
      </c>
      <c r="E4066" s="8" t="s">
        <v>114</v>
      </c>
      <c r="F4066" s="7" t="s">
        <v>125</v>
      </c>
    </row>
    <row r="4067" spans="1:6">
      <c r="A4067" s="4" t="str">
        <f t="shared" si="63"/>
        <v>tRNA-Thr-TGT-1-1|26</v>
      </c>
      <c r="B4067" s="4" t="s">
        <v>91</v>
      </c>
      <c r="C4067" s="4" t="s">
        <v>141</v>
      </c>
      <c r="D4067" s="4">
        <v>27</v>
      </c>
      <c r="E4067" s="3" t="s">
        <v>109</v>
      </c>
      <c r="F4067" s="4" t="s">
        <v>142</v>
      </c>
    </row>
    <row r="4068" spans="1:6">
      <c r="A4068" s="4" t="str">
        <f t="shared" si="63"/>
        <v>tRNA-Thr-TGT-1-1|27</v>
      </c>
      <c r="B4068" s="4" t="s">
        <v>91</v>
      </c>
      <c r="C4068" s="4" t="s">
        <v>143</v>
      </c>
      <c r="D4068" s="4">
        <v>28</v>
      </c>
      <c r="E4068" s="20" t="s">
        <v>122</v>
      </c>
      <c r="F4068" s="21" t="s">
        <v>144</v>
      </c>
    </row>
    <row r="4069" spans="1:6">
      <c r="A4069" s="4" t="str">
        <f t="shared" si="63"/>
        <v>tRNA-Thr-TGT-1-1|28</v>
      </c>
      <c r="B4069" s="4" t="s">
        <v>91</v>
      </c>
      <c r="C4069" s="4" t="s">
        <v>145</v>
      </c>
      <c r="D4069" s="4">
        <v>29</v>
      </c>
      <c r="E4069" s="20" t="s">
        <v>109</v>
      </c>
      <c r="F4069" s="21" t="s">
        <v>144</v>
      </c>
    </row>
    <row r="4070" spans="1:6">
      <c r="A4070" s="4" t="str">
        <f t="shared" si="63"/>
        <v>tRNA-Thr-TGT-1-1|29</v>
      </c>
      <c r="B4070" s="4" t="s">
        <v>91</v>
      </c>
      <c r="C4070" s="4" t="s">
        <v>146</v>
      </c>
      <c r="D4070" s="4">
        <v>30</v>
      </c>
      <c r="E4070" s="20" t="s">
        <v>116</v>
      </c>
      <c r="F4070" s="21" t="s">
        <v>144</v>
      </c>
    </row>
    <row r="4071" spans="1:6">
      <c r="A4071" s="4" t="str">
        <f t="shared" si="63"/>
        <v>tRNA-Thr-TGT-1-1|30</v>
      </c>
      <c r="B4071" s="4" t="s">
        <v>91</v>
      </c>
      <c r="C4071" s="4" t="s">
        <v>147</v>
      </c>
      <c r="D4071" s="4">
        <v>31</v>
      </c>
      <c r="E4071" s="20" t="s">
        <v>109</v>
      </c>
      <c r="F4071" s="21" t="s">
        <v>144</v>
      </c>
    </row>
    <row r="4072" spans="1:6">
      <c r="A4072" s="4" t="str">
        <f t="shared" si="63"/>
        <v>tRNA-Thr-TGT-1-1|31</v>
      </c>
      <c r="B4072" s="4" t="s">
        <v>91</v>
      </c>
      <c r="C4072" s="4" t="s">
        <v>148</v>
      </c>
      <c r="D4072" s="4">
        <v>32</v>
      </c>
      <c r="E4072" s="20" t="s">
        <v>122</v>
      </c>
      <c r="F4072" s="21" t="s">
        <v>144</v>
      </c>
    </row>
    <row r="4073" spans="1:6">
      <c r="A4073" s="4" t="str">
        <f t="shared" si="63"/>
        <v>tRNA-Thr-TGT-1-1|32</v>
      </c>
      <c r="B4073" s="4" t="s">
        <v>91</v>
      </c>
      <c r="C4073" s="4" t="s">
        <v>149</v>
      </c>
      <c r="D4073" s="4">
        <v>33</v>
      </c>
      <c r="E4073" s="18" t="s">
        <v>114</v>
      </c>
      <c r="F4073" s="19" t="s">
        <v>150</v>
      </c>
    </row>
    <row r="4074" spans="1:6">
      <c r="A4074" s="4" t="str">
        <f t="shared" si="63"/>
        <v>tRNA-Thr-TGT-1-1|33</v>
      </c>
      <c r="B4074" s="4" t="s">
        <v>91</v>
      </c>
      <c r="C4074" s="4" t="s">
        <v>151</v>
      </c>
      <c r="D4074" s="4">
        <v>34</v>
      </c>
      <c r="E4074" s="18" t="s">
        <v>116</v>
      </c>
      <c r="F4074" s="19" t="s">
        <v>150</v>
      </c>
    </row>
    <row r="4075" spans="1:6">
      <c r="A4075" s="4" t="str">
        <f t="shared" si="63"/>
        <v>tRNA-Thr-TGT-1-1|34</v>
      </c>
      <c r="B4075" s="4" t="s">
        <v>91</v>
      </c>
      <c r="C4075" s="4" t="s">
        <v>152</v>
      </c>
      <c r="D4075" s="4">
        <v>35</v>
      </c>
      <c r="E4075" s="18" t="s">
        <v>116</v>
      </c>
      <c r="F4075" s="19" t="s">
        <v>150</v>
      </c>
    </row>
    <row r="4076" spans="1:6">
      <c r="A4076" s="4" t="str">
        <f t="shared" si="63"/>
        <v>tRNA-Thr-TGT-1-1|35</v>
      </c>
      <c r="B4076" s="4" t="s">
        <v>91</v>
      </c>
      <c r="C4076" s="4" t="s">
        <v>153</v>
      </c>
      <c r="D4076" s="4">
        <v>36</v>
      </c>
      <c r="E4076" s="18" t="s">
        <v>109</v>
      </c>
      <c r="F4076" s="19" t="s">
        <v>150</v>
      </c>
    </row>
    <row r="4077" spans="1:6">
      <c r="A4077" s="4" t="str">
        <f t="shared" si="63"/>
        <v>tRNA-Thr-TGT-1-1|36</v>
      </c>
      <c r="B4077" s="4" t="s">
        <v>91</v>
      </c>
      <c r="C4077" s="4" t="s">
        <v>154</v>
      </c>
      <c r="D4077" s="4">
        <v>37</v>
      </c>
      <c r="E4077" s="18" t="s">
        <v>116</v>
      </c>
      <c r="F4077" s="19" t="s">
        <v>150</v>
      </c>
    </row>
    <row r="4078" spans="1:6">
      <c r="A4078" s="4" t="str">
        <f t="shared" si="63"/>
        <v>tRNA-Thr-TGT-1-1|37</v>
      </c>
      <c r="B4078" s="4" t="s">
        <v>91</v>
      </c>
      <c r="C4078" s="4" t="s">
        <v>155</v>
      </c>
      <c r="D4078" s="4">
        <v>38</v>
      </c>
      <c r="E4078" s="18" t="s">
        <v>122</v>
      </c>
      <c r="F4078" s="19" t="s">
        <v>150</v>
      </c>
    </row>
    <row r="4079" spans="1:6">
      <c r="A4079" s="4" t="str">
        <f t="shared" si="63"/>
        <v>tRNA-Thr-TGT-1-1|38</v>
      </c>
      <c r="B4079" s="4" t="s">
        <v>91</v>
      </c>
      <c r="C4079" s="4" t="s">
        <v>156</v>
      </c>
      <c r="D4079" s="4">
        <v>39</v>
      </c>
      <c r="E4079" s="18" t="s">
        <v>122</v>
      </c>
      <c r="F4079" s="19" t="s">
        <v>150</v>
      </c>
    </row>
    <row r="4080" spans="1:6">
      <c r="A4080" s="4" t="str">
        <f t="shared" si="63"/>
        <v>tRNA-Thr-TGT-1-1|39</v>
      </c>
      <c r="B4080" s="4" t="s">
        <v>91</v>
      </c>
      <c r="C4080" s="4" t="s">
        <v>157</v>
      </c>
      <c r="D4080" s="4">
        <v>40</v>
      </c>
      <c r="E4080" s="20" t="s">
        <v>116</v>
      </c>
      <c r="F4080" s="21" t="s">
        <v>144</v>
      </c>
    </row>
    <row r="4081" spans="1:6">
      <c r="A4081" s="4" t="str">
        <f t="shared" si="63"/>
        <v>tRNA-Thr-TGT-1-1|40</v>
      </c>
      <c r="B4081" s="4" t="s">
        <v>91</v>
      </c>
      <c r="C4081" s="4" t="s">
        <v>158</v>
      </c>
      <c r="D4081" s="4">
        <v>41</v>
      </c>
      <c r="E4081" s="20" t="s">
        <v>114</v>
      </c>
      <c r="F4081" s="21" t="s">
        <v>144</v>
      </c>
    </row>
    <row r="4082" spans="1:6">
      <c r="A4082" s="4" t="str">
        <f t="shared" si="63"/>
        <v>tRNA-Thr-TGT-1-1|41</v>
      </c>
      <c r="B4082" s="4" t="s">
        <v>91</v>
      </c>
      <c r="C4082" s="4" t="s">
        <v>159</v>
      </c>
      <c r="D4082" s="4">
        <v>42</v>
      </c>
      <c r="E4082" s="20" t="s">
        <v>122</v>
      </c>
      <c r="F4082" s="21" t="s">
        <v>144</v>
      </c>
    </row>
    <row r="4083" spans="1:6">
      <c r="A4083" s="4" t="str">
        <f t="shared" si="63"/>
        <v>tRNA-Thr-TGT-1-1|42</v>
      </c>
      <c r="B4083" s="4" t="s">
        <v>91</v>
      </c>
      <c r="C4083" s="4" t="s">
        <v>160</v>
      </c>
      <c r="D4083" s="4">
        <v>43</v>
      </c>
      <c r="E4083" s="20" t="s">
        <v>114</v>
      </c>
      <c r="F4083" s="21" t="s">
        <v>144</v>
      </c>
    </row>
    <row r="4084" spans="1:6">
      <c r="A4084" s="4" t="str">
        <f t="shared" si="63"/>
        <v>tRNA-Thr-TGT-1-1|43</v>
      </c>
      <c r="B4084" s="4" t="s">
        <v>91</v>
      </c>
      <c r="C4084" s="4" t="s">
        <v>161</v>
      </c>
      <c r="D4084" s="4">
        <v>44</v>
      </c>
      <c r="E4084" s="20" t="s">
        <v>116</v>
      </c>
      <c r="F4084" s="21" t="s">
        <v>144</v>
      </c>
    </row>
    <row r="4085" spans="1:6">
      <c r="A4085" s="4" t="str">
        <f t="shared" si="63"/>
        <v>tRNA-Thr-TGT-1-1|44</v>
      </c>
      <c r="B4085" s="4" t="s">
        <v>91</v>
      </c>
      <c r="C4085" s="4" t="s">
        <v>162</v>
      </c>
      <c r="D4085" s="4">
        <v>45</v>
      </c>
      <c r="E4085" s="18" t="s">
        <v>122</v>
      </c>
      <c r="F4085" s="19" t="s">
        <v>163</v>
      </c>
    </row>
    <row r="4086" spans="1:6">
      <c r="A4086" s="4" t="str">
        <f t="shared" si="63"/>
        <v>tRNA-Thr-TGT-1-1|45</v>
      </c>
      <c r="B4086" s="4" t="s">
        <v>91</v>
      </c>
      <c r="C4086" s="4" t="s">
        <v>164</v>
      </c>
      <c r="D4086" s="4">
        <v>46</v>
      </c>
      <c r="E4086" s="18" t="s">
        <v>109</v>
      </c>
      <c r="F4086" s="19" t="s">
        <v>163</v>
      </c>
    </row>
    <row r="4087" spans="1:6">
      <c r="A4087" s="4" t="str">
        <f t="shared" si="63"/>
        <v>tRNA-Thr-TGT-1-1|46</v>
      </c>
      <c r="B4087" s="4" t="s">
        <v>91</v>
      </c>
      <c r="C4087" s="4" t="s">
        <v>165</v>
      </c>
      <c r="D4087" s="4">
        <v>47</v>
      </c>
      <c r="E4087" s="18" t="s">
        <v>109</v>
      </c>
      <c r="F4087" s="19" t="s">
        <v>163</v>
      </c>
    </row>
    <row r="4088" spans="1:6">
      <c r="A4088" s="4" t="str">
        <f t="shared" si="63"/>
        <v>tRNA-Thr-TGT-1-1|47</v>
      </c>
      <c r="B4088" s="4" t="s">
        <v>91</v>
      </c>
      <c r="C4088" s="4" t="s">
        <v>166</v>
      </c>
      <c r="D4088" s="4">
        <v>48</v>
      </c>
      <c r="E4088" s="18" t="s">
        <v>116</v>
      </c>
      <c r="F4088" s="19" t="s">
        <v>163</v>
      </c>
    </row>
    <row r="4089" spans="1:6">
      <c r="A4089" s="4" t="str">
        <f t="shared" si="63"/>
        <v>tRNA-Thr-TGT-1-1|48</v>
      </c>
      <c r="B4089" s="4" t="s">
        <v>91</v>
      </c>
      <c r="C4089" s="4" t="s">
        <v>167</v>
      </c>
      <c r="D4089" s="4">
        <v>49</v>
      </c>
      <c r="E4089" s="18" t="s">
        <v>114</v>
      </c>
      <c r="F4089" s="19" t="s">
        <v>163</v>
      </c>
    </row>
    <row r="4090" spans="1:6">
      <c r="A4090" s="4" t="str">
        <f t="shared" si="63"/>
        <v>tRNA-Thr-TGT-1-1|49</v>
      </c>
      <c r="B4090" s="4" t="s">
        <v>91</v>
      </c>
      <c r="C4090" s="4" t="s">
        <v>168</v>
      </c>
      <c r="D4090" s="4">
        <v>50</v>
      </c>
      <c r="E4090" s="22" t="s">
        <v>109</v>
      </c>
      <c r="F4090" s="10" t="s">
        <v>169</v>
      </c>
    </row>
    <row r="4091" spans="1:6">
      <c r="A4091" s="4" t="str">
        <f t="shared" si="63"/>
        <v>tRNA-Thr-TGT-1-1|50</v>
      </c>
      <c r="B4091" s="4" t="s">
        <v>91</v>
      </c>
      <c r="C4091" s="4" t="s">
        <v>170</v>
      </c>
      <c r="D4091" s="4">
        <v>51</v>
      </c>
      <c r="E4091" s="22" t="s">
        <v>114</v>
      </c>
      <c r="F4091" s="10" t="s">
        <v>169</v>
      </c>
    </row>
    <row r="4092" spans="1:6">
      <c r="A4092" s="4" t="str">
        <f t="shared" si="63"/>
        <v>tRNA-Thr-TGT-1-1|51</v>
      </c>
      <c r="B4092" s="4" t="s">
        <v>91</v>
      </c>
      <c r="C4092" s="4" t="s">
        <v>171</v>
      </c>
      <c r="D4092" s="4">
        <v>52</v>
      </c>
      <c r="E4092" s="22" t="s">
        <v>109</v>
      </c>
      <c r="F4092" s="10" t="s">
        <v>169</v>
      </c>
    </row>
    <row r="4093" spans="1:6">
      <c r="A4093" s="4" t="str">
        <f t="shared" si="63"/>
        <v>tRNA-Thr-TGT-1-1|52</v>
      </c>
      <c r="B4093" s="4" t="s">
        <v>91</v>
      </c>
      <c r="C4093" s="4" t="s">
        <v>172</v>
      </c>
      <c r="D4093" s="4">
        <v>53</v>
      </c>
      <c r="E4093" s="22" t="s">
        <v>116</v>
      </c>
      <c r="F4093" s="10" t="s">
        <v>169</v>
      </c>
    </row>
    <row r="4094" spans="1:6">
      <c r="A4094" s="4" t="str">
        <f t="shared" si="63"/>
        <v>tRNA-Thr-TGT-1-1|53</v>
      </c>
      <c r="B4094" s="4" t="s">
        <v>91</v>
      </c>
      <c r="C4094" s="4" t="s">
        <v>173</v>
      </c>
      <c r="D4094" s="4">
        <v>54</v>
      </c>
      <c r="E4094" s="22" t="s">
        <v>109</v>
      </c>
      <c r="F4094" s="10" t="s">
        <v>169</v>
      </c>
    </row>
    <row r="4095" spans="1:6">
      <c r="A4095" s="4" t="str">
        <f t="shared" si="63"/>
        <v>tRNA-Thr-TGT-1-1|54</v>
      </c>
      <c r="B4095" s="4" t="s">
        <v>91</v>
      </c>
      <c r="C4095" s="4" t="s">
        <v>174</v>
      </c>
      <c r="D4095" s="4">
        <v>55</v>
      </c>
      <c r="E4095" s="18" t="s">
        <v>116</v>
      </c>
      <c r="F4095" s="19" t="s">
        <v>175</v>
      </c>
    </row>
    <row r="4096" spans="1:6">
      <c r="A4096" s="4" t="str">
        <f t="shared" si="63"/>
        <v>tRNA-Thr-TGT-1-1|55</v>
      </c>
      <c r="B4096" s="4" t="s">
        <v>91</v>
      </c>
      <c r="C4096" s="4" t="s">
        <v>176</v>
      </c>
      <c r="D4096" s="4">
        <v>56</v>
      </c>
      <c r="E4096" s="18" t="s">
        <v>116</v>
      </c>
      <c r="F4096" s="19" t="s">
        <v>175</v>
      </c>
    </row>
    <row r="4097" spans="1:6">
      <c r="A4097" s="4" t="str">
        <f t="shared" si="63"/>
        <v>tRNA-Thr-TGT-1-1|56</v>
      </c>
      <c r="B4097" s="4" t="s">
        <v>91</v>
      </c>
      <c r="C4097" s="4" t="s">
        <v>177</v>
      </c>
      <c r="D4097" s="4">
        <v>57</v>
      </c>
      <c r="E4097" s="18" t="s">
        <v>114</v>
      </c>
      <c r="F4097" s="19" t="s">
        <v>175</v>
      </c>
    </row>
    <row r="4098" spans="1:6">
      <c r="A4098" s="4" t="str">
        <f t="shared" ref="A4098:A4161" si="64">B4098&amp;"|"&amp;C4098</f>
        <v>tRNA-Thr-TGT-1-1|57</v>
      </c>
      <c r="B4098" s="4" t="s">
        <v>91</v>
      </c>
      <c r="C4098" s="4" t="s">
        <v>178</v>
      </c>
      <c r="D4098" s="4">
        <v>58</v>
      </c>
      <c r="E4098" s="18" t="s">
        <v>122</v>
      </c>
      <c r="F4098" s="19" t="s">
        <v>175</v>
      </c>
    </row>
    <row r="4099" spans="1:6">
      <c r="A4099" s="4" t="str">
        <f t="shared" si="64"/>
        <v>tRNA-Thr-TGT-1-1|58</v>
      </c>
      <c r="B4099" s="4" t="s">
        <v>91</v>
      </c>
      <c r="C4099" s="4" t="s">
        <v>179</v>
      </c>
      <c r="D4099" s="4">
        <v>59</v>
      </c>
      <c r="E4099" s="18" t="s">
        <v>122</v>
      </c>
      <c r="F4099" s="19" t="s">
        <v>175</v>
      </c>
    </row>
    <row r="4100" spans="1:6">
      <c r="A4100" s="4" t="str">
        <f t="shared" si="64"/>
        <v>tRNA-Thr-TGT-1-1|59</v>
      </c>
      <c r="B4100" s="4" t="s">
        <v>91</v>
      </c>
      <c r="C4100" s="4" t="s">
        <v>180</v>
      </c>
      <c r="D4100" s="4">
        <v>60</v>
      </c>
      <c r="E4100" s="18" t="s">
        <v>122</v>
      </c>
      <c r="F4100" s="19" t="s">
        <v>175</v>
      </c>
    </row>
    <row r="4101" spans="1:6">
      <c r="A4101" s="4" t="str">
        <f t="shared" si="64"/>
        <v>tRNA-Thr-TGT-1-1|60</v>
      </c>
      <c r="B4101" s="4" t="s">
        <v>91</v>
      </c>
      <c r="C4101" s="4" t="s">
        <v>181</v>
      </c>
      <c r="D4101" s="4">
        <v>61</v>
      </c>
      <c r="E4101" s="18" t="s">
        <v>116</v>
      </c>
      <c r="F4101" s="19" t="s">
        <v>175</v>
      </c>
    </row>
    <row r="4102" spans="1:6">
      <c r="A4102" s="4" t="str">
        <f t="shared" si="64"/>
        <v>tRNA-Thr-TGT-1-1|61</v>
      </c>
      <c r="B4102" s="4" t="s">
        <v>91</v>
      </c>
      <c r="C4102" s="4" t="s">
        <v>182</v>
      </c>
      <c r="D4102" s="4">
        <v>62</v>
      </c>
      <c r="E4102" s="22" t="s">
        <v>114</v>
      </c>
      <c r="F4102" s="10" t="s">
        <v>169</v>
      </c>
    </row>
    <row r="4103" spans="1:6">
      <c r="A4103" s="4" t="str">
        <f t="shared" si="64"/>
        <v>tRNA-Thr-TGT-1-1|62</v>
      </c>
      <c r="B4103" s="4" t="s">
        <v>91</v>
      </c>
      <c r="C4103" s="4" t="s">
        <v>183</v>
      </c>
      <c r="D4103" s="4">
        <v>63</v>
      </c>
      <c r="E4103" s="22" t="s">
        <v>122</v>
      </c>
      <c r="F4103" s="10" t="s">
        <v>169</v>
      </c>
    </row>
    <row r="4104" spans="1:6">
      <c r="A4104" s="4" t="str">
        <f t="shared" si="64"/>
        <v>tRNA-Thr-TGT-1-1|63</v>
      </c>
      <c r="B4104" s="4" t="s">
        <v>91</v>
      </c>
      <c r="C4104" s="4" t="s">
        <v>184</v>
      </c>
      <c r="D4104" s="4">
        <v>64</v>
      </c>
      <c r="E4104" s="22" t="s">
        <v>114</v>
      </c>
      <c r="F4104" s="10" t="s">
        <v>169</v>
      </c>
    </row>
    <row r="4105" spans="1:6">
      <c r="A4105" s="4" t="str">
        <f t="shared" si="64"/>
        <v>tRNA-Thr-TGT-1-1|64</v>
      </c>
      <c r="B4105" s="4" t="s">
        <v>91</v>
      </c>
      <c r="C4105" s="4" t="s">
        <v>185</v>
      </c>
      <c r="D4105" s="4">
        <v>65</v>
      </c>
      <c r="E4105" s="22" t="s">
        <v>109</v>
      </c>
      <c r="F4105" s="10" t="s">
        <v>169</v>
      </c>
    </row>
    <row r="4106" spans="1:6">
      <c r="A4106" s="4" t="str">
        <f t="shared" si="64"/>
        <v>tRNA-Thr-TGT-1-1|65</v>
      </c>
      <c r="B4106" s="4" t="s">
        <v>91</v>
      </c>
      <c r="C4106" s="4" t="s">
        <v>186</v>
      </c>
      <c r="D4106" s="4">
        <v>66</v>
      </c>
      <c r="E4106" s="22" t="s">
        <v>114</v>
      </c>
      <c r="F4106" s="10" t="s">
        <v>169</v>
      </c>
    </row>
    <row r="4107" spans="1:6">
      <c r="A4107" s="4" t="str">
        <f t="shared" si="64"/>
        <v>tRNA-Thr-TGT-1-1|66</v>
      </c>
      <c r="B4107" s="4" t="s">
        <v>91</v>
      </c>
      <c r="C4107" s="4" t="s">
        <v>187</v>
      </c>
      <c r="D4107" s="4">
        <v>67</v>
      </c>
      <c r="E4107" s="16" t="s">
        <v>122</v>
      </c>
      <c r="F4107" s="17" t="s">
        <v>110</v>
      </c>
    </row>
    <row r="4108" spans="1:6">
      <c r="A4108" s="4" t="str">
        <f t="shared" si="64"/>
        <v>tRNA-Thr-TGT-1-1|67</v>
      </c>
      <c r="B4108" s="4" t="s">
        <v>91</v>
      </c>
      <c r="C4108" s="4" t="s">
        <v>188</v>
      </c>
      <c r="D4108" s="4">
        <v>68</v>
      </c>
      <c r="E4108" s="16" t="s">
        <v>114</v>
      </c>
      <c r="F4108" s="17" t="s">
        <v>110</v>
      </c>
    </row>
    <row r="4109" spans="1:6">
      <c r="A4109" s="4" t="str">
        <f t="shared" si="64"/>
        <v>tRNA-Thr-TGT-1-1|68</v>
      </c>
      <c r="B4109" s="4" t="s">
        <v>91</v>
      </c>
      <c r="C4109" s="4" t="s">
        <v>189</v>
      </c>
      <c r="D4109" s="4">
        <v>69</v>
      </c>
      <c r="E4109" s="16" t="s">
        <v>109</v>
      </c>
      <c r="F4109" s="17" t="s">
        <v>110</v>
      </c>
    </row>
    <row r="4110" spans="1:6">
      <c r="A4110" s="4" t="str">
        <f t="shared" si="64"/>
        <v>tRNA-Thr-TGT-1-1|69</v>
      </c>
      <c r="B4110" s="4" t="s">
        <v>91</v>
      </c>
      <c r="C4110" s="4" t="s">
        <v>190</v>
      </c>
      <c r="D4110" s="4">
        <v>70</v>
      </c>
      <c r="E4110" s="16" t="s">
        <v>109</v>
      </c>
      <c r="F4110" s="17" t="s">
        <v>110</v>
      </c>
    </row>
    <row r="4111" spans="1:6">
      <c r="A4111" s="4" t="str">
        <f t="shared" si="64"/>
        <v>tRNA-Thr-TGT-1-1|70</v>
      </c>
      <c r="B4111" s="4" t="s">
        <v>91</v>
      </c>
      <c r="C4111" s="4" t="s">
        <v>191</v>
      </c>
      <c r="D4111" s="4">
        <v>71</v>
      </c>
      <c r="E4111" s="16" t="s">
        <v>109</v>
      </c>
      <c r="F4111" s="17" t="s">
        <v>110</v>
      </c>
    </row>
    <row r="4112" spans="1:6">
      <c r="A4112" s="4" t="str">
        <f t="shared" si="64"/>
        <v>tRNA-Thr-TGT-1-1|71</v>
      </c>
      <c r="B4112" s="4" t="s">
        <v>91</v>
      </c>
      <c r="C4112" s="4" t="s">
        <v>192</v>
      </c>
      <c r="D4112" s="4">
        <v>72</v>
      </c>
      <c r="E4112" s="16" t="s">
        <v>109</v>
      </c>
      <c r="F4112" s="17" t="s">
        <v>110</v>
      </c>
    </row>
    <row r="4113" spans="1:6">
      <c r="A4113" s="4" t="str">
        <f t="shared" si="64"/>
        <v>tRNA-Thr-TGT-1-1|72</v>
      </c>
      <c r="B4113" s="4" t="s">
        <v>91</v>
      </c>
      <c r="C4113" s="4" t="s">
        <v>193</v>
      </c>
      <c r="D4113" s="4">
        <v>73</v>
      </c>
      <c r="E4113" s="16" t="s">
        <v>114</v>
      </c>
      <c r="F4113" s="17" t="s">
        <v>110</v>
      </c>
    </row>
    <row r="4114" spans="1:6">
      <c r="A4114" s="4" t="str">
        <f t="shared" si="64"/>
        <v>tRNA-Thr-TGT-2-1|1</v>
      </c>
      <c r="B4114" s="4" t="s">
        <v>92</v>
      </c>
      <c r="C4114" s="4" t="s">
        <v>108</v>
      </c>
      <c r="D4114" s="4">
        <v>1</v>
      </c>
      <c r="E4114" s="16" t="s">
        <v>109</v>
      </c>
      <c r="F4114" s="17" t="s">
        <v>110</v>
      </c>
    </row>
    <row r="4115" spans="1:6">
      <c r="A4115" s="4" t="str">
        <f t="shared" si="64"/>
        <v>tRNA-Thr-TGT-2-1|2</v>
      </c>
      <c r="B4115" s="4" t="s">
        <v>92</v>
      </c>
      <c r="C4115" s="4" t="s">
        <v>111</v>
      </c>
      <c r="D4115" s="4">
        <v>2</v>
      </c>
      <c r="E4115" s="16" t="s">
        <v>116</v>
      </c>
      <c r="F4115" s="17" t="s">
        <v>110</v>
      </c>
    </row>
    <row r="4116" spans="1:6">
      <c r="A4116" s="4" t="str">
        <f t="shared" si="64"/>
        <v>tRNA-Thr-TGT-2-1|3</v>
      </c>
      <c r="B4116" s="4" t="s">
        <v>92</v>
      </c>
      <c r="C4116" s="4" t="s">
        <v>112</v>
      </c>
      <c r="D4116" s="4">
        <v>3</v>
      </c>
      <c r="E4116" s="16" t="s">
        <v>114</v>
      </c>
      <c r="F4116" s="17" t="s">
        <v>110</v>
      </c>
    </row>
    <row r="4117" spans="1:6">
      <c r="A4117" s="4" t="str">
        <f t="shared" si="64"/>
        <v>tRNA-Thr-TGT-2-1|4</v>
      </c>
      <c r="B4117" s="4" t="s">
        <v>92</v>
      </c>
      <c r="C4117" s="4" t="s">
        <v>113</v>
      </c>
      <c r="D4117" s="4">
        <v>4</v>
      </c>
      <c r="E4117" s="16" t="s">
        <v>116</v>
      </c>
      <c r="F4117" s="17" t="s">
        <v>110</v>
      </c>
    </row>
    <row r="4118" spans="1:6">
      <c r="A4118" s="4" t="str">
        <f t="shared" si="64"/>
        <v>tRNA-Thr-TGT-2-1|5</v>
      </c>
      <c r="B4118" s="4" t="s">
        <v>92</v>
      </c>
      <c r="C4118" s="4" t="s">
        <v>115</v>
      </c>
      <c r="D4118" s="4">
        <v>5</v>
      </c>
      <c r="E4118" s="16" t="s">
        <v>114</v>
      </c>
      <c r="F4118" s="17" t="s">
        <v>110</v>
      </c>
    </row>
    <row r="4119" spans="1:6">
      <c r="A4119" s="4" t="str">
        <f t="shared" si="64"/>
        <v>tRNA-Thr-TGT-2-1|6</v>
      </c>
      <c r="B4119" s="4" t="s">
        <v>92</v>
      </c>
      <c r="C4119" s="4" t="s">
        <v>117</v>
      </c>
      <c r="D4119" s="4">
        <v>6</v>
      </c>
      <c r="E4119" s="16" t="s">
        <v>109</v>
      </c>
      <c r="F4119" s="17" t="s">
        <v>110</v>
      </c>
    </row>
    <row r="4120" spans="1:6">
      <c r="A4120" s="4" t="str">
        <f t="shared" si="64"/>
        <v>tRNA-Thr-TGT-2-1|7</v>
      </c>
      <c r="B4120" s="4" t="s">
        <v>92</v>
      </c>
      <c r="C4120" s="4" t="s">
        <v>118</v>
      </c>
      <c r="D4120" s="4">
        <v>7</v>
      </c>
      <c r="E4120" s="16" t="s">
        <v>116</v>
      </c>
      <c r="F4120" s="17" t="s">
        <v>110</v>
      </c>
    </row>
    <row r="4121" spans="1:6">
      <c r="A4121" s="4" t="str">
        <f t="shared" si="64"/>
        <v>tRNA-Thr-TGT-2-1|8</v>
      </c>
      <c r="B4121" s="4" t="s">
        <v>92</v>
      </c>
      <c r="C4121" s="4" t="s">
        <v>119</v>
      </c>
      <c r="D4121" s="4">
        <v>8</v>
      </c>
      <c r="E4121" s="3" t="s">
        <v>116</v>
      </c>
      <c r="F4121" s="4" t="s">
        <v>120</v>
      </c>
    </row>
    <row r="4122" spans="1:6">
      <c r="A4122" s="4" t="str">
        <f t="shared" si="64"/>
        <v>tRNA-Thr-TGT-2-1|9</v>
      </c>
      <c r="B4122" s="4" t="s">
        <v>92</v>
      </c>
      <c r="C4122" s="4" t="s">
        <v>121</v>
      </c>
      <c r="D4122" s="4">
        <v>9</v>
      </c>
      <c r="E4122" s="3" t="s">
        <v>109</v>
      </c>
      <c r="F4122" s="4" t="s">
        <v>123</v>
      </c>
    </row>
    <row r="4123" spans="1:6">
      <c r="A4123" s="4" t="str">
        <f t="shared" si="64"/>
        <v>tRNA-Thr-TGT-2-1|10</v>
      </c>
      <c r="B4123" s="4" t="s">
        <v>92</v>
      </c>
      <c r="C4123" s="4" t="s">
        <v>124</v>
      </c>
      <c r="D4123" s="4">
        <v>10</v>
      </c>
      <c r="E4123" s="8" t="s">
        <v>109</v>
      </c>
      <c r="F4123" s="7" t="s">
        <v>125</v>
      </c>
    </row>
    <row r="4124" spans="1:6">
      <c r="A4124" s="4" t="str">
        <f t="shared" si="64"/>
        <v>tRNA-Thr-TGT-2-1|11</v>
      </c>
      <c r="B4124" s="4" t="s">
        <v>92</v>
      </c>
      <c r="C4124" s="4" t="s">
        <v>126</v>
      </c>
      <c r="D4124" s="4">
        <v>11</v>
      </c>
      <c r="E4124" s="8" t="s">
        <v>114</v>
      </c>
      <c r="F4124" s="7" t="s">
        <v>125</v>
      </c>
    </row>
    <row r="4125" spans="1:6">
      <c r="A4125" s="4" t="str">
        <f t="shared" si="64"/>
        <v>tRNA-Thr-TGT-2-1|12</v>
      </c>
      <c r="B4125" s="4" t="s">
        <v>92</v>
      </c>
      <c r="C4125" s="4" t="s">
        <v>127</v>
      </c>
      <c r="D4125" s="4">
        <v>12</v>
      </c>
      <c r="E4125" s="8" t="s">
        <v>116</v>
      </c>
      <c r="F4125" s="7" t="s">
        <v>125</v>
      </c>
    </row>
    <row r="4126" spans="1:6">
      <c r="A4126" s="4" t="str">
        <f t="shared" si="64"/>
        <v>tRNA-Thr-TGT-2-1|13</v>
      </c>
      <c r="B4126" s="4" t="s">
        <v>92</v>
      </c>
      <c r="C4126" s="4" t="s">
        <v>128</v>
      </c>
      <c r="D4126" s="4">
        <v>13</v>
      </c>
      <c r="E4126" s="8" t="s">
        <v>114</v>
      </c>
      <c r="F4126" s="7" t="s">
        <v>125</v>
      </c>
    </row>
    <row r="4127" spans="1:6">
      <c r="A4127" s="4" t="str">
        <f t="shared" si="64"/>
        <v>tRNA-Thr-TGT-2-1|14</v>
      </c>
      <c r="B4127" s="4" t="s">
        <v>92</v>
      </c>
      <c r="C4127" s="4" t="s">
        <v>129</v>
      </c>
      <c r="D4127" s="4">
        <v>14</v>
      </c>
      <c r="E4127" s="18" t="s">
        <v>122</v>
      </c>
      <c r="F4127" s="19" t="s">
        <v>130</v>
      </c>
    </row>
    <row r="4128" spans="1:6">
      <c r="A4128" s="4" t="str">
        <f t="shared" si="64"/>
        <v>tRNA-Thr-TGT-2-1|15</v>
      </c>
      <c r="B4128" s="4" t="s">
        <v>92</v>
      </c>
      <c r="C4128" s="4" t="s">
        <v>131</v>
      </c>
      <c r="D4128" s="4">
        <v>15</v>
      </c>
      <c r="E4128" s="18" t="s">
        <v>109</v>
      </c>
      <c r="F4128" s="19" t="s">
        <v>130</v>
      </c>
    </row>
    <row r="4129" spans="1:6">
      <c r="A4129" s="4" t="str">
        <f t="shared" si="64"/>
        <v>tRNA-Thr-TGT-2-1|16</v>
      </c>
      <c r="B4129" s="4" t="s">
        <v>92</v>
      </c>
      <c r="C4129" s="4" t="s">
        <v>194</v>
      </c>
      <c r="D4129" s="4">
        <v>16</v>
      </c>
      <c r="E4129" s="18" t="s">
        <v>114</v>
      </c>
      <c r="F4129" s="19" t="s">
        <v>130</v>
      </c>
    </row>
    <row r="4130" spans="1:6">
      <c r="A4130" s="4" t="str">
        <f t="shared" si="64"/>
        <v>tRNA-Thr-TGT-2-1|17</v>
      </c>
      <c r="B4130" s="4" t="s">
        <v>92</v>
      </c>
      <c r="C4130" s="4" t="s">
        <v>195</v>
      </c>
      <c r="D4130" s="4">
        <v>17</v>
      </c>
      <c r="E4130" s="18" t="s">
        <v>114</v>
      </c>
      <c r="F4130" s="19" t="s">
        <v>130</v>
      </c>
    </row>
    <row r="4131" spans="1:6">
      <c r="A4131" s="4" t="str">
        <f t="shared" si="64"/>
        <v>tRNA-Thr-TGT-2-1|17a</v>
      </c>
      <c r="B4131" s="4" t="s">
        <v>92</v>
      </c>
      <c r="C4131" s="4" t="s">
        <v>196</v>
      </c>
      <c r="D4131" s="4">
        <v>18</v>
      </c>
      <c r="E4131" s="18" t="s">
        <v>114</v>
      </c>
      <c r="F4131" s="19" t="s">
        <v>130</v>
      </c>
    </row>
    <row r="4132" spans="1:6">
      <c r="A4132" s="4" t="str">
        <f t="shared" si="64"/>
        <v>tRNA-Thr-TGT-2-1|18</v>
      </c>
      <c r="B4132" s="4" t="s">
        <v>92</v>
      </c>
      <c r="C4132" s="4" t="s">
        <v>132</v>
      </c>
      <c r="D4132" s="4">
        <v>19</v>
      </c>
      <c r="E4132" s="18" t="s">
        <v>109</v>
      </c>
      <c r="F4132" s="19" t="s">
        <v>130</v>
      </c>
    </row>
    <row r="4133" spans="1:6">
      <c r="A4133" s="4" t="str">
        <f t="shared" si="64"/>
        <v>tRNA-Thr-TGT-2-1|19</v>
      </c>
      <c r="B4133" s="4" t="s">
        <v>92</v>
      </c>
      <c r="C4133" s="4" t="s">
        <v>133</v>
      </c>
      <c r="D4133" s="4">
        <v>20</v>
      </c>
      <c r="E4133" s="18" t="s">
        <v>122</v>
      </c>
      <c r="F4133" s="19" t="s">
        <v>130</v>
      </c>
    </row>
    <row r="4134" spans="1:6">
      <c r="A4134" s="4" t="str">
        <f t="shared" si="64"/>
        <v>tRNA-Thr-TGT-2-1|20</v>
      </c>
      <c r="B4134" s="4" t="s">
        <v>92</v>
      </c>
      <c r="C4134" s="4" t="s">
        <v>134</v>
      </c>
      <c r="D4134" s="4">
        <v>21</v>
      </c>
      <c r="E4134" s="18" t="s">
        <v>116</v>
      </c>
      <c r="F4134" s="19" t="s">
        <v>130</v>
      </c>
    </row>
    <row r="4135" spans="1:6">
      <c r="A4135" s="4" t="str">
        <f t="shared" si="64"/>
        <v>tRNA-Thr-TGT-2-1|21</v>
      </c>
      <c r="B4135" s="4" t="s">
        <v>92</v>
      </c>
      <c r="C4135" s="4" t="s">
        <v>136</v>
      </c>
      <c r="D4135" s="4">
        <v>22</v>
      </c>
      <c r="E4135" s="18" t="s">
        <v>122</v>
      </c>
      <c r="F4135" s="19" t="s">
        <v>130</v>
      </c>
    </row>
    <row r="4136" spans="1:6">
      <c r="A4136" s="4" t="str">
        <f t="shared" si="64"/>
        <v>tRNA-Thr-TGT-2-1|22</v>
      </c>
      <c r="B4136" s="4" t="s">
        <v>92</v>
      </c>
      <c r="C4136" s="4" t="s">
        <v>137</v>
      </c>
      <c r="D4136" s="4">
        <v>23</v>
      </c>
      <c r="E4136" s="8" t="s">
        <v>109</v>
      </c>
      <c r="F4136" s="7" t="s">
        <v>125</v>
      </c>
    </row>
    <row r="4137" spans="1:6">
      <c r="A4137" s="4" t="str">
        <f t="shared" si="64"/>
        <v>tRNA-Thr-TGT-2-1|23</v>
      </c>
      <c r="B4137" s="4" t="s">
        <v>92</v>
      </c>
      <c r="C4137" s="4" t="s">
        <v>138</v>
      </c>
      <c r="D4137" s="4">
        <v>24</v>
      </c>
      <c r="E4137" s="8" t="s">
        <v>122</v>
      </c>
      <c r="F4137" s="7" t="s">
        <v>125</v>
      </c>
    </row>
    <row r="4138" spans="1:6">
      <c r="A4138" s="4" t="str">
        <f t="shared" si="64"/>
        <v>tRNA-Thr-TGT-2-1|24</v>
      </c>
      <c r="B4138" s="4" t="s">
        <v>92</v>
      </c>
      <c r="C4138" s="4" t="s">
        <v>139</v>
      </c>
      <c r="D4138" s="4">
        <v>25</v>
      </c>
      <c r="E4138" s="8" t="s">
        <v>109</v>
      </c>
      <c r="F4138" s="7" t="s">
        <v>125</v>
      </c>
    </row>
    <row r="4139" spans="1:6">
      <c r="A4139" s="4" t="str">
        <f t="shared" si="64"/>
        <v>tRNA-Thr-TGT-2-1|25</v>
      </c>
      <c r="B4139" s="4" t="s">
        <v>92</v>
      </c>
      <c r="C4139" s="4" t="s">
        <v>140</v>
      </c>
      <c r="D4139" s="4">
        <v>26</v>
      </c>
      <c r="E4139" s="8" t="s">
        <v>114</v>
      </c>
      <c r="F4139" s="7" t="s">
        <v>125</v>
      </c>
    </row>
    <row r="4140" spans="1:6">
      <c r="A4140" s="4" t="str">
        <f t="shared" si="64"/>
        <v>tRNA-Thr-TGT-2-1|26</v>
      </c>
      <c r="B4140" s="4" t="s">
        <v>92</v>
      </c>
      <c r="C4140" s="4" t="s">
        <v>141</v>
      </c>
      <c r="D4140" s="4">
        <v>27</v>
      </c>
      <c r="E4140" s="3" t="s">
        <v>116</v>
      </c>
      <c r="F4140" s="4" t="s">
        <v>142</v>
      </c>
    </row>
    <row r="4141" spans="1:6">
      <c r="A4141" s="4" t="str">
        <f t="shared" si="64"/>
        <v>tRNA-Thr-TGT-2-1|27</v>
      </c>
      <c r="B4141" s="4" t="s">
        <v>92</v>
      </c>
      <c r="C4141" s="4" t="s">
        <v>143</v>
      </c>
      <c r="D4141" s="4">
        <v>28</v>
      </c>
      <c r="E4141" s="20" t="s">
        <v>122</v>
      </c>
      <c r="F4141" s="21" t="s">
        <v>144</v>
      </c>
    </row>
    <row r="4142" spans="1:6">
      <c r="A4142" s="4" t="str">
        <f t="shared" si="64"/>
        <v>tRNA-Thr-TGT-2-1|28</v>
      </c>
      <c r="B4142" s="4" t="s">
        <v>92</v>
      </c>
      <c r="C4142" s="4" t="s">
        <v>145</v>
      </c>
      <c r="D4142" s="4">
        <v>29</v>
      </c>
      <c r="E4142" s="20" t="s">
        <v>109</v>
      </c>
      <c r="F4142" s="21" t="s">
        <v>144</v>
      </c>
    </row>
    <row r="4143" spans="1:6">
      <c r="A4143" s="4" t="str">
        <f t="shared" si="64"/>
        <v>tRNA-Thr-TGT-2-1|29</v>
      </c>
      <c r="B4143" s="4" t="s">
        <v>92</v>
      </c>
      <c r="C4143" s="4" t="s">
        <v>146</v>
      </c>
      <c r="D4143" s="4">
        <v>30</v>
      </c>
      <c r="E4143" s="20" t="s">
        <v>116</v>
      </c>
      <c r="F4143" s="21" t="s">
        <v>144</v>
      </c>
    </row>
    <row r="4144" spans="1:6">
      <c r="A4144" s="4" t="str">
        <f t="shared" si="64"/>
        <v>tRNA-Thr-TGT-2-1|30</v>
      </c>
      <c r="B4144" s="4" t="s">
        <v>92</v>
      </c>
      <c r="C4144" s="4" t="s">
        <v>147</v>
      </c>
      <c r="D4144" s="4">
        <v>31</v>
      </c>
      <c r="E4144" s="20" t="s">
        <v>109</v>
      </c>
      <c r="F4144" s="21" t="s">
        <v>144</v>
      </c>
    </row>
    <row r="4145" spans="1:6">
      <c r="A4145" s="4" t="str">
        <f t="shared" si="64"/>
        <v>tRNA-Thr-TGT-2-1|31</v>
      </c>
      <c r="B4145" s="4" t="s">
        <v>92</v>
      </c>
      <c r="C4145" s="4" t="s">
        <v>148</v>
      </c>
      <c r="D4145" s="4">
        <v>32</v>
      </c>
      <c r="E4145" s="20" t="s">
        <v>122</v>
      </c>
      <c r="F4145" s="21" t="s">
        <v>144</v>
      </c>
    </row>
    <row r="4146" spans="1:6">
      <c r="A4146" s="4" t="str">
        <f t="shared" si="64"/>
        <v>tRNA-Thr-TGT-2-1|32</v>
      </c>
      <c r="B4146" s="4" t="s">
        <v>92</v>
      </c>
      <c r="C4146" s="4" t="s">
        <v>149</v>
      </c>
      <c r="D4146" s="4">
        <v>33</v>
      </c>
      <c r="E4146" s="18" t="s">
        <v>116</v>
      </c>
      <c r="F4146" s="19" t="s">
        <v>150</v>
      </c>
    </row>
    <row r="4147" spans="1:6">
      <c r="A4147" s="4" t="str">
        <f t="shared" si="64"/>
        <v>tRNA-Thr-TGT-2-1|33</v>
      </c>
      <c r="B4147" s="4" t="s">
        <v>92</v>
      </c>
      <c r="C4147" s="4" t="s">
        <v>151</v>
      </c>
      <c r="D4147" s="4">
        <v>34</v>
      </c>
      <c r="E4147" s="18" t="s">
        <v>116</v>
      </c>
      <c r="F4147" s="19" t="s">
        <v>150</v>
      </c>
    </row>
    <row r="4148" spans="1:6">
      <c r="A4148" s="4" t="str">
        <f t="shared" si="64"/>
        <v>tRNA-Thr-TGT-2-1|34</v>
      </c>
      <c r="B4148" s="4" t="s">
        <v>92</v>
      </c>
      <c r="C4148" s="4" t="s">
        <v>152</v>
      </c>
      <c r="D4148" s="4">
        <v>35</v>
      </c>
      <c r="E4148" s="18" t="s">
        <v>116</v>
      </c>
      <c r="F4148" s="19" t="s">
        <v>150</v>
      </c>
    </row>
    <row r="4149" spans="1:6">
      <c r="A4149" s="4" t="str">
        <f t="shared" si="64"/>
        <v>tRNA-Thr-TGT-2-1|35</v>
      </c>
      <c r="B4149" s="4" t="s">
        <v>92</v>
      </c>
      <c r="C4149" s="4" t="s">
        <v>153</v>
      </c>
      <c r="D4149" s="4">
        <v>36</v>
      </c>
      <c r="E4149" s="18" t="s">
        <v>109</v>
      </c>
      <c r="F4149" s="19" t="s">
        <v>150</v>
      </c>
    </row>
    <row r="4150" spans="1:6">
      <c r="A4150" s="4" t="str">
        <f t="shared" si="64"/>
        <v>tRNA-Thr-TGT-2-1|36</v>
      </c>
      <c r="B4150" s="4" t="s">
        <v>92</v>
      </c>
      <c r="C4150" s="4" t="s">
        <v>154</v>
      </c>
      <c r="D4150" s="4">
        <v>37</v>
      </c>
      <c r="E4150" s="18" t="s">
        <v>116</v>
      </c>
      <c r="F4150" s="19" t="s">
        <v>150</v>
      </c>
    </row>
    <row r="4151" spans="1:6">
      <c r="A4151" s="4" t="str">
        <f t="shared" si="64"/>
        <v>tRNA-Thr-TGT-2-1|37</v>
      </c>
      <c r="B4151" s="4" t="s">
        <v>92</v>
      </c>
      <c r="C4151" s="4" t="s">
        <v>155</v>
      </c>
      <c r="D4151" s="4">
        <v>38</v>
      </c>
      <c r="E4151" s="18" t="s">
        <v>122</v>
      </c>
      <c r="F4151" s="19" t="s">
        <v>150</v>
      </c>
    </row>
    <row r="4152" spans="1:6">
      <c r="A4152" s="4" t="str">
        <f t="shared" si="64"/>
        <v>tRNA-Thr-TGT-2-1|38</v>
      </c>
      <c r="B4152" s="4" t="s">
        <v>92</v>
      </c>
      <c r="C4152" s="4" t="s">
        <v>156</v>
      </c>
      <c r="D4152" s="4">
        <v>39</v>
      </c>
      <c r="E4152" s="18" t="s">
        <v>122</v>
      </c>
      <c r="F4152" s="19" t="s">
        <v>150</v>
      </c>
    </row>
    <row r="4153" spans="1:6">
      <c r="A4153" s="4" t="str">
        <f t="shared" si="64"/>
        <v>tRNA-Thr-TGT-2-1|39</v>
      </c>
      <c r="B4153" s="4" t="s">
        <v>92</v>
      </c>
      <c r="C4153" s="4" t="s">
        <v>157</v>
      </c>
      <c r="D4153" s="4">
        <v>40</v>
      </c>
      <c r="E4153" s="20" t="s">
        <v>116</v>
      </c>
      <c r="F4153" s="21" t="s">
        <v>144</v>
      </c>
    </row>
    <row r="4154" spans="1:6">
      <c r="A4154" s="4" t="str">
        <f t="shared" si="64"/>
        <v>tRNA-Thr-TGT-2-1|40</v>
      </c>
      <c r="B4154" s="4" t="s">
        <v>92</v>
      </c>
      <c r="C4154" s="4" t="s">
        <v>158</v>
      </c>
      <c r="D4154" s="4">
        <v>41</v>
      </c>
      <c r="E4154" s="20" t="s">
        <v>114</v>
      </c>
      <c r="F4154" s="21" t="s">
        <v>144</v>
      </c>
    </row>
    <row r="4155" spans="1:6">
      <c r="A4155" s="4" t="str">
        <f t="shared" si="64"/>
        <v>tRNA-Thr-TGT-2-1|41</v>
      </c>
      <c r="B4155" s="4" t="s">
        <v>92</v>
      </c>
      <c r="C4155" s="4" t="s">
        <v>159</v>
      </c>
      <c r="D4155" s="4">
        <v>42</v>
      </c>
      <c r="E4155" s="20" t="s">
        <v>122</v>
      </c>
      <c r="F4155" s="21" t="s">
        <v>144</v>
      </c>
    </row>
    <row r="4156" spans="1:6">
      <c r="A4156" s="4" t="str">
        <f t="shared" si="64"/>
        <v>tRNA-Thr-TGT-2-1|42</v>
      </c>
      <c r="B4156" s="4" t="s">
        <v>92</v>
      </c>
      <c r="C4156" s="4" t="s">
        <v>160</v>
      </c>
      <c r="D4156" s="4">
        <v>43</v>
      </c>
      <c r="E4156" s="20" t="s">
        <v>114</v>
      </c>
      <c r="F4156" s="21" t="s">
        <v>144</v>
      </c>
    </row>
    <row r="4157" spans="1:6">
      <c r="A4157" s="4" t="str">
        <f t="shared" si="64"/>
        <v>tRNA-Thr-TGT-2-1|43</v>
      </c>
      <c r="B4157" s="4" t="s">
        <v>92</v>
      </c>
      <c r="C4157" s="4" t="s">
        <v>161</v>
      </c>
      <c r="D4157" s="4">
        <v>44</v>
      </c>
      <c r="E4157" s="20" t="s">
        <v>116</v>
      </c>
      <c r="F4157" s="21" t="s">
        <v>144</v>
      </c>
    </row>
    <row r="4158" spans="1:6">
      <c r="A4158" s="4" t="str">
        <f t="shared" si="64"/>
        <v>tRNA-Thr-TGT-2-1|44</v>
      </c>
      <c r="B4158" s="4" t="s">
        <v>92</v>
      </c>
      <c r="C4158" s="4" t="s">
        <v>162</v>
      </c>
      <c r="D4158" s="4">
        <v>45</v>
      </c>
      <c r="E4158" s="18" t="s">
        <v>122</v>
      </c>
      <c r="F4158" s="19" t="s">
        <v>163</v>
      </c>
    </row>
    <row r="4159" spans="1:6">
      <c r="A4159" s="4" t="str">
        <f t="shared" si="64"/>
        <v>tRNA-Thr-TGT-2-1|45</v>
      </c>
      <c r="B4159" s="4" t="s">
        <v>92</v>
      </c>
      <c r="C4159" s="4" t="s">
        <v>164</v>
      </c>
      <c r="D4159" s="4">
        <v>46</v>
      </c>
      <c r="E4159" s="18" t="s">
        <v>109</v>
      </c>
      <c r="F4159" s="19" t="s">
        <v>163</v>
      </c>
    </row>
    <row r="4160" spans="1:6">
      <c r="A4160" s="4" t="str">
        <f t="shared" si="64"/>
        <v>tRNA-Thr-TGT-2-1|46</v>
      </c>
      <c r="B4160" s="4" t="s">
        <v>92</v>
      </c>
      <c r="C4160" s="4" t="s">
        <v>165</v>
      </c>
      <c r="D4160" s="4">
        <v>47</v>
      </c>
      <c r="E4160" s="18" t="s">
        <v>109</v>
      </c>
      <c r="F4160" s="19" t="s">
        <v>163</v>
      </c>
    </row>
    <row r="4161" spans="1:6">
      <c r="A4161" s="4" t="str">
        <f t="shared" si="64"/>
        <v>tRNA-Thr-TGT-2-1|47</v>
      </c>
      <c r="B4161" s="4" t="s">
        <v>92</v>
      </c>
      <c r="C4161" s="4" t="s">
        <v>166</v>
      </c>
      <c r="D4161" s="4">
        <v>48</v>
      </c>
      <c r="E4161" s="18" t="s">
        <v>116</v>
      </c>
      <c r="F4161" s="19" t="s">
        <v>163</v>
      </c>
    </row>
    <row r="4162" spans="1:6">
      <c r="A4162" s="4" t="str">
        <f t="shared" ref="A4162:A4225" si="65">B4162&amp;"|"&amp;C4162</f>
        <v>tRNA-Thr-TGT-2-1|48</v>
      </c>
      <c r="B4162" s="4" t="s">
        <v>92</v>
      </c>
      <c r="C4162" s="4" t="s">
        <v>167</v>
      </c>
      <c r="D4162" s="4">
        <v>49</v>
      </c>
      <c r="E4162" s="18" t="s">
        <v>114</v>
      </c>
      <c r="F4162" s="19" t="s">
        <v>163</v>
      </c>
    </row>
    <row r="4163" spans="1:6">
      <c r="A4163" s="4" t="str">
        <f t="shared" si="65"/>
        <v>tRNA-Thr-TGT-2-1|49</v>
      </c>
      <c r="B4163" s="4" t="s">
        <v>92</v>
      </c>
      <c r="C4163" s="4" t="s">
        <v>168</v>
      </c>
      <c r="D4163" s="4">
        <v>50</v>
      </c>
      <c r="E4163" s="22" t="s">
        <v>109</v>
      </c>
      <c r="F4163" s="10" t="s">
        <v>169</v>
      </c>
    </row>
    <row r="4164" spans="1:6">
      <c r="A4164" s="4" t="str">
        <f t="shared" si="65"/>
        <v>tRNA-Thr-TGT-2-1|50</v>
      </c>
      <c r="B4164" s="4" t="s">
        <v>92</v>
      </c>
      <c r="C4164" s="4" t="s">
        <v>170</v>
      </c>
      <c r="D4164" s="4">
        <v>51</v>
      </c>
      <c r="E4164" s="22" t="s">
        <v>114</v>
      </c>
      <c r="F4164" s="10" t="s">
        <v>169</v>
      </c>
    </row>
    <row r="4165" spans="1:6">
      <c r="A4165" s="4" t="str">
        <f t="shared" si="65"/>
        <v>tRNA-Thr-TGT-2-1|51</v>
      </c>
      <c r="B4165" s="4" t="s">
        <v>92</v>
      </c>
      <c r="C4165" s="4" t="s">
        <v>171</v>
      </c>
      <c r="D4165" s="4">
        <v>52</v>
      </c>
      <c r="E4165" s="22" t="s">
        <v>109</v>
      </c>
      <c r="F4165" s="10" t="s">
        <v>169</v>
      </c>
    </row>
    <row r="4166" spans="1:6">
      <c r="A4166" s="4" t="str">
        <f t="shared" si="65"/>
        <v>tRNA-Thr-TGT-2-1|52</v>
      </c>
      <c r="B4166" s="4" t="s">
        <v>92</v>
      </c>
      <c r="C4166" s="4" t="s">
        <v>172</v>
      </c>
      <c r="D4166" s="4">
        <v>53</v>
      </c>
      <c r="E4166" s="22" t="s">
        <v>116</v>
      </c>
      <c r="F4166" s="10" t="s">
        <v>169</v>
      </c>
    </row>
    <row r="4167" spans="1:6">
      <c r="A4167" s="4" t="str">
        <f t="shared" si="65"/>
        <v>tRNA-Thr-TGT-2-1|53</v>
      </c>
      <c r="B4167" s="4" t="s">
        <v>92</v>
      </c>
      <c r="C4167" s="4" t="s">
        <v>173</v>
      </c>
      <c r="D4167" s="4">
        <v>54</v>
      </c>
      <c r="E4167" s="22" t="s">
        <v>109</v>
      </c>
      <c r="F4167" s="10" t="s">
        <v>169</v>
      </c>
    </row>
    <row r="4168" spans="1:6">
      <c r="A4168" s="4" t="str">
        <f t="shared" si="65"/>
        <v>tRNA-Thr-TGT-2-1|54</v>
      </c>
      <c r="B4168" s="4" t="s">
        <v>92</v>
      </c>
      <c r="C4168" s="4" t="s">
        <v>174</v>
      </c>
      <c r="D4168" s="4">
        <v>55</v>
      </c>
      <c r="E4168" s="18" t="s">
        <v>116</v>
      </c>
      <c r="F4168" s="19" t="s">
        <v>175</v>
      </c>
    </row>
    <row r="4169" spans="1:6">
      <c r="A4169" s="4" t="str">
        <f t="shared" si="65"/>
        <v>tRNA-Thr-TGT-2-1|55</v>
      </c>
      <c r="B4169" s="4" t="s">
        <v>92</v>
      </c>
      <c r="C4169" s="4" t="s">
        <v>176</v>
      </c>
      <c r="D4169" s="4">
        <v>56</v>
      </c>
      <c r="E4169" s="18" t="s">
        <v>116</v>
      </c>
      <c r="F4169" s="19" t="s">
        <v>175</v>
      </c>
    </row>
    <row r="4170" spans="1:6">
      <c r="A4170" s="4" t="str">
        <f t="shared" si="65"/>
        <v>tRNA-Thr-TGT-2-1|56</v>
      </c>
      <c r="B4170" s="4" t="s">
        <v>92</v>
      </c>
      <c r="C4170" s="4" t="s">
        <v>177</v>
      </c>
      <c r="D4170" s="4">
        <v>57</v>
      </c>
      <c r="E4170" s="18" t="s">
        <v>114</v>
      </c>
      <c r="F4170" s="19" t="s">
        <v>175</v>
      </c>
    </row>
    <row r="4171" spans="1:6">
      <c r="A4171" s="4" t="str">
        <f t="shared" si="65"/>
        <v>tRNA-Thr-TGT-2-1|57</v>
      </c>
      <c r="B4171" s="4" t="s">
        <v>92</v>
      </c>
      <c r="C4171" s="4" t="s">
        <v>178</v>
      </c>
      <c r="D4171" s="4">
        <v>58</v>
      </c>
      <c r="E4171" s="18" t="s">
        <v>122</v>
      </c>
      <c r="F4171" s="19" t="s">
        <v>175</v>
      </c>
    </row>
    <row r="4172" spans="1:6">
      <c r="A4172" s="4" t="str">
        <f t="shared" si="65"/>
        <v>tRNA-Thr-TGT-2-1|58</v>
      </c>
      <c r="B4172" s="4" t="s">
        <v>92</v>
      </c>
      <c r="C4172" s="4" t="s">
        <v>179</v>
      </c>
      <c r="D4172" s="4">
        <v>59</v>
      </c>
      <c r="E4172" s="18" t="s">
        <v>122</v>
      </c>
      <c r="F4172" s="19" t="s">
        <v>175</v>
      </c>
    </row>
    <row r="4173" spans="1:6">
      <c r="A4173" s="4" t="str">
        <f t="shared" si="65"/>
        <v>tRNA-Thr-TGT-2-1|59</v>
      </c>
      <c r="B4173" s="4" t="s">
        <v>92</v>
      </c>
      <c r="C4173" s="4" t="s">
        <v>180</v>
      </c>
      <c r="D4173" s="4">
        <v>60</v>
      </c>
      <c r="E4173" s="18" t="s">
        <v>122</v>
      </c>
      <c r="F4173" s="19" t="s">
        <v>175</v>
      </c>
    </row>
    <row r="4174" spans="1:6">
      <c r="A4174" s="4" t="str">
        <f t="shared" si="65"/>
        <v>tRNA-Thr-TGT-2-1|60</v>
      </c>
      <c r="B4174" s="4" t="s">
        <v>92</v>
      </c>
      <c r="C4174" s="4" t="s">
        <v>181</v>
      </c>
      <c r="D4174" s="4">
        <v>61</v>
      </c>
      <c r="E4174" s="18" t="s">
        <v>116</v>
      </c>
      <c r="F4174" s="19" t="s">
        <v>175</v>
      </c>
    </row>
    <row r="4175" spans="1:6">
      <c r="A4175" s="4" t="str">
        <f t="shared" si="65"/>
        <v>tRNA-Thr-TGT-2-1|61</v>
      </c>
      <c r="B4175" s="4" t="s">
        <v>92</v>
      </c>
      <c r="C4175" s="4" t="s">
        <v>182</v>
      </c>
      <c r="D4175" s="4">
        <v>62</v>
      </c>
      <c r="E4175" s="22" t="s">
        <v>114</v>
      </c>
      <c r="F4175" s="10" t="s">
        <v>169</v>
      </c>
    </row>
    <row r="4176" spans="1:6">
      <c r="A4176" s="4" t="str">
        <f t="shared" si="65"/>
        <v>tRNA-Thr-TGT-2-1|62</v>
      </c>
      <c r="B4176" s="4" t="s">
        <v>92</v>
      </c>
      <c r="C4176" s="4" t="s">
        <v>183</v>
      </c>
      <c r="D4176" s="4">
        <v>63</v>
      </c>
      <c r="E4176" s="22" t="s">
        <v>122</v>
      </c>
      <c r="F4176" s="10" t="s">
        <v>169</v>
      </c>
    </row>
    <row r="4177" spans="1:6">
      <c r="A4177" s="4" t="str">
        <f t="shared" si="65"/>
        <v>tRNA-Thr-TGT-2-1|63</v>
      </c>
      <c r="B4177" s="4" t="s">
        <v>92</v>
      </c>
      <c r="C4177" s="4" t="s">
        <v>184</v>
      </c>
      <c r="D4177" s="4">
        <v>64</v>
      </c>
      <c r="E4177" s="22" t="s">
        <v>114</v>
      </c>
      <c r="F4177" s="10" t="s">
        <v>169</v>
      </c>
    </row>
    <row r="4178" spans="1:6">
      <c r="A4178" s="4" t="str">
        <f t="shared" si="65"/>
        <v>tRNA-Thr-TGT-2-1|64</v>
      </c>
      <c r="B4178" s="4" t="s">
        <v>92</v>
      </c>
      <c r="C4178" s="4" t="s">
        <v>185</v>
      </c>
      <c r="D4178" s="4">
        <v>65</v>
      </c>
      <c r="E4178" s="22" t="s">
        <v>109</v>
      </c>
      <c r="F4178" s="10" t="s">
        <v>169</v>
      </c>
    </row>
    <row r="4179" spans="1:6">
      <c r="A4179" s="4" t="str">
        <f t="shared" si="65"/>
        <v>tRNA-Thr-TGT-2-1|65</v>
      </c>
      <c r="B4179" s="4" t="s">
        <v>92</v>
      </c>
      <c r="C4179" s="4" t="s">
        <v>186</v>
      </c>
      <c r="D4179" s="4">
        <v>66</v>
      </c>
      <c r="E4179" s="22" t="s">
        <v>114</v>
      </c>
      <c r="F4179" s="10" t="s">
        <v>169</v>
      </c>
    </row>
    <row r="4180" spans="1:6">
      <c r="A4180" s="4" t="str">
        <f t="shared" si="65"/>
        <v>tRNA-Thr-TGT-2-1|66</v>
      </c>
      <c r="B4180" s="4" t="s">
        <v>92</v>
      </c>
      <c r="C4180" s="4" t="s">
        <v>187</v>
      </c>
      <c r="D4180" s="4">
        <v>67</v>
      </c>
      <c r="E4180" s="16" t="s">
        <v>122</v>
      </c>
      <c r="F4180" s="17" t="s">
        <v>110</v>
      </c>
    </row>
    <row r="4181" spans="1:6">
      <c r="A4181" s="4" t="str">
        <f t="shared" si="65"/>
        <v>tRNA-Thr-TGT-2-1|67</v>
      </c>
      <c r="B4181" s="4" t="s">
        <v>92</v>
      </c>
      <c r="C4181" s="4" t="s">
        <v>188</v>
      </c>
      <c r="D4181" s="4">
        <v>68</v>
      </c>
      <c r="E4181" s="16" t="s">
        <v>114</v>
      </c>
      <c r="F4181" s="17" t="s">
        <v>110</v>
      </c>
    </row>
    <row r="4182" spans="1:6">
      <c r="A4182" s="4" t="str">
        <f t="shared" si="65"/>
        <v>tRNA-Thr-TGT-2-1|68</v>
      </c>
      <c r="B4182" s="4" t="s">
        <v>92</v>
      </c>
      <c r="C4182" s="4" t="s">
        <v>189</v>
      </c>
      <c r="D4182" s="4">
        <v>69</v>
      </c>
      <c r="E4182" s="16" t="s">
        <v>109</v>
      </c>
      <c r="F4182" s="17" t="s">
        <v>110</v>
      </c>
    </row>
    <row r="4183" spans="1:6">
      <c r="A4183" s="4" t="str">
        <f t="shared" si="65"/>
        <v>tRNA-Thr-TGT-2-1|69</v>
      </c>
      <c r="B4183" s="4" t="s">
        <v>92</v>
      </c>
      <c r="C4183" s="4" t="s">
        <v>190</v>
      </c>
      <c r="D4183" s="4">
        <v>70</v>
      </c>
      <c r="E4183" s="16" t="s">
        <v>109</v>
      </c>
      <c r="F4183" s="17" t="s">
        <v>110</v>
      </c>
    </row>
    <row r="4184" spans="1:6">
      <c r="A4184" s="4" t="str">
        <f t="shared" si="65"/>
        <v>tRNA-Thr-TGT-2-1|70</v>
      </c>
      <c r="B4184" s="4" t="s">
        <v>92</v>
      </c>
      <c r="C4184" s="4" t="s">
        <v>191</v>
      </c>
      <c r="D4184" s="4">
        <v>71</v>
      </c>
      <c r="E4184" s="16" t="s">
        <v>109</v>
      </c>
      <c r="F4184" s="17" t="s">
        <v>110</v>
      </c>
    </row>
    <row r="4185" spans="1:6">
      <c r="A4185" s="4" t="str">
        <f t="shared" si="65"/>
        <v>tRNA-Thr-TGT-2-1|71</v>
      </c>
      <c r="B4185" s="4" t="s">
        <v>92</v>
      </c>
      <c r="C4185" s="4" t="s">
        <v>192</v>
      </c>
      <c r="D4185" s="4">
        <v>72</v>
      </c>
      <c r="E4185" s="16" t="s">
        <v>109</v>
      </c>
      <c r="F4185" s="17" t="s">
        <v>110</v>
      </c>
    </row>
    <row r="4186" spans="1:6">
      <c r="A4186" s="4" t="str">
        <f t="shared" si="65"/>
        <v>tRNA-Thr-TGT-2-1|72</v>
      </c>
      <c r="B4186" s="4" t="s">
        <v>92</v>
      </c>
      <c r="C4186" s="4" t="s">
        <v>193</v>
      </c>
      <c r="D4186" s="4">
        <v>73</v>
      </c>
      <c r="E4186" s="16" t="s">
        <v>116</v>
      </c>
      <c r="F4186" s="17" t="s">
        <v>110</v>
      </c>
    </row>
    <row r="4187" spans="1:6">
      <c r="A4187" s="4" t="str">
        <f t="shared" si="65"/>
        <v>tRNA-Trp-CCA-1-1|1</v>
      </c>
      <c r="B4187" s="4" t="s">
        <v>93</v>
      </c>
      <c r="C4187" s="4" t="s">
        <v>108</v>
      </c>
      <c r="D4187" s="4">
        <v>1</v>
      </c>
      <c r="E4187" s="16" t="s">
        <v>109</v>
      </c>
      <c r="F4187" s="17" t="s">
        <v>110</v>
      </c>
    </row>
    <row r="4188" spans="1:6">
      <c r="A4188" s="4" t="str">
        <f t="shared" si="65"/>
        <v>tRNA-Trp-CCA-1-1|2</v>
      </c>
      <c r="B4188" s="4" t="s">
        <v>93</v>
      </c>
      <c r="C4188" s="4" t="s">
        <v>111</v>
      </c>
      <c r="D4188" s="4">
        <v>2</v>
      </c>
      <c r="E4188" s="16" t="s">
        <v>109</v>
      </c>
      <c r="F4188" s="17" t="s">
        <v>110</v>
      </c>
    </row>
    <row r="4189" spans="1:6">
      <c r="A4189" s="4" t="str">
        <f t="shared" si="65"/>
        <v>tRNA-Trp-CCA-1-1|3</v>
      </c>
      <c r="B4189" s="4" t="s">
        <v>93</v>
      </c>
      <c r="C4189" s="4" t="s">
        <v>112</v>
      </c>
      <c r="D4189" s="4">
        <v>3</v>
      </c>
      <c r="E4189" s="16" t="s">
        <v>109</v>
      </c>
      <c r="F4189" s="17" t="s">
        <v>110</v>
      </c>
    </row>
    <row r="4190" spans="1:6">
      <c r="A4190" s="4" t="str">
        <f t="shared" si="65"/>
        <v>tRNA-Trp-CCA-1-1|4</v>
      </c>
      <c r="B4190" s="4" t="s">
        <v>93</v>
      </c>
      <c r="C4190" s="4" t="s">
        <v>113</v>
      </c>
      <c r="D4190" s="4">
        <v>4</v>
      </c>
      <c r="E4190" s="16" t="s">
        <v>109</v>
      </c>
      <c r="F4190" s="17" t="s">
        <v>110</v>
      </c>
    </row>
    <row r="4191" spans="1:6">
      <c r="A4191" s="4" t="str">
        <f t="shared" si="65"/>
        <v>tRNA-Trp-CCA-1-1|5</v>
      </c>
      <c r="B4191" s="4" t="s">
        <v>93</v>
      </c>
      <c r="C4191" s="4" t="s">
        <v>115</v>
      </c>
      <c r="D4191" s="4">
        <v>5</v>
      </c>
      <c r="E4191" s="16" t="s">
        <v>114</v>
      </c>
      <c r="F4191" s="17" t="s">
        <v>110</v>
      </c>
    </row>
    <row r="4192" spans="1:6">
      <c r="A4192" s="4" t="str">
        <f t="shared" si="65"/>
        <v>tRNA-Trp-CCA-1-1|6</v>
      </c>
      <c r="B4192" s="4" t="s">
        <v>93</v>
      </c>
      <c r="C4192" s="4" t="s">
        <v>117</v>
      </c>
      <c r="D4192" s="4">
        <v>6</v>
      </c>
      <c r="E4192" s="16" t="s">
        <v>116</v>
      </c>
      <c r="F4192" s="17" t="s">
        <v>110</v>
      </c>
    </row>
    <row r="4193" spans="1:6">
      <c r="A4193" s="4" t="str">
        <f t="shared" si="65"/>
        <v>tRNA-Trp-CCA-1-1|7</v>
      </c>
      <c r="B4193" s="4" t="s">
        <v>93</v>
      </c>
      <c r="C4193" s="4" t="s">
        <v>118</v>
      </c>
      <c r="D4193" s="4">
        <v>7</v>
      </c>
      <c r="E4193" s="16" t="s">
        <v>109</v>
      </c>
      <c r="F4193" s="17" t="s">
        <v>110</v>
      </c>
    </row>
    <row r="4194" spans="1:6">
      <c r="A4194" s="4" t="str">
        <f t="shared" si="65"/>
        <v>tRNA-Trp-CCA-1-1|8</v>
      </c>
      <c r="B4194" s="4" t="s">
        <v>93</v>
      </c>
      <c r="C4194" s="4" t="s">
        <v>119</v>
      </c>
      <c r="D4194" s="4">
        <v>8</v>
      </c>
      <c r="E4194" s="3" t="s">
        <v>116</v>
      </c>
      <c r="F4194" s="4" t="s">
        <v>120</v>
      </c>
    </row>
    <row r="4195" spans="1:6">
      <c r="A4195" s="4" t="str">
        <f t="shared" si="65"/>
        <v>tRNA-Trp-CCA-1-1|9</v>
      </c>
      <c r="B4195" s="4" t="s">
        <v>93</v>
      </c>
      <c r="C4195" s="4" t="s">
        <v>121</v>
      </c>
      <c r="D4195" s="4">
        <v>9</v>
      </c>
      <c r="E4195" s="3" t="s">
        <v>109</v>
      </c>
      <c r="F4195" s="4" t="s">
        <v>123</v>
      </c>
    </row>
    <row r="4196" spans="1:6">
      <c r="A4196" s="4" t="str">
        <f t="shared" si="65"/>
        <v>tRNA-Trp-CCA-1-1|10</v>
      </c>
      <c r="B4196" s="4" t="s">
        <v>93</v>
      </c>
      <c r="C4196" s="4" t="s">
        <v>124</v>
      </c>
      <c r="D4196" s="4">
        <v>10</v>
      </c>
      <c r="E4196" s="8" t="s">
        <v>109</v>
      </c>
      <c r="F4196" s="7" t="s">
        <v>125</v>
      </c>
    </row>
    <row r="4197" spans="1:6">
      <c r="A4197" s="4" t="str">
        <f t="shared" si="65"/>
        <v>tRNA-Trp-CCA-1-1|11</v>
      </c>
      <c r="B4197" s="4" t="s">
        <v>93</v>
      </c>
      <c r="C4197" s="4" t="s">
        <v>126</v>
      </c>
      <c r="D4197" s="4">
        <v>11</v>
      </c>
      <c r="E4197" s="8" t="s">
        <v>114</v>
      </c>
      <c r="F4197" s="7" t="s">
        <v>125</v>
      </c>
    </row>
    <row r="4198" spans="1:6">
      <c r="A4198" s="4" t="str">
        <f t="shared" si="65"/>
        <v>tRNA-Trp-CCA-1-1|12</v>
      </c>
      <c r="B4198" s="4" t="s">
        <v>93</v>
      </c>
      <c r="C4198" s="4" t="s">
        <v>127</v>
      </c>
      <c r="D4198" s="4">
        <v>12</v>
      </c>
      <c r="E4198" s="8" t="s">
        <v>114</v>
      </c>
      <c r="F4198" s="7" t="s">
        <v>125</v>
      </c>
    </row>
    <row r="4199" spans="1:6">
      <c r="A4199" s="4" t="str">
        <f t="shared" si="65"/>
        <v>tRNA-Trp-CCA-1-1|13</v>
      </c>
      <c r="B4199" s="4" t="s">
        <v>93</v>
      </c>
      <c r="C4199" s="4" t="s">
        <v>128</v>
      </c>
      <c r="D4199" s="4">
        <v>13</v>
      </c>
      <c r="E4199" s="8" t="s">
        <v>116</v>
      </c>
      <c r="F4199" s="7" t="s">
        <v>125</v>
      </c>
    </row>
    <row r="4200" spans="1:6">
      <c r="A4200" s="4" t="str">
        <f t="shared" si="65"/>
        <v>tRNA-Trp-CCA-1-1|14</v>
      </c>
      <c r="B4200" s="4" t="s">
        <v>93</v>
      </c>
      <c r="C4200" s="4" t="s">
        <v>129</v>
      </c>
      <c r="D4200" s="4">
        <v>14</v>
      </c>
      <c r="E4200" s="18" t="s">
        <v>122</v>
      </c>
      <c r="F4200" s="19" t="s">
        <v>130</v>
      </c>
    </row>
    <row r="4201" spans="1:6">
      <c r="A4201" s="4" t="str">
        <f t="shared" si="65"/>
        <v>tRNA-Trp-CCA-1-1|15</v>
      </c>
      <c r="B4201" s="4" t="s">
        <v>93</v>
      </c>
      <c r="C4201" s="4" t="s">
        <v>131</v>
      </c>
      <c r="D4201" s="4">
        <v>15</v>
      </c>
      <c r="E4201" s="18" t="s">
        <v>109</v>
      </c>
      <c r="F4201" s="19" t="s">
        <v>130</v>
      </c>
    </row>
    <row r="4202" spans="1:6">
      <c r="A4202" s="4" t="str">
        <f t="shared" si="65"/>
        <v>tRNA-Trp-CCA-1-1|16</v>
      </c>
      <c r="B4202" s="4" t="s">
        <v>93</v>
      </c>
      <c r="C4202" s="4" t="s">
        <v>194</v>
      </c>
      <c r="D4202" s="4">
        <v>16</v>
      </c>
      <c r="E4202" s="18" t="s">
        <v>114</v>
      </c>
      <c r="F4202" s="19" t="s">
        <v>130</v>
      </c>
    </row>
    <row r="4203" spans="1:6">
      <c r="A4203" s="4" t="str">
        <f t="shared" si="65"/>
        <v>tRNA-Trp-CCA-1-1|17</v>
      </c>
      <c r="B4203" s="4" t="s">
        <v>93</v>
      </c>
      <c r="C4203" s="4" t="s">
        <v>195</v>
      </c>
      <c r="D4203" s="4">
        <v>17</v>
      </c>
      <c r="E4203" s="18" t="s">
        <v>114</v>
      </c>
      <c r="F4203" s="19" t="s">
        <v>130</v>
      </c>
    </row>
    <row r="4204" spans="1:6">
      <c r="A4204" s="4" t="str">
        <f t="shared" si="65"/>
        <v>tRNA-Trp-CCA-1-1|17a</v>
      </c>
      <c r="B4204" s="4" t="s">
        <v>93</v>
      </c>
      <c r="C4204" s="4" t="s">
        <v>196</v>
      </c>
      <c r="D4204" s="4">
        <v>18</v>
      </c>
      <c r="E4204" s="18" t="s">
        <v>114</v>
      </c>
      <c r="F4204" s="19" t="s">
        <v>130</v>
      </c>
    </row>
    <row r="4205" spans="1:6">
      <c r="A4205" s="4" t="str">
        <f t="shared" si="65"/>
        <v>tRNA-Trp-CCA-1-1|18</v>
      </c>
      <c r="B4205" s="4" t="s">
        <v>93</v>
      </c>
      <c r="C4205" s="4" t="s">
        <v>132</v>
      </c>
      <c r="D4205" s="4">
        <v>19</v>
      </c>
      <c r="E4205" s="18" t="s">
        <v>109</v>
      </c>
      <c r="F4205" s="19" t="s">
        <v>130</v>
      </c>
    </row>
    <row r="4206" spans="1:6">
      <c r="A4206" s="4" t="str">
        <f t="shared" si="65"/>
        <v>tRNA-Trp-CCA-1-1|19</v>
      </c>
      <c r="B4206" s="4" t="s">
        <v>93</v>
      </c>
      <c r="C4206" s="4" t="s">
        <v>133</v>
      </c>
      <c r="D4206" s="4">
        <v>20</v>
      </c>
      <c r="E4206" s="18" t="s">
        <v>109</v>
      </c>
      <c r="F4206" s="19" t="s">
        <v>130</v>
      </c>
    </row>
    <row r="4207" spans="1:6">
      <c r="A4207" s="4" t="str">
        <f t="shared" si="65"/>
        <v>tRNA-Trp-CCA-1-1|20</v>
      </c>
      <c r="B4207" s="4" t="s">
        <v>93</v>
      </c>
      <c r="C4207" s="4" t="s">
        <v>134</v>
      </c>
      <c r="D4207" s="4">
        <v>21</v>
      </c>
      <c r="E4207" s="18" t="s">
        <v>114</v>
      </c>
      <c r="F4207" s="19" t="s">
        <v>130</v>
      </c>
    </row>
    <row r="4208" spans="1:6">
      <c r="A4208" s="4" t="str">
        <f t="shared" si="65"/>
        <v>tRNA-Trp-CCA-1-1|21</v>
      </c>
      <c r="B4208" s="4" t="s">
        <v>93</v>
      </c>
      <c r="C4208" s="4" t="s">
        <v>136</v>
      </c>
      <c r="D4208" s="4">
        <v>22</v>
      </c>
      <c r="E4208" s="18" t="s">
        <v>122</v>
      </c>
      <c r="F4208" s="19" t="s">
        <v>130</v>
      </c>
    </row>
    <row r="4209" spans="1:6">
      <c r="A4209" s="4" t="str">
        <f t="shared" si="65"/>
        <v>tRNA-Trp-CCA-1-1|22</v>
      </c>
      <c r="B4209" s="4" t="s">
        <v>93</v>
      </c>
      <c r="C4209" s="4" t="s">
        <v>137</v>
      </c>
      <c r="D4209" s="4">
        <v>23</v>
      </c>
      <c r="E4209" s="8" t="s">
        <v>116</v>
      </c>
      <c r="F4209" s="7" t="s">
        <v>125</v>
      </c>
    </row>
    <row r="4210" spans="1:6">
      <c r="A4210" s="4" t="str">
        <f t="shared" si="65"/>
        <v>tRNA-Trp-CCA-1-1|23</v>
      </c>
      <c r="B4210" s="4" t="s">
        <v>93</v>
      </c>
      <c r="C4210" s="4" t="s">
        <v>138</v>
      </c>
      <c r="D4210" s="4">
        <v>24</v>
      </c>
      <c r="E4210" s="8" t="s">
        <v>109</v>
      </c>
      <c r="F4210" s="7" t="s">
        <v>125</v>
      </c>
    </row>
    <row r="4211" spans="1:6">
      <c r="A4211" s="4" t="str">
        <f t="shared" si="65"/>
        <v>tRNA-Trp-CCA-1-1|24</v>
      </c>
      <c r="B4211" s="4" t="s">
        <v>93</v>
      </c>
      <c r="C4211" s="4" t="s">
        <v>139</v>
      </c>
      <c r="D4211" s="4">
        <v>25</v>
      </c>
      <c r="E4211" s="8" t="s">
        <v>109</v>
      </c>
      <c r="F4211" s="7" t="s">
        <v>125</v>
      </c>
    </row>
    <row r="4212" spans="1:6">
      <c r="A4212" s="4" t="str">
        <f t="shared" si="65"/>
        <v>tRNA-Trp-CCA-1-1|25</v>
      </c>
      <c r="B4212" s="4" t="s">
        <v>93</v>
      </c>
      <c r="C4212" s="4" t="s">
        <v>140</v>
      </c>
      <c r="D4212" s="4">
        <v>26</v>
      </c>
      <c r="E4212" s="8" t="s">
        <v>114</v>
      </c>
      <c r="F4212" s="7" t="s">
        <v>125</v>
      </c>
    </row>
    <row r="4213" spans="1:6">
      <c r="A4213" s="4" t="str">
        <f t="shared" si="65"/>
        <v>tRNA-Trp-CCA-1-1|26</v>
      </c>
      <c r="B4213" s="4" t="s">
        <v>93</v>
      </c>
      <c r="C4213" s="4" t="s">
        <v>141</v>
      </c>
      <c r="D4213" s="4">
        <v>27</v>
      </c>
      <c r="E4213" s="3" t="s">
        <v>109</v>
      </c>
      <c r="F4213" s="4" t="s">
        <v>142</v>
      </c>
    </row>
    <row r="4214" spans="1:6">
      <c r="A4214" s="4" t="str">
        <f t="shared" si="65"/>
        <v>tRNA-Trp-CCA-1-1|27</v>
      </c>
      <c r="B4214" s="4" t="s">
        <v>93</v>
      </c>
      <c r="C4214" s="4" t="s">
        <v>143</v>
      </c>
      <c r="D4214" s="4">
        <v>28</v>
      </c>
      <c r="E4214" s="20" t="s">
        <v>122</v>
      </c>
      <c r="F4214" s="21" t="s">
        <v>144</v>
      </c>
    </row>
    <row r="4215" spans="1:6">
      <c r="A4215" s="4" t="str">
        <f t="shared" si="65"/>
        <v>tRNA-Trp-CCA-1-1|28</v>
      </c>
      <c r="B4215" s="4" t="s">
        <v>93</v>
      </c>
      <c r="C4215" s="4" t="s">
        <v>145</v>
      </c>
      <c r="D4215" s="4">
        <v>29</v>
      </c>
      <c r="E4215" s="20" t="s">
        <v>116</v>
      </c>
      <c r="F4215" s="21" t="s">
        <v>144</v>
      </c>
    </row>
    <row r="4216" spans="1:6">
      <c r="A4216" s="4" t="str">
        <f t="shared" si="65"/>
        <v>tRNA-Trp-CCA-1-1|29</v>
      </c>
      <c r="B4216" s="4" t="s">
        <v>93</v>
      </c>
      <c r="C4216" s="4" t="s">
        <v>146</v>
      </c>
      <c r="D4216" s="4">
        <v>30</v>
      </c>
      <c r="E4216" s="20" t="s">
        <v>109</v>
      </c>
      <c r="F4216" s="21" t="s">
        <v>144</v>
      </c>
    </row>
    <row r="4217" spans="1:6">
      <c r="A4217" s="4" t="str">
        <f t="shared" si="65"/>
        <v>tRNA-Trp-CCA-1-1|30</v>
      </c>
      <c r="B4217" s="4" t="s">
        <v>93</v>
      </c>
      <c r="C4217" s="4" t="s">
        <v>147</v>
      </c>
      <c r="D4217" s="4">
        <v>31</v>
      </c>
      <c r="E4217" s="20" t="s">
        <v>109</v>
      </c>
      <c r="F4217" s="21" t="s">
        <v>144</v>
      </c>
    </row>
    <row r="4218" spans="1:6">
      <c r="A4218" s="4" t="str">
        <f t="shared" si="65"/>
        <v>tRNA-Trp-CCA-1-1|31</v>
      </c>
      <c r="B4218" s="4" t="s">
        <v>93</v>
      </c>
      <c r="C4218" s="4" t="s">
        <v>148</v>
      </c>
      <c r="D4218" s="4">
        <v>32</v>
      </c>
      <c r="E4218" s="20" t="s">
        <v>109</v>
      </c>
      <c r="F4218" s="21" t="s">
        <v>144</v>
      </c>
    </row>
    <row r="4219" spans="1:6">
      <c r="A4219" s="4" t="str">
        <f t="shared" si="65"/>
        <v>tRNA-Trp-CCA-1-1|32</v>
      </c>
      <c r="B4219" s="4" t="s">
        <v>93</v>
      </c>
      <c r="C4219" s="4" t="s">
        <v>149</v>
      </c>
      <c r="D4219" s="4">
        <v>33</v>
      </c>
      <c r="E4219" s="18" t="s">
        <v>114</v>
      </c>
      <c r="F4219" s="19" t="s">
        <v>150</v>
      </c>
    </row>
    <row r="4220" spans="1:6">
      <c r="A4220" s="4" t="str">
        <f t="shared" si="65"/>
        <v>tRNA-Trp-CCA-1-1|33</v>
      </c>
      <c r="B4220" s="4" t="s">
        <v>93</v>
      </c>
      <c r="C4220" s="4" t="s">
        <v>151</v>
      </c>
      <c r="D4220" s="4">
        <v>34</v>
      </c>
      <c r="E4220" s="18" t="s">
        <v>116</v>
      </c>
      <c r="F4220" s="19" t="s">
        <v>150</v>
      </c>
    </row>
    <row r="4221" spans="1:6">
      <c r="A4221" s="4" t="str">
        <f t="shared" si="65"/>
        <v>tRNA-Trp-CCA-1-1|34</v>
      </c>
      <c r="B4221" s="4" t="s">
        <v>93</v>
      </c>
      <c r="C4221" s="4" t="s">
        <v>152</v>
      </c>
      <c r="D4221" s="4">
        <v>35</v>
      </c>
      <c r="E4221" s="18" t="s">
        <v>114</v>
      </c>
      <c r="F4221" s="19" t="s">
        <v>150</v>
      </c>
    </row>
    <row r="4222" spans="1:6">
      <c r="A4222" s="4" t="str">
        <f t="shared" si="65"/>
        <v>tRNA-Trp-CCA-1-1|35</v>
      </c>
      <c r="B4222" s="4" t="s">
        <v>93</v>
      </c>
      <c r="C4222" s="4" t="s">
        <v>153</v>
      </c>
      <c r="D4222" s="4">
        <v>36</v>
      </c>
      <c r="E4222" s="18" t="s">
        <v>114</v>
      </c>
      <c r="F4222" s="19" t="s">
        <v>150</v>
      </c>
    </row>
    <row r="4223" spans="1:6">
      <c r="A4223" s="4" t="str">
        <f t="shared" si="65"/>
        <v>tRNA-Trp-CCA-1-1|36</v>
      </c>
      <c r="B4223" s="4" t="s">
        <v>93</v>
      </c>
      <c r="C4223" s="4" t="s">
        <v>154</v>
      </c>
      <c r="D4223" s="4">
        <v>37</v>
      </c>
      <c r="E4223" s="18" t="s">
        <v>122</v>
      </c>
      <c r="F4223" s="19" t="s">
        <v>150</v>
      </c>
    </row>
    <row r="4224" spans="1:6">
      <c r="A4224" s="4" t="str">
        <f t="shared" si="65"/>
        <v>tRNA-Trp-CCA-1-1|37</v>
      </c>
      <c r="B4224" s="4" t="s">
        <v>93</v>
      </c>
      <c r="C4224" s="4" t="s">
        <v>155</v>
      </c>
      <c r="D4224" s="4">
        <v>38</v>
      </c>
      <c r="E4224" s="18" t="s">
        <v>109</v>
      </c>
      <c r="F4224" s="19" t="s">
        <v>150</v>
      </c>
    </row>
    <row r="4225" spans="1:6">
      <c r="A4225" s="4" t="str">
        <f t="shared" si="65"/>
        <v>tRNA-Trp-CCA-1-1|38</v>
      </c>
      <c r="B4225" s="4" t="s">
        <v>93</v>
      </c>
      <c r="C4225" s="4" t="s">
        <v>156</v>
      </c>
      <c r="D4225" s="4">
        <v>39</v>
      </c>
      <c r="E4225" s="18" t="s">
        <v>122</v>
      </c>
      <c r="F4225" s="19" t="s">
        <v>150</v>
      </c>
    </row>
    <row r="4226" spans="1:6">
      <c r="A4226" s="4" t="str">
        <f t="shared" ref="A4226:A4289" si="66">B4226&amp;"|"&amp;C4226</f>
        <v>tRNA-Trp-CCA-1-1|39</v>
      </c>
      <c r="B4226" s="4" t="s">
        <v>93</v>
      </c>
      <c r="C4226" s="4" t="s">
        <v>157</v>
      </c>
      <c r="D4226" s="4">
        <v>40</v>
      </c>
      <c r="E4226" s="20" t="s">
        <v>114</v>
      </c>
      <c r="F4226" s="21" t="s">
        <v>144</v>
      </c>
    </row>
    <row r="4227" spans="1:6">
      <c r="A4227" s="4" t="str">
        <f t="shared" si="66"/>
        <v>tRNA-Trp-CCA-1-1|40</v>
      </c>
      <c r="B4227" s="4" t="s">
        <v>93</v>
      </c>
      <c r="C4227" s="4" t="s">
        <v>158</v>
      </c>
      <c r="D4227" s="4">
        <v>41</v>
      </c>
      <c r="E4227" s="20" t="s">
        <v>114</v>
      </c>
      <c r="F4227" s="21" t="s">
        <v>144</v>
      </c>
    </row>
    <row r="4228" spans="1:6">
      <c r="A4228" s="4" t="str">
        <f t="shared" si="66"/>
        <v>tRNA-Trp-CCA-1-1|41</v>
      </c>
      <c r="B4228" s="4" t="s">
        <v>93</v>
      </c>
      <c r="C4228" s="4" t="s">
        <v>159</v>
      </c>
      <c r="D4228" s="4">
        <v>42</v>
      </c>
      <c r="E4228" s="20" t="s">
        <v>114</v>
      </c>
      <c r="F4228" s="21" t="s">
        <v>144</v>
      </c>
    </row>
    <row r="4229" spans="1:6">
      <c r="A4229" s="4" t="str">
        <f t="shared" si="66"/>
        <v>tRNA-Trp-CCA-1-1|42</v>
      </c>
      <c r="B4229" s="4" t="s">
        <v>93</v>
      </c>
      <c r="C4229" s="4" t="s">
        <v>160</v>
      </c>
      <c r="D4229" s="4">
        <v>43</v>
      </c>
      <c r="E4229" s="20" t="s">
        <v>109</v>
      </c>
      <c r="F4229" s="21" t="s">
        <v>144</v>
      </c>
    </row>
    <row r="4230" spans="1:6">
      <c r="A4230" s="4" t="str">
        <f t="shared" si="66"/>
        <v>tRNA-Trp-CCA-1-1|43</v>
      </c>
      <c r="B4230" s="4" t="s">
        <v>93</v>
      </c>
      <c r="C4230" s="4" t="s">
        <v>161</v>
      </c>
      <c r="D4230" s="4">
        <v>44</v>
      </c>
      <c r="E4230" s="20" t="s">
        <v>116</v>
      </c>
      <c r="F4230" s="21" t="s">
        <v>144</v>
      </c>
    </row>
    <row r="4231" spans="1:6">
      <c r="A4231" s="4" t="str">
        <f t="shared" si="66"/>
        <v>tRNA-Trp-CCA-1-1|44</v>
      </c>
      <c r="B4231" s="4" t="s">
        <v>93</v>
      </c>
      <c r="C4231" s="4" t="s">
        <v>162</v>
      </c>
      <c r="D4231" s="4">
        <v>45</v>
      </c>
      <c r="E4231" s="18" t="s">
        <v>114</v>
      </c>
      <c r="F4231" s="19" t="s">
        <v>163</v>
      </c>
    </row>
    <row r="4232" spans="1:6">
      <c r="A4232" s="4" t="str">
        <f t="shared" si="66"/>
        <v>tRNA-Trp-CCA-1-1|45</v>
      </c>
      <c r="B4232" s="4" t="s">
        <v>93</v>
      </c>
      <c r="C4232" s="4" t="s">
        <v>164</v>
      </c>
      <c r="D4232" s="4">
        <v>46</v>
      </c>
      <c r="E4232" s="18" t="s">
        <v>109</v>
      </c>
      <c r="F4232" s="19" t="s">
        <v>163</v>
      </c>
    </row>
    <row r="4233" spans="1:6">
      <c r="A4233" s="4" t="str">
        <f t="shared" si="66"/>
        <v>tRNA-Trp-CCA-1-1|46</v>
      </c>
      <c r="B4233" s="4" t="s">
        <v>93</v>
      </c>
      <c r="C4233" s="4" t="s">
        <v>165</v>
      </c>
      <c r="D4233" s="4">
        <v>47</v>
      </c>
      <c r="E4233" s="18" t="s">
        <v>122</v>
      </c>
      <c r="F4233" s="19" t="s">
        <v>163</v>
      </c>
    </row>
    <row r="4234" spans="1:6">
      <c r="A4234" s="4" t="str">
        <f t="shared" si="66"/>
        <v>tRNA-Trp-CCA-1-1|47</v>
      </c>
      <c r="B4234" s="4" t="s">
        <v>93</v>
      </c>
      <c r="C4234" s="4" t="s">
        <v>166</v>
      </c>
      <c r="D4234" s="4">
        <v>48</v>
      </c>
      <c r="E4234" s="18" t="s">
        <v>116</v>
      </c>
      <c r="F4234" s="19" t="s">
        <v>163</v>
      </c>
    </row>
    <row r="4235" spans="1:6">
      <c r="A4235" s="4" t="str">
        <f t="shared" si="66"/>
        <v>tRNA-Trp-CCA-1-1|48</v>
      </c>
      <c r="B4235" s="4" t="s">
        <v>93</v>
      </c>
      <c r="C4235" s="4" t="s">
        <v>167</v>
      </c>
      <c r="D4235" s="4">
        <v>49</v>
      </c>
      <c r="E4235" s="18" t="s">
        <v>114</v>
      </c>
      <c r="F4235" s="19" t="s">
        <v>163</v>
      </c>
    </row>
    <row r="4236" spans="1:6">
      <c r="A4236" s="4" t="str">
        <f t="shared" si="66"/>
        <v>tRNA-Trp-CCA-1-1|49</v>
      </c>
      <c r="B4236" s="4" t="s">
        <v>93</v>
      </c>
      <c r="C4236" s="4" t="s">
        <v>168</v>
      </c>
      <c r="D4236" s="4">
        <v>50</v>
      </c>
      <c r="E4236" s="22" t="s">
        <v>109</v>
      </c>
      <c r="F4236" s="10" t="s">
        <v>169</v>
      </c>
    </row>
    <row r="4237" spans="1:6">
      <c r="A4237" s="4" t="str">
        <f t="shared" si="66"/>
        <v>tRNA-Trp-CCA-1-1|50</v>
      </c>
      <c r="B4237" s="4" t="s">
        <v>93</v>
      </c>
      <c r="C4237" s="4" t="s">
        <v>170</v>
      </c>
      <c r="D4237" s="4">
        <v>51</v>
      </c>
      <c r="E4237" s="22" t="s">
        <v>116</v>
      </c>
      <c r="F4237" s="10" t="s">
        <v>169</v>
      </c>
    </row>
    <row r="4238" spans="1:6">
      <c r="A4238" s="4" t="str">
        <f t="shared" si="66"/>
        <v>tRNA-Trp-CCA-1-1|51</v>
      </c>
      <c r="B4238" s="4" t="s">
        <v>93</v>
      </c>
      <c r="C4238" s="4" t="s">
        <v>171</v>
      </c>
      <c r="D4238" s="4">
        <v>52</v>
      </c>
      <c r="E4238" s="22" t="s">
        <v>109</v>
      </c>
      <c r="F4238" s="10" t="s">
        <v>169</v>
      </c>
    </row>
    <row r="4239" spans="1:6">
      <c r="A4239" s="4" t="str">
        <f t="shared" si="66"/>
        <v>tRNA-Trp-CCA-1-1|52</v>
      </c>
      <c r="B4239" s="4" t="s">
        <v>93</v>
      </c>
      <c r="C4239" s="4" t="s">
        <v>172</v>
      </c>
      <c r="D4239" s="4">
        <v>53</v>
      </c>
      <c r="E4239" s="22" t="s">
        <v>122</v>
      </c>
      <c r="F4239" s="10" t="s">
        <v>169</v>
      </c>
    </row>
    <row r="4240" spans="1:6">
      <c r="A4240" s="4" t="str">
        <f t="shared" si="66"/>
        <v>tRNA-Trp-CCA-1-1|53</v>
      </c>
      <c r="B4240" s="4" t="s">
        <v>93</v>
      </c>
      <c r="C4240" s="4" t="s">
        <v>173</v>
      </c>
      <c r="D4240" s="4">
        <v>54</v>
      </c>
      <c r="E4240" s="22" t="s">
        <v>109</v>
      </c>
      <c r="F4240" s="10" t="s">
        <v>169</v>
      </c>
    </row>
    <row r="4241" spans="1:6">
      <c r="A4241" s="4" t="str">
        <f t="shared" si="66"/>
        <v>tRNA-Trp-CCA-1-1|54</v>
      </c>
      <c r="B4241" s="4" t="s">
        <v>93</v>
      </c>
      <c r="C4241" s="4" t="s">
        <v>174</v>
      </c>
      <c r="D4241" s="4">
        <v>55</v>
      </c>
      <c r="E4241" s="18" t="s">
        <v>116</v>
      </c>
      <c r="F4241" s="19" t="s">
        <v>175</v>
      </c>
    </row>
    <row r="4242" spans="1:6">
      <c r="A4242" s="4" t="str">
        <f t="shared" si="66"/>
        <v>tRNA-Trp-CCA-1-1|55</v>
      </c>
      <c r="B4242" s="4" t="s">
        <v>93</v>
      </c>
      <c r="C4242" s="4" t="s">
        <v>176</v>
      </c>
      <c r="D4242" s="4">
        <v>56</v>
      </c>
      <c r="E4242" s="18" t="s">
        <v>116</v>
      </c>
      <c r="F4242" s="19" t="s">
        <v>175</v>
      </c>
    </row>
    <row r="4243" spans="1:6">
      <c r="A4243" s="4" t="str">
        <f t="shared" si="66"/>
        <v>tRNA-Trp-CCA-1-1|56</v>
      </c>
      <c r="B4243" s="4" t="s">
        <v>93</v>
      </c>
      <c r="C4243" s="4" t="s">
        <v>177</v>
      </c>
      <c r="D4243" s="4">
        <v>57</v>
      </c>
      <c r="E4243" s="18" t="s">
        <v>114</v>
      </c>
      <c r="F4243" s="19" t="s">
        <v>175</v>
      </c>
    </row>
    <row r="4244" spans="1:6">
      <c r="A4244" s="4" t="str">
        <f t="shared" si="66"/>
        <v>tRNA-Trp-CCA-1-1|57</v>
      </c>
      <c r="B4244" s="4" t="s">
        <v>93</v>
      </c>
      <c r="C4244" s="4" t="s">
        <v>178</v>
      </c>
      <c r="D4244" s="4">
        <v>58</v>
      </c>
      <c r="E4244" s="18" t="s">
        <v>109</v>
      </c>
      <c r="F4244" s="19" t="s">
        <v>175</v>
      </c>
    </row>
    <row r="4245" spans="1:6">
      <c r="A4245" s="4" t="str">
        <f t="shared" si="66"/>
        <v>tRNA-Trp-CCA-1-1|58</v>
      </c>
      <c r="B4245" s="4" t="s">
        <v>93</v>
      </c>
      <c r="C4245" s="4" t="s">
        <v>179</v>
      </c>
      <c r="D4245" s="4">
        <v>59</v>
      </c>
      <c r="E4245" s="18" t="s">
        <v>122</v>
      </c>
      <c r="F4245" s="19" t="s">
        <v>175</v>
      </c>
    </row>
    <row r="4246" spans="1:6">
      <c r="A4246" s="4" t="str">
        <f t="shared" si="66"/>
        <v>tRNA-Trp-CCA-1-1|59</v>
      </c>
      <c r="B4246" s="4" t="s">
        <v>93</v>
      </c>
      <c r="C4246" s="4" t="s">
        <v>180</v>
      </c>
      <c r="D4246" s="4">
        <v>60</v>
      </c>
      <c r="E4246" s="18" t="s">
        <v>122</v>
      </c>
      <c r="F4246" s="19" t="s">
        <v>175</v>
      </c>
    </row>
    <row r="4247" spans="1:6">
      <c r="A4247" s="4" t="str">
        <f t="shared" si="66"/>
        <v>tRNA-Trp-CCA-1-1|60</v>
      </c>
      <c r="B4247" s="4" t="s">
        <v>93</v>
      </c>
      <c r="C4247" s="4" t="s">
        <v>181</v>
      </c>
      <c r="D4247" s="4">
        <v>61</v>
      </c>
      <c r="E4247" s="18" t="s">
        <v>116</v>
      </c>
      <c r="F4247" s="19" t="s">
        <v>175</v>
      </c>
    </row>
    <row r="4248" spans="1:6">
      <c r="A4248" s="4" t="str">
        <f t="shared" si="66"/>
        <v>tRNA-Trp-CCA-1-1|61</v>
      </c>
      <c r="B4248" s="4" t="s">
        <v>93</v>
      </c>
      <c r="C4248" s="4" t="s">
        <v>182</v>
      </c>
      <c r="D4248" s="4">
        <v>62</v>
      </c>
      <c r="E4248" s="22" t="s">
        <v>114</v>
      </c>
      <c r="F4248" s="10" t="s">
        <v>169</v>
      </c>
    </row>
    <row r="4249" spans="1:6">
      <c r="A4249" s="4" t="str">
        <f t="shared" si="66"/>
        <v>tRNA-Trp-CCA-1-1|62</v>
      </c>
      <c r="B4249" s="4" t="s">
        <v>93</v>
      </c>
      <c r="C4249" s="4" t="s">
        <v>183</v>
      </c>
      <c r="D4249" s="4">
        <v>63</v>
      </c>
      <c r="E4249" s="22" t="s">
        <v>116</v>
      </c>
      <c r="F4249" s="10" t="s">
        <v>169</v>
      </c>
    </row>
    <row r="4250" spans="1:6">
      <c r="A4250" s="4" t="str">
        <f t="shared" si="66"/>
        <v>tRNA-Trp-CCA-1-1|63</v>
      </c>
      <c r="B4250" s="4" t="s">
        <v>93</v>
      </c>
      <c r="C4250" s="4" t="s">
        <v>184</v>
      </c>
      <c r="D4250" s="4">
        <v>64</v>
      </c>
      <c r="E4250" s="22" t="s">
        <v>114</v>
      </c>
      <c r="F4250" s="10" t="s">
        <v>169</v>
      </c>
    </row>
    <row r="4251" spans="1:6">
      <c r="A4251" s="4" t="str">
        <f t="shared" si="66"/>
        <v>tRNA-Trp-CCA-1-1|64</v>
      </c>
      <c r="B4251" s="4" t="s">
        <v>93</v>
      </c>
      <c r="C4251" s="4" t="s">
        <v>185</v>
      </c>
      <c r="D4251" s="4">
        <v>65</v>
      </c>
      <c r="E4251" s="22" t="s">
        <v>122</v>
      </c>
      <c r="F4251" s="10" t="s">
        <v>169</v>
      </c>
    </row>
    <row r="4252" spans="1:6">
      <c r="A4252" s="4" t="str">
        <f t="shared" si="66"/>
        <v>tRNA-Trp-CCA-1-1|65</v>
      </c>
      <c r="B4252" s="4" t="s">
        <v>93</v>
      </c>
      <c r="C4252" s="4" t="s">
        <v>186</v>
      </c>
      <c r="D4252" s="4">
        <v>66</v>
      </c>
      <c r="E4252" s="22" t="s">
        <v>114</v>
      </c>
      <c r="F4252" s="10" t="s">
        <v>169</v>
      </c>
    </row>
    <row r="4253" spans="1:6">
      <c r="A4253" s="4" t="str">
        <f t="shared" si="66"/>
        <v>tRNA-Trp-CCA-1-1|66</v>
      </c>
      <c r="B4253" s="4" t="s">
        <v>93</v>
      </c>
      <c r="C4253" s="4" t="s">
        <v>187</v>
      </c>
      <c r="D4253" s="4">
        <v>67</v>
      </c>
      <c r="E4253" s="16" t="s">
        <v>114</v>
      </c>
      <c r="F4253" s="17" t="s">
        <v>110</v>
      </c>
    </row>
    <row r="4254" spans="1:6">
      <c r="A4254" s="4" t="str">
        <f t="shared" si="66"/>
        <v>tRNA-Trp-CCA-1-1|67</v>
      </c>
      <c r="B4254" s="4" t="s">
        <v>93</v>
      </c>
      <c r="C4254" s="4" t="s">
        <v>188</v>
      </c>
      <c r="D4254" s="4">
        <v>68</v>
      </c>
      <c r="E4254" s="16" t="s">
        <v>122</v>
      </c>
      <c r="F4254" s="17" t="s">
        <v>110</v>
      </c>
    </row>
    <row r="4255" spans="1:6">
      <c r="A4255" s="4" t="str">
        <f t="shared" si="66"/>
        <v>tRNA-Trp-CCA-1-1|68</v>
      </c>
      <c r="B4255" s="4" t="s">
        <v>93</v>
      </c>
      <c r="C4255" s="4" t="s">
        <v>189</v>
      </c>
      <c r="D4255" s="4">
        <v>69</v>
      </c>
      <c r="E4255" s="16" t="s">
        <v>109</v>
      </c>
      <c r="F4255" s="17" t="s">
        <v>110</v>
      </c>
    </row>
    <row r="4256" spans="1:6">
      <c r="A4256" s="4" t="str">
        <f t="shared" si="66"/>
        <v>tRNA-Trp-CCA-1-1|69</v>
      </c>
      <c r="B4256" s="4" t="s">
        <v>93</v>
      </c>
      <c r="C4256" s="4" t="s">
        <v>190</v>
      </c>
      <c r="D4256" s="4">
        <v>70</v>
      </c>
      <c r="E4256" s="16" t="s">
        <v>114</v>
      </c>
      <c r="F4256" s="17" t="s">
        <v>110</v>
      </c>
    </row>
    <row r="4257" spans="1:6">
      <c r="A4257" s="4" t="str">
        <f t="shared" si="66"/>
        <v>tRNA-Trp-CCA-1-1|70</v>
      </c>
      <c r="B4257" s="4" t="s">
        <v>93</v>
      </c>
      <c r="C4257" s="4" t="s">
        <v>191</v>
      </c>
      <c r="D4257" s="4">
        <v>71</v>
      </c>
      <c r="E4257" s="16" t="s">
        <v>114</v>
      </c>
      <c r="F4257" s="17" t="s">
        <v>110</v>
      </c>
    </row>
    <row r="4258" spans="1:6">
      <c r="A4258" s="4" t="str">
        <f t="shared" si="66"/>
        <v>tRNA-Trp-CCA-1-1|71</v>
      </c>
      <c r="B4258" s="4" t="s">
        <v>93</v>
      </c>
      <c r="C4258" s="4" t="s">
        <v>192</v>
      </c>
      <c r="D4258" s="4">
        <v>72</v>
      </c>
      <c r="E4258" s="16" t="s">
        <v>114</v>
      </c>
      <c r="F4258" s="17" t="s">
        <v>110</v>
      </c>
    </row>
    <row r="4259" spans="1:6">
      <c r="A4259" s="4" t="str">
        <f t="shared" si="66"/>
        <v>tRNA-Trp-CCA-1-1|72</v>
      </c>
      <c r="B4259" s="4" t="s">
        <v>93</v>
      </c>
      <c r="C4259" s="4" t="s">
        <v>193</v>
      </c>
      <c r="D4259" s="4">
        <v>73</v>
      </c>
      <c r="E4259" s="16" t="s">
        <v>114</v>
      </c>
      <c r="F4259" s="17" t="s">
        <v>110</v>
      </c>
    </row>
    <row r="4260" spans="1:6">
      <c r="A4260" s="4" t="str">
        <f t="shared" si="66"/>
        <v>tRNA-Tyr-GTA-1-1|1</v>
      </c>
      <c r="B4260" s="4" t="s">
        <v>94</v>
      </c>
      <c r="C4260" s="4" t="s">
        <v>108</v>
      </c>
      <c r="D4260" s="4">
        <v>1</v>
      </c>
      <c r="E4260" s="16" t="s">
        <v>114</v>
      </c>
      <c r="F4260" s="17" t="s">
        <v>110</v>
      </c>
    </row>
    <row r="4261" spans="1:6">
      <c r="A4261" s="4" t="str">
        <f t="shared" si="66"/>
        <v>tRNA-Tyr-GTA-1-1|2</v>
      </c>
      <c r="B4261" s="4" t="s">
        <v>94</v>
      </c>
      <c r="C4261" s="4" t="s">
        <v>111</v>
      </c>
      <c r="D4261" s="4">
        <v>2</v>
      </c>
      <c r="E4261" s="16" t="s">
        <v>114</v>
      </c>
      <c r="F4261" s="17" t="s">
        <v>110</v>
      </c>
    </row>
    <row r="4262" spans="1:6">
      <c r="A4262" s="4" t="str">
        <f t="shared" si="66"/>
        <v>tRNA-Tyr-GTA-1-1|3</v>
      </c>
      <c r="B4262" s="4" t="s">
        <v>94</v>
      </c>
      <c r="C4262" s="4" t="s">
        <v>112</v>
      </c>
      <c r="D4262" s="4">
        <v>3</v>
      </c>
      <c r="E4262" s="16" t="s">
        <v>114</v>
      </c>
      <c r="F4262" s="17" t="s">
        <v>110</v>
      </c>
    </row>
    <row r="4263" spans="1:6">
      <c r="A4263" s="4" t="str">
        <f t="shared" si="66"/>
        <v>tRNA-Tyr-GTA-1-1|4</v>
      </c>
      <c r="B4263" s="4" t="s">
        <v>94</v>
      </c>
      <c r="C4263" s="4" t="s">
        <v>113</v>
      </c>
      <c r="D4263" s="4">
        <v>4</v>
      </c>
      <c r="E4263" s="16" t="s">
        <v>109</v>
      </c>
      <c r="F4263" s="17" t="s">
        <v>110</v>
      </c>
    </row>
    <row r="4264" spans="1:6">
      <c r="A4264" s="4" t="str">
        <f t="shared" si="66"/>
        <v>tRNA-Tyr-GTA-1-1|5</v>
      </c>
      <c r="B4264" s="4" t="s">
        <v>94</v>
      </c>
      <c r="C4264" s="4" t="s">
        <v>115</v>
      </c>
      <c r="D4264" s="4">
        <v>5</v>
      </c>
      <c r="E4264" s="16" t="s">
        <v>114</v>
      </c>
      <c r="F4264" s="17" t="s">
        <v>110</v>
      </c>
    </row>
    <row r="4265" spans="1:6">
      <c r="A4265" s="4" t="str">
        <f t="shared" si="66"/>
        <v>tRNA-Tyr-GTA-1-1|6</v>
      </c>
      <c r="B4265" s="4" t="s">
        <v>94</v>
      </c>
      <c r="C4265" s="4" t="s">
        <v>117</v>
      </c>
      <c r="D4265" s="4">
        <v>6</v>
      </c>
      <c r="E4265" s="16" t="s">
        <v>114</v>
      </c>
      <c r="F4265" s="17" t="s">
        <v>110</v>
      </c>
    </row>
    <row r="4266" spans="1:6">
      <c r="A4266" s="4" t="str">
        <f t="shared" si="66"/>
        <v>tRNA-Tyr-GTA-1-1|7</v>
      </c>
      <c r="B4266" s="4" t="s">
        <v>94</v>
      </c>
      <c r="C4266" s="4" t="s">
        <v>118</v>
      </c>
      <c r="D4266" s="4">
        <v>7</v>
      </c>
      <c r="E4266" s="16" t="s">
        <v>116</v>
      </c>
      <c r="F4266" s="17" t="s">
        <v>110</v>
      </c>
    </row>
    <row r="4267" spans="1:6">
      <c r="A4267" s="4" t="str">
        <f t="shared" si="66"/>
        <v>tRNA-Tyr-GTA-1-1|8</v>
      </c>
      <c r="B4267" s="4" t="s">
        <v>94</v>
      </c>
      <c r="C4267" s="4" t="s">
        <v>119</v>
      </c>
      <c r="D4267" s="4">
        <v>8</v>
      </c>
      <c r="E4267" s="3" t="s">
        <v>116</v>
      </c>
      <c r="F4267" s="4" t="s">
        <v>120</v>
      </c>
    </row>
    <row r="4268" spans="1:6">
      <c r="A4268" s="4" t="str">
        <f t="shared" si="66"/>
        <v>tRNA-Tyr-GTA-1-1|9</v>
      </c>
      <c r="B4268" s="4" t="s">
        <v>94</v>
      </c>
      <c r="C4268" s="4" t="s">
        <v>121</v>
      </c>
      <c r="D4268" s="4">
        <v>9</v>
      </c>
      <c r="E4268" s="3" t="s">
        <v>122</v>
      </c>
      <c r="F4268" s="4" t="s">
        <v>123</v>
      </c>
    </row>
    <row r="4269" spans="1:6">
      <c r="A4269" s="4" t="str">
        <f t="shared" si="66"/>
        <v>tRNA-Tyr-GTA-1-1|10</v>
      </c>
      <c r="B4269" s="4" t="s">
        <v>94</v>
      </c>
      <c r="C4269" s="4" t="s">
        <v>124</v>
      </c>
      <c r="D4269" s="4">
        <v>10</v>
      </c>
      <c r="E4269" s="8" t="s">
        <v>122</v>
      </c>
      <c r="F4269" s="7" t="s">
        <v>125</v>
      </c>
    </row>
    <row r="4270" spans="1:6">
      <c r="A4270" s="4" t="str">
        <f t="shared" si="66"/>
        <v>tRNA-Tyr-GTA-1-1|11</v>
      </c>
      <c r="B4270" s="4" t="s">
        <v>94</v>
      </c>
      <c r="C4270" s="4" t="s">
        <v>126</v>
      </c>
      <c r="D4270" s="4">
        <v>11</v>
      </c>
      <c r="E4270" s="8" t="s">
        <v>114</v>
      </c>
      <c r="F4270" s="7" t="s">
        <v>125</v>
      </c>
    </row>
    <row r="4271" spans="1:6">
      <c r="A4271" s="4" t="str">
        <f t="shared" si="66"/>
        <v>tRNA-Tyr-GTA-1-1|12</v>
      </c>
      <c r="B4271" s="4" t="s">
        <v>94</v>
      </c>
      <c r="C4271" s="4" t="s">
        <v>127</v>
      </c>
      <c r="D4271" s="4">
        <v>12</v>
      </c>
      <c r="E4271" s="8" t="s">
        <v>116</v>
      </c>
      <c r="F4271" s="7" t="s">
        <v>125</v>
      </c>
    </row>
    <row r="4272" spans="1:6">
      <c r="A4272" s="4" t="str">
        <f t="shared" si="66"/>
        <v>tRNA-Tyr-GTA-1-1|13</v>
      </c>
      <c r="B4272" s="4" t="s">
        <v>94</v>
      </c>
      <c r="C4272" s="4" t="s">
        <v>128</v>
      </c>
      <c r="D4272" s="4">
        <v>13</v>
      </c>
      <c r="E4272" s="8" t="s">
        <v>114</v>
      </c>
      <c r="F4272" s="7" t="s">
        <v>125</v>
      </c>
    </row>
    <row r="4273" spans="1:6">
      <c r="A4273" s="4" t="str">
        <f t="shared" si="66"/>
        <v>tRNA-Tyr-GTA-1-1|14</v>
      </c>
      <c r="B4273" s="4" t="s">
        <v>94</v>
      </c>
      <c r="C4273" s="4" t="s">
        <v>129</v>
      </c>
      <c r="D4273" s="4">
        <v>14</v>
      </c>
      <c r="E4273" s="18" t="s">
        <v>122</v>
      </c>
      <c r="F4273" s="19" t="s">
        <v>130</v>
      </c>
    </row>
    <row r="4274" spans="1:6">
      <c r="A4274" s="4" t="str">
        <f t="shared" si="66"/>
        <v>tRNA-Tyr-GTA-1-1|15</v>
      </c>
      <c r="B4274" s="4" t="s">
        <v>94</v>
      </c>
      <c r="C4274" s="4" t="s">
        <v>131</v>
      </c>
      <c r="D4274" s="4">
        <v>15</v>
      </c>
      <c r="E4274" s="18" t="s">
        <v>109</v>
      </c>
      <c r="F4274" s="19" t="s">
        <v>130</v>
      </c>
    </row>
    <row r="4275" spans="1:6">
      <c r="A4275" s="4" t="str">
        <f t="shared" si="66"/>
        <v>tRNA-Tyr-GTA-1-1|16</v>
      </c>
      <c r="B4275" s="4" t="s">
        <v>94</v>
      </c>
      <c r="C4275" s="4" t="s">
        <v>194</v>
      </c>
      <c r="D4275" s="4">
        <v>16</v>
      </c>
      <c r="E4275" s="18" t="s">
        <v>116</v>
      </c>
      <c r="F4275" s="19" t="s">
        <v>130</v>
      </c>
    </row>
    <row r="4276" spans="1:6">
      <c r="A4276" s="4" t="str">
        <f t="shared" si="66"/>
        <v>tRNA-Tyr-GTA-1-1|18</v>
      </c>
      <c r="B4276" s="4" t="s">
        <v>94</v>
      </c>
      <c r="C4276" s="4" t="s">
        <v>132</v>
      </c>
      <c r="D4276" s="4">
        <v>17</v>
      </c>
      <c r="E4276" s="18" t="s">
        <v>109</v>
      </c>
      <c r="F4276" s="19" t="s">
        <v>130</v>
      </c>
    </row>
    <row r="4277" spans="1:6">
      <c r="A4277" s="4" t="str">
        <f t="shared" si="66"/>
        <v>tRNA-Tyr-GTA-1-1|19</v>
      </c>
      <c r="B4277" s="4" t="s">
        <v>94</v>
      </c>
      <c r="C4277" s="4" t="s">
        <v>133</v>
      </c>
      <c r="D4277" s="4">
        <v>18</v>
      </c>
      <c r="E4277" s="18" t="s">
        <v>109</v>
      </c>
      <c r="F4277" s="19" t="s">
        <v>130</v>
      </c>
    </row>
    <row r="4278" spans="1:6">
      <c r="A4278" s="4" t="str">
        <f t="shared" si="66"/>
        <v>tRNA-Tyr-GTA-1-1|20</v>
      </c>
      <c r="B4278" s="4" t="s">
        <v>94</v>
      </c>
      <c r="C4278" s="4" t="s">
        <v>134</v>
      </c>
      <c r="D4278" s="4">
        <v>19</v>
      </c>
      <c r="E4278" s="18" t="s">
        <v>116</v>
      </c>
      <c r="F4278" s="19" t="s">
        <v>130</v>
      </c>
    </row>
    <row r="4279" spans="1:6">
      <c r="A4279" s="4" t="str">
        <f t="shared" si="66"/>
        <v>tRNA-Tyr-GTA-1-1|21</v>
      </c>
      <c r="B4279" s="4" t="s">
        <v>94</v>
      </c>
      <c r="C4279" s="4" t="s">
        <v>136</v>
      </c>
      <c r="D4279" s="4">
        <v>20</v>
      </c>
      <c r="E4279" s="18" t="s">
        <v>122</v>
      </c>
      <c r="F4279" s="19" t="s">
        <v>130</v>
      </c>
    </row>
    <row r="4280" spans="1:6">
      <c r="A4280" s="4" t="str">
        <f t="shared" si="66"/>
        <v>tRNA-Tyr-GTA-1-1|22</v>
      </c>
      <c r="B4280" s="4" t="s">
        <v>94</v>
      </c>
      <c r="C4280" s="4" t="s">
        <v>137</v>
      </c>
      <c r="D4280" s="4">
        <v>21</v>
      </c>
      <c r="E4280" s="8" t="s">
        <v>109</v>
      </c>
      <c r="F4280" s="7" t="s">
        <v>125</v>
      </c>
    </row>
    <row r="4281" spans="1:6">
      <c r="A4281" s="4" t="str">
        <f t="shared" si="66"/>
        <v>tRNA-Tyr-GTA-1-1|23</v>
      </c>
      <c r="B4281" s="4" t="s">
        <v>94</v>
      </c>
      <c r="C4281" s="4" t="s">
        <v>138</v>
      </c>
      <c r="D4281" s="4">
        <v>22</v>
      </c>
      <c r="E4281" s="8" t="s">
        <v>122</v>
      </c>
      <c r="F4281" s="7" t="s">
        <v>125</v>
      </c>
    </row>
    <row r="4282" spans="1:6">
      <c r="A4282" s="4" t="str">
        <f t="shared" si="66"/>
        <v>tRNA-Tyr-GTA-1-1|24</v>
      </c>
      <c r="B4282" s="4" t="s">
        <v>94</v>
      </c>
      <c r="C4282" s="4" t="s">
        <v>139</v>
      </c>
      <c r="D4282" s="4">
        <v>23</v>
      </c>
      <c r="E4282" s="8" t="s">
        <v>109</v>
      </c>
      <c r="F4282" s="7" t="s">
        <v>125</v>
      </c>
    </row>
    <row r="4283" spans="1:6">
      <c r="A4283" s="4" t="str">
        <f t="shared" si="66"/>
        <v>tRNA-Tyr-GTA-1-1|25</v>
      </c>
      <c r="B4283" s="4" t="s">
        <v>94</v>
      </c>
      <c r="C4283" s="4" t="s">
        <v>140</v>
      </c>
      <c r="D4283" s="4">
        <v>24</v>
      </c>
      <c r="E4283" s="8" t="s">
        <v>116</v>
      </c>
      <c r="F4283" s="7" t="s">
        <v>125</v>
      </c>
    </row>
    <row r="4284" spans="1:6">
      <c r="A4284" s="4" t="str">
        <f t="shared" si="66"/>
        <v>tRNA-Tyr-GTA-1-1|26</v>
      </c>
      <c r="B4284" s="4" t="s">
        <v>94</v>
      </c>
      <c r="C4284" s="4" t="s">
        <v>141</v>
      </c>
      <c r="D4284" s="4">
        <v>25</v>
      </c>
      <c r="E4284" s="3" t="s">
        <v>109</v>
      </c>
      <c r="F4284" s="4" t="s">
        <v>142</v>
      </c>
    </row>
    <row r="4285" spans="1:6">
      <c r="A4285" s="4" t="str">
        <f t="shared" si="66"/>
        <v>tRNA-Tyr-GTA-1-1|27</v>
      </c>
      <c r="B4285" s="4" t="s">
        <v>94</v>
      </c>
      <c r="C4285" s="4" t="s">
        <v>143</v>
      </c>
      <c r="D4285" s="4">
        <v>26</v>
      </c>
      <c r="E4285" s="20" t="s">
        <v>114</v>
      </c>
      <c r="F4285" s="21" t="s">
        <v>144</v>
      </c>
    </row>
    <row r="4286" spans="1:6">
      <c r="A4286" s="4" t="str">
        <f t="shared" si="66"/>
        <v>tRNA-Tyr-GTA-1-1|28</v>
      </c>
      <c r="B4286" s="4" t="s">
        <v>94</v>
      </c>
      <c r="C4286" s="4" t="s">
        <v>145</v>
      </c>
      <c r="D4286" s="4">
        <v>27</v>
      </c>
      <c r="E4286" s="20" t="s">
        <v>109</v>
      </c>
      <c r="F4286" s="21" t="s">
        <v>144</v>
      </c>
    </row>
    <row r="4287" spans="1:6">
      <c r="A4287" s="4" t="str">
        <f t="shared" si="66"/>
        <v>tRNA-Tyr-GTA-1-1|29</v>
      </c>
      <c r="B4287" s="4" t="s">
        <v>94</v>
      </c>
      <c r="C4287" s="4" t="s">
        <v>146</v>
      </c>
      <c r="D4287" s="4">
        <v>28</v>
      </c>
      <c r="E4287" s="20" t="s">
        <v>114</v>
      </c>
      <c r="F4287" s="21" t="s">
        <v>144</v>
      </c>
    </row>
    <row r="4288" spans="1:6">
      <c r="A4288" s="4" t="str">
        <f t="shared" si="66"/>
        <v>tRNA-Tyr-GTA-1-1|30</v>
      </c>
      <c r="B4288" s="4" t="s">
        <v>94</v>
      </c>
      <c r="C4288" s="4" t="s">
        <v>147</v>
      </c>
      <c r="D4288" s="4">
        <v>29</v>
      </c>
      <c r="E4288" s="20" t="s">
        <v>109</v>
      </c>
      <c r="F4288" s="21" t="s">
        <v>144</v>
      </c>
    </row>
    <row r="4289" spans="1:6">
      <c r="A4289" s="4" t="str">
        <f t="shared" si="66"/>
        <v>tRNA-Tyr-GTA-1-1|31</v>
      </c>
      <c r="B4289" s="4" t="s">
        <v>94</v>
      </c>
      <c r="C4289" s="4" t="s">
        <v>148</v>
      </c>
      <c r="D4289" s="4">
        <v>30</v>
      </c>
      <c r="E4289" s="20" t="s">
        <v>109</v>
      </c>
      <c r="F4289" s="21" t="s">
        <v>144</v>
      </c>
    </row>
    <row r="4290" spans="1:6">
      <c r="A4290" s="4" t="str">
        <f t="shared" ref="A4290:A4353" si="67">B4290&amp;"|"&amp;C4290</f>
        <v>tRNA-Tyr-GTA-1-1|32</v>
      </c>
      <c r="B4290" s="4" t="s">
        <v>94</v>
      </c>
      <c r="C4290" s="4" t="s">
        <v>149</v>
      </c>
      <c r="D4290" s="4">
        <v>31</v>
      </c>
      <c r="E4290" s="18" t="s">
        <v>114</v>
      </c>
      <c r="F4290" s="19" t="s">
        <v>150</v>
      </c>
    </row>
    <row r="4291" spans="1:6">
      <c r="A4291" s="4" t="str">
        <f t="shared" si="67"/>
        <v>tRNA-Tyr-GTA-1-1|33</v>
      </c>
      <c r="B4291" s="4" t="s">
        <v>94</v>
      </c>
      <c r="C4291" s="4" t="s">
        <v>151</v>
      </c>
      <c r="D4291" s="4">
        <v>32</v>
      </c>
      <c r="E4291" s="18" t="s">
        <v>116</v>
      </c>
      <c r="F4291" s="19" t="s">
        <v>150</v>
      </c>
    </row>
    <row r="4292" spans="1:6">
      <c r="A4292" s="4" t="str">
        <f t="shared" si="67"/>
        <v>tRNA-Tyr-GTA-1-1|34</v>
      </c>
      <c r="B4292" s="4" t="s">
        <v>94</v>
      </c>
      <c r="C4292" s="4" t="s">
        <v>152</v>
      </c>
      <c r="D4292" s="4">
        <v>33</v>
      </c>
      <c r="E4292" s="18" t="s">
        <v>109</v>
      </c>
      <c r="F4292" s="19" t="s">
        <v>150</v>
      </c>
    </row>
    <row r="4293" spans="1:6">
      <c r="A4293" s="4" t="str">
        <f t="shared" si="67"/>
        <v>tRNA-Tyr-GTA-1-1|35</v>
      </c>
      <c r="B4293" s="4" t="s">
        <v>94</v>
      </c>
      <c r="C4293" s="4" t="s">
        <v>153</v>
      </c>
      <c r="D4293" s="4">
        <v>34</v>
      </c>
      <c r="E4293" s="18" t="s">
        <v>116</v>
      </c>
      <c r="F4293" s="19" t="s">
        <v>150</v>
      </c>
    </row>
    <row r="4294" spans="1:6">
      <c r="A4294" s="4" t="str">
        <f t="shared" si="67"/>
        <v>tRNA-Tyr-GTA-1-1|36</v>
      </c>
      <c r="B4294" s="4" t="s">
        <v>94</v>
      </c>
      <c r="C4294" s="4" t="s">
        <v>154</v>
      </c>
      <c r="D4294" s="4">
        <v>35</v>
      </c>
      <c r="E4294" s="18" t="s">
        <v>122</v>
      </c>
      <c r="F4294" s="19" t="s">
        <v>150</v>
      </c>
    </row>
    <row r="4295" spans="1:6">
      <c r="A4295" s="4" t="str">
        <f t="shared" si="67"/>
        <v>tRNA-Tyr-GTA-1-1|37</v>
      </c>
      <c r="B4295" s="4" t="s">
        <v>94</v>
      </c>
      <c r="C4295" s="4" t="s">
        <v>155</v>
      </c>
      <c r="D4295" s="4">
        <v>36</v>
      </c>
      <c r="E4295" s="18" t="s">
        <v>109</v>
      </c>
      <c r="F4295" s="19" t="s">
        <v>150</v>
      </c>
    </row>
    <row r="4296" spans="1:6">
      <c r="A4296" s="4" t="str">
        <f t="shared" si="67"/>
        <v>tRNA-Tyr-GTA-1-1|38</v>
      </c>
      <c r="B4296" s="4" t="s">
        <v>94</v>
      </c>
      <c r="C4296" s="4" t="s">
        <v>156</v>
      </c>
      <c r="D4296" s="4">
        <v>37</v>
      </c>
      <c r="E4296" s="18" t="s">
        <v>122</v>
      </c>
      <c r="F4296" s="19" t="s">
        <v>150</v>
      </c>
    </row>
    <row r="4297" spans="1:6">
      <c r="A4297" s="4" t="str">
        <f t="shared" si="67"/>
        <v>tRNA-Tyr-GTA-1-1|39</v>
      </c>
      <c r="B4297" s="4" t="s">
        <v>94</v>
      </c>
      <c r="C4297" s="4" t="s">
        <v>157</v>
      </c>
      <c r="D4297" s="4">
        <v>38</v>
      </c>
      <c r="E4297" s="20" t="s">
        <v>114</v>
      </c>
      <c r="F4297" s="21" t="s">
        <v>144</v>
      </c>
    </row>
    <row r="4298" spans="1:6">
      <c r="A4298" s="4" t="str">
        <f t="shared" si="67"/>
        <v>tRNA-Tyr-GTA-1-1|40</v>
      </c>
      <c r="B4298" s="4" t="s">
        <v>94</v>
      </c>
      <c r="C4298" s="4" t="s">
        <v>158</v>
      </c>
      <c r="D4298" s="4">
        <v>39</v>
      </c>
      <c r="E4298" s="20" t="s">
        <v>114</v>
      </c>
      <c r="F4298" s="21" t="s">
        <v>144</v>
      </c>
    </row>
    <row r="4299" spans="1:6">
      <c r="A4299" s="4" t="str">
        <f t="shared" si="67"/>
        <v>tRNA-Tyr-GTA-1-1|41</v>
      </c>
      <c r="B4299" s="4" t="s">
        <v>94</v>
      </c>
      <c r="C4299" s="4" t="s">
        <v>159</v>
      </c>
      <c r="D4299" s="4">
        <v>40</v>
      </c>
      <c r="E4299" s="20" t="s">
        <v>109</v>
      </c>
      <c r="F4299" s="21" t="s">
        <v>144</v>
      </c>
    </row>
    <row r="4300" spans="1:6">
      <c r="A4300" s="4" t="str">
        <f t="shared" si="67"/>
        <v>tRNA-Tyr-GTA-1-1|42</v>
      </c>
      <c r="B4300" s="4" t="s">
        <v>94</v>
      </c>
      <c r="C4300" s="4" t="s">
        <v>160</v>
      </c>
      <c r="D4300" s="4">
        <v>41</v>
      </c>
      <c r="E4300" s="20" t="s">
        <v>114</v>
      </c>
      <c r="F4300" s="21" t="s">
        <v>144</v>
      </c>
    </row>
    <row r="4301" spans="1:6">
      <c r="A4301" s="4" t="str">
        <f t="shared" si="67"/>
        <v>tRNA-Tyr-GTA-1-1|43</v>
      </c>
      <c r="B4301" s="4" t="s">
        <v>94</v>
      </c>
      <c r="C4301" s="4" t="s">
        <v>161</v>
      </c>
      <c r="D4301" s="4">
        <v>42</v>
      </c>
      <c r="E4301" s="20" t="s">
        <v>109</v>
      </c>
      <c r="F4301" s="21" t="s">
        <v>144</v>
      </c>
    </row>
    <row r="4302" spans="1:6">
      <c r="A4302" s="4" t="str">
        <f t="shared" si="67"/>
        <v>tRNA-Tyr-GTA-1-1|44</v>
      </c>
      <c r="B4302" s="4" t="s">
        <v>94</v>
      </c>
      <c r="C4302" s="4" t="s">
        <v>162</v>
      </c>
      <c r="D4302" s="4">
        <v>43</v>
      </c>
      <c r="E4302" s="18" t="s">
        <v>122</v>
      </c>
      <c r="F4302" s="19" t="s">
        <v>163</v>
      </c>
    </row>
    <row r="4303" spans="1:6">
      <c r="A4303" s="4" t="str">
        <f t="shared" si="67"/>
        <v>tRNA-Tyr-GTA-1-1|45</v>
      </c>
      <c r="B4303" s="4" t="s">
        <v>94</v>
      </c>
      <c r="C4303" s="4" t="s">
        <v>164</v>
      </c>
      <c r="D4303" s="4">
        <v>44</v>
      </c>
      <c r="E4303" s="18" t="s">
        <v>116</v>
      </c>
      <c r="F4303" s="19" t="s">
        <v>163</v>
      </c>
    </row>
    <row r="4304" spans="1:6">
      <c r="A4304" s="4" t="str">
        <f t="shared" si="67"/>
        <v>tRNA-Tyr-GTA-1-1|46</v>
      </c>
      <c r="B4304" s="4" t="s">
        <v>94</v>
      </c>
      <c r="C4304" s="4" t="s">
        <v>165</v>
      </c>
      <c r="D4304" s="4">
        <v>45</v>
      </c>
      <c r="E4304" s="18" t="s">
        <v>109</v>
      </c>
      <c r="F4304" s="19" t="s">
        <v>163</v>
      </c>
    </row>
    <row r="4305" spans="1:6">
      <c r="A4305" s="4" t="str">
        <f t="shared" si="67"/>
        <v>tRNA-Tyr-GTA-1-1|47</v>
      </c>
      <c r="B4305" s="4" t="s">
        <v>94</v>
      </c>
      <c r="C4305" s="4" t="s">
        <v>166</v>
      </c>
      <c r="D4305" s="4">
        <v>46</v>
      </c>
      <c r="E4305" s="18" t="s">
        <v>116</v>
      </c>
      <c r="F4305" s="19" t="s">
        <v>163</v>
      </c>
    </row>
    <row r="4306" spans="1:6">
      <c r="A4306" s="4" t="str">
        <f t="shared" si="67"/>
        <v>tRNA-Tyr-GTA-1-1|48</v>
      </c>
      <c r="B4306" s="4" t="s">
        <v>94</v>
      </c>
      <c r="C4306" s="4" t="s">
        <v>167</v>
      </c>
      <c r="D4306" s="4">
        <v>47</v>
      </c>
      <c r="E4306" s="18" t="s">
        <v>114</v>
      </c>
      <c r="F4306" s="19" t="s">
        <v>163</v>
      </c>
    </row>
    <row r="4307" spans="1:6">
      <c r="A4307" s="4" t="str">
        <f t="shared" si="67"/>
        <v>tRNA-Tyr-GTA-1-1|49</v>
      </c>
      <c r="B4307" s="4" t="s">
        <v>94</v>
      </c>
      <c r="C4307" s="4" t="s">
        <v>168</v>
      </c>
      <c r="D4307" s="4">
        <v>48</v>
      </c>
      <c r="E4307" s="22" t="s">
        <v>114</v>
      </c>
      <c r="F4307" s="10" t="s">
        <v>169</v>
      </c>
    </row>
    <row r="4308" spans="1:6">
      <c r="A4308" s="4" t="str">
        <f t="shared" si="67"/>
        <v>tRNA-Tyr-GTA-1-1|50</v>
      </c>
      <c r="B4308" s="4" t="s">
        <v>94</v>
      </c>
      <c r="C4308" s="4" t="s">
        <v>170</v>
      </c>
      <c r="D4308" s="4">
        <v>49</v>
      </c>
      <c r="E4308" s="22" t="s">
        <v>114</v>
      </c>
      <c r="F4308" s="10" t="s">
        <v>169</v>
      </c>
    </row>
    <row r="4309" spans="1:6">
      <c r="A4309" s="4" t="str">
        <f t="shared" si="67"/>
        <v>tRNA-Tyr-GTA-1-1|51</v>
      </c>
      <c r="B4309" s="4" t="s">
        <v>94</v>
      </c>
      <c r="C4309" s="4" t="s">
        <v>171</v>
      </c>
      <c r="D4309" s="4">
        <v>50</v>
      </c>
      <c r="E4309" s="22" t="s">
        <v>114</v>
      </c>
      <c r="F4309" s="10" t="s">
        <v>169</v>
      </c>
    </row>
    <row r="4310" spans="1:6">
      <c r="A4310" s="4" t="str">
        <f t="shared" si="67"/>
        <v>tRNA-Tyr-GTA-1-1|52</v>
      </c>
      <c r="B4310" s="4" t="s">
        <v>94</v>
      </c>
      <c r="C4310" s="4" t="s">
        <v>172</v>
      </c>
      <c r="D4310" s="4">
        <v>51</v>
      </c>
      <c r="E4310" s="22" t="s">
        <v>109</v>
      </c>
      <c r="F4310" s="10" t="s">
        <v>169</v>
      </c>
    </row>
    <row r="4311" spans="1:6">
      <c r="A4311" s="4" t="str">
        <f t="shared" si="67"/>
        <v>tRNA-Tyr-GTA-1-1|53</v>
      </c>
      <c r="B4311" s="4" t="s">
        <v>94</v>
      </c>
      <c r="C4311" s="4" t="s">
        <v>173</v>
      </c>
      <c r="D4311" s="4">
        <v>52</v>
      </c>
      <c r="E4311" s="22" t="s">
        <v>109</v>
      </c>
      <c r="F4311" s="10" t="s">
        <v>169</v>
      </c>
    </row>
    <row r="4312" spans="1:6">
      <c r="A4312" s="4" t="str">
        <f t="shared" si="67"/>
        <v>tRNA-Tyr-GTA-1-1|54</v>
      </c>
      <c r="B4312" s="4" t="s">
        <v>94</v>
      </c>
      <c r="C4312" s="4" t="s">
        <v>174</v>
      </c>
      <c r="D4312" s="4">
        <v>53</v>
      </c>
      <c r="E4312" s="18" t="s">
        <v>116</v>
      </c>
      <c r="F4312" s="19" t="s">
        <v>175</v>
      </c>
    </row>
    <row r="4313" spans="1:6">
      <c r="A4313" s="4" t="str">
        <f t="shared" si="67"/>
        <v>tRNA-Tyr-GTA-1-1|55</v>
      </c>
      <c r="B4313" s="4" t="s">
        <v>94</v>
      </c>
      <c r="C4313" s="4" t="s">
        <v>176</v>
      </c>
      <c r="D4313" s="4">
        <v>54</v>
      </c>
      <c r="E4313" s="18" t="s">
        <v>116</v>
      </c>
      <c r="F4313" s="19" t="s">
        <v>175</v>
      </c>
    </row>
    <row r="4314" spans="1:6">
      <c r="A4314" s="4" t="str">
        <f t="shared" si="67"/>
        <v>tRNA-Tyr-GTA-1-1|56</v>
      </c>
      <c r="B4314" s="4" t="s">
        <v>94</v>
      </c>
      <c r="C4314" s="4" t="s">
        <v>177</v>
      </c>
      <c r="D4314" s="4">
        <v>55</v>
      </c>
      <c r="E4314" s="18" t="s">
        <v>114</v>
      </c>
      <c r="F4314" s="19" t="s">
        <v>175</v>
      </c>
    </row>
    <row r="4315" spans="1:6">
      <c r="A4315" s="4" t="str">
        <f t="shared" si="67"/>
        <v>tRNA-Tyr-GTA-1-1|57</v>
      </c>
      <c r="B4315" s="4" t="s">
        <v>94</v>
      </c>
      <c r="C4315" s="4" t="s">
        <v>178</v>
      </c>
      <c r="D4315" s="4">
        <v>56</v>
      </c>
      <c r="E4315" s="18" t="s">
        <v>109</v>
      </c>
      <c r="F4315" s="19" t="s">
        <v>175</v>
      </c>
    </row>
    <row r="4316" spans="1:6">
      <c r="A4316" s="4" t="str">
        <f t="shared" si="67"/>
        <v>tRNA-Tyr-GTA-1-1|58</v>
      </c>
      <c r="B4316" s="4" t="s">
        <v>94</v>
      </c>
      <c r="C4316" s="4" t="s">
        <v>179</v>
      </c>
      <c r="D4316" s="4">
        <v>57</v>
      </c>
      <c r="E4316" s="18" t="s">
        <v>122</v>
      </c>
      <c r="F4316" s="19" t="s">
        <v>175</v>
      </c>
    </row>
    <row r="4317" spans="1:6">
      <c r="A4317" s="4" t="str">
        <f t="shared" si="67"/>
        <v>tRNA-Tyr-GTA-1-1|59</v>
      </c>
      <c r="B4317" s="4" t="s">
        <v>94</v>
      </c>
      <c r="C4317" s="4" t="s">
        <v>180</v>
      </c>
      <c r="D4317" s="4">
        <v>58</v>
      </c>
      <c r="E4317" s="18" t="s">
        <v>109</v>
      </c>
      <c r="F4317" s="19" t="s">
        <v>175</v>
      </c>
    </row>
    <row r="4318" spans="1:6">
      <c r="A4318" s="4" t="str">
        <f t="shared" si="67"/>
        <v>tRNA-Tyr-GTA-1-1|60</v>
      </c>
      <c r="B4318" s="4" t="s">
        <v>94</v>
      </c>
      <c r="C4318" s="4" t="s">
        <v>181</v>
      </c>
      <c r="D4318" s="4">
        <v>59</v>
      </c>
      <c r="E4318" s="18" t="s">
        <v>116</v>
      </c>
      <c r="F4318" s="19" t="s">
        <v>175</v>
      </c>
    </row>
    <row r="4319" spans="1:6">
      <c r="A4319" s="4" t="str">
        <f t="shared" si="67"/>
        <v>tRNA-Tyr-GTA-1-1|61</v>
      </c>
      <c r="B4319" s="4" t="s">
        <v>94</v>
      </c>
      <c r="C4319" s="4" t="s">
        <v>182</v>
      </c>
      <c r="D4319" s="4">
        <v>60</v>
      </c>
      <c r="E4319" s="22" t="s">
        <v>114</v>
      </c>
      <c r="F4319" s="10" t="s">
        <v>169</v>
      </c>
    </row>
    <row r="4320" spans="1:6">
      <c r="A4320" s="4" t="str">
        <f t="shared" si="67"/>
        <v>tRNA-Tyr-GTA-1-1|62</v>
      </c>
      <c r="B4320" s="4" t="s">
        <v>94</v>
      </c>
      <c r="C4320" s="4" t="s">
        <v>183</v>
      </c>
      <c r="D4320" s="4">
        <v>61</v>
      </c>
      <c r="E4320" s="22" t="s">
        <v>116</v>
      </c>
      <c r="F4320" s="10" t="s">
        <v>169</v>
      </c>
    </row>
    <row r="4321" spans="1:6">
      <c r="A4321" s="4" t="str">
        <f t="shared" si="67"/>
        <v>tRNA-Tyr-GTA-1-1|63</v>
      </c>
      <c r="B4321" s="4" t="s">
        <v>94</v>
      </c>
      <c r="C4321" s="4" t="s">
        <v>184</v>
      </c>
      <c r="D4321" s="4">
        <v>62</v>
      </c>
      <c r="E4321" s="22" t="s">
        <v>109</v>
      </c>
      <c r="F4321" s="10" t="s">
        <v>169</v>
      </c>
    </row>
    <row r="4322" spans="1:6">
      <c r="A4322" s="4" t="str">
        <f t="shared" si="67"/>
        <v>tRNA-Tyr-GTA-1-1|64</v>
      </c>
      <c r="B4322" s="4" t="s">
        <v>94</v>
      </c>
      <c r="C4322" s="4" t="s">
        <v>185</v>
      </c>
      <c r="D4322" s="4">
        <v>63</v>
      </c>
      <c r="E4322" s="22" t="s">
        <v>109</v>
      </c>
      <c r="F4322" s="10" t="s">
        <v>169</v>
      </c>
    </row>
    <row r="4323" spans="1:6">
      <c r="A4323" s="4" t="str">
        <f t="shared" si="67"/>
        <v>tRNA-Tyr-GTA-1-1|65</v>
      </c>
      <c r="B4323" s="4" t="s">
        <v>94</v>
      </c>
      <c r="C4323" s="4" t="s">
        <v>186</v>
      </c>
      <c r="D4323" s="4">
        <v>64</v>
      </c>
      <c r="E4323" s="22" t="s">
        <v>109</v>
      </c>
      <c r="F4323" s="10" t="s">
        <v>169</v>
      </c>
    </row>
    <row r="4324" spans="1:6">
      <c r="A4324" s="4" t="str">
        <f t="shared" si="67"/>
        <v>tRNA-Tyr-GTA-1-1|66</v>
      </c>
      <c r="B4324" s="4" t="s">
        <v>94</v>
      </c>
      <c r="C4324" s="4" t="s">
        <v>187</v>
      </c>
      <c r="D4324" s="4">
        <v>65</v>
      </c>
      <c r="E4324" s="16" t="s">
        <v>122</v>
      </c>
      <c r="F4324" s="17" t="s">
        <v>110</v>
      </c>
    </row>
    <row r="4325" spans="1:6">
      <c r="A4325" s="4" t="str">
        <f t="shared" si="67"/>
        <v>tRNA-Tyr-GTA-1-1|67</v>
      </c>
      <c r="B4325" s="4" t="s">
        <v>94</v>
      </c>
      <c r="C4325" s="4" t="s">
        <v>188</v>
      </c>
      <c r="D4325" s="4">
        <v>66</v>
      </c>
      <c r="E4325" s="16" t="s">
        <v>109</v>
      </c>
      <c r="F4325" s="17" t="s">
        <v>110</v>
      </c>
    </row>
    <row r="4326" spans="1:6">
      <c r="A4326" s="4" t="str">
        <f t="shared" si="67"/>
        <v>tRNA-Tyr-GTA-1-1|68</v>
      </c>
      <c r="B4326" s="4" t="s">
        <v>94</v>
      </c>
      <c r="C4326" s="4" t="s">
        <v>189</v>
      </c>
      <c r="D4326" s="4">
        <v>67</v>
      </c>
      <c r="E4326" s="16" t="s">
        <v>109</v>
      </c>
      <c r="F4326" s="17" t="s">
        <v>110</v>
      </c>
    </row>
    <row r="4327" spans="1:6">
      <c r="A4327" s="4" t="str">
        <f t="shared" si="67"/>
        <v>tRNA-Tyr-GTA-1-1|69</v>
      </c>
      <c r="B4327" s="4" t="s">
        <v>94</v>
      </c>
      <c r="C4327" s="4" t="s">
        <v>190</v>
      </c>
      <c r="D4327" s="4">
        <v>68</v>
      </c>
      <c r="E4327" s="16" t="s">
        <v>114</v>
      </c>
      <c r="F4327" s="17" t="s">
        <v>110</v>
      </c>
    </row>
    <row r="4328" spans="1:6">
      <c r="A4328" s="4" t="str">
        <f t="shared" si="67"/>
        <v>tRNA-Tyr-GTA-1-1|70</v>
      </c>
      <c r="B4328" s="4" t="s">
        <v>94</v>
      </c>
      <c r="C4328" s="4" t="s">
        <v>191</v>
      </c>
      <c r="D4328" s="4">
        <v>69</v>
      </c>
      <c r="E4328" s="16" t="s">
        <v>109</v>
      </c>
      <c r="F4328" s="17" t="s">
        <v>110</v>
      </c>
    </row>
    <row r="4329" spans="1:6">
      <c r="A4329" s="4" t="str">
        <f t="shared" si="67"/>
        <v>tRNA-Tyr-GTA-1-1|71</v>
      </c>
      <c r="B4329" s="4" t="s">
        <v>94</v>
      </c>
      <c r="C4329" s="4" t="s">
        <v>192</v>
      </c>
      <c r="D4329" s="4">
        <v>70</v>
      </c>
      <c r="E4329" s="16" t="s">
        <v>109</v>
      </c>
      <c r="F4329" s="17" t="s">
        <v>110</v>
      </c>
    </row>
    <row r="4330" spans="1:6">
      <c r="A4330" s="4" t="str">
        <f t="shared" si="67"/>
        <v>tRNA-Tyr-GTA-1-1|72</v>
      </c>
      <c r="B4330" s="4" t="s">
        <v>94</v>
      </c>
      <c r="C4330" s="4" t="s">
        <v>193</v>
      </c>
      <c r="D4330" s="4">
        <v>71</v>
      </c>
      <c r="E4330" s="16" t="s">
        <v>109</v>
      </c>
      <c r="F4330" s="17" t="s">
        <v>110</v>
      </c>
    </row>
    <row r="4331" spans="1:6">
      <c r="A4331" s="4" t="str">
        <f t="shared" si="67"/>
        <v>tRNA-Und-NNN-1-1|1</v>
      </c>
      <c r="B4331" s="4" t="s">
        <v>95</v>
      </c>
      <c r="C4331" s="4" t="s">
        <v>108</v>
      </c>
      <c r="D4331" s="4">
        <v>1</v>
      </c>
      <c r="E4331" s="16" t="s">
        <v>109</v>
      </c>
      <c r="F4331" s="17" t="s">
        <v>110</v>
      </c>
    </row>
    <row r="4332" spans="1:6">
      <c r="A4332" s="4" t="str">
        <f t="shared" si="67"/>
        <v>tRNA-Und-NNN-1-1|2</v>
      </c>
      <c r="B4332" s="4" t="s">
        <v>95</v>
      </c>
      <c r="C4332" s="4" t="s">
        <v>111</v>
      </c>
      <c r="D4332" s="4">
        <v>2</v>
      </c>
      <c r="E4332" s="16" t="s">
        <v>114</v>
      </c>
      <c r="F4332" s="17" t="s">
        <v>110</v>
      </c>
    </row>
    <row r="4333" spans="1:6">
      <c r="A4333" s="4" t="str">
        <f t="shared" si="67"/>
        <v>tRNA-Und-NNN-1-1|3</v>
      </c>
      <c r="B4333" s="4" t="s">
        <v>95</v>
      </c>
      <c r="C4333" s="4" t="s">
        <v>112</v>
      </c>
      <c r="D4333" s="4">
        <v>3</v>
      </c>
      <c r="E4333" s="16" t="s">
        <v>114</v>
      </c>
      <c r="F4333" s="17" t="s">
        <v>110</v>
      </c>
    </row>
    <row r="4334" spans="1:6">
      <c r="A4334" s="4" t="str">
        <f t="shared" si="67"/>
        <v>tRNA-Und-NNN-1-1|4</v>
      </c>
      <c r="B4334" s="4" t="s">
        <v>95</v>
      </c>
      <c r="C4334" s="4" t="s">
        <v>113</v>
      </c>
      <c r="D4334" s="4">
        <v>4</v>
      </c>
      <c r="E4334" s="16" t="s">
        <v>116</v>
      </c>
      <c r="F4334" s="17" t="s">
        <v>110</v>
      </c>
    </row>
    <row r="4335" spans="1:6">
      <c r="A4335" s="4" t="str">
        <f t="shared" si="67"/>
        <v>tRNA-Und-NNN-1-1|5</v>
      </c>
      <c r="B4335" s="4" t="s">
        <v>95</v>
      </c>
      <c r="C4335" s="4" t="s">
        <v>115</v>
      </c>
      <c r="D4335" s="4">
        <v>5</v>
      </c>
      <c r="E4335" s="16" t="s">
        <v>114</v>
      </c>
      <c r="F4335" s="17" t="s">
        <v>110</v>
      </c>
    </row>
    <row r="4336" spans="1:6">
      <c r="A4336" s="4" t="str">
        <f t="shared" si="67"/>
        <v>tRNA-Und-NNN-1-1|6</v>
      </c>
      <c r="B4336" s="4" t="s">
        <v>95</v>
      </c>
      <c r="C4336" s="4" t="s">
        <v>117</v>
      </c>
      <c r="D4336" s="4">
        <v>6</v>
      </c>
      <c r="E4336" s="16" t="s">
        <v>122</v>
      </c>
      <c r="F4336" s="17" t="s">
        <v>110</v>
      </c>
    </row>
    <row r="4337" spans="1:6">
      <c r="A4337" s="4" t="str">
        <f t="shared" si="67"/>
        <v>tRNA-Und-NNN-1-1|7</v>
      </c>
      <c r="B4337" s="4" t="s">
        <v>95</v>
      </c>
      <c r="C4337" s="4" t="s">
        <v>118</v>
      </c>
      <c r="D4337" s="4">
        <v>7</v>
      </c>
      <c r="E4337" s="16" t="s">
        <v>116</v>
      </c>
      <c r="F4337" s="17" t="s">
        <v>110</v>
      </c>
    </row>
    <row r="4338" spans="1:6">
      <c r="A4338" s="4" t="str">
        <f t="shared" si="67"/>
        <v>tRNA-Und-NNN-1-1|8</v>
      </c>
      <c r="B4338" s="4" t="s">
        <v>95</v>
      </c>
      <c r="C4338" s="4" t="s">
        <v>119</v>
      </c>
      <c r="D4338" s="4">
        <v>8</v>
      </c>
      <c r="E4338" s="3" t="s">
        <v>116</v>
      </c>
      <c r="F4338" s="4" t="s">
        <v>120</v>
      </c>
    </row>
    <row r="4339" spans="1:6">
      <c r="A4339" s="4" t="str">
        <f t="shared" si="67"/>
        <v>tRNA-Und-NNN-1-1|9</v>
      </c>
      <c r="B4339" s="4" t="s">
        <v>95</v>
      </c>
      <c r="C4339" s="4" t="s">
        <v>121</v>
      </c>
      <c r="D4339" s="4">
        <v>9</v>
      </c>
      <c r="E4339" s="3" t="s">
        <v>109</v>
      </c>
      <c r="F4339" s="4" t="s">
        <v>123</v>
      </c>
    </row>
    <row r="4340" spans="1:6">
      <c r="A4340" s="4" t="str">
        <f t="shared" si="67"/>
        <v>tRNA-Und-NNN-1-1|10</v>
      </c>
      <c r="B4340" s="4" t="s">
        <v>95</v>
      </c>
      <c r="C4340" s="4" t="s">
        <v>124</v>
      </c>
      <c r="D4340" s="4">
        <v>10</v>
      </c>
      <c r="E4340" s="8" t="s">
        <v>109</v>
      </c>
      <c r="F4340" s="7" t="s">
        <v>125</v>
      </c>
    </row>
    <row r="4341" spans="1:6">
      <c r="A4341" s="4" t="str">
        <f t="shared" si="67"/>
        <v>tRNA-Und-NNN-1-1|11</v>
      </c>
      <c r="B4341" s="4" t="s">
        <v>95</v>
      </c>
      <c r="C4341" s="4" t="s">
        <v>126</v>
      </c>
      <c r="D4341" s="4">
        <v>11</v>
      </c>
      <c r="E4341" s="8" t="s">
        <v>114</v>
      </c>
      <c r="F4341" s="7" t="s">
        <v>125</v>
      </c>
    </row>
    <row r="4342" spans="1:6">
      <c r="A4342" s="4" t="str">
        <f t="shared" si="67"/>
        <v>tRNA-Und-NNN-1-1|12</v>
      </c>
      <c r="B4342" s="4" t="s">
        <v>95</v>
      </c>
      <c r="C4342" s="4" t="s">
        <v>127</v>
      </c>
      <c r="D4342" s="4">
        <v>12</v>
      </c>
      <c r="E4342" s="8" t="s">
        <v>116</v>
      </c>
      <c r="F4342" s="7" t="s">
        <v>125</v>
      </c>
    </row>
    <row r="4343" spans="1:6">
      <c r="A4343" s="4" t="str">
        <f t="shared" si="67"/>
        <v>tRNA-Und-NNN-1-1|13</v>
      </c>
      <c r="B4343" s="4" t="s">
        <v>95</v>
      </c>
      <c r="C4343" s="4" t="s">
        <v>128</v>
      </c>
      <c r="D4343" s="4">
        <v>13</v>
      </c>
      <c r="E4343" s="8" t="s">
        <v>114</v>
      </c>
      <c r="F4343" s="7" t="s">
        <v>125</v>
      </c>
    </row>
    <row r="4344" spans="1:6">
      <c r="A4344" s="4" t="str">
        <f t="shared" si="67"/>
        <v>tRNA-Und-NNN-1-1|14</v>
      </c>
      <c r="B4344" s="4" t="s">
        <v>95</v>
      </c>
      <c r="C4344" s="4" t="s">
        <v>129</v>
      </c>
      <c r="D4344" s="4">
        <v>14</v>
      </c>
      <c r="E4344" s="18" t="s">
        <v>122</v>
      </c>
      <c r="F4344" s="19" t="s">
        <v>130</v>
      </c>
    </row>
    <row r="4345" spans="1:6">
      <c r="A4345" s="4" t="str">
        <f t="shared" si="67"/>
        <v>tRNA-Und-NNN-1-1|15</v>
      </c>
      <c r="B4345" s="4" t="s">
        <v>95</v>
      </c>
      <c r="C4345" s="4" t="s">
        <v>131</v>
      </c>
      <c r="D4345" s="4">
        <v>15</v>
      </c>
      <c r="E4345" s="18" t="s">
        <v>109</v>
      </c>
      <c r="F4345" s="19" t="s">
        <v>130</v>
      </c>
    </row>
    <row r="4346" spans="1:6">
      <c r="A4346" s="4" t="str">
        <f t="shared" si="67"/>
        <v>tRNA-Und-NNN-1-1|16</v>
      </c>
      <c r="B4346" s="4" t="s">
        <v>95</v>
      </c>
      <c r="C4346" s="4" t="s">
        <v>194</v>
      </c>
      <c r="D4346" s="4">
        <v>16</v>
      </c>
      <c r="E4346" s="18" t="s">
        <v>114</v>
      </c>
      <c r="F4346" s="19" t="s">
        <v>130</v>
      </c>
    </row>
    <row r="4347" spans="1:6">
      <c r="A4347" s="4" t="str">
        <f t="shared" si="67"/>
        <v>tRNA-Und-NNN-1-1|17</v>
      </c>
      <c r="B4347" s="4" t="s">
        <v>95</v>
      </c>
      <c r="C4347" s="4" t="s">
        <v>195</v>
      </c>
      <c r="D4347" s="4">
        <v>17</v>
      </c>
      <c r="E4347" s="18" t="s">
        <v>114</v>
      </c>
      <c r="F4347" s="19" t="s">
        <v>130</v>
      </c>
    </row>
    <row r="4348" spans="1:6">
      <c r="A4348" s="4" t="str">
        <f t="shared" si="67"/>
        <v>tRNA-Und-NNN-1-1|17a</v>
      </c>
      <c r="B4348" s="4" t="s">
        <v>95</v>
      </c>
      <c r="C4348" s="4" t="s">
        <v>196</v>
      </c>
      <c r="D4348" s="4">
        <v>18</v>
      </c>
      <c r="E4348" s="18" t="s">
        <v>114</v>
      </c>
      <c r="F4348" s="19" t="s">
        <v>130</v>
      </c>
    </row>
    <row r="4349" spans="1:6">
      <c r="A4349" s="4" t="str">
        <f t="shared" si="67"/>
        <v>tRNA-Und-NNN-1-1|18</v>
      </c>
      <c r="B4349" s="4" t="s">
        <v>95</v>
      </c>
      <c r="C4349" s="4" t="s">
        <v>132</v>
      </c>
      <c r="D4349" s="4">
        <v>19</v>
      </c>
      <c r="E4349" s="18" t="s">
        <v>109</v>
      </c>
      <c r="F4349" s="19" t="s">
        <v>130</v>
      </c>
    </row>
    <row r="4350" spans="1:6">
      <c r="A4350" s="4" t="str">
        <f t="shared" si="67"/>
        <v>tRNA-Und-NNN-1-1|19</v>
      </c>
      <c r="B4350" s="4" t="s">
        <v>95</v>
      </c>
      <c r="C4350" s="4" t="s">
        <v>133</v>
      </c>
      <c r="D4350" s="4">
        <v>20</v>
      </c>
      <c r="E4350" s="18" t="s">
        <v>122</v>
      </c>
      <c r="F4350" s="19" t="s">
        <v>130</v>
      </c>
    </row>
    <row r="4351" spans="1:6">
      <c r="A4351" s="4" t="str">
        <f t="shared" si="67"/>
        <v>tRNA-Und-NNN-1-1|20</v>
      </c>
      <c r="B4351" s="4" t="s">
        <v>95</v>
      </c>
      <c r="C4351" s="4" t="s">
        <v>134</v>
      </c>
      <c r="D4351" s="4">
        <v>21</v>
      </c>
      <c r="E4351" s="18" t="s">
        <v>116</v>
      </c>
      <c r="F4351" s="19" t="s">
        <v>130</v>
      </c>
    </row>
    <row r="4352" spans="1:6">
      <c r="A4352" s="4" t="str">
        <f t="shared" si="67"/>
        <v>tRNA-Und-NNN-1-1|21</v>
      </c>
      <c r="B4352" s="4" t="s">
        <v>95</v>
      </c>
      <c r="C4352" s="4" t="s">
        <v>136</v>
      </c>
      <c r="D4352" s="4">
        <v>22</v>
      </c>
      <c r="E4352" s="18" t="s">
        <v>122</v>
      </c>
      <c r="F4352" s="19" t="s">
        <v>130</v>
      </c>
    </row>
    <row r="4353" spans="1:6">
      <c r="A4353" s="4" t="str">
        <f t="shared" si="67"/>
        <v>tRNA-Und-NNN-1-1|22</v>
      </c>
      <c r="B4353" s="4" t="s">
        <v>95</v>
      </c>
      <c r="C4353" s="4" t="s">
        <v>137</v>
      </c>
      <c r="D4353" s="4">
        <v>23</v>
      </c>
      <c r="E4353" s="8" t="s">
        <v>109</v>
      </c>
      <c r="F4353" s="7" t="s">
        <v>125</v>
      </c>
    </row>
    <row r="4354" spans="1:6">
      <c r="A4354" s="4" t="str">
        <f t="shared" ref="A4354:A4417" si="68">B4354&amp;"|"&amp;C4354</f>
        <v>tRNA-Und-NNN-1-1|23</v>
      </c>
      <c r="B4354" s="4" t="s">
        <v>95</v>
      </c>
      <c r="C4354" s="4" t="s">
        <v>138</v>
      </c>
      <c r="D4354" s="4">
        <v>24</v>
      </c>
      <c r="E4354" s="8" t="s">
        <v>114</v>
      </c>
      <c r="F4354" s="7" t="s">
        <v>125</v>
      </c>
    </row>
    <row r="4355" spans="1:6">
      <c r="A4355" s="4" t="str">
        <f t="shared" si="68"/>
        <v>tRNA-Und-NNN-1-1|24</v>
      </c>
      <c r="B4355" s="4" t="s">
        <v>95</v>
      </c>
      <c r="C4355" s="4" t="s">
        <v>139</v>
      </c>
      <c r="D4355" s="4">
        <v>25</v>
      </c>
      <c r="E4355" s="8" t="s">
        <v>109</v>
      </c>
      <c r="F4355" s="7" t="s">
        <v>125</v>
      </c>
    </row>
    <row r="4356" spans="1:6">
      <c r="A4356" s="4" t="str">
        <f t="shared" si="68"/>
        <v>tRNA-Und-NNN-1-1|25</v>
      </c>
      <c r="B4356" s="4" t="s">
        <v>95</v>
      </c>
      <c r="C4356" s="4" t="s">
        <v>140</v>
      </c>
      <c r="D4356" s="4">
        <v>26</v>
      </c>
      <c r="E4356" s="8" t="s">
        <v>114</v>
      </c>
      <c r="F4356" s="7" t="s">
        <v>125</v>
      </c>
    </row>
    <row r="4357" spans="1:6">
      <c r="A4357" s="4" t="str">
        <f t="shared" si="68"/>
        <v>tRNA-Und-NNN-1-1|26</v>
      </c>
      <c r="B4357" s="4" t="s">
        <v>95</v>
      </c>
      <c r="C4357" s="4" t="s">
        <v>141</v>
      </c>
      <c r="D4357" s="4">
        <v>27</v>
      </c>
      <c r="E4357" s="3" t="s">
        <v>109</v>
      </c>
      <c r="F4357" s="4" t="s">
        <v>142</v>
      </c>
    </row>
    <row r="4358" spans="1:6">
      <c r="A4358" s="4" t="str">
        <f t="shared" si="68"/>
        <v>tRNA-Und-NNN-1-1|27</v>
      </c>
      <c r="B4358" s="4" t="s">
        <v>95</v>
      </c>
      <c r="C4358" s="4" t="s">
        <v>143</v>
      </c>
      <c r="D4358" s="4">
        <v>28</v>
      </c>
      <c r="E4358" s="20" t="s">
        <v>122</v>
      </c>
      <c r="F4358" s="21" t="s">
        <v>144</v>
      </c>
    </row>
    <row r="4359" spans="1:6">
      <c r="A4359" s="4" t="str">
        <f t="shared" si="68"/>
        <v>tRNA-Und-NNN-1-1|28</v>
      </c>
      <c r="B4359" s="4" t="s">
        <v>95</v>
      </c>
      <c r="C4359" s="4" t="s">
        <v>145</v>
      </c>
      <c r="D4359" s="4">
        <v>29</v>
      </c>
      <c r="E4359" s="20" t="s">
        <v>109</v>
      </c>
      <c r="F4359" s="21" t="s">
        <v>144</v>
      </c>
    </row>
    <row r="4360" spans="1:6">
      <c r="A4360" s="4" t="str">
        <f t="shared" si="68"/>
        <v>tRNA-Und-NNN-1-1|29</v>
      </c>
      <c r="B4360" s="4" t="s">
        <v>95</v>
      </c>
      <c r="C4360" s="4" t="s">
        <v>146</v>
      </c>
      <c r="D4360" s="4">
        <v>30</v>
      </c>
      <c r="E4360" s="20" t="s">
        <v>116</v>
      </c>
      <c r="F4360" s="21" t="s">
        <v>144</v>
      </c>
    </row>
    <row r="4361" spans="1:6">
      <c r="A4361" s="4" t="str">
        <f t="shared" si="68"/>
        <v>tRNA-Und-NNN-1-1|30</v>
      </c>
      <c r="B4361" s="4" t="s">
        <v>95</v>
      </c>
      <c r="C4361" s="4" t="s">
        <v>147</v>
      </c>
      <c r="D4361" s="4">
        <v>31</v>
      </c>
      <c r="E4361" s="20" t="s">
        <v>109</v>
      </c>
      <c r="F4361" s="21" t="s">
        <v>144</v>
      </c>
    </row>
    <row r="4362" spans="1:6">
      <c r="A4362" s="4" t="str">
        <f t="shared" si="68"/>
        <v>tRNA-Und-NNN-1-1|31</v>
      </c>
      <c r="B4362" s="4" t="s">
        <v>95</v>
      </c>
      <c r="C4362" s="4" t="s">
        <v>148</v>
      </c>
      <c r="D4362" s="4">
        <v>32</v>
      </c>
      <c r="E4362" s="20" t="s">
        <v>122</v>
      </c>
      <c r="F4362" s="21" t="s">
        <v>144</v>
      </c>
    </row>
    <row r="4363" spans="1:6">
      <c r="A4363" s="4" t="str">
        <f t="shared" si="68"/>
        <v>tRNA-Und-NNN-1-1|32</v>
      </c>
      <c r="B4363" s="4" t="s">
        <v>95</v>
      </c>
      <c r="C4363" s="4" t="s">
        <v>149</v>
      </c>
      <c r="D4363" s="4">
        <v>33</v>
      </c>
      <c r="E4363" s="18" t="s">
        <v>114</v>
      </c>
      <c r="F4363" s="19" t="s">
        <v>150</v>
      </c>
    </row>
    <row r="4364" spans="1:6">
      <c r="A4364" s="4" t="str">
        <f t="shared" si="68"/>
        <v>tRNA-Und-NNN-1-1|33</v>
      </c>
      <c r="B4364" s="4" t="s">
        <v>95</v>
      </c>
      <c r="C4364" s="4" t="s">
        <v>151</v>
      </c>
      <c r="D4364" s="4">
        <v>34</v>
      </c>
      <c r="E4364" s="18" t="s">
        <v>116</v>
      </c>
      <c r="F4364" s="19" t="s">
        <v>150</v>
      </c>
    </row>
    <row r="4365" spans="1:6">
      <c r="A4365" s="4" t="str">
        <f t="shared" si="68"/>
        <v>tRNA-Und-NNN-1-1|34</v>
      </c>
      <c r="B4365" s="4" t="s">
        <v>95</v>
      </c>
      <c r="C4365" s="4" t="s">
        <v>152</v>
      </c>
      <c r="D4365" s="4">
        <v>35</v>
      </c>
      <c r="E4365" s="18" t="s">
        <v>116</v>
      </c>
      <c r="F4365" s="19" t="s">
        <v>150</v>
      </c>
    </row>
    <row r="4366" spans="1:6">
      <c r="A4366" s="4" t="str">
        <f t="shared" si="68"/>
        <v>tRNA-Und-NNN-1-1|35</v>
      </c>
      <c r="B4366" s="4" t="s">
        <v>95</v>
      </c>
      <c r="C4366" s="4" t="s">
        <v>153</v>
      </c>
      <c r="D4366" s="4">
        <v>36</v>
      </c>
      <c r="E4366" s="18" t="s">
        <v>109</v>
      </c>
      <c r="F4366" s="19" t="s">
        <v>150</v>
      </c>
    </row>
    <row r="4367" spans="1:6">
      <c r="A4367" s="4" t="str">
        <f t="shared" si="68"/>
        <v>tRNA-Und-NNN-1-1|36</v>
      </c>
      <c r="B4367" s="4" t="s">
        <v>95</v>
      </c>
      <c r="C4367" s="4" t="s">
        <v>154</v>
      </c>
      <c r="D4367" s="4">
        <v>37</v>
      </c>
      <c r="E4367" s="18" t="s">
        <v>122</v>
      </c>
      <c r="F4367" s="19" t="s">
        <v>150</v>
      </c>
    </row>
    <row r="4368" spans="1:6">
      <c r="A4368" s="4" t="str">
        <f t="shared" si="68"/>
        <v>tRNA-Und-NNN-1-1|38</v>
      </c>
      <c r="B4368" s="4" t="s">
        <v>95</v>
      </c>
      <c r="C4368" s="4" t="s">
        <v>156</v>
      </c>
      <c r="D4368" s="4">
        <v>38</v>
      </c>
      <c r="E4368" s="18" t="s">
        <v>122</v>
      </c>
      <c r="F4368" s="19" t="s">
        <v>150</v>
      </c>
    </row>
    <row r="4369" spans="1:6">
      <c r="A4369" s="4" t="str">
        <f t="shared" si="68"/>
        <v>tRNA-Und-NNN-1-1|39</v>
      </c>
      <c r="B4369" s="4" t="s">
        <v>95</v>
      </c>
      <c r="C4369" s="4" t="s">
        <v>157</v>
      </c>
      <c r="D4369" s="4">
        <v>39</v>
      </c>
      <c r="E4369" s="20" t="s">
        <v>116</v>
      </c>
      <c r="F4369" s="21" t="s">
        <v>144</v>
      </c>
    </row>
    <row r="4370" spans="1:6">
      <c r="A4370" s="4" t="str">
        <f t="shared" si="68"/>
        <v>tRNA-Und-NNN-1-1|40</v>
      </c>
      <c r="B4370" s="4" t="s">
        <v>95</v>
      </c>
      <c r="C4370" s="4" t="s">
        <v>158</v>
      </c>
      <c r="D4370" s="4">
        <v>40</v>
      </c>
      <c r="E4370" s="20" t="s">
        <v>114</v>
      </c>
      <c r="F4370" s="21" t="s">
        <v>144</v>
      </c>
    </row>
    <row r="4371" spans="1:6">
      <c r="A4371" s="4" t="str">
        <f t="shared" si="68"/>
        <v>tRNA-Und-NNN-1-1|41</v>
      </c>
      <c r="B4371" s="4" t="s">
        <v>95</v>
      </c>
      <c r="C4371" s="4" t="s">
        <v>159</v>
      </c>
      <c r="D4371" s="4">
        <v>41</v>
      </c>
      <c r="E4371" s="20" t="s">
        <v>122</v>
      </c>
      <c r="F4371" s="21" t="s">
        <v>144</v>
      </c>
    </row>
    <row r="4372" spans="1:6">
      <c r="A4372" s="4" t="str">
        <f t="shared" si="68"/>
        <v>tRNA-Und-NNN-1-1|42</v>
      </c>
      <c r="B4372" s="4" t="s">
        <v>95</v>
      </c>
      <c r="C4372" s="4" t="s">
        <v>160</v>
      </c>
      <c r="D4372" s="4">
        <v>42</v>
      </c>
      <c r="E4372" s="20" t="s">
        <v>114</v>
      </c>
      <c r="F4372" s="21" t="s">
        <v>144</v>
      </c>
    </row>
    <row r="4373" spans="1:6">
      <c r="A4373" s="4" t="str">
        <f t="shared" si="68"/>
        <v>tRNA-Und-NNN-1-1|43</v>
      </c>
      <c r="B4373" s="4" t="s">
        <v>95</v>
      </c>
      <c r="C4373" s="4" t="s">
        <v>161</v>
      </c>
      <c r="D4373" s="4">
        <v>43</v>
      </c>
      <c r="E4373" s="20" t="s">
        <v>116</v>
      </c>
      <c r="F4373" s="21" t="s">
        <v>144</v>
      </c>
    </row>
    <row r="4374" spans="1:6">
      <c r="A4374" s="4" t="str">
        <f t="shared" si="68"/>
        <v>tRNA-Und-NNN-1-1|44</v>
      </c>
      <c r="B4374" s="4" t="s">
        <v>95</v>
      </c>
      <c r="C4374" s="4" t="s">
        <v>162</v>
      </c>
      <c r="D4374" s="4">
        <v>44</v>
      </c>
      <c r="E4374" s="18" t="s">
        <v>122</v>
      </c>
      <c r="F4374" s="19" t="s">
        <v>163</v>
      </c>
    </row>
    <row r="4375" spans="1:6">
      <c r="A4375" s="4" t="str">
        <f t="shared" si="68"/>
        <v>tRNA-Und-NNN-1-1|45</v>
      </c>
      <c r="B4375" s="4" t="s">
        <v>95</v>
      </c>
      <c r="C4375" s="4" t="s">
        <v>164</v>
      </c>
      <c r="D4375" s="4">
        <v>45</v>
      </c>
      <c r="E4375" s="18" t="s">
        <v>109</v>
      </c>
      <c r="F4375" s="19" t="s">
        <v>163</v>
      </c>
    </row>
    <row r="4376" spans="1:6">
      <c r="A4376" s="4" t="str">
        <f t="shared" si="68"/>
        <v>tRNA-Und-NNN-1-1|46</v>
      </c>
      <c r="B4376" s="4" t="s">
        <v>95</v>
      </c>
      <c r="C4376" s="4" t="s">
        <v>165</v>
      </c>
      <c r="D4376" s="4">
        <v>46</v>
      </c>
      <c r="E4376" s="18" t="s">
        <v>109</v>
      </c>
      <c r="F4376" s="19" t="s">
        <v>163</v>
      </c>
    </row>
    <row r="4377" spans="1:6">
      <c r="A4377" s="4" t="str">
        <f t="shared" si="68"/>
        <v>tRNA-Und-NNN-1-1|47</v>
      </c>
      <c r="B4377" s="4" t="s">
        <v>95</v>
      </c>
      <c r="C4377" s="4" t="s">
        <v>166</v>
      </c>
      <c r="D4377" s="4">
        <v>47</v>
      </c>
      <c r="E4377" s="18" t="s">
        <v>116</v>
      </c>
      <c r="F4377" s="19" t="s">
        <v>163</v>
      </c>
    </row>
    <row r="4378" spans="1:6">
      <c r="A4378" s="4" t="str">
        <f t="shared" si="68"/>
        <v>tRNA-Und-NNN-1-1|48</v>
      </c>
      <c r="B4378" s="4" t="s">
        <v>95</v>
      </c>
      <c r="C4378" s="4" t="s">
        <v>167</v>
      </c>
      <c r="D4378" s="4">
        <v>48</v>
      </c>
      <c r="E4378" s="18" t="s">
        <v>114</v>
      </c>
      <c r="F4378" s="19" t="s">
        <v>163</v>
      </c>
    </row>
    <row r="4379" spans="1:6">
      <c r="A4379" s="4" t="str">
        <f t="shared" si="68"/>
        <v>tRNA-Und-NNN-1-1|49</v>
      </c>
      <c r="B4379" s="4" t="s">
        <v>95</v>
      </c>
      <c r="C4379" s="4" t="s">
        <v>168</v>
      </c>
      <c r="D4379" s="4">
        <v>49</v>
      </c>
      <c r="E4379" s="22" t="s">
        <v>109</v>
      </c>
      <c r="F4379" s="10" t="s">
        <v>169</v>
      </c>
    </row>
    <row r="4380" spans="1:6">
      <c r="A4380" s="4" t="str">
        <f t="shared" si="68"/>
        <v>tRNA-Und-NNN-1-1|50</v>
      </c>
      <c r="B4380" s="4" t="s">
        <v>95</v>
      </c>
      <c r="C4380" s="4" t="s">
        <v>170</v>
      </c>
      <c r="D4380" s="4">
        <v>50</v>
      </c>
      <c r="E4380" s="22" t="s">
        <v>114</v>
      </c>
      <c r="F4380" s="10" t="s">
        <v>169</v>
      </c>
    </row>
    <row r="4381" spans="1:6">
      <c r="A4381" s="4" t="str">
        <f t="shared" si="68"/>
        <v>tRNA-Und-NNN-1-1|51</v>
      </c>
      <c r="B4381" s="4" t="s">
        <v>95</v>
      </c>
      <c r="C4381" s="4" t="s">
        <v>171</v>
      </c>
      <c r="D4381" s="4">
        <v>51</v>
      </c>
      <c r="E4381" s="22" t="s">
        <v>109</v>
      </c>
      <c r="F4381" s="10" t="s">
        <v>169</v>
      </c>
    </row>
    <row r="4382" spans="1:6">
      <c r="A4382" s="4" t="str">
        <f t="shared" si="68"/>
        <v>tRNA-Und-NNN-1-1|52</v>
      </c>
      <c r="B4382" s="4" t="s">
        <v>95</v>
      </c>
      <c r="C4382" s="4" t="s">
        <v>172</v>
      </c>
      <c r="D4382" s="4">
        <v>52</v>
      </c>
      <c r="E4382" s="22" t="s">
        <v>116</v>
      </c>
      <c r="F4382" s="10" t="s">
        <v>169</v>
      </c>
    </row>
    <row r="4383" spans="1:6">
      <c r="A4383" s="4" t="str">
        <f t="shared" si="68"/>
        <v>tRNA-Und-NNN-1-1|53</v>
      </c>
      <c r="B4383" s="4" t="s">
        <v>95</v>
      </c>
      <c r="C4383" s="4" t="s">
        <v>173</v>
      </c>
      <c r="D4383" s="4">
        <v>53</v>
      </c>
      <c r="E4383" s="22" t="s">
        <v>109</v>
      </c>
      <c r="F4383" s="10" t="s">
        <v>169</v>
      </c>
    </row>
    <row r="4384" spans="1:6">
      <c r="A4384" s="4" t="str">
        <f t="shared" si="68"/>
        <v>tRNA-Und-NNN-1-1|54</v>
      </c>
      <c r="B4384" s="4" t="s">
        <v>95</v>
      </c>
      <c r="C4384" s="4" t="s">
        <v>174</v>
      </c>
      <c r="D4384" s="4">
        <v>54</v>
      </c>
      <c r="E4384" s="18" t="s">
        <v>116</v>
      </c>
      <c r="F4384" s="19" t="s">
        <v>175</v>
      </c>
    </row>
    <row r="4385" spans="1:6">
      <c r="A4385" s="4" t="str">
        <f t="shared" si="68"/>
        <v>tRNA-Und-NNN-1-1|55</v>
      </c>
      <c r="B4385" s="4" t="s">
        <v>95</v>
      </c>
      <c r="C4385" s="4" t="s">
        <v>176</v>
      </c>
      <c r="D4385" s="4">
        <v>55</v>
      </c>
      <c r="E4385" s="18" t="s">
        <v>116</v>
      </c>
      <c r="F4385" s="19" t="s">
        <v>175</v>
      </c>
    </row>
    <row r="4386" spans="1:6">
      <c r="A4386" s="4" t="str">
        <f t="shared" si="68"/>
        <v>tRNA-Und-NNN-1-1|56</v>
      </c>
      <c r="B4386" s="4" t="s">
        <v>95</v>
      </c>
      <c r="C4386" s="4" t="s">
        <v>177</v>
      </c>
      <c r="D4386" s="4">
        <v>56</v>
      </c>
      <c r="E4386" s="18" t="s">
        <v>114</v>
      </c>
      <c r="F4386" s="19" t="s">
        <v>175</v>
      </c>
    </row>
    <row r="4387" spans="1:6">
      <c r="A4387" s="4" t="str">
        <f t="shared" si="68"/>
        <v>tRNA-Und-NNN-1-1|57</v>
      </c>
      <c r="B4387" s="4" t="s">
        <v>95</v>
      </c>
      <c r="C4387" s="4" t="s">
        <v>178</v>
      </c>
      <c r="D4387" s="4">
        <v>57</v>
      </c>
      <c r="E4387" s="18" t="s">
        <v>122</v>
      </c>
      <c r="F4387" s="19" t="s">
        <v>175</v>
      </c>
    </row>
    <row r="4388" spans="1:6">
      <c r="A4388" s="4" t="str">
        <f t="shared" si="68"/>
        <v>tRNA-Und-NNN-1-1|58</v>
      </c>
      <c r="B4388" s="4" t="s">
        <v>95</v>
      </c>
      <c r="C4388" s="4" t="s">
        <v>179</v>
      </c>
      <c r="D4388" s="4">
        <v>58</v>
      </c>
      <c r="E4388" s="18" t="s">
        <v>122</v>
      </c>
      <c r="F4388" s="19" t="s">
        <v>175</v>
      </c>
    </row>
    <row r="4389" spans="1:6">
      <c r="A4389" s="4" t="str">
        <f t="shared" si="68"/>
        <v>tRNA-Und-NNN-1-1|59</v>
      </c>
      <c r="B4389" s="4" t="s">
        <v>95</v>
      </c>
      <c r="C4389" s="4" t="s">
        <v>180</v>
      </c>
      <c r="D4389" s="4">
        <v>59</v>
      </c>
      <c r="E4389" s="18" t="s">
        <v>122</v>
      </c>
      <c r="F4389" s="19" t="s">
        <v>175</v>
      </c>
    </row>
    <row r="4390" spans="1:6">
      <c r="A4390" s="4" t="str">
        <f t="shared" si="68"/>
        <v>tRNA-Und-NNN-1-1|60</v>
      </c>
      <c r="B4390" s="4" t="s">
        <v>95</v>
      </c>
      <c r="C4390" s="4" t="s">
        <v>181</v>
      </c>
      <c r="D4390" s="4">
        <v>60</v>
      </c>
      <c r="E4390" s="18" t="s">
        <v>116</v>
      </c>
      <c r="F4390" s="19" t="s">
        <v>175</v>
      </c>
    </row>
    <row r="4391" spans="1:6">
      <c r="A4391" s="4" t="str">
        <f t="shared" si="68"/>
        <v>tRNA-Und-NNN-1-1|61</v>
      </c>
      <c r="B4391" s="4" t="s">
        <v>95</v>
      </c>
      <c r="C4391" s="4" t="s">
        <v>182</v>
      </c>
      <c r="D4391" s="4">
        <v>61</v>
      </c>
      <c r="E4391" s="22" t="s">
        <v>114</v>
      </c>
      <c r="F4391" s="10" t="s">
        <v>169</v>
      </c>
    </row>
    <row r="4392" spans="1:6">
      <c r="A4392" s="4" t="str">
        <f t="shared" si="68"/>
        <v>tRNA-Und-NNN-1-1|62</v>
      </c>
      <c r="B4392" s="4" t="s">
        <v>95</v>
      </c>
      <c r="C4392" s="4" t="s">
        <v>183</v>
      </c>
      <c r="D4392" s="4">
        <v>62</v>
      </c>
      <c r="E4392" s="22" t="s">
        <v>122</v>
      </c>
      <c r="F4392" s="10" t="s">
        <v>169</v>
      </c>
    </row>
    <row r="4393" spans="1:6">
      <c r="A4393" s="4" t="str">
        <f t="shared" si="68"/>
        <v>tRNA-Und-NNN-1-1|63</v>
      </c>
      <c r="B4393" s="4" t="s">
        <v>95</v>
      </c>
      <c r="C4393" s="4" t="s">
        <v>184</v>
      </c>
      <c r="D4393" s="4">
        <v>63</v>
      </c>
      <c r="E4393" s="22" t="s">
        <v>114</v>
      </c>
      <c r="F4393" s="10" t="s">
        <v>169</v>
      </c>
    </row>
    <row r="4394" spans="1:6">
      <c r="A4394" s="4" t="str">
        <f t="shared" si="68"/>
        <v>tRNA-Und-NNN-1-1|64</v>
      </c>
      <c r="B4394" s="4" t="s">
        <v>95</v>
      </c>
      <c r="C4394" s="4" t="s">
        <v>185</v>
      </c>
      <c r="D4394" s="4">
        <v>64</v>
      </c>
      <c r="E4394" s="22" t="s">
        <v>116</v>
      </c>
      <c r="F4394" s="10" t="s">
        <v>169</v>
      </c>
    </row>
    <row r="4395" spans="1:6">
      <c r="A4395" s="4" t="str">
        <f t="shared" si="68"/>
        <v>tRNA-Und-NNN-1-1|65</v>
      </c>
      <c r="B4395" s="4" t="s">
        <v>95</v>
      </c>
      <c r="C4395" s="4" t="s">
        <v>186</v>
      </c>
      <c r="D4395" s="4">
        <v>65</v>
      </c>
      <c r="E4395" s="22" t="s">
        <v>114</v>
      </c>
      <c r="F4395" s="10" t="s">
        <v>169</v>
      </c>
    </row>
    <row r="4396" spans="1:6">
      <c r="A4396" s="4" t="str">
        <f t="shared" si="68"/>
        <v>tRNA-Und-NNN-1-1|66</v>
      </c>
      <c r="B4396" s="4" t="s">
        <v>95</v>
      </c>
      <c r="C4396" s="4" t="s">
        <v>187</v>
      </c>
      <c r="D4396" s="4">
        <v>66</v>
      </c>
      <c r="E4396" s="16" t="s">
        <v>122</v>
      </c>
      <c r="F4396" s="17" t="s">
        <v>110</v>
      </c>
    </row>
    <row r="4397" spans="1:6">
      <c r="A4397" s="4" t="str">
        <f t="shared" si="68"/>
        <v>tRNA-Und-NNN-1-1|67</v>
      </c>
      <c r="B4397" s="4" t="s">
        <v>95</v>
      </c>
      <c r="C4397" s="4" t="s">
        <v>188</v>
      </c>
      <c r="D4397" s="4">
        <v>67</v>
      </c>
      <c r="E4397" s="16" t="s">
        <v>114</v>
      </c>
      <c r="F4397" s="17" t="s">
        <v>110</v>
      </c>
    </row>
    <row r="4398" spans="1:6">
      <c r="A4398" s="4" t="str">
        <f t="shared" si="68"/>
        <v>tRNA-Und-NNN-1-1|68</v>
      </c>
      <c r="B4398" s="4" t="s">
        <v>95</v>
      </c>
      <c r="C4398" s="4" t="s">
        <v>189</v>
      </c>
      <c r="D4398" s="4">
        <v>68</v>
      </c>
      <c r="E4398" s="16" t="s">
        <v>109</v>
      </c>
      <c r="F4398" s="17" t="s">
        <v>110</v>
      </c>
    </row>
    <row r="4399" spans="1:6">
      <c r="A4399" s="4" t="str">
        <f t="shared" si="68"/>
        <v>tRNA-Und-NNN-1-1|69</v>
      </c>
      <c r="B4399" s="4" t="s">
        <v>95</v>
      </c>
      <c r="C4399" s="4" t="s">
        <v>190</v>
      </c>
      <c r="D4399" s="4">
        <v>69</v>
      </c>
      <c r="E4399" s="16" t="s">
        <v>122</v>
      </c>
      <c r="F4399" s="17" t="s">
        <v>110</v>
      </c>
    </row>
    <row r="4400" spans="1:6">
      <c r="A4400" s="4" t="str">
        <f t="shared" si="68"/>
        <v>tRNA-Und-NNN-1-1|70</v>
      </c>
      <c r="B4400" s="4" t="s">
        <v>95</v>
      </c>
      <c r="C4400" s="4" t="s">
        <v>191</v>
      </c>
      <c r="D4400" s="4">
        <v>70</v>
      </c>
      <c r="E4400" s="16" t="s">
        <v>109</v>
      </c>
      <c r="F4400" s="17" t="s">
        <v>110</v>
      </c>
    </row>
    <row r="4401" spans="1:6">
      <c r="A4401" s="4" t="str">
        <f t="shared" si="68"/>
        <v>tRNA-Und-NNN-1-1|71</v>
      </c>
      <c r="B4401" s="4" t="s">
        <v>95</v>
      </c>
      <c r="C4401" s="4" t="s">
        <v>192</v>
      </c>
      <c r="D4401" s="4">
        <v>71</v>
      </c>
      <c r="E4401" s="16" t="s">
        <v>109</v>
      </c>
      <c r="F4401" s="17" t="s">
        <v>110</v>
      </c>
    </row>
    <row r="4402" spans="1:6">
      <c r="A4402" s="4" t="str">
        <f t="shared" si="68"/>
        <v>tRNA-Und-NNN-1-1|72</v>
      </c>
      <c r="B4402" s="4" t="s">
        <v>95</v>
      </c>
      <c r="C4402" s="4" t="s">
        <v>193</v>
      </c>
      <c r="D4402" s="4">
        <v>72</v>
      </c>
      <c r="E4402" s="16" t="s">
        <v>114</v>
      </c>
      <c r="F4402" s="17" t="s">
        <v>110</v>
      </c>
    </row>
    <row r="4403" spans="1:6">
      <c r="A4403" s="4" t="str">
        <f t="shared" si="68"/>
        <v>tRNA-Val-CAC-1-1|1</v>
      </c>
      <c r="B4403" s="4" t="s">
        <v>96</v>
      </c>
      <c r="C4403" s="4" t="s">
        <v>108</v>
      </c>
      <c r="D4403" s="4">
        <v>1</v>
      </c>
      <c r="E4403" s="16" t="s">
        <v>109</v>
      </c>
      <c r="F4403" s="17" t="s">
        <v>110</v>
      </c>
    </row>
    <row r="4404" spans="1:6">
      <c r="A4404" s="4" t="str">
        <f t="shared" si="68"/>
        <v>tRNA-Val-CAC-1-1|2</v>
      </c>
      <c r="B4404" s="4" t="s">
        <v>96</v>
      </c>
      <c r="C4404" s="4" t="s">
        <v>111</v>
      </c>
      <c r="D4404" s="4">
        <v>2</v>
      </c>
      <c r="E4404" s="16" t="s">
        <v>109</v>
      </c>
      <c r="F4404" s="17" t="s">
        <v>110</v>
      </c>
    </row>
    <row r="4405" spans="1:6">
      <c r="A4405" s="4" t="str">
        <f t="shared" si="68"/>
        <v>tRNA-Val-CAC-1-1|3</v>
      </c>
      <c r="B4405" s="4" t="s">
        <v>96</v>
      </c>
      <c r="C4405" s="4" t="s">
        <v>112</v>
      </c>
      <c r="D4405" s="4">
        <v>3</v>
      </c>
      <c r="E4405" s="16" t="s">
        <v>109</v>
      </c>
      <c r="F4405" s="17" t="s">
        <v>110</v>
      </c>
    </row>
    <row r="4406" spans="1:6">
      <c r="A4406" s="4" t="str">
        <f t="shared" si="68"/>
        <v>tRNA-Val-CAC-1-1|4</v>
      </c>
      <c r="B4406" s="4" t="s">
        <v>96</v>
      </c>
      <c r="C4406" s="4" t="s">
        <v>113</v>
      </c>
      <c r="D4406" s="4">
        <v>4</v>
      </c>
      <c r="E4406" s="16" t="s">
        <v>114</v>
      </c>
      <c r="F4406" s="17" t="s">
        <v>110</v>
      </c>
    </row>
    <row r="4407" spans="1:6">
      <c r="A4407" s="4" t="str">
        <f t="shared" si="68"/>
        <v>tRNA-Val-CAC-1-1|5</v>
      </c>
      <c r="B4407" s="4" t="s">
        <v>96</v>
      </c>
      <c r="C4407" s="4" t="s">
        <v>115</v>
      </c>
      <c r="D4407" s="4">
        <v>5</v>
      </c>
      <c r="E4407" s="16" t="s">
        <v>116</v>
      </c>
      <c r="F4407" s="17" t="s">
        <v>110</v>
      </c>
    </row>
    <row r="4408" spans="1:6">
      <c r="A4408" s="4" t="str">
        <f t="shared" si="68"/>
        <v>tRNA-Val-CAC-1-1|6</v>
      </c>
      <c r="B4408" s="4" t="s">
        <v>96</v>
      </c>
      <c r="C4408" s="4" t="s">
        <v>117</v>
      </c>
      <c r="D4408" s="4">
        <v>6</v>
      </c>
      <c r="E4408" s="16" t="s">
        <v>114</v>
      </c>
      <c r="F4408" s="17" t="s">
        <v>110</v>
      </c>
    </row>
    <row r="4409" spans="1:6">
      <c r="A4409" s="4" t="str">
        <f t="shared" si="68"/>
        <v>tRNA-Val-CAC-1-1|7</v>
      </c>
      <c r="B4409" s="4" t="s">
        <v>96</v>
      </c>
      <c r="C4409" s="4" t="s">
        <v>118</v>
      </c>
      <c r="D4409" s="4">
        <v>7</v>
      </c>
      <c r="E4409" s="16" t="s">
        <v>109</v>
      </c>
      <c r="F4409" s="17" t="s">
        <v>110</v>
      </c>
    </row>
    <row r="4410" spans="1:6">
      <c r="A4410" s="4" t="str">
        <f t="shared" si="68"/>
        <v>tRNA-Val-CAC-1-1|8</v>
      </c>
      <c r="B4410" s="4" t="s">
        <v>96</v>
      </c>
      <c r="C4410" s="4" t="s">
        <v>119</v>
      </c>
      <c r="D4410" s="4">
        <v>8</v>
      </c>
      <c r="E4410" s="3" t="s">
        <v>116</v>
      </c>
      <c r="F4410" s="4" t="s">
        <v>120</v>
      </c>
    </row>
    <row r="4411" spans="1:6">
      <c r="A4411" s="4" t="str">
        <f t="shared" si="68"/>
        <v>tRNA-Val-CAC-1-1|9</v>
      </c>
      <c r="B4411" s="4" t="s">
        <v>96</v>
      </c>
      <c r="C4411" s="4" t="s">
        <v>121</v>
      </c>
      <c r="D4411" s="4">
        <v>9</v>
      </c>
      <c r="E4411" s="3" t="s">
        <v>109</v>
      </c>
      <c r="F4411" s="4" t="s">
        <v>123</v>
      </c>
    </row>
    <row r="4412" spans="1:6">
      <c r="A4412" s="4" t="str">
        <f t="shared" si="68"/>
        <v>tRNA-Val-CAC-1-1|10</v>
      </c>
      <c r="B4412" s="4" t="s">
        <v>96</v>
      </c>
      <c r="C4412" s="4" t="s">
        <v>124</v>
      </c>
      <c r="D4412" s="4">
        <v>10</v>
      </c>
      <c r="E4412" s="8" t="s">
        <v>109</v>
      </c>
      <c r="F4412" s="7" t="s">
        <v>125</v>
      </c>
    </row>
    <row r="4413" spans="1:6">
      <c r="A4413" s="4" t="str">
        <f t="shared" si="68"/>
        <v>tRNA-Val-CAC-1-1|11</v>
      </c>
      <c r="B4413" s="4" t="s">
        <v>96</v>
      </c>
      <c r="C4413" s="4" t="s">
        <v>126</v>
      </c>
      <c r="D4413" s="4">
        <v>11</v>
      </c>
      <c r="E4413" s="8" t="s">
        <v>116</v>
      </c>
      <c r="F4413" s="7" t="s">
        <v>125</v>
      </c>
    </row>
    <row r="4414" spans="1:6">
      <c r="A4414" s="4" t="str">
        <f t="shared" si="68"/>
        <v>tRNA-Val-CAC-1-1|12</v>
      </c>
      <c r="B4414" s="4" t="s">
        <v>96</v>
      </c>
      <c r="C4414" s="4" t="s">
        <v>127</v>
      </c>
      <c r="D4414" s="4">
        <v>12</v>
      </c>
      <c r="E4414" s="8" t="s">
        <v>114</v>
      </c>
      <c r="F4414" s="7" t="s">
        <v>125</v>
      </c>
    </row>
    <row r="4415" spans="1:6">
      <c r="A4415" s="4" t="str">
        <f t="shared" si="68"/>
        <v>tRNA-Val-CAC-1-1|13</v>
      </c>
      <c r="B4415" s="4" t="s">
        <v>96</v>
      </c>
      <c r="C4415" s="4" t="s">
        <v>128</v>
      </c>
      <c r="D4415" s="4">
        <v>13</v>
      </c>
      <c r="E4415" s="8" t="s">
        <v>116</v>
      </c>
      <c r="F4415" s="7" t="s">
        <v>125</v>
      </c>
    </row>
    <row r="4416" spans="1:6">
      <c r="A4416" s="4" t="str">
        <f t="shared" si="68"/>
        <v>tRNA-Val-CAC-1-1|14</v>
      </c>
      <c r="B4416" s="4" t="s">
        <v>96</v>
      </c>
      <c r="C4416" s="4" t="s">
        <v>129</v>
      </c>
      <c r="D4416" s="4">
        <v>14</v>
      </c>
      <c r="E4416" s="18" t="s">
        <v>122</v>
      </c>
      <c r="F4416" s="19" t="s">
        <v>130</v>
      </c>
    </row>
    <row r="4417" spans="1:6">
      <c r="A4417" s="4" t="str">
        <f t="shared" si="68"/>
        <v>tRNA-Val-CAC-1-1|15</v>
      </c>
      <c r="B4417" s="4" t="s">
        <v>96</v>
      </c>
      <c r="C4417" s="4" t="s">
        <v>131</v>
      </c>
      <c r="D4417" s="4">
        <v>15</v>
      </c>
      <c r="E4417" s="18" t="s">
        <v>109</v>
      </c>
      <c r="F4417" s="19" t="s">
        <v>130</v>
      </c>
    </row>
    <row r="4418" spans="1:6">
      <c r="A4418" s="4" t="str">
        <f t="shared" ref="A4418:A4481" si="69">B4418&amp;"|"&amp;C4418</f>
        <v>tRNA-Val-CAC-1-1|16</v>
      </c>
      <c r="B4418" s="4" t="s">
        <v>96</v>
      </c>
      <c r="C4418" s="4" t="s">
        <v>194</v>
      </c>
      <c r="D4418" s="4">
        <v>16</v>
      </c>
      <c r="E4418" s="18" t="s">
        <v>122</v>
      </c>
      <c r="F4418" s="19" t="s">
        <v>130</v>
      </c>
    </row>
    <row r="4419" spans="1:6">
      <c r="A4419" s="4" t="str">
        <f t="shared" si="69"/>
        <v>tRNA-Val-CAC-1-1|17</v>
      </c>
      <c r="B4419" s="4" t="s">
        <v>96</v>
      </c>
      <c r="C4419" s="4" t="s">
        <v>195</v>
      </c>
      <c r="D4419" s="4">
        <v>17</v>
      </c>
      <c r="E4419" s="18" t="s">
        <v>114</v>
      </c>
      <c r="F4419" s="19" t="s">
        <v>130</v>
      </c>
    </row>
    <row r="4420" spans="1:6">
      <c r="A4420" s="4" t="str">
        <f t="shared" si="69"/>
        <v>tRNA-Val-CAC-1-1|18</v>
      </c>
      <c r="B4420" s="4" t="s">
        <v>96</v>
      </c>
      <c r="C4420" s="4" t="s">
        <v>132</v>
      </c>
      <c r="D4420" s="4">
        <v>18</v>
      </c>
      <c r="E4420" s="18" t="s">
        <v>109</v>
      </c>
      <c r="F4420" s="19" t="s">
        <v>130</v>
      </c>
    </row>
    <row r="4421" spans="1:6">
      <c r="A4421" s="4" t="str">
        <f t="shared" si="69"/>
        <v>tRNA-Val-CAC-1-1|19</v>
      </c>
      <c r="B4421" s="4" t="s">
        <v>96</v>
      </c>
      <c r="C4421" s="4" t="s">
        <v>133</v>
      </c>
      <c r="D4421" s="4">
        <v>19</v>
      </c>
      <c r="E4421" s="18" t="s">
        <v>109</v>
      </c>
      <c r="F4421" s="19" t="s">
        <v>130</v>
      </c>
    </row>
    <row r="4422" spans="1:6">
      <c r="A4422" s="4" t="str">
        <f t="shared" si="69"/>
        <v>tRNA-Val-CAC-1-1|20</v>
      </c>
      <c r="B4422" s="4" t="s">
        <v>96</v>
      </c>
      <c r="C4422" s="4" t="s">
        <v>134</v>
      </c>
      <c r="D4422" s="4">
        <v>20</v>
      </c>
      <c r="E4422" s="18" t="s">
        <v>116</v>
      </c>
      <c r="F4422" s="19" t="s">
        <v>130</v>
      </c>
    </row>
    <row r="4423" spans="1:6">
      <c r="A4423" s="4" t="str">
        <f t="shared" si="69"/>
        <v>tRNA-Val-CAC-1-1|20a</v>
      </c>
      <c r="B4423" s="4" t="s">
        <v>96</v>
      </c>
      <c r="C4423" s="4" t="s">
        <v>135</v>
      </c>
      <c r="D4423" s="4">
        <v>21</v>
      </c>
      <c r="E4423" s="18" t="s">
        <v>116</v>
      </c>
      <c r="F4423" s="19" t="s">
        <v>130</v>
      </c>
    </row>
    <row r="4424" spans="1:6">
      <c r="A4424" s="4" t="str">
        <f t="shared" si="69"/>
        <v>tRNA-Val-CAC-1-1|21</v>
      </c>
      <c r="B4424" s="4" t="s">
        <v>96</v>
      </c>
      <c r="C4424" s="4" t="s">
        <v>136</v>
      </c>
      <c r="D4424" s="4">
        <v>22</v>
      </c>
      <c r="E4424" s="18" t="s">
        <v>122</v>
      </c>
      <c r="F4424" s="19" t="s">
        <v>130</v>
      </c>
    </row>
    <row r="4425" spans="1:6">
      <c r="A4425" s="4" t="str">
        <f t="shared" si="69"/>
        <v>tRNA-Val-CAC-1-1|22</v>
      </c>
      <c r="B4425" s="4" t="s">
        <v>96</v>
      </c>
      <c r="C4425" s="4" t="s">
        <v>137</v>
      </c>
      <c r="D4425" s="4">
        <v>23</v>
      </c>
      <c r="E4425" s="8" t="s">
        <v>116</v>
      </c>
      <c r="F4425" s="7" t="s">
        <v>125</v>
      </c>
    </row>
    <row r="4426" spans="1:6">
      <c r="A4426" s="4" t="str">
        <f t="shared" si="69"/>
        <v>tRNA-Val-CAC-1-1|23</v>
      </c>
      <c r="B4426" s="4" t="s">
        <v>96</v>
      </c>
      <c r="C4426" s="4" t="s">
        <v>138</v>
      </c>
      <c r="D4426" s="4">
        <v>24</v>
      </c>
      <c r="E4426" s="8" t="s">
        <v>109</v>
      </c>
      <c r="F4426" s="7" t="s">
        <v>125</v>
      </c>
    </row>
    <row r="4427" spans="1:6">
      <c r="A4427" s="4" t="str">
        <f t="shared" si="69"/>
        <v>tRNA-Val-CAC-1-1|24</v>
      </c>
      <c r="B4427" s="4" t="s">
        <v>96</v>
      </c>
      <c r="C4427" s="4" t="s">
        <v>139</v>
      </c>
      <c r="D4427" s="4">
        <v>25</v>
      </c>
      <c r="E4427" s="8" t="s">
        <v>122</v>
      </c>
      <c r="F4427" s="7" t="s">
        <v>125</v>
      </c>
    </row>
    <row r="4428" spans="1:6">
      <c r="A4428" s="4" t="str">
        <f t="shared" si="69"/>
        <v>tRNA-Val-CAC-1-1|25</v>
      </c>
      <c r="B4428" s="4" t="s">
        <v>96</v>
      </c>
      <c r="C4428" s="4" t="s">
        <v>140</v>
      </c>
      <c r="D4428" s="4">
        <v>26</v>
      </c>
      <c r="E4428" s="8" t="s">
        <v>114</v>
      </c>
      <c r="F4428" s="7" t="s">
        <v>125</v>
      </c>
    </row>
    <row r="4429" spans="1:6">
      <c r="A4429" s="4" t="str">
        <f t="shared" si="69"/>
        <v>tRNA-Val-CAC-1-1|26</v>
      </c>
      <c r="B4429" s="4" t="s">
        <v>96</v>
      </c>
      <c r="C4429" s="4" t="s">
        <v>141</v>
      </c>
      <c r="D4429" s="4">
        <v>27</v>
      </c>
      <c r="E4429" s="3" t="s">
        <v>109</v>
      </c>
      <c r="F4429" s="4" t="s">
        <v>142</v>
      </c>
    </row>
    <row r="4430" spans="1:6">
      <c r="A4430" s="4" t="str">
        <f t="shared" si="69"/>
        <v>tRNA-Val-CAC-1-1|27</v>
      </c>
      <c r="B4430" s="4" t="s">
        <v>96</v>
      </c>
      <c r="C4430" s="4" t="s">
        <v>143</v>
      </c>
      <c r="D4430" s="4">
        <v>28</v>
      </c>
      <c r="E4430" s="20" t="s">
        <v>116</v>
      </c>
      <c r="F4430" s="21" t="s">
        <v>144</v>
      </c>
    </row>
    <row r="4431" spans="1:6">
      <c r="A4431" s="4" t="str">
        <f t="shared" si="69"/>
        <v>tRNA-Val-CAC-1-1|28</v>
      </c>
      <c r="B4431" s="4" t="s">
        <v>96</v>
      </c>
      <c r="C4431" s="4" t="s">
        <v>145</v>
      </c>
      <c r="D4431" s="4">
        <v>29</v>
      </c>
      <c r="E4431" s="20" t="s">
        <v>114</v>
      </c>
      <c r="F4431" s="21" t="s">
        <v>144</v>
      </c>
    </row>
    <row r="4432" spans="1:6">
      <c r="A4432" s="4" t="str">
        <f t="shared" si="69"/>
        <v>tRNA-Val-CAC-1-1|29</v>
      </c>
      <c r="B4432" s="4" t="s">
        <v>96</v>
      </c>
      <c r="C4432" s="4" t="s">
        <v>146</v>
      </c>
      <c r="D4432" s="4">
        <v>30</v>
      </c>
      <c r="E4432" s="20" t="s">
        <v>109</v>
      </c>
      <c r="F4432" s="21" t="s">
        <v>144</v>
      </c>
    </row>
    <row r="4433" spans="1:6">
      <c r="A4433" s="4" t="str">
        <f t="shared" si="69"/>
        <v>tRNA-Val-CAC-1-1|30</v>
      </c>
      <c r="B4433" s="4" t="s">
        <v>96</v>
      </c>
      <c r="C4433" s="4" t="s">
        <v>147</v>
      </c>
      <c r="D4433" s="4">
        <v>31</v>
      </c>
      <c r="E4433" s="20" t="s">
        <v>114</v>
      </c>
      <c r="F4433" s="21" t="s">
        <v>144</v>
      </c>
    </row>
    <row r="4434" spans="1:6">
      <c r="A4434" s="4" t="str">
        <f t="shared" si="69"/>
        <v>tRNA-Val-CAC-1-1|31</v>
      </c>
      <c r="B4434" s="4" t="s">
        <v>96</v>
      </c>
      <c r="C4434" s="4" t="s">
        <v>148</v>
      </c>
      <c r="D4434" s="4">
        <v>32</v>
      </c>
      <c r="E4434" s="20" t="s">
        <v>114</v>
      </c>
      <c r="F4434" s="21" t="s">
        <v>144</v>
      </c>
    </row>
    <row r="4435" spans="1:6">
      <c r="A4435" s="4" t="str">
        <f t="shared" si="69"/>
        <v>tRNA-Val-CAC-1-1|32</v>
      </c>
      <c r="B4435" s="4" t="s">
        <v>96</v>
      </c>
      <c r="C4435" s="4" t="s">
        <v>149</v>
      </c>
      <c r="D4435" s="4">
        <v>33</v>
      </c>
      <c r="E4435" s="18" t="s">
        <v>116</v>
      </c>
      <c r="F4435" s="19" t="s">
        <v>150</v>
      </c>
    </row>
    <row r="4436" spans="1:6">
      <c r="A4436" s="4" t="str">
        <f t="shared" si="69"/>
        <v>tRNA-Val-CAC-1-1|33</v>
      </c>
      <c r="B4436" s="4" t="s">
        <v>96</v>
      </c>
      <c r="C4436" s="4" t="s">
        <v>151</v>
      </c>
      <c r="D4436" s="4">
        <v>34</v>
      </c>
      <c r="E4436" s="18" t="s">
        <v>116</v>
      </c>
      <c r="F4436" s="19" t="s">
        <v>150</v>
      </c>
    </row>
    <row r="4437" spans="1:6">
      <c r="A4437" s="4" t="str">
        <f t="shared" si="69"/>
        <v>tRNA-Val-CAC-1-1|34</v>
      </c>
      <c r="B4437" s="4" t="s">
        <v>96</v>
      </c>
      <c r="C4437" s="4" t="s">
        <v>152</v>
      </c>
      <c r="D4437" s="4">
        <v>35</v>
      </c>
      <c r="E4437" s="18" t="s">
        <v>114</v>
      </c>
      <c r="F4437" s="19" t="s">
        <v>150</v>
      </c>
    </row>
    <row r="4438" spans="1:6">
      <c r="A4438" s="4" t="str">
        <f t="shared" si="69"/>
        <v>tRNA-Val-CAC-1-1|35</v>
      </c>
      <c r="B4438" s="4" t="s">
        <v>96</v>
      </c>
      <c r="C4438" s="4" t="s">
        <v>153</v>
      </c>
      <c r="D4438" s="4">
        <v>36</v>
      </c>
      <c r="E4438" s="18" t="s">
        <v>122</v>
      </c>
      <c r="F4438" s="19" t="s">
        <v>150</v>
      </c>
    </row>
    <row r="4439" spans="1:6">
      <c r="A4439" s="4" t="str">
        <f t="shared" si="69"/>
        <v>tRNA-Val-CAC-1-1|36</v>
      </c>
      <c r="B4439" s="4" t="s">
        <v>96</v>
      </c>
      <c r="C4439" s="4" t="s">
        <v>154</v>
      </c>
      <c r="D4439" s="4">
        <v>37</v>
      </c>
      <c r="E4439" s="18" t="s">
        <v>114</v>
      </c>
      <c r="F4439" s="19" t="s">
        <v>150</v>
      </c>
    </row>
    <row r="4440" spans="1:6">
      <c r="A4440" s="4" t="str">
        <f t="shared" si="69"/>
        <v>tRNA-Val-CAC-1-1|37</v>
      </c>
      <c r="B4440" s="4" t="s">
        <v>96</v>
      </c>
      <c r="C4440" s="4" t="s">
        <v>155</v>
      </c>
      <c r="D4440" s="4">
        <v>38</v>
      </c>
      <c r="E4440" s="18" t="s">
        <v>122</v>
      </c>
      <c r="F4440" s="19" t="s">
        <v>150</v>
      </c>
    </row>
    <row r="4441" spans="1:6">
      <c r="A4441" s="4" t="str">
        <f t="shared" si="69"/>
        <v>tRNA-Val-CAC-1-1|38</v>
      </c>
      <c r="B4441" s="4" t="s">
        <v>96</v>
      </c>
      <c r="C4441" s="4" t="s">
        <v>156</v>
      </c>
      <c r="D4441" s="4">
        <v>39</v>
      </c>
      <c r="E4441" s="18" t="s">
        <v>114</v>
      </c>
      <c r="F4441" s="19" t="s">
        <v>150</v>
      </c>
    </row>
    <row r="4442" spans="1:6">
      <c r="A4442" s="4" t="str">
        <f t="shared" si="69"/>
        <v>tRNA-Val-CAC-1-1|39</v>
      </c>
      <c r="B4442" s="4" t="s">
        <v>96</v>
      </c>
      <c r="C4442" s="4" t="s">
        <v>157</v>
      </c>
      <c r="D4442" s="4">
        <v>40</v>
      </c>
      <c r="E4442" s="20" t="s">
        <v>109</v>
      </c>
      <c r="F4442" s="21" t="s">
        <v>144</v>
      </c>
    </row>
    <row r="4443" spans="1:6">
      <c r="A4443" s="4" t="str">
        <f t="shared" si="69"/>
        <v>tRNA-Val-CAC-1-1|40</v>
      </c>
      <c r="B4443" s="4" t="s">
        <v>96</v>
      </c>
      <c r="C4443" s="4" t="s">
        <v>158</v>
      </c>
      <c r="D4443" s="4">
        <v>41</v>
      </c>
      <c r="E4443" s="20" t="s">
        <v>109</v>
      </c>
      <c r="F4443" s="21" t="s">
        <v>144</v>
      </c>
    </row>
    <row r="4444" spans="1:6">
      <c r="A4444" s="4" t="str">
        <f t="shared" si="69"/>
        <v>tRNA-Val-CAC-1-1|41</v>
      </c>
      <c r="B4444" s="4" t="s">
        <v>96</v>
      </c>
      <c r="C4444" s="4" t="s">
        <v>159</v>
      </c>
      <c r="D4444" s="4">
        <v>42</v>
      </c>
      <c r="E4444" s="20" t="s">
        <v>114</v>
      </c>
      <c r="F4444" s="21" t="s">
        <v>144</v>
      </c>
    </row>
    <row r="4445" spans="1:6">
      <c r="A4445" s="4" t="str">
        <f t="shared" si="69"/>
        <v>tRNA-Val-CAC-1-1|42</v>
      </c>
      <c r="B4445" s="4" t="s">
        <v>96</v>
      </c>
      <c r="C4445" s="4" t="s">
        <v>160</v>
      </c>
      <c r="D4445" s="4">
        <v>43</v>
      </c>
      <c r="E4445" s="20" t="s">
        <v>109</v>
      </c>
      <c r="F4445" s="21" t="s">
        <v>144</v>
      </c>
    </row>
    <row r="4446" spans="1:6">
      <c r="A4446" s="4" t="str">
        <f t="shared" si="69"/>
        <v>tRNA-Val-CAC-1-1|43</v>
      </c>
      <c r="B4446" s="4" t="s">
        <v>96</v>
      </c>
      <c r="C4446" s="4" t="s">
        <v>161</v>
      </c>
      <c r="D4446" s="4">
        <v>44</v>
      </c>
      <c r="E4446" s="20" t="s">
        <v>109</v>
      </c>
      <c r="F4446" s="21" t="s">
        <v>144</v>
      </c>
    </row>
    <row r="4447" spans="1:6">
      <c r="A4447" s="4" t="str">
        <f t="shared" si="69"/>
        <v>tRNA-Val-CAC-1-1|44</v>
      </c>
      <c r="B4447" s="4" t="s">
        <v>96</v>
      </c>
      <c r="C4447" s="4" t="s">
        <v>162</v>
      </c>
      <c r="D4447" s="4">
        <v>45</v>
      </c>
      <c r="E4447" s="18" t="s">
        <v>122</v>
      </c>
      <c r="F4447" s="19" t="s">
        <v>163</v>
      </c>
    </row>
    <row r="4448" spans="1:6">
      <c r="A4448" s="4" t="str">
        <f t="shared" si="69"/>
        <v>tRNA-Val-CAC-1-1|45</v>
      </c>
      <c r="B4448" s="4" t="s">
        <v>96</v>
      </c>
      <c r="C4448" s="4" t="s">
        <v>164</v>
      </c>
      <c r="D4448" s="4">
        <v>46</v>
      </c>
      <c r="E4448" s="18" t="s">
        <v>109</v>
      </c>
      <c r="F4448" s="19" t="s">
        <v>163</v>
      </c>
    </row>
    <row r="4449" spans="1:6">
      <c r="A4449" s="4" t="str">
        <f t="shared" si="69"/>
        <v>tRNA-Val-CAC-1-1|46</v>
      </c>
      <c r="B4449" s="4" t="s">
        <v>96</v>
      </c>
      <c r="C4449" s="4" t="s">
        <v>165</v>
      </c>
      <c r="D4449" s="4">
        <v>47</v>
      </c>
      <c r="E4449" s="18" t="s">
        <v>109</v>
      </c>
      <c r="F4449" s="19" t="s">
        <v>163</v>
      </c>
    </row>
    <row r="4450" spans="1:6">
      <c r="A4450" s="4" t="str">
        <f t="shared" si="69"/>
        <v>tRNA-Val-CAC-1-1|47</v>
      </c>
      <c r="B4450" s="4" t="s">
        <v>96</v>
      </c>
      <c r="C4450" s="4" t="s">
        <v>166</v>
      </c>
      <c r="D4450" s="4">
        <v>48</v>
      </c>
      <c r="E4450" s="18" t="s">
        <v>116</v>
      </c>
      <c r="F4450" s="19" t="s">
        <v>163</v>
      </c>
    </row>
    <row r="4451" spans="1:6">
      <c r="A4451" s="4" t="str">
        <f t="shared" si="69"/>
        <v>tRNA-Val-CAC-1-1|48</v>
      </c>
      <c r="B4451" s="4" t="s">
        <v>96</v>
      </c>
      <c r="C4451" s="4" t="s">
        <v>167</v>
      </c>
      <c r="D4451" s="4">
        <v>49</v>
      </c>
      <c r="E4451" s="18" t="s">
        <v>114</v>
      </c>
      <c r="F4451" s="19" t="s">
        <v>163</v>
      </c>
    </row>
    <row r="4452" spans="1:6">
      <c r="A4452" s="4" t="str">
        <f t="shared" si="69"/>
        <v>tRNA-Val-CAC-1-1|49</v>
      </c>
      <c r="B4452" s="4" t="s">
        <v>96</v>
      </c>
      <c r="C4452" s="4" t="s">
        <v>168</v>
      </c>
      <c r="D4452" s="4">
        <v>50</v>
      </c>
      <c r="E4452" s="22" t="s">
        <v>114</v>
      </c>
      <c r="F4452" s="10" t="s">
        <v>169</v>
      </c>
    </row>
    <row r="4453" spans="1:6">
      <c r="A4453" s="4" t="str">
        <f t="shared" si="69"/>
        <v>tRNA-Val-CAC-1-1|50</v>
      </c>
      <c r="B4453" s="4" t="s">
        <v>96</v>
      </c>
      <c r="C4453" s="4" t="s">
        <v>170</v>
      </c>
      <c r="D4453" s="4">
        <v>51</v>
      </c>
      <c r="E4453" s="22" t="s">
        <v>116</v>
      </c>
      <c r="F4453" s="10" t="s">
        <v>169</v>
      </c>
    </row>
    <row r="4454" spans="1:6">
      <c r="A4454" s="4" t="str">
        <f t="shared" si="69"/>
        <v>tRNA-Val-CAC-1-1|51</v>
      </c>
      <c r="B4454" s="4" t="s">
        <v>96</v>
      </c>
      <c r="C4454" s="4" t="s">
        <v>171</v>
      </c>
      <c r="D4454" s="4">
        <v>52</v>
      </c>
      <c r="E4454" s="22" t="s">
        <v>109</v>
      </c>
      <c r="F4454" s="10" t="s">
        <v>169</v>
      </c>
    </row>
    <row r="4455" spans="1:6">
      <c r="A4455" s="4" t="str">
        <f t="shared" si="69"/>
        <v>tRNA-Val-CAC-1-1|52</v>
      </c>
      <c r="B4455" s="4" t="s">
        <v>96</v>
      </c>
      <c r="C4455" s="4" t="s">
        <v>172</v>
      </c>
      <c r="D4455" s="4">
        <v>53</v>
      </c>
      <c r="E4455" s="22" t="s">
        <v>109</v>
      </c>
      <c r="F4455" s="10" t="s">
        <v>169</v>
      </c>
    </row>
    <row r="4456" spans="1:6">
      <c r="A4456" s="4" t="str">
        <f t="shared" si="69"/>
        <v>tRNA-Val-CAC-1-1|53</v>
      </c>
      <c r="B4456" s="4" t="s">
        <v>96</v>
      </c>
      <c r="C4456" s="4" t="s">
        <v>173</v>
      </c>
      <c r="D4456" s="4">
        <v>54</v>
      </c>
      <c r="E4456" s="22" t="s">
        <v>122</v>
      </c>
      <c r="F4456" s="10" t="s">
        <v>169</v>
      </c>
    </row>
    <row r="4457" spans="1:6">
      <c r="A4457" s="4" t="str">
        <f t="shared" si="69"/>
        <v>tRNA-Val-CAC-1-1|54</v>
      </c>
      <c r="B4457" s="4" t="s">
        <v>96</v>
      </c>
      <c r="C4457" s="4" t="s">
        <v>174</v>
      </c>
      <c r="D4457" s="4">
        <v>55</v>
      </c>
      <c r="E4457" s="18" t="s">
        <v>116</v>
      </c>
      <c r="F4457" s="19" t="s">
        <v>175</v>
      </c>
    </row>
    <row r="4458" spans="1:6">
      <c r="A4458" s="4" t="str">
        <f t="shared" si="69"/>
        <v>tRNA-Val-CAC-1-1|55</v>
      </c>
      <c r="B4458" s="4" t="s">
        <v>96</v>
      </c>
      <c r="C4458" s="4" t="s">
        <v>176</v>
      </c>
      <c r="D4458" s="4">
        <v>56</v>
      </c>
      <c r="E4458" s="18" t="s">
        <v>116</v>
      </c>
      <c r="F4458" s="19" t="s">
        <v>175</v>
      </c>
    </row>
    <row r="4459" spans="1:6">
      <c r="A4459" s="4" t="str">
        <f t="shared" si="69"/>
        <v>tRNA-Val-CAC-1-1|56</v>
      </c>
      <c r="B4459" s="4" t="s">
        <v>96</v>
      </c>
      <c r="C4459" s="4" t="s">
        <v>177</v>
      </c>
      <c r="D4459" s="4">
        <v>57</v>
      </c>
      <c r="E4459" s="18" t="s">
        <v>114</v>
      </c>
      <c r="F4459" s="19" t="s">
        <v>175</v>
      </c>
    </row>
    <row r="4460" spans="1:6">
      <c r="A4460" s="4" t="str">
        <f t="shared" si="69"/>
        <v>tRNA-Val-CAC-1-1|57</v>
      </c>
      <c r="B4460" s="4" t="s">
        <v>96</v>
      </c>
      <c r="C4460" s="4" t="s">
        <v>178</v>
      </c>
      <c r="D4460" s="4">
        <v>58</v>
      </c>
      <c r="E4460" s="18" t="s">
        <v>109</v>
      </c>
      <c r="F4460" s="19" t="s">
        <v>175</v>
      </c>
    </row>
    <row r="4461" spans="1:6">
      <c r="A4461" s="4" t="str">
        <f t="shared" si="69"/>
        <v>tRNA-Val-CAC-1-1|58</v>
      </c>
      <c r="B4461" s="4" t="s">
        <v>96</v>
      </c>
      <c r="C4461" s="4" t="s">
        <v>179</v>
      </c>
      <c r="D4461" s="4">
        <v>59</v>
      </c>
      <c r="E4461" s="18" t="s">
        <v>122</v>
      </c>
      <c r="F4461" s="19" t="s">
        <v>175</v>
      </c>
    </row>
    <row r="4462" spans="1:6">
      <c r="A4462" s="4" t="str">
        <f t="shared" si="69"/>
        <v>tRNA-Val-CAC-1-1|59</v>
      </c>
      <c r="B4462" s="4" t="s">
        <v>96</v>
      </c>
      <c r="C4462" s="4" t="s">
        <v>180</v>
      </c>
      <c r="D4462" s="4">
        <v>60</v>
      </c>
      <c r="E4462" s="18" t="s">
        <v>122</v>
      </c>
      <c r="F4462" s="19" t="s">
        <v>175</v>
      </c>
    </row>
    <row r="4463" spans="1:6">
      <c r="A4463" s="4" t="str">
        <f t="shared" si="69"/>
        <v>tRNA-Val-CAC-1-1|60</v>
      </c>
      <c r="B4463" s="4" t="s">
        <v>96</v>
      </c>
      <c r="C4463" s="4" t="s">
        <v>181</v>
      </c>
      <c r="D4463" s="4">
        <v>61</v>
      </c>
      <c r="E4463" s="18" t="s">
        <v>116</v>
      </c>
      <c r="F4463" s="19" t="s">
        <v>175</v>
      </c>
    </row>
    <row r="4464" spans="1:6">
      <c r="A4464" s="4" t="str">
        <f t="shared" si="69"/>
        <v>tRNA-Val-CAC-1-1|61</v>
      </c>
      <c r="B4464" s="4" t="s">
        <v>96</v>
      </c>
      <c r="C4464" s="4" t="s">
        <v>182</v>
      </c>
      <c r="D4464" s="4">
        <v>62</v>
      </c>
      <c r="E4464" s="22" t="s">
        <v>116</v>
      </c>
      <c r="F4464" s="10" t="s">
        <v>169</v>
      </c>
    </row>
    <row r="4465" spans="1:6">
      <c r="A4465" s="4" t="str">
        <f t="shared" si="69"/>
        <v>tRNA-Val-CAC-1-1|62</v>
      </c>
      <c r="B4465" s="4" t="s">
        <v>96</v>
      </c>
      <c r="C4465" s="4" t="s">
        <v>183</v>
      </c>
      <c r="D4465" s="4">
        <v>63</v>
      </c>
      <c r="E4465" s="22" t="s">
        <v>114</v>
      </c>
      <c r="F4465" s="10" t="s">
        <v>169</v>
      </c>
    </row>
    <row r="4466" spans="1:6">
      <c r="A4466" s="4" t="str">
        <f t="shared" si="69"/>
        <v>tRNA-Val-CAC-1-1|63</v>
      </c>
      <c r="B4466" s="4" t="s">
        <v>96</v>
      </c>
      <c r="C4466" s="4" t="s">
        <v>184</v>
      </c>
      <c r="D4466" s="4">
        <v>64</v>
      </c>
      <c r="E4466" s="22" t="s">
        <v>114</v>
      </c>
      <c r="F4466" s="10" t="s">
        <v>169</v>
      </c>
    </row>
    <row r="4467" spans="1:6">
      <c r="A4467" s="4" t="str">
        <f t="shared" si="69"/>
        <v>tRNA-Val-CAC-1-1|64</v>
      </c>
      <c r="B4467" s="4" t="s">
        <v>96</v>
      </c>
      <c r="C4467" s="4" t="s">
        <v>185</v>
      </c>
      <c r="D4467" s="4">
        <v>65</v>
      </c>
      <c r="E4467" s="22" t="s">
        <v>122</v>
      </c>
      <c r="F4467" s="10" t="s">
        <v>169</v>
      </c>
    </row>
    <row r="4468" spans="1:6">
      <c r="A4468" s="4" t="str">
        <f t="shared" si="69"/>
        <v>tRNA-Val-CAC-1-1|65</v>
      </c>
      <c r="B4468" s="4" t="s">
        <v>96</v>
      </c>
      <c r="C4468" s="4" t="s">
        <v>186</v>
      </c>
      <c r="D4468" s="4">
        <v>66</v>
      </c>
      <c r="E4468" s="22" t="s">
        <v>109</v>
      </c>
      <c r="F4468" s="10" t="s">
        <v>169</v>
      </c>
    </row>
    <row r="4469" spans="1:6">
      <c r="A4469" s="4" t="str">
        <f t="shared" si="69"/>
        <v>tRNA-Val-CAC-1-1|66</v>
      </c>
      <c r="B4469" s="4" t="s">
        <v>96</v>
      </c>
      <c r="C4469" s="4" t="s">
        <v>187</v>
      </c>
      <c r="D4469" s="4">
        <v>67</v>
      </c>
      <c r="E4469" s="16" t="s">
        <v>114</v>
      </c>
      <c r="F4469" s="17" t="s">
        <v>110</v>
      </c>
    </row>
    <row r="4470" spans="1:6">
      <c r="A4470" s="4" t="str">
        <f t="shared" si="69"/>
        <v>tRNA-Val-CAC-1-1|67</v>
      </c>
      <c r="B4470" s="4" t="s">
        <v>96</v>
      </c>
      <c r="C4470" s="4" t="s">
        <v>188</v>
      </c>
      <c r="D4470" s="4">
        <v>68</v>
      </c>
      <c r="E4470" s="16" t="s">
        <v>109</v>
      </c>
      <c r="F4470" s="17" t="s">
        <v>110</v>
      </c>
    </row>
    <row r="4471" spans="1:6">
      <c r="A4471" s="4" t="str">
        <f t="shared" si="69"/>
        <v>tRNA-Val-CAC-1-1|68</v>
      </c>
      <c r="B4471" s="4" t="s">
        <v>96</v>
      </c>
      <c r="C4471" s="4" t="s">
        <v>189</v>
      </c>
      <c r="D4471" s="4">
        <v>69</v>
      </c>
      <c r="E4471" s="16" t="s">
        <v>109</v>
      </c>
      <c r="F4471" s="17" t="s">
        <v>110</v>
      </c>
    </row>
    <row r="4472" spans="1:6">
      <c r="A4472" s="4" t="str">
        <f t="shared" si="69"/>
        <v>tRNA-Val-CAC-1-1|69</v>
      </c>
      <c r="B4472" s="4" t="s">
        <v>96</v>
      </c>
      <c r="C4472" s="4" t="s">
        <v>190</v>
      </c>
      <c r="D4472" s="4">
        <v>70</v>
      </c>
      <c r="E4472" s="16" t="s">
        <v>109</v>
      </c>
      <c r="F4472" s="17" t="s">
        <v>110</v>
      </c>
    </row>
    <row r="4473" spans="1:6">
      <c r="A4473" s="4" t="str">
        <f t="shared" si="69"/>
        <v>tRNA-Val-CAC-1-1|70</v>
      </c>
      <c r="B4473" s="4" t="s">
        <v>96</v>
      </c>
      <c r="C4473" s="4" t="s">
        <v>191</v>
      </c>
      <c r="D4473" s="4">
        <v>71</v>
      </c>
      <c r="E4473" s="16" t="s">
        <v>114</v>
      </c>
      <c r="F4473" s="17" t="s">
        <v>110</v>
      </c>
    </row>
    <row r="4474" spans="1:6">
      <c r="A4474" s="4" t="str">
        <f t="shared" si="69"/>
        <v>tRNA-Val-CAC-1-1|71</v>
      </c>
      <c r="B4474" s="4" t="s">
        <v>96</v>
      </c>
      <c r="C4474" s="4" t="s">
        <v>192</v>
      </c>
      <c r="D4474" s="4">
        <v>72</v>
      </c>
      <c r="E4474" s="16" t="s">
        <v>114</v>
      </c>
      <c r="F4474" s="17" t="s">
        <v>110</v>
      </c>
    </row>
    <row r="4475" spans="1:6">
      <c r="A4475" s="4" t="str">
        <f t="shared" si="69"/>
        <v>tRNA-Val-CAC-1-1|72</v>
      </c>
      <c r="B4475" s="4" t="s">
        <v>96</v>
      </c>
      <c r="C4475" s="4" t="s">
        <v>193</v>
      </c>
      <c r="D4475" s="4">
        <v>73</v>
      </c>
      <c r="E4475" s="16" t="s">
        <v>114</v>
      </c>
      <c r="F4475" s="17" t="s">
        <v>110</v>
      </c>
    </row>
    <row r="4476" spans="1:6">
      <c r="A4476" s="4" t="str">
        <f t="shared" si="69"/>
        <v>tRNA-Val-GAC-1-1|1</v>
      </c>
      <c r="B4476" s="4" t="s">
        <v>97</v>
      </c>
      <c r="C4476" s="4" t="s">
        <v>108</v>
      </c>
      <c r="D4476" s="4">
        <v>1</v>
      </c>
      <c r="E4476" s="16" t="s">
        <v>109</v>
      </c>
      <c r="F4476" s="17" t="s">
        <v>110</v>
      </c>
    </row>
    <row r="4477" spans="1:6">
      <c r="A4477" s="4" t="str">
        <f t="shared" si="69"/>
        <v>tRNA-Val-GAC-1-1|2</v>
      </c>
      <c r="B4477" s="4" t="s">
        <v>97</v>
      </c>
      <c r="C4477" s="4" t="s">
        <v>111</v>
      </c>
      <c r="D4477" s="4">
        <v>2</v>
      </c>
      <c r="E4477" s="16" t="s">
        <v>109</v>
      </c>
      <c r="F4477" s="17" t="s">
        <v>110</v>
      </c>
    </row>
    <row r="4478" spans="1:6">
      <c r="A4478" s="4" t="str">
        <f t="shared" si="69"/>
        <v>tRNA-Val-GAC-1-1|3</v>
      </c>
      <c r="B4478" s="4" t="s">
        <v>97</v>
      </c>
      <c r="C4478" s="4" t="s">
        <v>112</v>
      </c>
      <c r="D4478" s="4">
        <v>3</v>
      </c>
      <c r="E4478" s="16" t="s">
        <v>109</v>
      </c>
      <c r="F4478" s="17" t="s">
        <v>110</v>
      </c>
    </row>
    <row r="4479" spans="1:6">
      <c r="A4479" s="4" t="str">
        <f t="shared" si="69"/>
        <v>tRNA-Val-GAC-1-1|4</v>
      </c>
      <c r="B4479" s="4" t="s">
        <v>97</v>
      </c>
      <c r="C4479" s="4" t="s">
        <v>113</v>
      </c>
      <c r="D4479" s="4">
        <v>4</v>
      </c>
      <c r="E4479" s="16" t="s">
        <v>114</v>
      </c>
      <c r="F4479" s="17" t="s">
        <v>110</v>
      </c>
    </row>
    <row r="4480" spans="1:6">
      <c r="A4480" s="4" t="str">
        <f t="shared" si="69"/>
        <v>tRNA-Val-GAC-1-1|5</v>
      </c>
      <c r="B4480" s="4" t="s">
        <v>97</v>
      </c>
      <c r="C4480" s="4" t="s">
        <v>115</v>
      </c>
      <c r="D4480" s="4">
        <v>5</v>
      </c>
      <c r="E4480" s="16" t="s">
        <v>116</v>
      </c>
      <c r="F4480" s="17" t="s">
        <v>110</v>
      </c>
    </row>
    <row r="4481" spans="1:6">
      <c r="A4481" s="4" t="str">
        <f t="shared" si="69"/>
        <v>tRNA-Val-GAC-1-1|6</v>
      </c>
      <c r="B4481" s="4" t="s">
        <v>97</v>
      </c>
      <c r="C4481" s="4" t="s">
        <v>117</v>
      </c>
      <c r="D4481" s="4">
        <v>6</v>
      </c>
      <c r="E4481" s="16" t="s">
        <v>114</v>
      </c>
      <c r="F4481" s="17" t="s">
        <v>110</v>
      </c>
    </row>
    <row r="4482" spans="1:6">
      <c r="A4482" s="4" t="str">
        <f t="shared" ref="A4482:A4545" si="70">B4482&amp;"|"&amp;C4482</f>
        <v>tRNA-Val-GAC-1-1|7</v>
      </c>
      <c r="B4482" s="4" t="s">
        <v>97</v>
      </c>
      <c r="C4482" s="4" t="s">
        <v>118</v>
      </c>
      <c r="D4482" s="4">
        <v>7</v>
      </c>
      <c r="E4482" s="16" t="s">
        <v>109</v>
      </c>
      <c r="F4482" s="17" t="s">
        <v>110</v>
      </c>
    </row>
    <row r="4483" spans="1:6">
      <c r="A4483" s="4" t="str">
        <f t="shared" si="70"/>
        <v>tRNA-Val-GAC-1-1|8</v>
      </c>
      <c r="B4483" s="4" t="s">
        <v>97</v>
      </c>
      <c r="C4483" s="4" t="s">
        <v>119</v>
      </c>
      <c r="D4483" s="4">
        <v>8</v>
      </c>
      <c r="E4483" s="3" t="s">
        <v>116</v>
      </c>
      <c r="F4483" s="4" t="s">
        <v>120</v>
      </c>
    </row>
    <row r="4484" spans="1:6">
      <c r="A4484" s="4" t="str">
        <f t="shared" si="70"/>
        <v>tRNA-Val-GAC-1-1|9</v>
      </c>
      <c r="B4484" s="4" t="s">
        <v>97</v>
      </c>
      <c r="C4484" s="4" t="s">
        <v>121</v>
      </c>
      <c r="D4484" s="4">
        <v>9</v>
      </c>
      <c r="E4484" s="3" t="s">
        <v>109</v>
      </c>
      <c r="F4484" s="4" t="s">
        <v>123</v>
      </c>
    </row>
    <row r="4485" spans="1:6">
      <c r="A4485" s="4" t="str">
        <f t="shared" si="70"/>
        <v>tRNA-Val-GAC-1-1|10</v>
      </c>
      <c r="B4485" s="4" t="s">
        <v>97</v>
      </c>
      <c r="C4485" s="4" t="s">
        <v>124</v>
      </c>
      <c r="D4485" s="4">
        <v>10</v>
      </c>
      <c r="E4485" s="8" t="s">
        <v>109</v>
      </c>
      <c r="F4485" s="7" t="s">
        <v>125</v>
      </c>
    </row>
    <row r="4486" spans="1:6">
      <c r="A4486" s="4" t="str">
        <f t="shared" si="70"/>
        <v>tRNA-Val-GAC-1-1|11</v>
      </c>
      <c r="B4486" s="4" t="s">
        <v>97</v>
      </c>
      <c r="C4486" s="4" t="s">
        <v>126</v>
      </c>
      <c r="D4486" s="4">
        <v>11</v>
      </c>
      <c r="E4486" s="8" t="s">
        <v>116</v>
      </c>
      <c r="F4486" s="7" t="s">
        <v>125</v>
      </c>
    </row>
    <row r="4487" spans="1:6">
      <c r="A4487" s="4" t="str">
        <f t="shared" si="70"/>
        <v>tRNA-Val-GAC-1-1|12</v>
      </c>
      <c r="B4487" s="4" t="s">
        <v>97</v>
      </c>
      <c r="C4487" s="4" t="s">
        <v>127</v>
      </c>
      <c r="D4487" s="4">
        <v>12</v>
      </c>
      <c r="E4487" s="8" t="s">
        <v>114</v>
      </c>
      <c r="F4487" s="7" t="s">
        <v>125</v>
      </c>
    </row>
    <row r="4488" spans="1:6">
      <c r="A4488" s="4" t="str">
        <f t="shared" si="70"/>
        <v>tRNA-Val-GAC-1-1|13</v>
      </c>
      <c r="B4488" s="4" t="s">
        <v>97</v>
      </c>
      <c r="C4488" s="4" t="s">
        <v>128</v>
      </c>
      <c r="D4488" s="4">
        <v>13</v>
      </c>
      <c r="E4488" s="8" t="s">
        <v>116</v>
      </c>
      <c r="F4488" s="7" t="s">
        <v>125</v>
      </c>
    </row>
    <row r="4489" spans="1:6">
      <c r="A4489" s="4" t="str">
        <f t="shared" si="70"/>
        <v>tRNA-Val-GAC-1-1|14</v>
      </c>
      <c r="B4489" s="4" t="s">
        <v>97</v>
      </c>
      <c r="C4489" s="4" t="s">
        <v>129</v>
      </c>
      <c r="D4489" s="4">
        <v>14</v>
      </c>
      <c r="E4489" s="18" t="s">
        <v>122</v>
      </c>
      <c r="F4489" s="19" t="s">
        <v>130</v>
      </c>
    </row>
    <row r="4490" spans="1:6">
      <c r="A4490" s="4" t="str">
        <f t="shared" si="70"/>
        <v>tRNA-Val-GAC-1-1|15</v>
      </c>
      <c r="B4490" s="4" t="s">
        <v>97</v>
      </c>
      <c r="C4490" s="4" t="s">
        <v>131</v>
      </c>
      <c r="D4490" s="4">
        <v>15</v>
      </c>
      <c r="E4490" s="18" t="s">
        <v>109</v>
      </c>
      <c r="F4490" s="19" t="s">
        <v>130</v>
      </c>
    </row>
    <row r="4491" spans="1:6">
      <c r="A4491" s="4" t="str">
        <f t="shared" si="70"/>
        <v>tRNA-Val-GAC-1-1|16</v>
      </c>
      <c r="B4491" s="4" t="s">
        <v>97</v>
      </c>
      <c r="C4491" s="4" t="s">
        <v>194</v>
      </c>
      <c r="D4491" s="4">
        <v>16</v>
      </c>
      <c r="E4491" s="18" t="s">
        <v>122</v>
      </c>
      <c r="F4491" s="19" t="s">
        <v>130</v>
      </c>
    </row>
    <row r="4492" spans="1:6">
      <c r="A4492" s="4" t="str">
        <f t="shared" si="70"/>
        <v>tRNA-Val-GAC-1-1|17</v>
      </c>
      <c r="B4492" s="4" t="s">
        <v>97</v>
      </c>
      <c r="C4492" s="4" t="s">
        <v>195</v>
      </c>
      <c r="D4492" s="4">
        <v>17</v>
      </c>
      <c r="E4492" s="18" t="s">
        <v>114</v>
      </c>
      <c r="F4492" s="19" t="s">
        <v>130</v>
      </c>
    </row>
    <row r="4493" spans="1:6">
      <c r="A4493" s="4" t="str">
        <f t="shared" si="70"/>
        <v>tRNA-Val-GAC-1-1|18</v>
      </c>
      <c r="B4493" s="4" t="s">
        <v>97</v>
      </c>
      <c r="C4493" s="4" t="s">
        <v>132</v>
      </c>
      <c r="D4493" s="4">
        <v>18</v>
      </c>
      <c r="E4493" s="18" t="s">
        <v>109</v>
      </c>
      <c r="F4493" s="19" t="s">
        <v>130</v>
      </c>
    </row>
    <row r="4494" spans="1:6">
      <c r="A4494" s="4" t="str">
        <f t="shared" si="70"/>
        <v>tRNA-Val-GAC-1-1|19</v>
      </c>
      <c r="B4494" s="4" t="s">
        <v>97</v>
      </c>
      <c r="C4494" s="4" t="s">
        <v>133</v>
      </c>
      <c r="D4494" s="4">
        <v>19</v>
      </c>
      <c r="E4494" s="18" t="s">
        <v>109</v>
      </c>
      <c r="F4494" s="19" t="s">
        <v>130</v>
      </c>
    </row>
    <row r="4495" spans="1:6">
      <c r="A4495" s="4" t="str">
        <f t="shared" si="70"/>
        <v>tRNA-Val-GAC-1-1|20</v>
      </c>
      <c r="B4495" s="4" t="s">
        <v>97</v>
      </c>
      <c r="C4495" s="4" t="s">
        <v>134</v>
      </c>
      <c r="D4495" s="4">
        <v>20</v>
      </c>
      <c r="E4495" s="18" t="s">
        <v>116</v>
      </c>
      <c r="F4495" s="19" t="s">
        <v>130</v>
      </c>
    </row>
    <row r="4496" spans="1:6">
      <c r="A4496" s="4" t="str">
        <f t="shared" si="70"/>
        <v>tRNA-Val-GAC-1-1|20a</v>
      </c>
      <c r="B4496" s="4" t="s">
        <v>97</v>
      </c>
      <c r="C4496" s="4" t="s">
        <v>135</v>
      </c>
      <c r="D4496" s="4">
        <v>21</v>
      </c>
      <c r="E4496" s="18" t="s">
        <v>116</v>
      </c>
      <c r="F4496" s="19" t="s">
        <v>130</v>
      </c>
    </row>
    <row r="4497" spans="1:6">
      <c r="A4497" s="4" t="str">
        <f t="shared" si="70"/>
        <v>tRNA-Val-GAC-1-1|21</v>
      </c>
      <c r="B4497" s="4" t="s">
        <v>97</v>
      </c>
      <c r="C4497" s="4" t="s">
        <v>136</v>
      </c>
      <c r="D4497" s="4">
        <v>22</v>
      </c>
      <c r="E4497" s="18" t="s">
        <v>122</v>
      </c>
      <c r="F4497" s="19" t="s">
        <v>130</v>
      </c>
    </row>
    <row r="4498" spans="1:6">
      <c r="A4498" s="4" t="str">
        <f t="shared" si="70"/>
        <v>tRNA-Val-GAC-1-1|22</v>
      </c>
      <c r="B4498" s="4" t="s">
        <v>97</v>
      </c>
      <c r="C4498" s="4" t="s">
        <v>137</v>
      </c>
      <c r="D4498" s="4">
        <v>23</v>
      </c>
      <c r="E4498" s="8" t="s">
        <v>116</v>
      </c>
      <c r="F4498" s="7" t="s">
        <v>125</v>
      </c>
    </row>
    <row r="4499" spans="1:6">
      <c r="A4499" s="4" t="str">
        <f t="shared" si="70"/>
        <v>tRNA-Val-GAC-1-1|23</v>
      </c>
      <c r="B4499" s="4" t="s">
        <v>97</v>
      </c>
      <c r="C4499" s="4" t="s">
        <v>138</v>
      </c>
      <c r="D4499" s="4">
        <v>24</v>
      </c>
      <c r="E4499" s="8" t="s">
        <v>109</v>
      </c>
      <c r="F4499" s="7" t="s">
        <v>125</v>
      </c>
    </row>
    <row r="4500" spans="1:6">
      <c r="A4500" s="4" t="str">
        <f t="shared" si="70"/>
        <v>tRNA-Val-GAC-1-1|24</v>
      </c>
      <c r="B4500" s="4" t="s">
        <v>97</v>
      </c>
      <c r="C4500" s="4" t="s">
        <v>139</v>
      </c>
      <c r="D4500" s="4">
        <v>25</v>
      </c>
      <c r="E4500" s="8" t="s">
        <v>122</v>
      </c>
      <c r="F4500" s="7" t="s">
        <v>125</v>
      </c>
    </row>
    <row r="4501" spans="1:6">
      <c r="A4501" s="4" t="str">
        <f t="shared" si="70"/>
        <v>tRNA-Val-GAC-1-1|25</v>
      </c>
      <c r="B4501" s="4" t="s">
        <v>97</v>
      </c>
      <c r="C4501" s="4" t="s">
        <v>140</v>
      </c>
      <c r="D4501" s="4">
        <v>26</v>
      </c>
      <c r="E4501" s="8" t="s">
        <v>114</v>
      </c>
      <c r="F4501" s="7" t="s">
        <v>125</v>
      </c>
    </row>
    <row r="4502" spans="1:6">
      <c r="A4502" s="4" t="str">
        <f t="shared" si="70"/>
        <v>tRNA-Val-GAC-1-1|26</v>
      </c>
      <c r="B4502" s="4" t="s">
        <v>97</v>
      </c>
      <c r="C4502" s="4" t="s">
        <v>141</v>
      </c>
      <c r="D4502" s="4">
        <v>27</v>
      </c>
      <c r="E4502" s="3" t="s">
        <v>109</v>
      </c>
      <c r="F4502" s="4" t="s">
        <v>142</v>
      </c>
    </row>
    <row r="4503" spans="1:6">
      <c r="A4503" s="4" t="str">
        <f t="shared" si="70"/>
        <v>tRNA-Val-GAC-1-1|27</v>
      </c>
      <c r="B4503" s="4" t="s">
        <v>97</v>
      </c>
      <c r="C4503" s="4" t="s">
        <v>143</v>
      </c>
      <c r="D4503" s="4">
        <v>28</v>
      </c>
      <c r="E4503" s="20" t="s">
        <v>116</v>
      </c>
      <c r="F4503" s="21" t="s">
        <v>144</v>
      </c>
    </row>
    <row r="4504" spans="1:6">
      <c r="A4504" s="4" t="str">
        <f t="shared" si="70"/>
        <v>tRNA-Val-GAC-1-1|28</v>
      </c>
      <c r="B4504" s="4" t="s">
        <v>97</v>
      </c>
      <c r="C4504" s="4" t="s">
        <v>145</v>
      </c>
      <c r="D4504" s="4">
        <v>29</v>
      </c>
      <c r="E4504" s="20" t="s">
        <v>114</v>
      </c>
      <c r="F4504" s="21" t="s">
        <v>144</v>
      </c>
    </row>
    <row r="4505" spans="1:6">
      <c r="A4505" s="4" t="str">
        <f t="shared" si="70"/>
        <v>tRNA-Val-GAC-1-1|29</v>
      </c>
      <c r="B4505" s="4" t="s">
        <v>97</v>
      </c>
      <c r="C4505" s="4" t="s">
        <v>146</v>
      </c>
      <c r="D4505" s="4">
        <v>30</v>
      </c>
      <c r="E4505" s="20" t="s">
        <v>109</v>
      </c>
      <c r="F4505" s="21" t="s">
        <v>144</v>
      </c>
    </row>
    <row r="4506" spans="1:6">
      <c r="A4506" s="4" t="str">
        <f t="shared" si="70"/>
        <v>tRNA-Val-GAC-1-1|30</v>
      </c>
      <c r="B4506" s="4" t="s">
        <v>97</v>
      </c>
      <c r="C4506" s="4" t="s">
        <v>147</v>
      </c>
      <c r="D4506" s="4">
        <v>31</v>
      </c>
      <c r="E4506" s="20" t="s">
        <v>114</v>
      </c>
      <c r="F4506" s="21" t="s">
        <v>144</v>
      </c>
    </row>
    <row r="4507" spans="1:6">
      <c r="A4507" s="4" t="str">
        <f t="shared" si="70"/>
        <v>tRNA-Val-GAC-1-1|31</v>
      </c>
      <c r="B4507" s="4" t="s">
        <v>97</v>
      </c>
      <c r="C4507" s="4" t="s">
        <v>148</v>
      </c>
      <c r="D4507" s="4">
        <v>32</v>
      </c>
      <c r="E4507" s="20" t="s">
        <v>114</v>
      </c>
      <c r="F4507" s="21" t="s">
        <v>144</v>
      </c>
    </row>
    <row r="4508" spans="1:6">
      <c r="A4508" s="4" t="str">
        <f t="shared" si="70"/>
        <v>tRNA-Val-GAC-1-1|32</v>
      </c>
      <c r="B4508" s="4" t="s">
        <v>97</v>
      </c>
      <c r="C4508" s="4" t="s">
        <v>149</v>
      </c>
      <c r="D4508" s="4">
        <v>33</v>
      </c>
      <c r="E4508" s="18" t="s">
        <v>116</v>
      </c>
      <c r="F4508" s="19" t="s">
        <v>150</v>
      </c>
    </row>
    <row r="4509" spans="1:6">
      <c r="A4509" s="4" t="str">
        <f t="shared" si="70"/>
        <v>tRNA-Val-GAC-1-1|33</v>
      </c>
      <c r="B4509" s="4" t="s">
        <v>97</v>
      </c>
      <c r="C4509" s="4" t="s">
        <v>151</v>
      </c>
      <c r="D4509" s="4">
        <v>34</v>
      </c>
      <c r="E4509" s="18" t="s">
        <v>116</v>
      </c>
      <c r="F4509" s="19" t="s">
        <v>150</v>
      </c>
    </row>
    <row r="4510" spans="1:6">
      <c r="A4510" s="4" t="str">
        <f t="shared" si="70"/>
        <v>tRNA-Val-GAC-1-1|34</v>
      </c>
      <c r="B4510" s="4" t="s">
        <v>97</v>
      </c>
      <c r="C4510" s="4" t="s">
        <v>152</v>
      </c>
      <c r="D4510" s="4">
        <v>35</v>
      </c>
      <c r="E4510" s="18" t="s">
        <v>109</v>
      </c>
      <c r="F4510" s="19" t="s">
        <v>150</v>
      </c>
    </row>
    <row r="4511" spans="1:6">
      <c r="A4511" s="4" t="str">
        <f t="shared" si="70"/>
        <v>tRNA-Val-GAC-1-1|35</v>
      </c>
      <c r="B4511" s="4" t="s">
        <v>97</v>
      </c>
      <c r="C4511" s="4" t="s">
        <v>153</v>
      </c>
      <c r="D4511" s="4">
        <v>36</v>
      </c>
      <c r="E4511" s="18" t="s">
        <v>122</v>
      </c>
      <c r="F4511" s="19" t="s">
        <v>150</v>
      </c>
    </row>
    <row r="4512" spans="1:6">
      <c r="A4512" s="4" t="str">
        <f t="shared" si="70"/>
        <v>tRNA-Val-GAC-1-1|36</v>
      </c>
      <c r="B4512" s="4" t="s">
        <v>97</v>
      </c>
      <c r="C4512" s="4" t="s">
        <v>154</v>
      </c>
      <c r="D4512" s="4">
        <v>37</v>
      </c>
      <c r="E4512" s="18" t="s">
        <v>114</v>
      </c>
      <c r="F4512" s="19" t="s">
        <v>150</v>
      </c>
    </row>
    <row r="4513" spans="1:6">
      <c r="A4513" s="4" t="str">
        <f t="shared" si="70"/>
        <v>tRNA-Val-GAC-1-1|37</v>
      </c>
      <c r="B4513" s="4" t="s">
        <v>97</v>
      </c>
      <c r="C4513" s="4" t="s">
        <v>155</v>
      </c>
      <c r="D4513" s="4">
        <v>38</v>
      </c>
      <c r="E4513" s="18" t="s">
        <v>122</v>
      </c>
      <c r="F4513" s="19" t="s">
        <v>150</v>
      </c>
    </row>
    <row r="4514" spans="1:6">
      <c r="A4514" s="4" t="str">
        <f t="shared" si="70"/>
        <v>tRNA-Val-GAC-1-1|38</v>
      </c>
      <c r="B4514" s="4" t="s">
        <v>97</v>
      </c>
      <c r="C4514" s="4" t="s">
        <v>156</v>
      </c>
      <c r="D4514" s="4">
        <v>39</v>
      </c>
      <c r="E4514" s="18" t="s">
        <v>116</v>
      </c>
      <c r="F4514" s="19" t="s">
        <v>150</v>
      </c>
    </row>
    <row r="4515" spans="1:6">
      <c r="A4515" s="4" t="str">
        <f t="shared" si="70"/>
        <v>tRNA-Val-GAC-1-1|39</v>
      </c>
      <c r="B4515" s="4" t="s">
        <v>97</v>
      </c>
      <c r="C4515" s="4" t="s">
        <v>157</v>
      </c>
      <c r="D4515" s="4">
        <v>40</v>
      </c>
      <c r="E4515" s="20" t="s">
        <v>109</v>
      </c>
      <c r="F4515" s="21" t="s">
        <v>144</v>
      </c>
    </row>
    <row r="4516" spans="1:6">
      <c r="A4516" s="4" t="str">
        <f t="shared" si="70"/>
        <v>tRNA-Val-GAC-1-1|40</v>
      </c>
      <c r="B4516" s="4" t="s">
        <v>97</v>
      </c>
      <c r="C4516" s="4" t="s">
        <v>158</v>
      </c>
      <c r="D4516" s="4">
        <v>41</v>
      </c>
      <c r="E4516" s="20" t="s">
        <v>109</v>
      </c>
      <c r="F4516" s="21" t="s">
        <v>144</v>
      </c>
    </row>
    <row r="4517" spans="1:6">
      <c r="A4517" s="4" t="str">
        <f t="shared" si="70"/>
        <v>tRNA-Val-GAC-1-1|41</v>
      </c>
      <c r="B4517" s="4" t="s">
        <v>97</v>
      </c>
      <c r="C4517" s="4" t="s">
        <v>159</v>
      </c>
      <c r="D4517" s="4">
        <v>42</v>
      </c>
      <c r="E4517" s="20" t="s">
        <v>114</v>
      </c>
      <c r="F4517" s="21" t="s">
        <v>144</v>
      </c>
    </row>
    <row r="4518" spans="1:6">
      <c r="A4518" s="4" t="str">
        <f t="shared" si="70"/>
        <v>tRNA-Val-GAC-1-1|42</v>
      </c>
      <c r="B4518" s="4" t="s">
        <v>97</v>
      </c>
      <c r="C4518" s="4" t="s">
        <v>160</v>
      </c>
      <c r="D4518" s="4">
        <v>43</v>
      </c>
      <c r="E4518" s="20" t="s">
        <v>109</v>
      </c>
      <c r="F4518" s="21" t="s">
        <v>144</v>
      </c>
    </row>
    <row r="4519" spans="1:6">
      <c r="A4519" s="4" t="str">
        <f t="shared" si="70"/>
        <v>tRNA-Val-GAC-1-1|43</v>
      </c>
      <c r="B4519" s="4" t="s">
        <v>97</v>
      </c>
      <c r="C4519" s="4" t="s">
        <v>161</v>
      </c>
      <c r="D4519" s="4">
        <v>44</v>
      </c>
      <c r="E4519" s="20" t="s">
        <v>109</v>
      </c>
      <c r="F4519" s="21" t="s">
        <v>144</v>
      </c>
    </row>
    <row r="4520" spans="1:6">
      <c r="A4520" s="4" t="str">
        <f t="shared" si="70"/>
        <v>tRNA-Val-GAC-1-1|44</v>
      </c>
      <c r="B4520" s="4" t="s">
        <v>97</v>
      </c>
      <c r="C4520" s="4" t="s">
        <v>162</v>
      </c>
      <c r="D4520" s="4">
        <v>45</v>
      </c>
      <c r="E4520" s="18" t="s">
        <v>122</v>
      </c>
      <c r="F4520" s="19" t="s">
        <v>163</v>
      </c>
    </row>
    <row r="4521" spans="1:6">
      <c r="A4521" s="4" t="str">
        <f t="shared" si="70"/>
        <v>tRNA-Val-GAC-1-1|45</v>
      </c>
      <c r="B4521" s="4" t="s">
        <v>97</v>
      </c>
      <c r="C4521" s="4" t="s">
        <v>164</v>
      </c>
      <c r="D4521" s="4">
        <v>46</v>
      </c>
      <c r="E4521" s="18" t="s">
        <v>109</v>
      </c>
      <c r="F4521" s="19" t="s">
        <v>163</v>
      </c>
    </row>
    <row r="4522" spans="1:6">
      <c r="A4522" s="4" t="str">
        <f t="shared" si="70"/>
        <v>tRNA-Val-GAC-1-1|46</v>
      </c>
      <c r="B4522" s="4" t="s">
        <v>97</v>
      </c>
      <c r="C4522" s="4" t="s">
        <v>165</v>
      </c>
      <c r="D4522" s="4">
        <v>47</v>
      </c>
      <c r="E4522" s="18" t="s">
        <v>109</v>
      </c>
      <c r="F4522" s="19" t="s">
        <v>163</v>
      </c>
    </row>
    <row r="4523" spans="1:6">
      <c r="A4523" s="4" t="str">
        <f t="shared" si="70"/>
        <v>tRNA-Val-GAC-1-1|47</v>
      </c>
      <c r="B4523" s="4" t="s">
        <v>97</v>
      </c>
      <c r="C4523" s="4" t="s">
        <v>166</v>
      </c>
      <c r="D4523" s="4">
        <v>48</v>
      </c>
      <c r="E4523" s="18" t="s">
        <v>116</v>
      </c>
      <c r="F4523" s="19" t="s">
        <v>163</v>
      </c>
    </row>
    <row r="4524" spans="1:6">
      <c r="A4524" s="4" t="str">
        <f t="shared" si="70"/>
        <v>tRNA-Val-GAC-1-1|48</v>
      </c>
      <c r="B4524" s="4" t="s">
        <v>97</v>
      </c>
      <c r="C4524" s="4" t="s">
        <v>167</v>
      </c>
      <c r="D4524" s="4">
        <v>49</v>
      </c>
      <c r="E4524" s="18" t="s">
        <v>114</v>
      </c>
      <c r="F4524" s="19" t="s">
        <v>163</v>
      </c>
    </row>
    <row r="4525" spans="1:6">
      <c r="A4525" s="4" t="str">
        <f t="shared" si="70"/>
        <v>tRNA-Val-GAC-1-1|49</v>
      </c>
      <c r="B4525" s="4" t="s">
        <v>97</v>
      </c>
      <c r="C4525" s="4" t="s">
        <v>168</v>
      </c>
      <c r="D4525" s="4">
        <v>50</v>
      </c>
      <c r="E4525" s="22" t="s">
        <v>114</v>
      </c>
      <c r="F4525" s="10" t="s">
        <v>169</v>
      </c>
    </row>
    <row r="4526" spans="1:6">
      <c r="A4526" s="4" t="str">
        <f t="shared" si="70"/>
        <v>tRNA-Val-GAC-1-1|50</v>
      </c>
      <c r="B4526" s="4" t="s">
        <v>97</v>
      </c>
      <c r="C4526" s="4" t="s">
        <v>170</v>
      </c>
      <c r="D4526" s="4">
        <v>51</v>
      </c>
      <c r="E4526" s="22" t="s">
        <v>116</v>
      </c>
      <c r="F4526" s="10" t="s">
        <v>169</v>
      </c>
    </row>
    <row r="4527" spans="1:6">
      <c r="A4527" s="4" t="str">
        <f t="shared" si="70"/>
        <v>tRNA-Val-GAC-1-1|51</v>
      </c>
      <c r="B4527" s="4" t="s">
        <v>97</v>
      </c>
      <c r="C4527" s="4" t="s">
        <v>171</v>
      </c>
      <c r="D4527" s="4">
        <v>52</v>
      </c>
      <c r="E4527" s="22" t="s">
        <v>109</v>
      </c>
      <c r="F4527" s="10" t="s">
        <v>169</v>
      </c>
    </row>
    <row r="4528" spans="1:6">
      <c r="A4528" s="4" t="str">
        <f t="shared" si="70"/>
        <v>tRNA-Val-GAC-1-1|52</v>
      </c>
      <c r="B4528" s="4" t="s">
        <v>97</v>
      </c>
      <c r="C4528" s="4" t="s">
        <v>172</v>
      </c>
      <c r="D4528" s="4">
        <v>53</v>
      </c>
      <c r="E4528" s="22" t="s">
        <v>122</v>
      </c>
      <c r="F4528" s="10" t="s">
        <v>169</v>
      </c>
    </row>
    <row r="4529" spans="1:6">
      <c r="A4529" s="4" t="str">
        <f t="shared" si="70"/>
        <v>tRNA-Val-GAC-1-1|53</v>
      </c>
      <c r="B4529" s="4" t="s">
        <v>97</v>
      </c>
      <c r="C4529" s="4" t="s">
        <v>173</v>
      </c>
      <c r="D4529" s="4">
        <v>54</v>
      </c>
      <c r="E4529" s="22" t="s">
        <v>109</v>
      </c>
      <c r="F4529" s="10" t="s">
        <v>169</v>
      </c>
    </row>
    <row r="4530" spans="1:6">
      <c r="A4530" s="4" t="str">
        <f t="shared" si="70"/>
        <v>tRNA-Val-GAC-1-1|54</v>
      </c>
      <c r="B4530" s="4" t="s">
        <v>97</v>
      </c>
      <c r="C4530" s="4" t="s">
        <v>174</v>
      </c>
      <c r="D4530" s="4">
        <v>55</v>
      </c>
      <c r="E4530" s="18" t="s">
        <v>116</v>
      </c>
      <c r="F4530" s="19" t="s">
        <v>175</v>
      </c>
    </row>
    <row r="4531" spans="1:6">
      <c r="A4531" s="4" t="str">
        <f t="shared" si="70"/>
        <v>tRNA-Val-GAC-1-1|55</v>
      </c>
      <c r="B4531" s="4" t="s">
        <v>97</v>
      </c>
      <c r="C4531" s="4" t="s">
        <v>176</v>
      </c>
      <c r="D4531" s="4">
        <v>56</v>
      </c>
      <c r="E4531" s="18" t="s">
        <v>116</v>
      </c>
      <c r="F4531" s="19" t="s">
        <v>175</v>
      </c>
    </row>
    <row r="4532" spans="1:6">
      <c r="A4532" s="4" t="str">
        <f t="shared" si="70"/>
        <v>tRNA-Val-GAC-1-1|56</v>
      </c>
      <c r="B4532" s="4" t="s">
        <v>97</v>
      </c>
      <c r="C4532" s="4" t="s">
        <v>177</v>
      </c>
      <c r="D4532" s="4">
        <v>57</v>
      </c>
      <c r="E4532" s="18" t="s">
        <v>114</v>
      </c>
      <c r="F4532" s="19" t="s">
        <v>175</v>
      </c>
    </row>
    <row r="4533" spans="1:6">
      <c r="A4533" s="4" t="str">
        <f t="shared" si="70"/>
        <v>tRNA-Val-GAC-1-1|57</v>
      </c>
      <c r="B4533" s="4" t="s">
        <v>97</v>
      </c>
      <c r="C4533" s="4" t="s">
        <v>178</v>
      </c>
      <c r="D4533" s="4">
        <v>58</v>
      </c>
      <c r="E4533" s="18" t="s">
        <v>109</v>
      </c>
      <c r="F4533" s="19" t="s">
        <v>175</v>
      </c>
    </row>
    <row r="4534" spans="1:6">
      <c r="A4534" s="4" t="str">
        <f t="shared" si="70"/>
        <v>tRNA-Val-GAC-1-1|58</v>
      </c>
      <c r="B4534" s="4" t="s">
        <v>97</v>
      </c>
      <c r="C4534" s="4" t="s">
        <v>179</v>
      </c>
      <c r="D4534" s="4">
        <v>59</v>
      </c>
      <c r="E4534" s="18" t="s">
        <v>122</v>
      </c>
      <c r="F4534" s="19" t="s">
        <v>175</v>
      </c>
    </row>
    <row r="4535" spans="1:6">
      <c r="A4535" s="4" t="str">
        <f t="shared" si="70"/>
        <v>tRNA-Val-GAC-1-1|59</v>
      </c>
      <c r="B4535" s="4" t="s">
        <v>97</v>
      </c>
      <c r="C4535" s="4" t="s">
        <v>180</v>
      </c>
      <c r="D4535" s="4">
        <v>60</v>
      </c>
      <c r="E4535" s="18" t="s">
        <v>122</v>
      </c>
      <c r="F4535" s="19" t="s">
        <v>175</v>
      </c>
    </row>
    <row r="4536" spans="1:6">
      <c r="A4536" s="4" t="str">
        <f t="shared" si="70"/>
        <v>tRNA-Val-GAC-1-1|60</v>
      </c>
      <c r="B4536" s="4" t="s">
        <v>97</v>
      </c>
      <c r="C4536" s="4" t="s">
        <v>181</v>
      </c>
      <c r="D4536" s="4">
        <v>61</v>
      </c>
      <c r="E4536" s="18" t="s">
        <v>116</v>
      </c>
      <c r="F4536" s="19" t="s">
        <v>175</v>
      </c>
    </row>
    <row r="4537" spans="1:6">
      <c r="A4537" s="4" t="str">
        <f t="shared" si="70"/>
        <v>tRNA-Val-GAC-1-1|61</v>
      </c>
      <c r="B4537" s="4" t="s">
        <v>97</v>
      </c>
      <c r="C4537" s="4" t="s">
        <v>182</v>
      </c>
      <c r="D4537" s="4">
        <v>62</v>
      </c>
      <c r="E4537" s="22" t="s">
        <v>114</v>
      </c>
      <c r="F4537" s="10" t="s">
        <v>169</v>
      </c>
    </row>
    <row r="4538" spans="1:6">
      <c r="A4538" s="4" t="str">
        <f t="shared" si="70"/>
        <v>tRNA-Val-GAC-1-1|62</v>
      </c>
      <c r="B4538" s="4" t="s">
        <v>97</v>
      </c>
      <c r="C4538" s="4" t="s">
        <v>183</v>
      </c>
      <c r="D4538" s="4">
        <v>63</v>
      </c>
      <c r="E4538" s="22" t="s">
        <v>116</v>
      </c>
      <c r="F4538" s="10" t="s">
        <v>169</v>
      </c>
    </row>
    <row r="4539" spans="1:6">
      <c r="A4539" s="4" t="str">
        <f t="shared" si="70"/>
        <v>tRNA-Val-GAC-1-1|63</v>
      </c>
      <c r="B4539" s="4" t="s">
        <v>97</v>
      </c>
      <c r="C4539" s="4" t="s">
        <v>184</v>
      </c>
      <c r="D4539" s="4">
        <v>64</v>
      </c>
      <c r="E4539" s="22" t="s">
        <v>114</v>
      </c>
      <c r="F4539" s="10" t="s">
        <v>169</v>
      </c>
    </row>
    <row r="4540" spans="1:6">
      <c r="A4540" s="4" t="str">
        <f t="shared" si="70"/>
        <v>tRNA-Val-GAC-1-1|64</v>
      </c>
      <c r="B4540" s="4" t="s">
        <v>97</v>
      </c>
      <c r="C4540" s="4" t="s">
        <v>185</v>
      </c>
      <c r="D4540" s="4">
        <v>65</v>
      </c>
      <c r="E4540" s="22" t="s">
        <v>122</v>
      </c>
      <c r="F4540" s="10" t="s">
        <v>169</v>
      </c>
    </row>
    <row r="4541" spans="1:6">
      <c r="A4541" s="4" t="str">
        <f t="shared" si="70"/>
        <v>tRNA-Val-GAC-1-1|65</v>
      </c>
      <c r="B4541" s="4" t="s">
        <v>97</v>
      </c>
      <c r="C4541" s="4" t="s">
        <v>186</v>
      </c>
      <c r="D4541" s="4">
        <v>66</v>
      </c>
      <c r="E4541" s="22" t="s">
        <v>109</v>
      </c>
      <c r="F4541" s="10" t="s">
        <v>169</v>
      </c>
    </row>
    <row r="4542" spans="1:6">
      <c r="A4542" s="4" t="str">
        <f t="shared" si="70"/>
        <v>tRNA-Val-GAC-1-1|66</v>
      </c>
      <c r="B4542" s="4" t="s">
        <v>97</v>
      </c>
      <c r="C4542" s="4" t="s">
        <v>187</v>
      </c>
      <c r="D4542" s="4">
        <v>67</v>
      </c>
      <c r="E4542" s="16" t="s">
        <v>114</v>
      </c>
      <c r="F4542" s="17" t="s">
        <v>110</v>
      </c>
    </row>
    <row r="4543" spans="1:6">
      <c r="A4543" s="4" t="str">
        <f t="shared" si="70"/>
        <v>tRNA-Val-GAC-1-1|67</v>
      </c>
      <c r="B4543" s="4" t="s">
        <v>97</v>
      </c>
      <c r="C4543" s="4" t="s">
        <v>188</v>
      </c>
      <c r="D4543" s="4">
        <v>68</v>
      </c>
      <c r="E4543" s="16" t="s">
        <v>109</v>
      </c>
      <c r="F4543" s="17" t="s">
        <v>110</v>
      </c>
    </row>
    <row r="4544" spans="1:6">
      <c r="A4544" s="4" t="str">
        <f t="shared" si="70"/>
        <v>tRNA-Val-GAC-1-1|68</v>
      </c>
      <c r="B4544" s="4" t="s">
        <v>97</v>
      </c>
      <c r="C4544" s="4" t="s">
        <v>189</v>
      </c>
      <c r="D4544" s="4">
        <v>69</v>
      </c>
      <c r="E4544" s="16" t="s">
        <v>109</v>
      </c>
      <c r="F4544" s="17" t="s">
        <v>110</v>
      </c>
    </row>
    <row r="4545" spans="1:6">
      <c r="A4545" s="4" t="str">
        <f t="shared" si="70"/>
        <v>tRNA-Val-GAC-1-1|69</v>
      </c>
      <c r="B4545" s="4" t="s">
        <v>97</v>
      </c>
      <c r="C4545" s="4" t="s">
        <v>190</v>
      </c>
      <c r="D4545" s="4">
        <v>70</v>
      </c>
      <c r="E4545" s="16" t="s">
        <v>109</v>
      </c>
      <c r="F4545" s="17" t="s">
        <v>110</v>
      </c>
    </row>
    <row r="4546" spans="1:6">
      <c r="A4546" s="4" t="str">
        <f t="shared" ref="A4546:A4609" si="71">B4546&amp;"|"&amp;C4546</f>
        <v>tRNA-Val-GAC-1-1|70</v>
      </c>
      <c r="B4546" s="4" t="s">
        <v>97</v>
      </c>
      <c r="C4546" s="4" t="s">
        <v>191</v>
      </c>
      <c r="D4546" s="4">
        <v>71</v>
      </c>
      <c r="E4546" s="16" t="s">
        <v>114</v>
      </c>
      <c r="F4546" s="17" t="s">
        <v>110</v>
      </c>
    </row>
    <row r="4547" spans="1:6">
      <c r="A4547" s="4" t="str">
        <f t="shared" si="71"/>
        <v>tRNA-Val-GAC-1-1|71</v>
      </c>
      <c r="B4547" s="4" t="s">
        <v>97</v>
      </c>
      <c r="C4547" s="4" t="s">
        <v>192</v>
      </c>
      <c r="D4547" s="4">
        <v>72</v>
      </c>
      <c r="E4547" s="16" t="s">
        <v>114</v>
      </c>
      <c r="F4547" s="17" t="s">
        <v>110</v>
      </c>
    </row>
    <row r="4548" spans="1:6">
      <c r="A4548" s="4" t="str">
        <f t="shared" si="71"/>
        <v>tRNA-Val-GAC-1-1|72</v>
      </c>
      <c r="B4548" s="4" t="s">
        <v>97</v>
      </c>
      <c r="C4548" s="4" t="s">
        <v>193</v>
      </c>
      <c r="D4548" s="4">
        <v>73</v>
      </c>
      <c r="E4548" s="16" t="s">
        <v>114</v>
      </c>
      <c r="F4548" s="17" t="s">
        <v>110</v>
      </c>
    </row>
    <row r="4549" spans="1:6">
      <c r="A4549" s="4" t="str">
        <f t="shared" si="71"/>
        <v>tRNA-Val-GAC-1-2|1</v>
      </c>
      <c r="B4549" s="4" t="s">
        <v>98</v>
      </c>
      <c r="C4549" s="4" t="s">
        <v>108</v>
      </c>
      <c r="D4549" s="4">
        <v>1</v>
      </c>
      <c r="E4549" s="16" t="s">
        <v>109</v>
      </c>
      <c r="F4549" s="17" t="s">
        <v>110</v>
      </c>
    </row>
    <row r="4550" spans="1:6">
      <c r="A4550" s="4" t="str">
        <f t="shared" si="71"/>
        <v>tRNA-Val-GAC-1-2|2</v>
      </c>
      <c r="B4550" s="4" t="s">
        <v>98</v>
      </c>
      <c r="C4550" s="4" t="s">
        <v>111</v>
      </c>
      <c r="D4550" s="4">
        <v>2</v>
      </c>
      <c r="E4550" s="16" t="s">
        <v>109</v>
      </c>
      <c r="F4550" s="17" t="s">
        <v>110</v>
      </c>
    </row>
    <row r="4551" spans="1:6">
      <c r="A4551" s="4" t="str">
        <f t="shared" si="71"/>
        <v>tRNA-Val-GAC-1-2|3</v>
      </c>
      <c r="B4551" s="4" t="s">
        <v>98</v>
      </c>
      <c r="C4551" s="4" t="s">
        <v>112</v>
      </c>
      <c r="D4551" s="4">
        <v>3</v>
      </c>
      <c r="E4551" s="16" t="s">
        <v>109</v>
      </c>
      <c r="F4551" s="17" t="s">
        <v>110</v>
      </c>
    </row>
    <row r="4552" spans="1:6">
      <c r="A4552" s="4" t="str">
        <f t="shared" si="71"/>
        <v>tRNA-Val-GAC-1-2|4</v>
      </c>
      <c r="B4552" s="4" t="s">
        <v>98</v>
      </c>
      <c r="C4552" s="4" t="s">
        <v>113</v>
      </c>
      <c r="D4552" s="4">
        <v>4</v>
      </c>
      <c r="E4552" s="16" t="s">
        <v>114</v>
      </c>
      <c r="F4552" s="17" t="s">
        <v>110</v>
      </c>
    </row>
    <row r="4553" spans="1:6">
      <c r="A4553" s="4" t="str">
        <f t="shared" si="71"/>
        <v>tRNA-Val-GAC-1-2|5</v>
      </c>
      <c r="B4553" s="4" t="s">
        <v>98</v>
      </c>
      <c r="C4553" s="4" t="s">
        <v>115</v>
      </c>
      <c r="D4553" s="4">
        <v>5</v>
      </c>
      <c r="E4553" s="16" t="s">
        <v>116</v>
      </c>
      <c r="F4553" s="17" t="s">
        <v>110</v>
      </c>
    </row>
    <row r="4554" spans="1:6">
      <c r="A4554" s="4" t="str">
        <f t="shared" si="71"/>
        <v>tRNA-Val-GAC-1-2|6</v>
      </c>
      <c r="B4554" s="4" t="s">
        <v>98</v>
      </c>
      <c r="C4554" s="4" t="s">
        <v>117</v>
      </c>
      <c r="D4554" s="4">
        <v>6</v>
      </c>
      <c r="E4554" s="16" t="s">
        <v>114</v>
      </c>
      <c r="F4554" s="17" t="s">
        <v>110</v>
      </c>
    </row>
    <row r="4555" spans="1:6">
      <c r="A4555" s="4" t="str">
        <f t="shared" si="71"/>
        <v>tRNA-Val-GAC-1-2|7</v>
      </c>
      <c r="B4555" s="4" t="s">
        <v>98</v>
      </c>
      <c r="C4555" s="4" t="s">
        <v>118</v>
      </c>
      <c r="D4555" s="4">
        <v>7</v>
      </c>
      <c r="E4555" s="16" t="s">
        <v>109</v>
      </c>
      <c r="F4555" s="17" t="s">
        <v>110</v>
      </c>
    </row>
    <row r="4556" spans="1:6">
      <c r="A4556" s="4" t="str">
        <f t="shared" si="71"/>
        <v>tRNA-Val-GAC-1-2|8</v>
      </c>
      <c r="B4556" s="4" t="s">
        <v>98</v>
      </c>
      <c r="C4556" s="4" t="s">
        <v>119</v>
      </c>
      <c r="D4556" s="4">
        <v>8</v>
      </c>
      <c r="E4556" s="3" t="s">
        <v>116</v>
      </c>
      <c r="F4556" s="4" t="s">
        <v>120</v>
      </c>
    </row>
    <row r="4557" spans="1:6">
      <c r="A4557" s="4" t="str">
        <f t="shared" si="71"/>
        <v>tRNA-Val-GAC-1-2|9</v>
      </c>
      <c r="B4557" s="4" t="s">
        <v>98</v>
      </c>
      <c r="C4557" s="4" t="s">
        <v>121</v>
      </c>
      <c r="D4557" s="4">
        <v>9</v>
      </c>
      <c r="E4557" s="3" t="s">
        <v>109</v>
      </c>
      <c r="F4557" s="4" t="s">
        <v>123</v>
      </c>
    </row>
    <row r="4558" spans="1:6">
      <c r="A4558" s="4" t="str">
        <f t="shared" si="71"/>
        <v>tRNA-Val-GAC-1-2|10</v>
      </c>
      <c r="B4558" s="4" t="s">
        <v>98</v>
      </c>
      <c r="C4558" s="4" t="s">
        <v>124</v>
      </c>
      <c r="D4558" s="4">
        <v>10</v>
      </c>
      <c r="E4558" s="8" t="s">
        <v>109</v>
      </c>
      <c r="F4558" s="7" t="s">
        <v>125</v>
      </c>
    </row>
    <row r="4559" spans="1:6">
      <c r="A4559" s="4" t="str">
        <f t="shared" si="71"/>
        <v>tRNA-Val-GAC-1-2|11</v>
      </c>
      <c r="B4559" s="4" t="s">
        <v>98</v>
      </c>
      <c r="C4559" s="4" t="s">
        <v>126</v>
      </c>
      <c r="D4559" s="4">
        <v>11</v>
      </c>
      <c r="E4559" s="8" t="s">
        <v>116</v>
      </c>
      <c r="F4559" s="7" t="s">
        <v>125</v>
      </c>
    </row>
    <row r="4560" spans="1:6">
      <c r="A4560" s="4" t="str">
        <f t="shared" si="71"/>
        <v>tRNA-Val-GAC-1-2|12</v>
      </c>
      <c r="B4560" s="4" t="s">
        <v>98</v>
      </c>
      <c r="C4560" s="4" t="s">
        <v>127</v>
      </c>
      <c r="D4560" s="4">
        <v>12</v>
      </c>
      <c r="E4560" s="8" t="s">
        <v>114</v>
      </c>
      <c r="F4560" s="7" t="s">
        <v>125</v>
      </c>
    </row>
    <row r="4561" spans="1:6">
      <c r="A4561" s="4" t="str">
        <f t="shared" si="71"/>
        <v>tRNA-Val-GAC-1-2|13</v>
      </c>
      <c r="B4561" s="4" t="s">
        <v>98</v>
      </c>
      <c r="C4561" s="4" t="s">
        <v>128</v>
      </c>
      <c r="D4561" s="4">
        <v>13</v>
      </c>
      <c r="E4561" s="8" t="s">
        <v>116</v>
      </c>
      <c r="F4561" s="7" t="s">
        <v>125</v>
      </c>
    </row>
    <row r="4562" spans="1:6">
      <c r="A4562" s="4" t="str">
        <f t="shared" si="71"/>
        <v>tRNA-Val-GAC-1-2|14</v>
      </c>
      <c r="B4562" s="4" t="s">
        <v>98</v>
      </c>
      <c r="C4562" s="4" t="s">
        <v>129</v>
      </c>
      <c r="D4562" s="4">
        <v>14</v>
      </c>
      <c r="E4562" s="18" t="s">
        <v>122</v>
      </c>
      <c r="F4562" s="19" t="s">
        <v>130</v>
      </c>
    </row>
    <row r="4563" spans="1:6">
      <c r="A4563" s="4" t="str">
        <f t="shared" si="71"/>
        <v>tRNA-Val-GAC-1-2|15</v>
      </c>
      <c r="B4563" s="4" t="s">
        <v>98</v>
      </c>
      <c r="C4563" s="4" t="s">
        <v>131</v>
      </c>
      <c r="D4563" s="4">
        <v>15</v>
      </c>
      <c r="E4563" s="18" t="s">
        <v>109</v>
      </c>
      <c r="F4563" s="19" t="s">
        <v>130</v>
      </c>
    </row>
    <row r="4564" spans="1:6">
      <c r="A4564" s="4" t="str">
        <f t="shared" si="71"/>
        <v>tRNA-Val-GAC-1-2|16</v>
      </c>
      <c r="B4564" s="4" t="s">
        <v>98</v>
      </c>
      <c r="C4564" s="4" t="s">
        <v>194</v>
      </c>
      <c r="D4564" s="4">
        <v>16</v>
      </c>
      <c r="E4564" s="18" t="s">
        <v>122</v>
      </c>
      <c r="F4564" s="19" t="s">
        <v>130</v>
      </c>
    </row>
    <row r="4565" spans="1:6">
      <c r="A4565" s="4" t="str">
        <f t="shared" si="71"/>
        <v>tRNA-Val-GAC-1-2|17</v>
      </c>
      <c r="B4565" s="4" t="s">
        <v>98</v>
      </c>
      <c r="C4565" s="4" t="s">
        <v>195</v>
      </c>
      <c r="D4565" s="4">
        <v>17</v>
      </c>
      <c r="E4565" s="18" t="s">
        <v>114</v>
      </c>
      <c r="F4565" s="19" t="s">
        <v>130</v>
      </c>
    </row>
    <row r="4566" spans="1:6">
      <c r="A4566" s="4" t="str">
        <f t="shared" si="71"/>
        <v>tRNA-Val-GAC-1-2|18</v>
      </c>
      <c r="B4566" s="4" t="s">
        <v>98</v>
      </c>
      <c r="C4566" s="4" t="s">
        <v>132</v>
      </c>
      <c r="D4566" s="4">
        <v>18</v>
      </c>
      <c r="E4566" s="18" t="s">
        <v>109</v>
      </c>
      <c r="F4566" s="19" t="s">
        <v>130</v>
      </c>
    </row>
    <row r="4567" spans="1:6">
      <c r="A4567" s="4" t="str">
        <f t="shared" si="71"/>
        <v>tRNA-Val-GAC-1-2|19</v>
      </c>
      <c r="B4567" s="4" t="s">
        <v>98</v>
      </c>
      <c r="C4567" s="4" t="s">
        <v>133</v>
      </c>
      <c r="D4567" s="4">
        <v>19</v>
      </c>
      <c r="E4567" s="18" t="s">
        <v>109</v>
      </c>
      <c r="F4567" s="19" t="s">
        <v>130</v>
      </c>
    </row>
    <row r="4568" spans="1:6">
      <c r="A4568" s="4" t="str">
        <f t="shared" si="71"/>
        <v>tRNA-Val-GAC-1-2|20</v>
      </c>
      <c r="B4568" s="4" t="s">
        <v>98</v>
      </c>
      <c r="C4568" s="4" t="s">
        <v>134</v>
      </c>
      <c r="D4568" s="4">
        <v>20</v>
      </c>
      <c r="E4568" s="18" t="s">
        <v>116</v>
      </c>
      <c r="F4568" s="19" t="s">
        <v>130</v>
      </c>
    </row>
    <row r="4569" spans="1:6">
      <c r="A4569" s="4" t="str">
        <f t="shared" si="71"/>
        <v>tRNA-Val-GAC-1-2|20a</v>
      </c>
      <c r="B4569" s="4" t="s">
        <v>98</v>
      </c>
      <c r="C4569" s="4" t="s">
        <v>135</v>
      </c>
      <c r="D4569" s="4">
        <v>21</v>
      </c>
      <c r="E4569" s="18" t="s">
        <v>116</v>
      </c>
      <c r="F4569" s="19" t="s">
        <v>130</v>
      </c>
    </row>
    <row r="4570" spans="1:6">
      <c r="A4570" s="4" t="str">
        <f t="shared" si="71"/>
        <v>tRNA-Val-GAC-1-2|21</v>
      </c>
      <c r="B4570" s="4" t="s">
        <v>98</v>
      </c>
      <c r="C4570" s="4" t="s">
        <v>136</v>
      </c>
      <c r="D4570" s="4">
        <v>22</v>
      </c>
      <c r="E4570" s="18" t="s">
        <v>122</v>
      </c>
      <c r="F4570" s="19" t="s">
        <v>130</v>
      </c>
    </row>
    <row r="4571" spans="1:6">
      <c r="A4571" s="4" t="str">
        <f t="shared" si="71"/>
        <v>tRNA-Val-GAC-1-2|22</v>
      </c>
      <c r="B4571" s="4" t="s">
        <v>98</v>
      </c>
      <c r="C4571" s="4" t="s">
        <v>137</v>
      </c>
      <c r="D4571" s="4">
        <v>23</v>
      </c>
      <c r="E4571" s="8" t="s">
        <v>116</v>
      </c>
      <c r="F4571" s="7" t="s">
        <v>125</v>
      </c>
    </row>
    <row r="4572" spans="1:6">
      <c r="A4572" s="4" t="str">
        <f t="shared" si="71"/>
        <v>tRNA-Val-GAC-1-2|23</v>
      </c>
      <c r="B4572" s="4" t="s">
        <v>98</v>
      </c>
      <c r="C4572" s="4" t="s">
        <v>138</v>
      </c>
      <c r="D4572" s="4">
        <v>24</v>
      </c>
      <c r="E4572" s="8" t="s">
        <v>109</v>
      </c>
      <c r="F4572" s="7" t="s">
        <v>125</v>
      </c>
    </row>
    <row r="4573" spans="1:6">
      <c r="A4573" s="4" t="str">
        <f t="shared" si="71"/>
        <v>tRNA-Val-GAC-1-2|24</v>
      </c>
      <c r="B4573" s="4" t="s">
        <v>98</v>
      </c>
      <c r="C4573" s="4" t="s">
        <v>139</v>
      </c>
      <c r="D4573" s="4">
        <v>25</v>
      </c>
      <c r="E4573" s="8" t="s">
        <v>122</v>
      </c>
      <c r="F4573" s="7" t="s">
        <v>125</v>
      </c>
    </row>
    <row r="4574" spans="1:6">
      <c r="A4574" s="4" t="str">
        <f t="shared" si="71"/>
        <v>tRNA-Val-GAC-1-2|25</v>
      </c>
      <c r="B4574" s="4" t="s">
        <v>98</v>
      </c>
      <c r="C4574" s="4" t="s">
        <v>140</v>
      </c>
      <c r="D4574" s="4">
        <v>26</v>
      </c>
      <c r="E4574" s="8" t="s">
        <v>114</v>
      </c>
      <c r="F4574" s="7" t="s">
        <v>125</v>
      </c>
    </row>
    <row r="4575" spans="1:6">
      <c r="A4575" s="4" t="str">
        <f t="shared" si="71"/>
        <v>tRNA-Val-GAC-1-2|26</v>
      </c>
      <c r="B4575" s="4" t="s">
        <v>98</v>
      </c>
      <c r="C4575" s="4" t="s">
        <v>141</v>
      </c>
      <c r="D4575" s="4">
        <v>27</v>
      </c>
      <c r="E4575" s="3" t="s">
        <v>109</v>
      </c>
      <c r="F4575" s="4" t="s">
        <v>142</v>
      </c>
    </row>
    <row r="4576" spans="1:6">
      <c r="A4576" s="4" t="str">
        <f t="shared" si="71"/>
        <v>tRNA-Val-GAC-1-2|27</v>
      </c>
      <c r="B4576" s="4" t="s">
        <v>98</v>
      </c>
      <c r="C4576" s="4" t="s">
        <v>143</v>
      </c>
      <c r="D4576" s="4">
        <v>28</v>
      </c>
      <c r="E4576" s="20" t="s">
        <v>116</v>
      </c>
      <c r="F4576" s="21" t="s">
        <v>144</v>
      </c>
    </row>
    <row r="4577" spans="1:6">
      <c r="A4577" s="4" t="str">
        <f t="shared" si="71"/>
        <v>tRNA-Val-GAC-1-2|28</v>
      </c>
      <c r="B4577" s="4" t="s">
        <v>98</v>
      </c>
      <c r="C4577" s="4" t="s">
        <v>145</v>
      </c>
      <c r="D4577" s="4">
        <v>29</v>
      </c>
      <c r="E4577" s="20" t="s">
        <v>114</v>
      </c>
      <c r="F4577" s="21" t="s">
        <v>144</v>
      </c>
    </row>
    <row r="4578" spans="1:6">
      <c r="A4578" s="4" t="str">
        <f t="shared" si="71"/>
        <v>tRNA-Val-GAC-1-2|29</v>
      </c>
      <c r="B4578" s="4" t="s">
        <v>98</v>
      </c>
      <c r="C4578" s="4" t="s">
        <v>146</v>
      </c>
      <c r="D4578" s="4">
        <v>30</v>
      </c>
      <c r="E4578" s="20" t="s">
        <v>109</v>
      </c>
      <c r="F4578" s="21" t="s">
        <v>144</v>
      </c>
    </row>
    <row r="4579" spans="1:6">
      <c r="A4579" s="4" t="str">
        <f t="shared" si="71"/>
        <v>tRNA-Val-GAC-1-2|30</v>
      </c>
      <c r="B4579" s="4" t="s">
        <v>98</v>
      </c>
      <c r="C4579" s="4" t="s">
        <v>147</v>
      </c>
      <c r="D4579" s="4">
        <v>31</v>
      </c>
      <c r="E4579" s="20" t="s">
        <v>114</v>
      </c>
      <c r="F4579" s="21" t="s">
        <v>144</v>
      </c>
    </row>
    <row r="4580" spans="1:6">
      <c r="A4580" s="4" t="str">
        <f t="shared" si="71"/>
        <v>tRNA-Val-GAC-1-2|31</v>
      </c>
      <c r="B4580" s="4" t="s">
        <v>98</v>
      </c>
      <c r="C4580" s="4" t="s">
        <v>148</v>
      </c>
      <c r="D4580" s="4">
        <v>32</v>
      </c>
      <c r="E4580" s="20" t="s">
        <v>114</v>
      </c>
      <c r="F4580" s="21" t="s">
        <v>144</v>
      </c>
    </row>
    <row r="4581" spans="1:6">
      <c r="A4581" s="4" t="str">
        <f t="shared" si="71"/>
        <v>tRNA-Val-GAC-1-2|32</v>
      </c>
      <c r="B4581" s="4" t="s">
        <v>98</v>
      </c>
      <c r="C4581" s="4" t="s">
        <v>149</v>
      </c>
      <c r="D4581" s="4">
        <v>33</v>
      </c>
      <c r="E4581" s="18" t="s">
        <v>116</v>
      </c>
      <c r="F4581" s="19" t="s">
        <v>150</v>
      </c>
    </row>
    <row r="4582" spans="1:6">
      <c r="A4582" s="4" t="str">
        <f t="shared" si="71"/>
        <v>tRNA-Val-GAC-1-2|33</v>
      </c>
      <c r="B4582" s="4" t="s">
        <v>98</v>
      </c>
      <c r="C4582" s="4" t="s">
        <v>151</v>
      </c>
      <c r="D4582" s="4">
        <v>34</v>
      </c>
      <c r="E4582" s="18" t="s">
        <v>116</v>
      </c>
      <c r="F4582" s="19" t="s">
        <v>150</v>
      </c>
    </row>
    <row r="4583" spans="1:6">
      <c r="A4583" s="4" t="str">
        <f t="shared" si="71"/>
        <v>tRNA-Val-GAC-1-2|34</v>
      </c>
      <c r="B4583" s="4" t="s">
        <v>98</v>
      </c>
      <c r="C4583" s="4" t="s">
        <v>152</v>
      </c>
      <c r="D4583" s="4">
        <v>35</v>
      </c>
      <c r="E4583" s="18" t="s">
        <v>109</v>
      </c>
      <c r="F4583" s="19" t="s">
        <v>150</v>
      </c>
    </row>
    <row r="4584" spans="1:6">
      <c r="A4584" s="4" t="str">
        <f t="shared" si="71"/>
        <v>tRNA-Val-GAC-1-2|35</v>
      </c>
      <c r="B4584" s="4" t="s">
        <v>98</v>
      </c>
      <c r="C4584" s="4" t="s">
        <v>153</v>
      </c>
      <c r="D4584" s="4">
        <v>36</v>
      </c>
      <c r="E4584" s="18" t="s">
        <v>122</v>
      </c>
      <c r="F4584" s="19" t="s">
        <v>150</v>
      </c>
    </row>
    <row r="4585" spans="1:6">
      <c r="A4585" s="4" t="str">
        <f t="shared" si="71"/>
        <v>tRNA-Val-GAC-1-2|36</v>
      </c>
      <c r="B4585" s="4" t="s">
        <v>98</v>
      </c>
      <c r="C4585" s="4" t="s">
        <v>154</v>
      </c>
      <c r="D4585" s="4">
        <v>37</v>
      </c>
      <c r="E4585" s="18" t="s">
        <v>114</v>
      </c>
      <c r="F4585" s="19" t="s">
        <v>150</v>
      </c>
    </row>
    <row r="4586" spans="1:6">
      <c r="A4586" s="4" t="str">
        <f t="shared" si="71"/>
        <v>tRNA-Val-GAC-1-2|37</v>
      </c>
      <c r="B4586" s="4" t="s">
        <v>98</v>
      </c>
      <c r="C4586" s="4" t="s">
        <v>155</v>
      </c>
      <c r="D4586" s="4">
        <v>38</v>
      </c>
      <c r="E4586" s="18" t="s">
        <v>122</v>
      </c>
      <c r="F4586" s="19" t="s">
        <v>150</v>
      </c>
    </row>
    <row r="4587" spans="1:6">
      <c r="A4587" s="4" t="str">
        <f t="shared" si="71"/>
        <v>tRNA-Val-GAC-1-2|38</v>
      </c>
      <c r="B4587" s="4" t="s">
        <v>98</v>
      </c>
      <c r="C4587" s="4" t="s">
        <v>156</v>
      </c>
      <c r="D4587" s="4">
        <v>39</v>
      </c>
      <c r="E4587" s="18" t="s">
        <v>116</v>
      </c>
      <c r="F4587" s="19" t="s">
        <v>150</v>
      </c>
    </row>
    <row r="4588" spans="1:6">
      <c r="A4588" s="4" t="str">
        <f t="shared" si="71"/>
        <v>tRNA-Val-GAC-1-2|39</v>
      </c>
      <c r="B4588" s="4" t="s">
        <v>98</v>
      </c>
      <c r="C4588" s="4" t="s">
        <v>157</v>
      </c>
      <c r="D4588" s="4">
        <v>40</v>
      </c>
      <c r="E4588" s="20" t="s">
        <v>109</v>
      </c>
      <c r="F4588" s="21" t="s">
        <v>144</v>
      </c>
    </row>
    <row r="4589" spans="1:6">
      <c r="A4589" s="4" t="str">
        <f t="shared" si="71"/>
        <v>tRNA-Val-GAC-1-2|40</v>
      </c>
      <c r="B4589" s="4" t="s">
        <v>98</v>
      </c>
      <c r="C4589" s="4" t="s">
        <v>158</v>
      </c>
      <c r="D4589" s="4">
        <v>41</v>
      </c>
      <c r="E4589" s="20" t="s">
        <v>109</v>
      </c>
      <c r="F4589" s="21" t="s">
        <v>144</v>
      </c>
    </row>
    <row r="4590" spans="1:6">
      <c r="A4590" s="4" t="str">
        <f t="shared" si="71"/>
        <v>tRNA-Val-GAC-1-2|41</v>
      </c>
      <c r="B4590" s="4" t="s">
        <v>98</v>
      </c>
      <c r="C4590" s="4" t="s">
        <v>159</v>
      </c>
      <c r="D4590" s="4">
        <v>42</v>
      </c>
      <c r="E4590" s="20" t="s">
        <v>114</v>
      </c>
      <c r="F4590" s="21" t="s">
        <v>144</v>
      </c>
    </row>
    <row r="4591" spans="1:6">
      <c r="A4591" s="4" t="str">
        <f t="shared" si="71"/>
        <v>tRNA-Val-GAC-1-2|42</v>
      </c>
      <c r="B4591" s="4" t="s">
        <v>98</v>
      </c>
      <c r="C4591" s="4" t="s">
        <v>160</v>
      </c>
      <c r="D4591" s="4">
        <v>43</v>
      </c>
      <c r="E4591" s="20" t="s">
        <v>109</v>
      </c>
      <c r="F4591" s="21" t="s">
        <v>144</v>
      </c>
    </row>
    <row r="4592" spans="1:6">
      <c r="A4592" s="4" t="str">
        <f t="shared" si="71"/>
        <v>tRNA-Val-GAC-1-2|43</v>
      </c>
      <c r="B4592" s="4" t="s">
        <v>98</v>
      </c>
      <c r="C4592" s="4" t="s">
        <v>161</v>
      </c>
      <c r="D4592" s="4">
        <v>44</v>
      </c>
      <c r="E4592" s="20" t="s">
        <v>109</v>
      </c>
      <c r="F4592" s="21" t="s">
        <v>144</v>
      </c>
    </row>
    <row r="4593" spans="1:6">
      <c r="A4593" s="4" t="str">
        <f t="shared" si="71"/>
        <v>tRNA-Val-GAC-1-2|44</v>
      </c>
      <c r="B4593" s="4" t="s">
        <v>98</v>
      </c>
      <c r="C4593" s="4" t="s">
        <v>162</v>
      </c>
      <c r="D4593" s="4">
        <v>45</v>
      </c>
      <c r="E4593" s="18" t="s">
        <v>122</v>
      </c>
      <c r="F4593" s="19" t="s">
        <v>163</v>
      </c>
    </row>
    <row r="4594" spans="1:6">
      <c r="A4594" s="4" t="str">
        <f t="shared" si="71"/>
        <v>tRNA-Val-GAC-1-2|45</v>
      </c>
      <c r="B4594" s="4" t="s">
        <v>98</v>
      </c>
      <c r="C4594" s="4" t="s">
        <v>164</v>
      </c>
      <c r="D4594" s="4">
        <v>46</v>
      </c>
      <c r="E4594" s="18" t="s">
        <v>109</v>
      </c>
      <c r="F4594" s="19" t="s">
        <v>163</v>
      </c>
    </row>
    <row r="4595" spans="1:6">
      <c r="A4595" s="4" t="str">
        <f t="shared" si="71"/>
        <v>tRNA-Val-GAC-1-2|46</v>
      </c>
      <c r="B4595" s="4" t="s">
        <v>98</v>
      </c>
      <c r="C4595" s="4" t="s">
        <v>165</v>
      </c>
      <c r="D4595" s="4">
        <v>47</v>
      </c>
      <c r="E4595" s="18" t="s">
        <v>109</v>
      </c>
      <c r="F4595" s="19" t="s">
        <v>163</v>
      </c>
    </row>
    <row r="4596" spans="1:6">
      <c r="A4596" s="4" t="str">
        <f t="shared" si="71"/>
        <v>tRNA-Val-GAC-1-2|47</v>
      </c>
      <c r="B4596" s="4" t="s">
        <v>98</v>
      </c>
      <c r="C4596" s="4" t="s">
        <v>166</v>
      </c>
      <c r="D4596" s="4">
        <v>48</v>
      </c>
      <c r="E4596" s="18" t="s">
        <v>116</v>
      </c>
      <c r="F4596" s="19" t="s">
        <v>163</v>
      </c>
    </row>
    <row r="4597" spans="1:6">
      <c r="A4597" s="4" t="str">
        <f t="shared" si="71"/>
        <v>tRNA-Val-GAC-1-2|48</v>
      </c>
      <c r="B4597" s="4" t="s">
        <v>98</v>
      </c>
      <c r="C4597" s="4" t="s">
        <v>167</v>
      </c>
      <c r="D4597" s="4">
        <v>49</v>
      </c>
      <c r="E4597" s="18" t="s">
        <v>114</v>
      </c>
      <c r="F4597" s="19" t="s">
        <v>163</v>
      </c>
    </row>
    <row r="4598" spans="1:6">
      <c r="A4598" s="4" t="str">
        <f t="shared" si="71"/>
        <v>tRNA-Val-GAC-1-2|49</v>
      </c>
      <c r="B4598" s="4" t="s">
        <v>98</v>
      </c>
      <c r="C4598" s="4" t="s">
        <v>168</v>
      </c>
      <c r="D4598" s="4">
        <v>50</v>
      </c>
      <c r="E4598" s="22" t="s">
        <v>114</v>
      </c>
      <c r="F4598" s="10" t="s">
        <v>169</v>
      </c>
    </row>
    <row r="4599" spans="1:6">
      <c r="A4599" s="4" t="str">
        <f t="shared" si="71"/>
        <v>tRNA-Val-GAC-1-2|50</v>
      </c>
      <c r="B4599" s="4" t="s">
        <v>98</v>
      </c>
      <c r="C4599" s="4" t="s">
        <v>170</v>
      </c>
      <c r="D4599" s="4">
        <v>51</v>
      </c>
      <c r="E4599" s="22" t="s">
        <v>116</v>
      </c>
      <c r="F4599" s="10" t="s">
        <v>169</v>
      </c>
    </row>
    <row r="4600" spans="1:6">
      <c r="A4600" s="4" t="str">
        <f t="shared" si="71"/>
        <v>tRNA-Val-GAC-1-2|51</v>
      </c>
      <c r="B4600" s="4" t="s">
        <v>98</v>
      </c>
      <c r="C4600" s="4" t="s">
        <v>171</v>
      </c>
      <c r="D4600" s="4">
        <v>52</v>
      </c>
      <c r="E4600" s="22" t="s">
        <v>109</v>
      </c>
      <c r="F4600" s="10" t="s">
        <v>169</v>
      </c>
    </row>
    <row r="4601" spans="1:6">
      <c r="A4601" s="4" t="str">
        <f t="shared" si="71"/>
        <v>tRNA-Val-GAC-1-2|52</v>
      </c>
      <c r="B4601" s="4" t="s">
        <v>98</v>
      </c>
      <c r="C4601" s="4" t="s">
        <v>172</v>
      </c>
      <c r="D4601" s="4">
        <v>53</v>
      </c>
      <c r="E4601" s="22" t="s">
        <v>122</v>
      </c>
      <c r="F4601" s="10" t="s">
        <v>169</v>
      </c>
    </row>
    <row r="4602" spans="1:6">
      <c r="A4602" s="4" t="str">
        <f t="shared" si="71"/>
        <v>tRNA-Val-GAC-1-2|53</v>
      </c>
      <c r="B4602" s="4" t="s">
        <v>98</v>
      </c>
      <c r="C4602" s="4" t="s">
        <v>173</v>
      </c>
      <c r="D4602" s="4">
        <v>54</v>
      </c>
      <c r="E4602" s="22" t="s">
        <v>109</v>
      </c>
      <c r="F4602" s="10" t="s">
        <v>169</v>
      </c>
    </row>
    <row r="4603" spans="1:6">
      <c r="A4603" s="4" t="str">
        <f t="shared" si="71"/>
        <v>tRNA-Val-GAC-1-2|54</v>
      </c>
      <c r="B4603" s="4" t="s">
        <v>98</v>
      </c>
      <c r="C4603" s="4" t="s">
        <v>174</v>
      </c>
      <c r="D4603" s="4">
        <v>55</v>
      </c>
      <c r="E4603" s="18" t="s">
        <v>116</v>
      </c>
      <c r="F4603" s="19" t="s">
        <v>175</v>
      </c>
    </row>
    <row r="4604" spans="1:6">
      <c r="A4604" s="4" t="str">
        <f t="shared" si="71"/>
        <v>tRNA-Val-GAC-1-2|55</v>
      </c>
      <c r="B4604" s="4" t="s">
        <v>98</v>
      </c>
      <c r="C4604" s="4" t="s">
        <v>176</v>
      </c>
      <c r="D4604" s="4">
        <v>56</v>
      </c>
      <c r="E4604" s="18" t="s">
        <v>116</v>
      </c>
      <c r="F4604" s="19" t="s">
        <v>175</v>
      </c>
    </row>
    <row r="4605" spans="1:6">
      <c r="A4605" s="4" t="str">
        <f t="shared" si="71"/>
        <v>tRNA-Val-GAC-1-2|56</v>
      </c>
      <c r="B4605" s="4" t="s">
        <v>98</v>
      </c>
      <c r="C4605" s="4" t="s">
        <v>177</v>
      </c>
      <c r="D4605" s="4">
        <v>57</v>
      </c>
      <c r="E4605" s="18" t="s">
        <v>114</v>
      </c>
      <c r="F4605" s="19" t="s">
        <v>175</v>
      </c>
    </row>
    <row r="4606" spans="1:6">
      <c r="A4606" s="4" t="str">
        <f t="shared" si="71"/>
        <v>tRNA-Val-GAC-1-2|57</v>
      </c>
      <c r="B4606" s="4" t="s">
        <v>98</v>
      </c>
      <c r="C4606" s="4" t="s">
        <v>178</v>
      </c>
      <c r="D4606" s="4">
        <v>58</v>
      </c>
      <c r="E4606" s="18" t="s">
        <v>109</v>
      </c>
      <c r="F4606" s="19" t="s">
        <v>175</v>
      </c>
    </row>
    <row r="4607" spans="1:6">
      <c r="A4607" s="4" t="str">
        <f t="shared" si="71"/>
        <v>tRNA-Val-GAC-1-2|58</v>
      </c>
      <c r="B4607" s="4" t="s">
        <v>98</v>
      </c>
      <c r="C4607" s="4" t="s">
        <v>179</v>
      </c>
      <c r="D4607" s="4">
        <v>59</v>
      </c>
      <c r="E4607" s="18" t="s">
        <v>122</v>
      </c>
      <c r="F4607" s="19" t="s">
        <v>175</v>
      </c>
    </row>
    <row r="4608" spans="1:6">
      <c r="A4608" s="4" t="str">
        <f t="shared" si="71"/>
        <v>tRNA-Val-GAC-1-2|59</v>
      </c>
      <c r="B4608" s="4" t="s">
        <v>98</v>
      </c>
      <c r="C4608" s="4" t="s">
        <v>180</v>
      </c>
      <c r="D4608" s="4">
        <v>60</v>
      </c>
      <c r="E4608" s="18" t="s">
        <v>122</v>
      </c>
      <c r="F4608" s="19" t="s">
        <v>175</v>
      </c>
    </row>
    <row r="4609" spans="1:6">
      <c r="A4609" s="4" t="str">
        <f t="shared" si="71"/>
        <v>tRNA-Val-GAC-1-2|60</v>
      </c>
      <c r="B4609" s="4" t="s">
        <v>98</v>
      </c>
      <c r="C4609" s="4" t="s">
        <v>181</v>
      </c>
      <c r="D4609" s="4">
        <v>61</v>
      </c>
      <c r="E4609" s="18" t="s">
        <v>116</v>
      </c>
      <c r="F4609" s="19" t="s">
        <v>175</v>
      </c>
    </row>
    <row r="4610" spans="1:6">
      <c r="A4610" s="4" t="str">
        <f t="shared" ref="A4610:A4673" si="72">B4610&amp;"|"&amp;C4610</f>
        <v>tRNA-Val-GAC-1-2|61</v>
      </c>
      <c r="B4610" s="4" t="s">
        <v>98</v>
      </c>
      <c r="C4610" s="4" t="s">
        <v>182</v>
      </c>
      <c r="D4610" s="4">
        <v>62</v>
      </c>
      <c r="E4610" s="22" t="s">
        <v>114</v>
      </c>
      <c r="F4610" s="10" t="s">
        <v>169</v>
      </c>
    </row>
    <row r="4611" spans="1:6">
      <c r="A4611" s="4" t="str">
        <f t="shared" si="72"/>
        <v>tRNA-Val-GAC-1-2|62</v>
      </c>
      <c r="B4611" s="4" t="s">
        <v>98</v>
      </c>
      <c r="C4611" s="4" t="s">
        <v>183</v>
      </c>
      <c r="D4611" s="4">
        <v>63</v>
      </c>
      <c r="E4611" s="22" t="s">
        <v>116</v>
      </c>
      <c r="F4611" s="10" t="s">
        <v>169</v>
      </c>
    </row>
    <row r="4612" spans="1:6">
      <c r="A4612" s="4" t="str">
        <f t="shared" si="72"/>
        <v>tRNA-Val-GAC-1-2|63</v>
      </c>
      <c r="B4612" s="4" t="s">
        <v>98</v>
      </c>
      <c r="C4612" s="4" t="s">
        <v>184</v>
      </c>
      <c r="D4612" s="4">
        <v>64</v>
      </c>
      <c r="E4612" s="22" t="s">
        <v>114</v>
      </c>
      <c r="F4612" s="10" t="s">
        <v>169</v>
      </c>
    </row>
    <row r="4613" spans="1:6">
      <c r="A4613" s="4" t="str">
        <f t="shared" si="72"/>
        <v>tRNA-Val-GAC-1-2|64</v>
      </c>
      <c r="B4613" s="4" t="s">
        <v>98</v>
      </c>
      <c r="C4613" s="4" t="s">
        <v>185</v>
      </c>
      <c r="D4613" s="4">
        <v>65</v>
      </c>
      <c r="E4613" s="22" t="s">
        <v>122</v>
      </c>
      <c r="F4613" s="10" t="s">
        <v>169</v>
      </c>
    </row>
    <row r="4614" spans="1:6">
      <c r="A4614" s="4" t="str">
        <f t="shared" si="72"/>
        <v>tRNA-Val-GAC-1-2|65</v>
      </c>
      <c r="B4614" s="4" t="s">
        <v>98</v>
      </c>
      <c r="C4614" s="4" t="s">
        <v>186</v>
      </c>
      <c r="D4614" s="4">
        <v>66</v>
      </c>
      <c r="E4614" s="22" t="s">
        <v>109</v>
      </c>
      <c r="F4614" s="10" t="s">
        <v>169</v>
      </c>
    </row>
    <row r="4615" spans="1:6">
      <c r="A4615" s="4" t="str">
        <f t="shared" si="72"/>
        <v>tRNA-Val-GAC-1-2|66</v>
      </c>
      <c r="B4615" s="4" t="s">
        <v>98</v>
      </c>
      <c r="C4615" s="4" t="s">
        <v>187</v>
      </c>
      <c r="D4615" s="4">
        <v>67</v>
      </c>
      <c r="E4615" s="16" t="s">
        <v>114</v>
      </c>
      <c r="F4615" s="17" t="s">
        <v>110</v>
      </c>
    </row>
    <row r="4616" spans="1:6">
      <c r="A4616" s="4" t="str">
        <f t="shared" si="72"/>
        <v>tRNA-Val-GAC-1-2|67</v>
      </c>
      <c r="B4616" s="4" t="s">
        <v>98</v>
      </c>
      <c r="C4616" s="4" t="s">
        <v>188</v>
      </c>
      <c r="D4616" s="4">
        <v>68</v>
      </c>
      <c r="E4616" s="16" t="s">
        <v>109</v>
      </c>
      <c r="F4616" s="17" t="s">
        <v>110</v>
      </c>
    </row>
    <row r="4617" spans="1:6">
      <c r="A4617" s="4" t="str">
        <f t="shared" si="72"/>
        <v>tRNA-Val-GAC-1-2|68</v>
      </c>
      <c r="B4617" s="4" t="s">
        <v>98</v>
      </c>
      <c r="C4617" s="4" t="s">
        <v>189</v>
      </c>
      <c r="D4617" s="4">
        <v>69</v>
      </c>
      <c r="E4617" s="16" t="s">
        <v>109</v>
      </c>
      <c r="F4617" s="17" t="s">
        <v>110</v>
      </c>
    </row>
    <row r="4618" spans="1:6">
      <c r="A4618" s="4" t="str">
        <f t="shared" si="72"/>
        <v>tRNA-Val-GAC-1-2|69</v>
      </c>
      <c r="B4618" s="4" t="s">
        <v>98</v>
      </c>
      <c r="C4618" s="4" t="s">
        <v>190</v>
      </c>
      <c r="D4618" s="4">
        <v>70</v>
      </c>
      <c r="E4618" s="16" t="s">
        <v>109</v>
      </c>
      <c r="F4618" s="17" t="s">
        <v>110</v>
      </c>
    </row>
    <row r="4619" spans="1:6">
      <c r="A4619" s="4" t="str">
        <f t="shared" si="72"/>
        <v>tRNA-Val-GAC-1-2|70</v>
      </c>
      <c r="B4619" s="4" t="s">
        <v>98</v>
      </c>
      <c r="C4619" s="4" t="s">
        <v>191</v>
      </c>
      <c r="D4619" s="4">
        <v>71</v>
      </c>
      <c r="E4619" s="16" t="s">
        <v>114</v>
      </c>
      <c r="F4619" s="17" t="s">
        <v>110</v>
      </c>
    </row>
    <row r="4620" spans="1:6">
      <c r="A4620" s="4" t="str">
        <f t="shared" si="72"/>
        <v>tRNA-Val-GAC-1-2|71</v>
      </c>
      <c r="B4620" s="4" t="s">
        <v>98</v>
      </c>
      <c r="C4620" s="4" t="s">
        <v>192</v>
      </c>
      <c r="D4620" s="4">
        <v>72</v>
      </c>
      <c r="E4620" s="16" t="s">
        <v>114</v>
      </c>
      <c r="F4620" s="17" t="s">
        <v>110</v>
      </c>
    </row>
    <row r="4621" spans="1:6">
      <c r="A4621" s="4" t="str">
        <f t="shared" si="72"/>
        <v>tRNA-Val-GAC-1-2|72</v>
      </c>
      <c r="B4621" s="4" t="s">
        <v>98</v>
      </c>
      <c r="C4621" s="4" t="s">
        <v>193</v>
      </c>
      <c r="D4621" s="4">
        <v>73</v>
      </c>
      <c r="E4621" s="16" t="s">
        <v>114</v>
      </c>
      <c r="F4621" s="17" t="s">
        <v>110</v>
      </c>
    </row>
    <row r="4622" spans="1:6">
      <c r="A4622" s="4" t="str">
        <f t="shared" si="72"/>
        <v>tRNA-Val-TAC-1-1|1</v>
      </c>
      <c r="B4622" s="4" t="s">
        <v>99</v>
      </c>
      <c r="C4622" s="4" t="s">
        <v>108</v>
      </c>
      <c r="D4622" s="4">
        <v>1</v>
      </c>
      <c r="E4622" s="16" t="s">
        <v>109</v>
      </c>
      <c r="F4622" s="17" t="s">
        <v>110</v>
      </c>
    </row>
    <row r="4623" spans="1:6">
      <c r="A4623" s="4" t="str">
        <f t="shared" si="72"/>
        <v>tRNA-Val-TAC-1-1|2</v>
      </c>
      <c r="B4623" s="4" t="s">
        <v>99</v>
      </c>
      <c r="C4623" s="4" t="s">
        <v>111</v>
      </c>
      <c r="D4623" s="4">
        <v>2</v>
      </c>
      <c r="E4623" s="16" t="s">
        <v>109</v>
      </c>
      <c r="F4623" s="17" t="s">
        <v>110</v>
      </c>
    </row>
    <row r="4624" spans="1:6">
      <c r="A4624" s="4" t="str">
        <f t="shared" si="72"/>
        <v>tRNA-Val-TAC-1-1|3</v>
      </c>
      <c r="B4624" s="4" t="s">
        <v>99</v>
      </c>
      <c r="C4624" s="4" t="s">
        <v>112</v>
      </c>
      <c r="D4624" s="4">
        <v>3</v>
      </c>
      <c r="E4624" s="16" t="s">
        <v>109</v>
      </c>
      <c r="F4624" s="17" t="s">
        <v>110</v>
      </c>
    </row>
    <row r="4625" spans="1:6">
      <c r="A4625" s="4" t="str">
        <f t="shared" si="72"/>
        <v>tRNA-Val-TAC-1-1|4</v>
      </c>
      <c r="B4625" s="4" t="s">
        <v>99</v>
      </c>
      <c r="C4625" s="4" t="s">
        <v>113</v>
      </c>
      <c r="D4625" s="4">
        <v>4</v>
      </c>
      <c r="E4625" s="16" t="s">
        <v>114</v>
      </c>
      <c r="F4625" s="17" t="s">
        <v>110</v>
      </c>
    </row>
    <row r="4626" spans="1:6">
      <c r="A4626" s="4" t="str">
        <f t="shared" si="72"/>
        <v>tRNA-Val-TAC-1-1|5</v>
      </c>
      <c r="B4626" s="4" t="s">
        <v>99</v>
      </c>
      <c r="C4626" s="4" t="s">
        <v>115</v>
      </c>
      <c r="D4626" s="4">
        <v>5</v>
      </c>
      <c r="E4626" s="16" t="s">
        <v>116</v>
      </c>
      <c r="F4626" s="17" t="s">
        <v>110</v>
      </c>
    </row>
    <row r="4627" spans="1:6">
      <c r="A4627" s="4" t="str">
        <f t="shared" si="72"/>
        <v>tRNA-Val-TAC-1-1|6</v>
      </c>
      <c r="B4627" s="4" t="s">
        <v>99</v>
      </c>
      <c r="C4627" s="4" t="s">
        <v>117</v>
      </c>
      <c r="D4627" s="4">
        <v>6</v>
      </c>
      <c r="E4627" s="16" t="s">
        <v>114</v>
      </c>
      <c r="F4627" s="17" t="s">
        <v>110</v>
      </c>
    </row>
    <row r="4628" spans="1:6">
      <c r="A4628" s="4" t="str">
        <f t="shared" si="72"/>
        <v>tRNA-Val-TAC-1-1|7</v>
      </c>
      <c r="B4628" s="4" t="s">
        <v>99</v>
      </c>
      <c r="C4628" s="4" t="s">
        <v>118</v>
      </c>
      <c r="D4628" s="4">
        <v>7</v>
      </c>
      <c r="E4628" s="16" t="s">
        <v>109</v>
      </c>
      <c r="F4628" s="17" t="s">
        <v>110</v>
      </c>
    </row>
    <row r="4629" spans="1:6">
      <c r="A4629" s="4" t="str">
        <f t="shared" si="72"/>
        <v>tRNA-Val-TAC-1-1|8</v>
      </c>
      <c r="B4629" s="4" t="s">
        <v>99</v>
      </c>
      <c r="C4629" s="4" t="s">
        <v>119</v>
      </c>
      <c r="D4629" s="4">
        <v>8</v>
      </c>
      <c r="E4629" s="3" t="s">
        <v>116</v>
      </c>
      <c r="F4629" s="4" t="s">
        <v>120</v>
      </c>
    </row>
    <row r="4630" spans="1:6">
      <c r="A4630" s="4" t="str">
        <f t="shared" si="72"/>
        <v>tRNA-Val-TAC-1-1|9</v>
      </c>
      <c r="B4630" s="4" t="s">
        <v>99</v>
      </c>
      <c r="C4630" s="4" t="s">
        <v>121</v>
      </c>
      <c r="D4630" s="4">
        <v>9</v>
      </c>
      <c r="E4630" s="3" t="s">
        <v>109</v>
      </c>
      <c r="F4630" s="4" t="s">
        <v>123</v>
      </c>
    </row>
    <row r="4631" spans="1:6">
      <c r="A4631" s="4" t="str">
        <f t="shared" si="72"/>
        <v>tRNA-Val-TAC-1-1|10</v>
      </c>
      <c r="B4631" s="4" t="s">
        <v>99</v>
      </c>
      <c r="C4631" s="4" t="s">
        <v>124</v>
      </c>
      <c r="D4631" s="4">
        <v>10</v>
      </c>
      <c r="E4631" s="8" t="s">
        <v>109</v>
      </c>
      <c r="F4631" s="7" t="s">
        <v>125</v>
      </c>
    </row>
    <row r="4632" spans="1:6">
      <c r="A4632" s="4" t="str">
        <f t="shared" si="72"/>
        <v>tRNA-Val-TAC-1-1|11</v>
      </c>
      <c r="B4632" s="4" t="s">
        <v>99</v>
      </c>
      <c r="C4632" s="4" t="s">
        <v>126</v>
      </c>
      <c r="D4632" s="4">
        <v>11</v>
      </c>
      <c r="E4632" s="8" t="s">
        <v>116</v>
      </c>
      <c r="F4632" s="7" t="s">
        <v>125</v>
      </c>
    </row>
    <row r="4633" spans="1:6">
      <c r="A4633" s="4" t="str">
        <f t="shared" si="72"/>
        <v>tRNA-Val-TAC-1-1|12</v>
      </c>
      <c r="B4633" s="4" t="s">
        <v>99</v>
      </c>
      <c r="C4633" s="4" t="s">
        <v>127</v>
      </c>
      <c r="D4633" s="4">
        <v>12</v>
      </c>
      <c r="E4633" s="8" t="s">
        <v>114</v>
      </c>
      <c r="F4633" s="7" t="s">
        <v>125</v>
      </c>
    </row>
    <row r="4634" spans="1:6">
      <c r="A4634" s="4" t="str">
        <f t="shared" si="72"/>
        <v>tRNA-Val-TAC-1-1|13</v>
      </c>
      <c r="B4634" s="4" t="s">
        <v>99</v>
      </c>
      <c r="C4634" s="4" t="s">
        <v>128</v>
      </c>
      <c r="D4634" s="4">
        <v>13</v>
      </c>
      <c r="E4634" s="8" t="s">
        <v>116</v>
      </c>
      <c r="F4634" s="7" t="s">
        <v>125</v>
      </c>
    </row>
    <row r="4635" spans="1:6">
      <c r="A4635" s="4" t="str">
        <f t="shared" si="72"/>
        <v>tRNA-Val-TAC-1-1|14</v>
      </c>
      <c r="B4635" s="4" t="s">
        <v>99</v>
      </c>
      <c r="C4635" s="4" t="s">
        <v>129</v>
      </c>
      <c r="D4635" s="4">
        <v>14</v>
      </c>
      <c r="E4635" s="18" t="s">
        <v>122</v>
      </c>
      <c r="F4635" s="19" t="s">
        <v>130</v>
      </c>
    </row>
    <row r="4636" spans="1:6">
      <c r="A4636" s="4" t="str">
        <f t="shared" si="72"/>
        <v>tRNA-Val-TAC-1-1|15</v>
      </c>
      <c r="B4636" s="4" t="s">
        <v>99</v>
      </c>
      <c r="C4636" s="4" t="s">
        <v>131</v>
      </c>
      <c r="D4636" s="4">
        <v>15</v>
      </c>
      <c r="E4636" s="18" t="s">
        <v>109</v>
      </c>
      <c r="F4636" s="19" t="s">
        <v>130</v>
      </c>
    </row>
    <row r="4637" spans="1:6">
      <c r="A4637" s="4" t="str">
        <f t="shared" si="72"/>
        <v>tRNA-Val-TAC-1-1|16</v>
      </c>
      <c r="B4637" s="4" t="s">
        <v>99</v>
      </c>
      <c r="C4637" s="4" t="s">
        <v>194</v>
      </c>
      <c r="D4637" s="4">
        <v>16</v>
      </c>
      <c r="E4637" s="18" t="s">
        <v>116</v>
      </c>
      <c r="F4637" s="19" t="s">
        <v>130</v>
      </c>
    </row>
    <row r="4638" spans="1:6">
      <c r="A4638" s="4" t="str">
        <f t="shared" si="72"/>
        <v>tRNA-Val-TAC-1-1|17</v>
      </c>
      <c r="B4638" s="4" t="s">
        <v>99</v>
      </c>
      <c r="C4638" s="4" t="s">
        <v>195</v>
      </c>
      <c r="D4638" s="4">
        <v>17</v>
      </c>
      <c r="E4638" s="18" t="s">
        <v>114</v>
      </c>
      <c r="F4638" s="19" t="s">
        <v>130</v>
      </c>
    </row>
    <row r="4639" spans="1:6">
      <c r="A4639" s="4" t="str">
        <f t="shared" si="72"/>
        <v>tRNA-Val-TAC-1-1|18</v>
      </c>
      <c r="B4639" s="4" t="s">
        <v>99</v>
      </c>
      <c r="C4639" s="4" t="s">
        <v>132</v>
      </c>
      <c r="D4639" s="4">
        <v>18</v>
      </c>
      <c r="E4639" s="18" t="s">
        <v>109</v>
      </c>
      <c r="F4639" s="19" t="s">
        <v>130</v>
      </c>
    </row>
    <row r="4640" spans="1:6">
      <c r="A4640" s="4" t="str">
        <f t="shared" si="72"/>
        <v>tRNA-Val-TAC-1-1|19</v>
      </c>
      <c r="B4640" s="4" t="s">
        <v>99</v>
      </c>
      <c r="C4640" s="4" t="s">
        <v>133</v>
      </c>
      <c r="D4640" s="4">
        <v>19</v>
      </c>
      <c r="E4640" s="18" t="s">
        <v>109</v>
      </c>
      <c r="F4640" s="19" t="s">
        <v>130</v>
      </c>
    </row>
    <row r="4641" spans="1:6">
      <c r="A4641" s="4" t="str">
        <f t="shared" si="72"/>
        <v>tRNA-Val-TAC-1-1|20</v>
      </c>
      <c r="B4641" s="4" t="s">
        <v>99</v>
      </c>
      <c r="C4641" s="4" t="s">
        <v>134</v>
      </c>
      <c r="D4641" s="4">
        <v>20</v>
      </c>
      <c r="E4641" s="18" t="s">
        <v>116</v>
      </c>
      <c r="F4641" s="19" t="s">
        <v>130</v>
      </c>
    </row>
    <row r="4642" spans="1:6">
      <c r="A4642" s="4" t="str">
        <f t="shared" si="72"/>
        <v>tRNA-Val-TAC-1-1|20a</v>
      </c>
      <c r="B4642" s="4" t="s">
        <v>99</v>
      </c>
      <c r="C4642" s="4" t="s">
        <v>135</v>
      </c>
      <c r="D4642" s="4">
        <v>21</v>
      </c>
      <c r="E4642" s="18" t="s">
        <v>116</v>
      </c>
      <c r="F4642" s="19" t="s">
        <v>130</v>
      </c>
    </row>
    <row r="4643" spans="1:6">
      <c r="A4643" s="4" t="str">
        <f t="shared" si="72"/>
        <v>tRNA-Val-TAC-1-1|21</v>
      </c>
      <c r="B4643" s="4" t="s">
        <v>99</v>
      </c>
      <c r="C4643" s="4" t="s">
        <v>136</v>
      </c>
      <c r="D4643" s="4">
        <v>22</v>
      </c>
      <c r="E4643" s="18" t="s">
        <v>122</v>
      </c>
      <c r="F4643" s="19" t="s">
        <v>130</v>
      </c>
    </row>
    <row r="4644" spans="1:6">
      <c r="A4644" s="4" t="str">
        <f t="shared" si="72"/>
        <v>tRNA-Val-TAC-1-1|22</v>
      </c>
      <c r="B4644" s="4" t="s">
        <v>99</v>
      </c>
      <c r="C4644" s="4" t="s">
        <v>137</v>
      </c>
      <c r="D4644" s="4">
        <v>23</v>
      </c>
      <c r="E4644" s="8" t="s">
        <v>116</v>
      </c>
      <c r="F4644" s="7" t="s">
        <v>125</v>
      </c>
    </row>
    <row r="4645" spans="1:6">
      <c r="A4645" s="4" t="str">
        <f t="shared" si="72"/>
        <v>tRNA-Val-TAC-1-1|23</v>
      </c>
      <c r="B4645" s="4" t="s">
        <v>99</v>
      </c>
      <c r="C4645" s="4" t="s">
        <v>138</v>
      </c>
      <c r="D4645" s="4">
        <v>24</v>
      </c>
      <c r="E4645" s="8" t="s">
        <v>109</v>
      </c>
      <c r="F4645" s="7" t="s">
        <v>125</v>
      </c>
    </row>
    <row r="4646" spans="1:6">
      <c r="A4646" s="4" t="str">
        <f t="shared" si="72"/>
        <v>tRNA-Val-TAC-1-1|24</v>
      </c>
      <c r="B4646" s="4" t="s">
        <v>99</v>
      </c>
      <c r="C4646" s="4" t="s">
        <v>139</v>
      </c>
      <c r="D4646" s="4">
        <v>25</v>
      </c>
      <c r="E4646" s="8" t="s">
        <v>122</v>
      </c>
      <c r="F4646" s="7" t="s">
        <v>125</v>
      </c>
    </row>
    <row r="4647" spans="1:6">
      <c r="A4647" s="4" t="str">
        <f t="shared" si="72"/>
        <v>tRNA-Val-TAC-1-1|25</v>
      </c>
      <c r="B4647" s="4" t="s">
        <v>99</v>
      </c>
      <c r="C4647" s="4" t="s">
        <v>140</v>
      </c>
      <c r="D4647" s="4">
        <v>26</v>
      </c>
      <c r="E4647" s="8" t="s">
        <v>114</v>
      </c>
      <c r="F4647" s="7" t="s">
        <v>125</v>
      </c>
    </row>
    <row r="4648" spans="1:6">
      <c r="A4648" s="4" t="str">
        <f t="shared" si="72"/>
        <v>tRNA-Val-TAC-1-1|26</v>
      </c>
      <c r="B4648" s="4" t="s">
        <v>99</v>
      </c>
      <c r="C4648" s="4" t="s">
        <v>141</v>
      </c>
      <c r="D4648" s="4">
        <v>27</v>
      </c>
      <c r="E4648" s="3" t="s">
        <v>122</v>
      </c>
      <c r="F4648" s="4" t="s">
        <v>142</v>
      </c>
    </row>
    <row r="4649" spans="1:6">
      <c r="A4649" s="4" t="str">
        <f t="shared" si="72"/>
        <v>tRNA-Val-TAC-1-1|27</v>
      </c>
      <c r="B4649" s="4" t="s">
        <v>99</v>
      </c>
      <c r="C4649" s="4" t="s">
        <v>143</v>
      </c>
      <c r="D4649" s="4">
        <v>28</v>
      </c>
      <c r="E4649" s="20" t="s">
        <v>116</v>
      </c>
      <c r="F4649" s="21" t="s">
        <v>144</v>
      </c>
    </row>
    <row r="4650" spans="1:6">
      <c r="A4650" s="4" t="str">
        <f t="shared" si="72"/>
        <v>tRNA-Val-TAC-1-1|28</v>
      </c>
      <c r="B4650" s="4" t="s">
        <v>99</v>
      </c>
      <c r="C4650" s="4" t="s">
        <v>145</v>
      </c>
      <c r="D4650" s="4">
        <v>29</v>
      </c>
      <c r="E4650" s="20" t="s">
        <v>114</v>
      </c>
      <c r="F4650" s="21" t="s">
        <v>144</v>
      </c>
    </row>
    <row r="4651" spans="1:6">
      <c r="A4651" s="4" t="str">
        <f t="shared" si="72"/>
        <v>tRNA-Val-TAC-1-1|29</v>
      </c>
      <c r="B4651" s="4" t="s">
        <v>99</v>
      </c>
      <c r="C4651" s="4" t="s">
        <v>146</v>
      </c>
      <c r="D4651" s="4">
        <v>30</v>
      </c>
      <c r="E4651" s="20" t="s">
        <v>109</v>
      </c>
      <c r="F4651" s="21" t="s">
        <v>144</v>
      </c>
    </row>
    <row r="4652" spans="1:6">
      <c r="A4652" s="4" t="str">
        <f t="shared" si="72"/>
        <v>tRNA-Val-TAC-1-1|30</v>
      </c>
      <c r="B4652" s="4" t="s">
        <v>99</v>
      </c>
      <c r="C4652" s="4" t="s">
        <v>147</v>
      </c>
      <c r="D4652" s="4">
        <v>31</v>
      </c>
      <c r="E4652" s="20" t="s">
        <v>114</v>
      </c>
      <c r="F4652" s="21" t="s">
        <v>144</v>
      </c>
    </row>
    <row r="4653" spans="1:6">
      <c r="A4653" s="4" t="str">
        <f t="shared" si="72"/>
        <v>tRNA-Val-TAC-1-1|31</v>
      </c>
      <c r="B4653" s="4" t="s">
        <v>99</v>
      </c>
      <c r="C4653" s="4" t="s">
        <v>148</v>
      </c>
      <c r="D4653" s="4">
        <v>32</v>
      </c>
      <c r="E4653" s="20" t="s">
        <v>114</v>
      </c>
      <c r="F4653" s="21" t="s">
        <v>144</v>
      </c>
    </row>
    <row r="4654" spans="1:6">
      <c r="A4654" s="4" t="str">
        <f t="shared" si="72"/>
        <v>tRNA-Val-TAC-1-1|32</v>
      </c>
      <c r="B4654" s="4" t="s">
        <v>99</v>
      </c>
      <c r="C4654" s="4" t="s">
        <v>149</v>
      </c>
      <c r="D4654" s="4">
        <v>33</v>
      </c>
      <c r="E4654" s="18" t="s">
        <v>116</v>
      </c>
      <c r="F4654" s="19" t="s">
        <v>150</v>
      </c>
    </row>
    <row r="4655" spans="1:6">
      <c r="A4655" s="4" t="str">
        <f t="shared" si="72"/>
        <v>tRNA-Val-TAC-1-1|33</v>
      </c>
      <c r="B4655" s="4" t="s">
        <v>99</v>
      </c>
      <c r="C4655" s="4" t="s">
        <v>151</v>
      </c>
      <c r="D4655" s="4">
        <v>34</v>
      </c>
      <c r="E4655" s="18" t="s">
        <v>116</v>
      </c>
      <c r="F4655" s="19" t="s">
        <v>150</v>
      </c>
    </row>
    <row r="4656" spans="1:6">
      <c r="A4656" s="4" t="str">
        <f t="shared" si="72"/>
        <v>tRNA-Val-TAC-1-1|34</v>
      </c>
      <c r="B4656" s="4" t="s">
        <v>99</v>
      </c>
      <c r="C4656" s="4" t="s">
        <v>152</v>
      </c>
      <c r="D4656" s="4">
        <v>35</v>
      </c>
      <c r="E4656" s="18" t="s">
        <v>116</v>
      </c>
      <c r="F4656" s="19" t="s">
        <v>150</v>
      </c>
    </row>
    <row r="4657" spans="1:6">
      <c r="A4657" s="4" t="str">
        <f t="shared" si="72"/>
        <v>tRNA-Val-TAC-1-1|35</v>
      </c>
      <c r="B4657" s="4" t="s">
        <v>99</v>
      </c>
      <c r="C4657" s="4" t="s">
        <v>153</v>
      </c>
      <c r="D4657" s="4">
        <v>36</v>
      </c>
      <c r="E4657" s="18" t="s">
        <v>122</v>
      </c>
      <c r="F4657" s="19" t="s">
        <v>150</v>
      </c>
    </row>
    <row r="4658" spans="1:6">
      <c r="A4658" s="4" t="str">
        <f t="shared" si="72"/>
        <v>tRNA-Val-TAC-1-1|36</v>
      </c>
      <c r="B4658" s="4" t="s">
        <v>99</v>
      </c>
      <c r="C4658" s="4" t="s">
        <v>154</v>
      </c>
      <c r="D4658" s="4">
        <v>37</v>
      </c>
      <c r="E4658" s="18" t="s">
        <v>114</v>
      </c>
      <c r="F4658" s="19" t="s">
        <v>150</v>
      </c>
    </row>
    <row r="4659" spans="1:6">
      <c r="A4659" s="4" t="str">
        <f t="shared" si="72"/>
        <v>tRNA-Val-TAC-1-1|37</v>
      </c>
      <c r="B4659" s="4" t="s">
        <v>99</v>
      </c>
      <c r="C4659" s="4" t="s">
        <v>155</v>
      </c>
      <c r="D4659" s="4">
        <v>38</v>
      </c>
      <c r="E4659" s="18" t="s">
        <v>122</v>
      </c>
      <c r="F4659" s="19" t="s">
        <v>150</v>
      </c>
    </row>
    <row r="4660" spans="1:6">
      <c r="A4660" s="4" t="str">
        <f t="shared" si="72"/>
        <v>tRNA-Val-TAC-1-1|38</v>
      </c>
      <c r="B4660" s="4" t="s">
        <v>99</v>
      </c>
      <c r="C4660" s="4" t="s">
        <v>156</v>
      </c>
      <c r="D4660" s="4">
        <v>39</v>
      </c>
      <c r="E4660" s="18" t="s">
        <v>114</v>
      </c>
      <c r="F4660" s="19" t="s">
        <v>150</v>
      </c>
    </row>
    <row r="4661" spans="1:6">
      <c r="A4661" s="4" t="str">
        <f t="shared" si="72"/>
        <v>tRNA-Val-TAC-1-1|39</v>
      </c>
      <c r="B4661" s="4" t="s">
        <v>99</v>
      </c>
      <c r="C4661" s="4" t="s">
        <v>157</v>
      </c>
      <c r="D4661" s="4">
        <v>40</v>
      </c>
      <c r="E4661" s="20" t="s">
        <v>109</v>
      </c>
      <c r="F4661" s="21" t="s">
        <v>144</v>
      </c>
    </row>
    <row r="4662" spans="1:6">
      <c r="A4662" s="4" t="str">
        <f t="shared" si="72"/>
        <v>tRNA-Val-TAC-1-1|40</v>
      </c>
      <c r="B4662" s="4" t="s">
        <v>99</v>
      </c>
      <c r="C4662" s="4" t="s">
        <v>158</v>
      </c>
      <c r="D4662" s="4">
        <v>41</v>
      </c>
      <c r="E4662" s="20" t="s">
        <v>109</v>
      </c>
      <c r="F4662" s="21" t="s">
        <v>144</v>
      </c>
    </row>
    <row r="4663" spans="1:6">
      <c r="A4663" s="4" t="str">
        <f t="shared" si="72"/>
        <v>tRNA-Val-TAC-1-1|41</v>
      </c>
      <c r="B4663" s="4" t="s">
        <v>99</v>
      </c>
      <c r="C4663" s="4" t="s">
        <v>159</v>
      </c>
      <c r="D4663" s="4">
        <v>42</v>
      </c>
      <c r="E4663" s="20" t="s">
        <v>114</v>
      </c>
      <c r="F4663" s="21" t="s">
        <v>144</v>
      </c>
    </row>
    <row r="4664" spans="1:6">
      <c r="A4664" s="4" t="str">
        <f t="shared" si="72"/>
        <v>tRNA-Val-TAC-1-1|42</v>
      </c>
      <c r="B4664" s="4" t="s">
        <v>99</v>
      </c>
      <c r="C4664" s="4" t="s">
        <v>160</v>
      </c>
      <c r="D4664" s="4">
        <v>43</v>
      </c>
      <c r="E4664" s="20" t="s">
        <v>109</v>
      </c>
      <c r="F4664" s="21" t="s">
        <v>144</v>
      </c>
    </row>
    <row r="4665" spans="1:6">
      <c r="A4665" s="4" t="str">
        <f t="shared" si="72"/>
        <v>tRNA-Val-TAC-1-1|43</v>
      </c>
      <c r="B4665" s="4" t="s">
        <v>99</v>
      </c>
      <c r="C4665" s="4" t="s">
        <v>161</v>
      </c>
      <c r="D4665" s="4">
        <v>44</v>
      </c>
      <c r="E4665" s="20" t="s">
        <v>109</v>
      </c>
      <c r="F4665" s="21" t="s">
        <v>144</v>
      </c>
    </row>
    <row r="4666" spans="1:6">
      <c r="A4666" s="4" t="str">
        <f t="shared" si="72"/>
        <v>tRNA-Val-TAC-1-1|44</v>
      </c>
      <c r="B4666" s="4" t="s">
        <v>99</v>
      </c>
      <c r="C4666" s="4" t="s">
        <v>162</v>
      </c>
      <c r="D4666" s="4">
        <v>45</v>
      </c>
      <c r="E4666" s="18" t="s">
        <v>109</v>
      </c>
      <c r="F4666" s="19" t="s">
        <v>163</v>
      </c>
    </row>
    <row r="4667" spans="1:6">
      <c r="A4667" s="4" t="str">
        <f t="shared" si="72"/>
        <v>tRNA-Val-TAC-1-1|45</v>
      </c>
      <c r="B4667" s="4" t="s">
        <v>99</v>
      </c>
      <c r="C4667" s="4" t="s">
        <v>164</v>
      </c>
      <c r="D4667" s="4">
        <v>46</v>
      </c>
      <c r="E4667" s="18" t="s">
        <v>109</v>
      </c>
      <c r="F4667" s="19" t="s">
        <v>163</v>
      </c>
    </row>
    <row r="4668" spans="1:6">
      <c r="A4668" s="4" t="str">
        <f t="shared" si="72"/>
        <v>tRNA-Val-TAC-1-1|46</v>
      </c>
      <c r="B4668" s="4" t="s">
        <v>99</v>
      </c>
      <c r="C4668" s="4" t="s">
        <v>165</v>
      </c>
      <c r="D4668" s="4">
        <v>47</v>
      </c>
      <c r="E4668" s="18" t="s">
        <v>122</v>
      </c>
      <c r="F4668" s="19" t="s">
        <v>163</v>
      </c>
    </row>
    <row r="4669" spans="1:6">
      <c r="A4669" s="4" t="str">
        <f t="shared" si="72"/>
        <v>tRNA-Val-TAC-1-1|47</v>
      </c>
      <c r="B4669" s="4" t="s">
        <v>99</v>
      </c>
      <c r="C4669" s="4" t="s">
        <v>166</v>
      </c>
      <c r="D4669" s="4">
        <v>48</v>
      </c>
      <c r="E4669" s="18" t="s">
        <v>116</v>
      </c>
      <c r="F4669" s="19" t="s">
        <v>163</v>
      </c>
    </row>
    <row r="4670" spans="1:6">
      <c r="A4670" s="4" t="str">
        <f t="shared" si="72"/>
        <v>tRNA-Val-TAC-1-1|48</v>
      </c>
      <c r="B4670" s="4" t="s">
        <v>99</v>
      </c>
      <c r="C4670" s="4" t="s">
        <v>167</v>
      </c>
      <c r="D4670" s="4">
        <v>49</v>
      </c>
      <c r="E4670" s="18" t="s">
        <v>114</v>
      </c>
      <c r="F4670" s="19" t="s">
        <v>163</v>
      </c>
    </row>
    <row r="4671" spans="1:6">
      <c r="A4671" s="4" t="str">
        <f t="shared" si="72"/>
        <v>tRNA-Val-TAC-1-1|49</v>
      </c>
      <c r="B4671" s="4" t="s">
        <v>99</v>
      </c>
      <c r="C4671" s="4" t="s">
        <v>168</v>
      </c>
      <c r="D4671" s="4">
        <v>50</v>
      </c>
      <c r="E4671" s="22" t="s">
        <v>114</v>
      </c>
      <c r="F4671" s="10" t="s">
        <v>169</v>
      </c>
    </row>
    <row r="4672" spans="1:6">
      <c r="A4672" s="4" t="str">
        <f t="shared" si="72"/>
        <v>tRNA-Val-TAC-1-1|50</v>
      </c>
      <c r="B4672" s="4" t="s">
        <v>99</v>
      </c>
      <c r="C4672" s="4" t="s">
        <v>170</v>
      </c>
      <c r="D4672" s="4">
        <v>51</v>
      </c>
      <c r="E4672" s="22" t="s">
        <v>116</v>
      </c>
      <c r="F4672" s="10" t="s">
        <v>169</v>
      </c>
    </row>
    <row r="4673" spans="1:6">
      <c r="A4673" s="4" t="str">
        <f t="shared" si="72"/>
        <v>tRNA-Val-TAC-1-1|51</v>
      </c>
      <c r="B4673" s="4" t="s">
        <v>99</v>
      </c>
      <c r="C4673" s="4" t="s">
        <v>171</v>
      </c>
      <c r="D4673" s="4">
        <v>52</v>
      </c>
      <c r="E4673" s="22" t="s">
        <v>109</v>
      </c>
      <c r="F4673" s="10" t="s">
        <v>169</v>
      </c>
    </row>
    <row r="4674" spans="1:6">
      <c r="A4674" s="4" t="str">
        <f t="shared" ref="A4674:A4737" si="73">B4674&amp;"|"&amp;C4674</f>
        <v>tRNA-Val-TAC-1-1|52</v>
      </c>
      <c r="B4674" s="4" t="s">
        <v>99</v>
      </c>
      <c r="C4674" s="4" t="s">
        <v>172</v>
      </c>
      <c r="D4674" s="4">
        <v>53</v>
      </c>
      <c r="E4674" s="22" t="s">
        <v>122</v>
      </c>
      <c r="F4674" s="10" t="s">
        <v>169</v>
      </c>
    </row>
    <row r="4675" spans="1:6">
      <c r="A4675" s="4" t="str">
        <f t="shared" si="73"/>
        <v>tRNA-Val-TAC-1-1|53</v>
      </c>
      <c r="B4675" s="4" t="s">
        <v>99</v>
      </c>
      <c r="C4675" s="4" t="s">
        <v>173</v>
      </c>
      <c r="D4675" s="4">
        <v>54</v>
      </c>
      <c r="E4675" s="22" t="s">
        <v>109</v>
      </c>
      <c r="F4675" s="10" t="s">
        <v>169</v>
      </c>
    </row>
    <row r="4676" spans="1:6">
      <c r="A4676" s="4" t="str">
        <f t="shared" si="73"/>
        <v>tRNA-Val-TAC-1-1|54</v>
      </c>
      <c r="B4676" s="4" t="s">
        <v>99</v>
      </c>
      <c r="C4676" s="4" t="s">
        <v>174</v>
      </c>
      <c r="D4676" s="4">
        <v>55</v>
      </c>
      <c r="E4676" s="18" t="s">
        <v>116</v>
      </c>
      <c r="F4676" s="19" t="s">
        <v>175</v>
      </c>
    </row>
    <row r="4677" spans="1:6">
      <c r="A4677" s="4" t="str">
        <f t="shared" si="73"/>
        <v>tRNA-Val-TAC-1-1|55</v>
      </c>
      <c r="B4677" s="4" t="s">
        <v>99</v>
      </c>
      <c r="C4677" s="4" t="s">
        <v>176</v>
      </c>
      <c r="D4677" s="4">
        <v>56</v>
      </c>
      <c r="E4677" s="18" t="s">
        <v>116</v>
      </c>
      <c r="F4677" s="19" t="s">
        <v>175</v>
      </c>
    </row>
    <row r="4678" spans="1:6">
      <c r="A4678" s="4" t="str">
        <f t="shared" si="73"/>
        <v>tRNA-Val-TAC-1-1|56</v>
      </c>
      <c r="B4678" s="4" t="s">
        <v>99</v>
      </c>
      <c r="C4678" s="4" t="s">
        <v>177</v>
      </c>
      <c r="D4678" s="4">
        <v>57</v>
      </c>
      <c r="E4678" s="18" t="s">
        <v>114</v>
      </c>
      <c r="F4678" s="19" t="s">
        <v>175</v>
      </c>
    </row>
    <row r="4679" spans="1:6">
      <c r="A4679" s="4" t="str">
        <f t="shared" si="73"/>
        <v>tRNA-Val-TAC-1-1|57</v>
      </c>
      <c r="B4679" s="4" t="s">
        <v>99</v>
      </c>
      <c r="C4679" s="4" t="s">
        <v>178</v>
      </c>
      <c r="D4679" s="4">
        <v>58</v>
      </c>
      <c r="E4679" s="18" t="s">
        <v>109</v>
      </c>
      <c r="F4679" s="19" t="s">
        <v>175</v>
      </c>
    </row>
    <row r="4680" spans="1:6">
      <c r="A4680" s="4" t="str">
        <f t="shared" si="73"/>
        <v>tRNA-Val-TAC-1-1|58</v>
      </c>
      <c r="B4680" s="4" t="s">
        <v>99</v>
      </c>
      <c r="C4680" s="4" t="s">
        <v>179</v>
      </c>
      <c r="D4680" s="4">
        <v>59</v>
      </c>
      <c r="E4680" s="18" t="s">
        <v>122</v>
      </c>
      <c r="F4680" s="19" t="s">
        <v>175</v>
      </c>
    </row>
    <row r="4681" spans="1:6">
      <c r="A4681" s="4" t="str">
        <f t="shared" si="73"/>
        <v>tRNA-Val-TAC-1-1|59</v>
      </c>
      <c r="B4681" s="4" t="s">
        <v>99</v>
      </c>
      <c r="C4681" s="4" t="s">
        <v>180</v>
      </c>
      <c r="D4681" s="4">
        <v>60</v>
      </c>
      <c r="E4681" s="18" t="s">
        <v>122</v>
      </c>
      <c r="F4681" s="19" t="s">
        <v>175</v>
      </c>
    </row>
    <row r="4682" spans="1:6">
      <c r="A4682" s="4" t="str">
        <f t="shared" si="73"/>
        <v>tRNA-Val-TAC-1-1|60</v>
      </c>
      <c r="B4682" s="4" t="s">
        <v>99</v>
      </c>
      <c r="C4682" s="4" t="s">
        <v>181</v>
      </c>
      <c r="D4682" s="4">
        <v>61</v>
      </c>
      <c r="E4682" s="18" t="s">
        <v>116</v>
      </c>
      <c r="F4682" s="19" t="s">
        <v>175</v>
      </c>
    </row>
    <row r="4683" spans="1:6">
      <c r="A4683" s="4" t="str">
        <f t="shared" si="73"/>
        <v>tRNA-Val-TAC-1-1|61</v>
      </c>
      <c r="B4683" s="4" t="s">
        <v>99</v>
      </c>
      <c r="C4683" s="4" t="s">
        <v>182</v>
      </c>
      <c r="D4683" s="4">
        <v>62</v>
      </c>
      <c r="E4683" s="22" t="s">
        <v>114</v>
      </c>
      <c r="F4683" s="10" t="s">
        <v>169</v>
      </c>
    </row>
    <row r="4684" spans="1:6">
      <c r="A4684" s="4" t="str">
        <f t="shared" si="73"/>
        <v>tRNA-Val-TAC-1-1|62</v>
      </c>
      <c r="B4684" s="4" t="s">
        <v>99</v>
      </c>
      <c r="C4684" s="4" t="s">
        <v>183</v>
      </c>
      <c r="D4684" s="4">
        <v>63</v>
      </c>
      <c r="E4684" s="22" t="s">
        <v>116</v>
      </c>
      <c r="F4684" s="10" t="s">
        <v>169</v>
      </c>
    </row>
    <row r="4685" spans="1:6">
      <c r="A4685" s="4" t="str">
        <f t="shared" si="73"/>
        <v>tRNA-Val-TAC-1-1|63</v>
      </c>
      <c r="B4685" s="4" t="s">
        <v>99</v>
      </c>
      <c r="C4685" s="4" t="s">
        <v>184</v>
      </c>
      <c r="D4685" s="4">
        <v>64</v>
      </c>
      <c r="E4685" s="22" t="s">
        <v>114</v>
      </c>
      <c r="F4685" s="10" t="s">
        <v>169</v>
      </c>
    </row>
    <row r="4686" spans="1:6">
      <c r="A4686" s="4" t="str">
        <f t="shared" si="73"/>
        <v>tRNA-Val-TAC-1-1|64</v>
      </c>
      <c r="B4686" s="4" t="s">
        <v>99</v>
      </c>
      <c r="C4686" s="4" t="s">
        <v>185</v>
      </c>
      <c r="D4686" s="4">
        <v>65</v>
      </c>
      <c r="E4686" s="22" t="s">
        <v>122</v>
      </c>
      <c r="F4686" s="10" t="s">
        <v>169</v>
      </c>
    </row>
    <row r="4687" spans="1:6">
      <c r="A4687" s="4" t="str">
        <f t="shared" si="73"/>
        <v>tRNA-Val-TAC-1-1|65</v>
      </c>
      <c r="B4687" s="4" t="s">
        <v>99</v>
      </c>
      <c r="C4687" s="4" t="s">
        <v>186</v>
      </c>
      <c r="D4687" s="4">
        <v>66</v>
      </c>
      <c r="E4687" s="22" t="s">
        <v>109</v>
      </c>
      <c r="F4687" s="10" t="s">
        <v>169</v>
      </c>
    </row>
    <row r="4688" spans="1:6">
      <c r="A4688" s="4" t="str">
        <f t="shared" si="73"/>
        <v>tRNA-Val-TAC-1-1|66</v>
      </c>
      <c r="B4688" s="4" t="s">
        <v>99</v>
      </c>
      <c r="C4688" s="4" t="s">
        <v>187</v>
      </c>
      <c r="D4688" s="4">
        <v>67</v>
      </c>
      <c r="E4688" s="16" t="s">
        <v>114</v>
      </c>
      <c r="F4688" s="17" t="s">
        <v>110</v>
      </c>
    </row>
    <row r="4689" spans="1:6">
      <c r="A4689" s="4" t="str">
        <f t="shared" si="73"/>
        <v>tRNA-Val-TAC-1-1|67</v>
      </c>
      <c r="B4689" s="4" t="s">
        <v>99</v>
      </c>
      <c r="C4689" s="4" t="s">
        <v>188</v>
      </c>
      <c r="D4689" s="4">
        <v>68</v>
      </c>
      <c r="E4689" s="16" t="s">
        <v>109</v>
      </c>
      <c r="F4689" s="17" t="s">
        <v>110</v>
      </c>
    </row>
    <row r="4690" spans="1:6">
      <c r="A4690" s="4" t="str">
        <f t="shared" si="73"/>
        <v>tRNA-Val-TAC-1-1|68</v>
      </c>
      <c r="B4690" s="4" t="s">
        <v>99</v>
      </c>
      <c r="C4690" s="4" t="s">
        <v>189</v>
      </c>
      <c r="D4690" s="4">
        <v>69</v>
      </c>
      <c r="E4690" s="16" t="s">
        <v>109</v>
      </c>
      <c r="F4690" s="17" t="s">
        <v>110</v>
      </c>
    </row>
    <row r="4691" spans="1:6">
      <c r="A4691" s="4" t="str">
        <f t="shared" si="73"/>
        <v>tRNA-Val-TAC-1-1|69</v>
      </c>
      <c r="B4691" s="4" t="s">
        <v>99</v>
      </c>
      <c r="C4691" s="4" t="s">
        <v>190</v>
      </c>
      <c r="D4691" s="4">
        <v>70</v>
      </c>
      <c r="E4691" s="16" t="s">
        <v>109</v>
      </c>
      <c r="F4691" s="17" t="s">
        <v>110</v>
      </c>
    </row>
    <row r="4692" spans="1:6">
      <c r="A4692" s="4" t="str">
        <f t="shared" si="73"/>
        <v>tRNA-Val-TAC-1-1|70</v>
      </c>
      <c r="B4692" s="4" t="s">
        <v>99</v>
      </c>
      <c r="C4692" s="4" t="s">
        <v>191</v>
      </c>
      <c r="D4692" s="4">
        <v>71</v>
      </c>
      <c r="E4692" s="16" t="s">
        <v>114</v>
      </c>
      <c r="F4692" s="17" t="s">
        <v>110</v>
      </c>
    </row>
    <row r="4693" spans="1:6">
      <c r="A4693" s="4" t="str">
        <f t="shared" si="73"/>
        <v>tRNA-Val-TAC-1-1|71</v>
      </c>
      <c r="B4693" s="4" t="s">
        <v>99</v>
      </c>
      <c r="C4693" s="4" t="s">
        <v>192</v>
      </c>
      <c r="D4693" s="4">
        <v>72</v>
      </c>
      <c r="E4693" s="16" t="s">
        <v>114</v>
      </c>
      <c r="F4693" s="17" t="s">
        <v>110</v>
      </c>
    </row>
    <row r="4694" spans="1:6">
      <c r="A4694" s="4" t="str">
        <f t="shared" si="73"/>
        <v>tRNA-Val-TAC-1-1|72</v>
      </c>
      <c r="B4694" s="4" t="s">
        <v>99</v>
      </c>
      <c r="C4694" s="4" t="s">
        <v>193</v>
      </c>
      <c r="D4694" s="4">
        <v>73</v>
      </c>
      <c r="E4694" s="16" t="s">
        <v>114</v>
      </c>
      <c r="F4694" s="17" t="s">
        <v>110</v>
      </c>
    </row>
  </sheetData>
  <autoFilter ref="A1:F4694"/>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dimension ref="A1:K1765"/>
  <sheetViews>
    <sheetView workbookViewId="0">
      <pane ySplit="1" topLeftCell="A2" activePane="bottomLeft" state="frozen"/>
      <selection pane="bottomLeft"/>
    </sheetView>
  </sheetViews>
  <sheetFormatPr defaultColWidth="8.7109375" defaultRowHeight="15"/>
  <cols>
    <col min="1" max="1" width="19" customWidth="1"/>
    <col min="2" max="2" width="17" customWidth="1"/>
    <col min="3" max="3" width="13" customWidth="1"/>
    <col min="4" max="5" width="12" customWidth="1"/>
    <col min="6" max="7" width="9" customWidth="1"/>
    <col min="8" max="8" width="8" customWidth="1"/>
    <col min="9" max="10" width="9" customWidth="1"/>
    <col min="11" max="11" width="10" customWidth="1"/>
  </cols>
  <sheetData>
    <row r="1" spans="1:11" ht="30">
      <c r="A1" s="2" t="s">
        <v>1</v>
      </c>
      <c r="B1" s="2" t="s">
        <v>210</v>
      </c>
      <c r="C1" s="2" t="s">
        <v>211</v>
      </c>
      <c r="D1" s="2" t="s">
        <v>212</v>
      </c>
      <c r="E1" s="2" t="s">
        <v>213</v>
      </c>
      <c r="F1" s="2" t="s">
        <v>214</v>
      </c>
      <c r="G1" s="2" t="s">
        <v>215</v>
      </c>
      <c r="H1" s="2" t="s">
        <v>216</v>
      </c>
      <c r="I1" s="2" t="s">
        <v>217</v>
      </c>
      <c r="J1" s="2" t="s">
        <v>218</v>
      </c>
      <c r="K1" s="2" t="s">
        <v>219</v>
      </c>
    </row>
    <row r="2" spans="1:11">
      <c r="A2" s="4" t="s">
        <v>37</v>
      </c>
      <c r="B2" s="4" t="s">
        <v>110</v>
      </c>
      <c r="C2" s="4" t="s">
        <v>220</v>
      </c>
      <c r="D2" s="4">
        <f>INDEX(Positions!$D$2:$D$4694,MATCH($A2&amp;"|1",Positions!$A$2:$A$4694,0))</f>
        <v>1</v>
      </c>
      <c r="E2" s="4">
        <f>INDEX(Positions!$D$2:$D$4694,MATCH($A2&amp;"|72",Positions!$A$2:$A$4694,0))</f>
        <v>71</v>
      </c>
      <c r="F2" s="4" t="str">
        <f>INDEX(Positions!$E$2:$E$4694,MATCH($A2&amp;"|1",Positions!$A$2:$A$4694,0))</f>
        <v>G</v>
      </c>
      <c r="G2" s="4" t="str">
        <f>INDEX(Positions!$E$2:$E$4694,MATCH($A2&amp;"|72",Positions!$A$2:$A$4694,0))</f>
        <v>C</v>
      </c>
      <c r="H2" s="3" t="str">
        <f t="shared" ref="H2:H65" si="0">F2&amp;"-"&amp;G2</f>
        <v>G-C</v>
      </c>
      <c r="I2" s="4">
        <f t="shared" ref="I2:I65" si="1">(F2="G")+(G2="G")</f>
        <v>1</v>
      </c>
      <c r="J2" s="4">
        <f t="shared" ref="J2:J65" si="2">(F2="C")+(G2="C")</f>
        <v>1</v>
      </c>
      <c r="K2" s="3">
        <f t="shared" ref="K2:K65" si="3">I2+J2</f>
        <v>2</v>
      </c>
    </row>
    <row r="3" spans="1:11">
      <c r="A3" s="4" t="s">
        <v>37</v>
      </c>
      <c r="B3" s="4" t="s">
        <v>110</v>
      </c>
      <c r="C3" s="4" t="s">
        <v>221</v>
      </c>
      <c r="D3" s="4">
        <f>INDEX(Positions!$D$2:$D$4694,MATCH($A3&amp;"|2",Positions!$A$2:$A$4694,0))</f>
        <v>2</v>
      </c>
      <c r="E3" s="4">
        <f>INDEX(Positions!$D$2:$D$4694,MATCH($A3&amp;"|71",Positions!$A$2:$A$4694,0))</f>
        <v>70</v>
      </c>
      <c r="F3" s="4" t="str">
        <f>INDEX(Positions!$E$2:$E$4694,MATCH($A3&amp;"|2",Positions!$A$2:$A$4694,0))</f>
        <v>G</v>
      </c>
      <c r="G3" s="4" t="str">
        <f>INDEX(Positions!$E$2:$E$4694,MATCH($A3&amp;"|71",Positions!$A$2:$A$4694,0))</f>
        <v>C</v>
      </c>
      <c r="H3" s="3" t="str">
        <f t="shared" si="0"/>
        <v>G-C</v>
      </c>
      <c r="I3" s="4">
        <f t="shared" si="1"/>
        <v>1</v>
      </c>
      <c r="J3" s="4">
        <f t="shared" si="2"/>
        <v>1</v>
      </c>
      <c r="K3" s="3">
        <f t="shared" si="3"/>
        <v>2</v>
      </c>
    </row>
    <row r="4" spans="1:11">
      <c r="A4" s="4" t="s">
        <v>37</v>
      </c>
      <c r="B4" s="4" t="s">
        <v>110</v>
      </c>
      <c r="C4" s="4" t="s">
        <v>222</v>
      </c>
      <c r="D4" s="4">
        <f>INDEX(Positions!$D$2:$D$4694,MATCH($A4&amp;"|3",Positions!$A$2:$A$4694,0))</f>
        <v>3</v>
      </c>
      <c r="E4" s="4">
        <f>INDEX(Positions!$D$2:$D$4694,MATCH($A4&amp;"|70",Positions!$A$2:$A$4694,0))</f>
        <v>69</v>
      </c>
      <c r="F4" s="4" t="str">
        <f>INDEX(Positions!$E$2:$E$4694,MATCH($A4&amp;"|3",Positions!$A$2:$A$4694,0))</f>
        <v>G</v>
      </c>
      <c r="G4" s="4" t="str">
        <f>INDEX(Positions!$E$2:$E$4694,MATCH($A4&amp;"|70",Positions!$A$2:$A$4694,0))</f>
        <v>U</v>
      </c>
      <c r="H4" s="3" t="str">
        <f t="shared" si="0"/>
        <v>G-U</v>
      </c>
      <c r="I4" s="4">
        <f t="shared" si="1"/>
        <v>1</v>
      </c>
      <c r="J4" s="4">
        <f t="shared" si="2"/>
        <v>0</v>
      </c>
      <c r="K4" s="3">
        <f t="shared" si="3"/>
        <v>1</v>
      </c>
    </row>
    <row r="5" spans="1:11">
      <c r="A5" s="4" t="s">
        <v>37</v>
      </c>
      <c r="B5" s="4" t="s">
        <v>110</v>
      </c>
      <c r="C5" s="4" t="s">
        <v>223</v>
      </c>
      <c r="D5" s="4">
        <f>INDEX(Positions!$D$2:$D$4694,MATCH($A5&amp;"|4",Positions!$A$2:$A$4694,0))</f>
        <v>4</v>
      </c>
      <c r="E5" s="4">
        <f>INDEX(Positions!$D$2:$D$4694,MATCH($A5&amp;"|69",Positions!$A$2:$A$4694,0))</f>
        <v>68</v>
      </c>
      <c r="F5" s="4" t="str">
        <f>INDEX(Positions!$E$2:$E$4694,MATCH($A5&amp;"|4",Positions!$A$2:$A$4694,0))</f>
        <v>C</v>
      </c>
      <c r="G5" s="4" t="str">
        <f>INDEX(Positions!$E$2:$E$4694,MATCH($A5&amp;"|69",Positions!$A$2:$A$4694,0))</f>
        <v>G</v>
      </c>
      <c r="H5" s="3" t="str">
        <f t="shared" si="0"/>
        <v>C-G</v>
      </c>
      <c r="I5" s="4">
        <f t="shared" si="1"/>
        <v>1</v>
      </c>
      <c r="J5" s="4">
        <f t="shared" si="2"/>
        <v>1</v>
      </c>
      <c r="K5" s="3">
        <f t="shared" si="3"/>
        <v>2</v>
      </c>
    </row>
    <row r="6" spans="1:11">
      <c r="A6" s="4" t="s">
        <v>37</v>
      </c>
      <c r="B6" s="4" t="s">
        <v>110</v>
      </c>
      <c r="C6" s="4" t="s">
        <v>224</v>
      </c>
      <c r="D6" s="4">
        <f>INDEX(Positions!$D$2:$D$4694,MATCH($A6&amp;"|5",Positions!$A$2:$A$4694,0))</f>
        <v>5</v>
      </c>
      <c r="E6" s="4">
        <f>INDEX(Positions!$D$2:$D$4694,MATCH($A6&amp;"|68",Positions!$A$2:$A$4694,0))</f>
        <v>67</v>
      </c>
      <c r="F6" s="4" t="str">
        <f>INDEX(Positions!$E$2:$E$4694,MATCH($A6&amp;"|5",Positions!$A$2:$A$4694,0))</f>
        <v>U</v>
      </c>
      <c r="G6" s="4" t="str">
        <f>INDEX(Positions!$E$2:$E$4694,MATCH($A6&amp;"|68",Positions!$A$2:$A$4694,0))</f>
        <v>A</v>
      </c>
      <c r="H6" s="3" t="str">
        <f t="shared" si="0"/>
        <v>U-A</v>
      </c>
      <c r="I6" s="4">
        <f t="shared" si="1"/>
        <v>0</v>
      </c>
      <c r="J6" s="4">
        <f t="shared" si="2"/>
        <v>0</v>
      </c>
      <c r="K6" s="3">
        <f t="shared" si="3"/>
        <v>0</v>
      </c>
    </row>
    <row r="7" spans="1:11">
      <c r="A7" s="4" t="s">
        <v>37</v>
      </c>
      <c r="B7" s="4" t="s">
        <v>110</v>
      </c>
      <c r="C7" s="4" t="s">
        <v>225</v>
      </c>
      <c r="D7" s="4">
        <f>INDEX(Positions!$D$2:$D$4694,MATCH($A7&amp;"|6",Positions!$A$2:$A$4694,0))</f>
        <v>6</v>
      </c>
      <c r="E7" s="4">
        <f>INDEX(Positions!$D$2:$D$4694,MATCH($A7&amp;"|67",Positions!$A$2:$A$4694,0))</f>
        <v>66</v>
      </c>
      <c r="F7" s="4" t="str">
        <f>INDEX(Positions!$E$2:$E$4694,MATCH($A7&amp;"|6",Positions!$A$2:$A$4694,0))</f>
        <v>C</v>
      </c>
      <c r="G7" s="4" t="str">
        <f>INDEX(Positions!$E$2:$E$4694,MATCH($A7&amp;"|67",Positions!$A$2:$A$4694,0))</f>
        <v>G</v>
      </c>
      <c r="H7" s="3" t="str">
        <f t="shared" si="0"/>
        <v>C-G</v>
      </c>
      <c r="I7" s="4">
        <f t="shared" si="1"/>
        <v>1</v>
      </c>
      <c r="J7" s="4">
        <f t="shared" si="2"/>
        <v>1</v>
      </c>
      <c r="K7" s="3">
        <f t="shared" si="3"/>
        <v>2</v>
      </c>
    </row>
    <row r="8" spans="1:11">
      <c r="A8" s="4" t="s">
        <v>37</v>
      </c>
      <c r="B8" s="4" t="s">
        <v>110</v>
      </c>
      <c r="C8" s="4" t="s">
        <v>226</v>
      </c>
      <c r="D8" s="4">
        <f>INDEX(Positions!$D$2:$D$4694,MATCH($A8&amp;"|7",Positions!$A$2:$A$4694,0))</f>
        <v>7</v>
      </c>
      <c r="E8" s="4">
        <f>INDEX(Positions!$D$2:$D$4694,MATCH($A8&amp;"|66",Positions!$A$2:$A$4694,0))</f>
        <v>65</v>
      </c>
      <c r="F8" s="4" t="str">
        <f>INDEX(Positions!$E$2:$E$4694,MATCH($A8&amp;"|7",Positions!$A$2:$A$4694,0))</f>
        <v>G</v>
      </c>
      <c r="G8" s="4" t="str">
        <f>INDEX(Positions!$E$2:$E$4694,MATCH($A8&amp;"|66",Positions!$A$2:$A$4694,0))</f>
        <v>C</v>
      </c>
      <c r="H8" s="3" t="str">
        <f t="shared" si="0"/>
        <v>G-C</v>
      </c>
      <c r="I8" s="4">
        <f t="shared" si="1"/>
        <v>1</v>
      </c>
      <c r="J8" s="4">
        <f t="shared" si="2"/>
        <v>1</v>
      </c>
      <c r="K8" s="3">
        <f t="shared" si="3"/>
        <v>2</v>
      </c>
    </row>
    <row r="9" spans="1:11">
      <c r="A9" s="4" t="s">
        <v>37</v>
      </c>
      <c r="B9" s="4" t="s">
        <v>125</v>
      </c>
      <c r="C9" s="4" t="s">
        <v>227</v>
      </c>
      <c r="D9" s="4">
        <f>INDEX(Positions!$D$2:$D$4694,MATCH($A9&amp;"|10",Positions!$A$2:$A$4694,0))</f>
        <v>10</v>
      </c>
      <c r="E9" s="4">
        <f>INDEX(Positions!$D$2:$D$4694,MATCH($A9&amp;"|25",Positions!$A$2:$A$4694,0))</f>
        <v>24</v>
      </c>
      <c r="F9" s="4" t="str">
        <f>INDEX(Positions!$E$2:$E$4694,MATCH($A9&amp;"|10",Positions!$A$2:$A$4694,0))</f>
        <v>G</v>
      </c>
      <c r="G9" s="4" t="str">
        <f>INDEX(Positions!$E$2:$E$4694,MATCH($A9&amp;"|25",Positions!$A$2:$A$4694,0))</f>
        <v>C</v>
      </c>
      <c r="H9" s="3" t="str">
        <f t="shared" si="0"/>
        <v>G-C</v>
      </c>
      <c r="I9" s="4">
        <f t="shared" si="1"/>
        <v>1</v>
      </c>
      <c r="J9" s="4">
        <f t="shared" si="2"/>
        <v>1</v>
      </c>
      <c r="K9" s="3">
        <f t="shared" si="3"/>
        <v>2</v>
      </c>
    </row>
    <row r="10" spans="1:11">
      <c r="A10" s="4" t="s">
        <v>37</v>
      </c>
      <c r="B10" s="4" t="s">
        <v>125</v>
      </c>
      <c r="C10" s="4" t="s">
        <v>228</v>
      </c>
      <c r="D10" s="4">
        <f>INDEX(Positions!$D$2:$D$4694,MATCH($A10&amp;"|11",Positions!$A$2:$A$4694,0))</f>
        <v>11</v>
      </c>
      <c r="E10" s="4">
        <f>INDEX(Positions!$D$2:$D$4694,MATCH($A10&amp;"|24",Positions!$A$2:$A$4694,0))</f>
        <v>23</v>
      </c>
      <c r="F10" s="4" t="str">
        <f>INDEX(Positions!$E$2:$E$4694,MATCH($A10&amp;"|11",Positions!$A$2:$A$4694,0))</f>
        <v>A</v>
      </c>
      <c r="G10" s="4" t="str">
        <f>INDEX(Positions!$E$2:$E$4694,MATCH($A10&amp;"|24",Positions!$A$2:$A$4694,0))</f>
        <v>U</v>
      </c>
      <c r="H10" s="3" t="str">
        <f t="shared" si="0"/>
        <v>A-U</v>
      </c>
      <c r="I10" s="4">
        <f t="shared" si="1"/>
        <v>0</v>
      </c>
      <c r="J10" s="4">
        <f t="shared" si="2"/>
        <v>0</v>
      </c>
      <c r="K10" s="3">
        <f t="shared" si="3"/>
        <v>0</v>
      </c>
    </row>
    <row r="11" spans="1:11">
      <c r="A11" s="4" t="s">
        <v>37</v>
      </c>
      <c r="B11" s="4" t="s">
        <v>125</v>
      </c>
      <c r="C11" s="4" t="s">
        <v>229</v>
      </c>
      <c r="D11" s="4">
        <f>INDEX(Positions!$D$2:$D$4694,MATCH($A11&amp;"|12",Positions!$A$2:$A$4694,0))</f>
        <v>12</v>
      </c>
      <c r="E11" s="4">
        <f>INDEX(Positions!$D$2:$D$4694,MATCH($A11&amp;"|23",Positions!$A$2:$A$4694,0))</f>
        <v>22</v>
      </c>
      <c r="F11" s="4" t="str">
        <f>INDEX(Positions!$E$2:$E$4694,MATCH($A11&amp;"|12",Positions!$A$2:$A$4694,0))</f>
        <v>U</v>
      </c>
      <c r="G11" s="4" t="str">
        <f>INDEX(Positions!$E$2:$E$4694,MATCH($A11&amp;"|23",Positions!$A$2:$A$4694,0))</f>
        <v>A</v>
      </c>
      <c r="H11" s="3" t="str">
        <f t="shared" si="0"/>
        <v>U-A</v>
      </c>
      <c r="I11" s="4">
        <f t="shared" si="1"/>
        <v>0</v>
      </c>
      <c r="J11" s="4">
        <f t="shared" si="2"/>
        <v>0</v>
      </c>
      <c r="K11" s="3">
        <f t="shared" si="3"/>
        <v>0</v>
      </c>
    </row>
    <row r="12" spans="1:11">
      <c r="A12" s="4" t="s">
        <v>37</v>
      </c>
      <c r="B12" s="4" t="s">
        <v>125</v>
      </c>
      <c r="C12" s="4" t="s">
        <v>230</v>
      </c>
      <c r="D12" s="4">
        <f>INDEX(Positions!$D$2:$D$4694,MATCH($A12&amp;"|13",Positions!$A$2:$A$4694,0))</f>
        <v>13</v>
      </c>
      <c r="E12" s="4">
        <f>INDEX(Positions!$D$2:$D$4694,MATCH($A12&amp;"|22",Positions!$A$2:$A$4694,0))</f>
        <v>21</v>
      </c>
      <c r="F12" s="4" t="str">
        <f>INDEX(Positions!$E$2:$E$4694,MATCH($A12&amp;"|13",Positions!$A$2:$A$4694,0))</f>
        <v>C</v>
      </c>
      <c r="G12" s="4" t="str">
        <f>INDEX(Positions!$E$2:$E$4694,MATCH($A12&amp;"|22",Positions!$A$2:$A$4694,0))</f>
        <v>G</v>
      </c>
      <c r="H12" s="3" t="str">
        <f t="shared" si="0"/>
        <v>C-G</v>
      </c>
      <c r="I12" s="4">
        <f t="shared" si="1"/>
        <v>1</v>
      </c>
      <c r="J12" s="4">
        <f t="shared" si="2"/>
        <v>1</v>
      </c>
      <c r="K12" s="3">
        <f t="shared" si="3"/>
        <v>2</v>
      </c>
    </row>
    <row r="13" spans="1:11">
      <c r="A13" s="4" t="s">
        <v>37</v>
      </c>
      <c r="B13" s="4" t="s">
        <v>144</v>
      </c>
      <c r="C13" s="4" t="s">
        <v>231</v>
      </c>
      <c r="D13" s="4">
        <f>INDEX(Positions!$D$2:$D$4694,MATCH($A13&amp;"|27",Positions!$A$2:$A$4694,0))</f>
        <v>26</v>
      </c>
      <c r="E13" s="4">
        <f>INDEX(Positions!$D$2:$D$4694,MATCH($A13&amp;"|43",Positions!$A$2:$A$4694,0))</f>
        <v>42</v>
      </c>
      <c r="F13" s="4" t="str">
        <f>INDEX(Positions!$E$2:$E$4694,MATCH($A13&amp;"|27",Positions!$A$2:$A$4694,0))</f>
        <v>U</v>
      </c>
      <c r="G13" s="4" t="str">
        <f>INDEX(Positions!$E$2:$E$4694,MATCH($A13&amp;"|43",Positions!$A$2:$A$4694,0))</f>
        <v>A</v>
      </c>
      <c r="H13" s="3" t="str">
        <f t="shared" si="0"/>
        <v>U-A</v>
      </c>
      <c r="I13" s="4">
        <f t="shared" si="1"/>
        <v>0</v>
      </c>
      <c r="J13" s="4">
        <f t="shared" si="2"/>
        <v>0</v>
      </c>
      <c r="K13" s="3">
        <f t="shared" si="3"/>
        <v>0</v>
      </c>
    </row>
    <row r="14" spans="1:11">
      <c r="A14" s="4" t="s">
        <v>37</v>
      </c>
      <c r="B14" s="4" t="s">
        <v>144</v>
      </c>
      <c r="C14" s="4" t="s">
        <v>232</v>
      </c>
      <c r="D14" s="4">
        <f>INDEX(Positions!$D$2:$D$4694,MATCH($A14&amp;"|28",Positions!$A$2:$A$4694,0))</f>
        <v>27</v>
      </c>
      <c r="E14" s="4">
        <f>INDEX(Positions!$D$2:$D$4694,MATCH($A14&amp;"|42",Positions!$A$2:$A$4694,0))</f>
        <v>41</v>
      </c>
      <c r="F14" s="4" t="str">
        <f>INDEX(Positions!$E$2:$E$4694,MATCH($A14&amp;"|28",Positions!$A$2:$A$4694,0))</f>
        <v>U</v>
      </c>
      <c r="G14" s="4" t="str">
        <f>INDEX(Positions!$E$2:$E$4694,MATCH($A14&amp;"|42",Positions!$A$2:$A$4694,0))</f>
        <v>A</v>
      </c>
      <c r="H14" s="3" t="str">
        <f t="shared" si="0"/>
        <v>U-A</v>
      </c>
      <c r="I14" s="4">
        <f t="shared" si="1"/>
        <v>0</v>
      </c>
      <c r="J14" s="4">
        <f t="shared" si="2"/>
        <v>0</v>
      </c>
      <c r="K14" s="3">
        <f t="shared" si="3"/>
        <v>0</v>
      </c>
    </row>
    <row r="15" spans="1:11">
      <c r="A15" s="4" t="s">
        <v>37</v>
      </c>
      <c r="B15" s="4" t="s">
        <v>144</v>
      </c>
      <c r="C15" s="4" t="s">
        <v>233</v>
      </c>
      <c r="D15" s="4">
        <f>INDEX(Positions!$D$2:$D$4694,MATCH($A15&amp;"|29",Positions!$A$2:$A$4694,0))</f>
        <v>28</v>
      </c>
      <c r="E15" s="4">
        <f>INDEX(Positions!$D$2:$D$4694,MATCH($A15&amp;"|41",Positions!$A$2:$A$4694,0))</f>
        <v>40</v>
      </c>
      <c r="F15" s="4" t="str">
        <f>INDEX(Positions!$E$2:$E$4694,MATCH($A15&amp;"|29",Positions!$A$2:$A$4694,0))</f>
        <v>A</v>
      </c>
      <c r="G15" s="4" t="str">
        <f>INDEX(Positions!$E$2:$E$4694,MATCH($A15&amp;"|41",Positions!$A$2:$A$4694,0))</f>
        <v>U</v>
      </c>
      <c r="H15" s="3" t="str">
        <f t="shared" si="0"/>
        <v>A-U</v>
      </c>
      <c r="I15" s="4">
        <f t="shared" si="1"/>
        <v>0</v>
      </c>
      <c r="J15" s="4">
        <f t="shared" si="2"/>
        <v>0</v>
      </c>
      <c r="K15" s="3">
        <f t="shared" si="3"/>
        <v>0</v>
      </c>
    </row>
    <row r="16" spans="1:11">
      <c r="A16" s="4" t="s">
        <v>37</v>
      </c>
      <c r="B16" s="4" t="s">
        <v>144</v>
      </c>
      <c r="C16" s="4" t="s">
        <v>234</v>
      </c>
      <c r="D16" s="4">
        <f>INDEX(Positions!$D$2:$D$4694,MATCH($A16&amp;"|30",Positions!$A$2:$A$4694,0))</f>
        <v>29</v>
      </c>
      <c r="E16" s="4">
        <f>INDEX(Positions!$D$2:$D$4694,MATCH($A16&amp;"|40",Positions!$A$2:$A$4694,0))</f>
        <v>39</v>
      </c>
      <c r="F16" s="4" t="str">
        <f>INDEX(Positions!$E$2:$E$4694,MATCH($A16&amp;"|30",Positions!$A$2:$A$4694,0))</f>
        <v>C</v>
      </c>
      <c r="G16" s="4" t="str">
        <f>INDEX(Positions!$E$2:$E$4694,MATCH($A16&amp;"|40",Positions!$A$2:$A$4694,0))</f>
        <v>G</v>
      </c>
      <c r="H16" s="3" t="str">
        <f t="shared" si="0"/>
        <v>C-G</v>
      </c>
      <c r="I16" s="4">
        <f t="shared" si="1"/>
        <v>1</v>
      </c>
      <c r="J16" s="4">
        <f t="shared" si="2"/>
        <v>1</v>
      </c>
      <c r="K16" s="3">
        <f t="shared" si="3"/>
        <v>2</v>
      </c>
    </row>
    <row r="17" spans="1:11">
      <c r="A17" s="4" t="s">
        <v>37</v>
      </c>
      <c r="B17" s="4" t="s">
        <v>144</v>
      </c>
      <c r="C17" s="4" t="s">
        <v>235</v>
      </c>
      <c r="D17" s="4">
        <f>INDEX(Positions!$D$2:$D$4694,MATCH($A17&amp;"|31",Positions!$A$2:$A$4694,0))</f>
        <v>30</v>
      </c>
      <c r="E17" s="4">
        <f>INDEX(Positions!$D$2:$D$4694,MATCH($A17&amp;"|39",Positions!$A$2:$A$4694,0))</f>
        <v>38</v>
      </c>
      <c r="F17" s="4" t="str">
        <f>INDEX(Positions!$E$2:$E$4694,MATCH($A17&amp;"|31",Positions!$A$2:$A$4694,0))</f>
        <v>G</v>
      </c>
      <c r="G17" s="4" t="str">
        <f>INDEX(Positions!$E$2:$E$4694,MATCH($A17&amp;"|39",Positions!$A$2:$A$4694,0))</f>
        <v>C</v>
      </c>
      <c r="H17" s="3" t="str">
        <f t="shared" si="0"/>
        <v>G-C</v>
      </c>
      <c r="I17" s="4">
        <f t="shared" si="1"/>
        <v>1</v>
      </c>
      <c r="J17" s="4">
        <f t="shared" si="2"/>
        <v>1</v>
      </c>
      <c r="K17" s="3">
        <f t="shared" si="3"/>
        <v>2</v>
      </c>
    </row>
    <row r="18" spans="1:11">
      <c r="A18" s="4" t="s">
        <v>37</v>
      </c>
      <c r="B18" s="4" t="s">
        <v>169</v>
      </c>
      <c r="C18" s="4" t="s">
        <v>236</v>
      </c>
      <c r="D18" s="4">
        <f>INDEX(Positions!$D$2:$D$4694,MATCH($A18&amp;"|49",Positions!$A$2:$A$4694,0))</f>
        <v>48</v>
      </c>
      <c r="E18" s="4">
        <f>INDEX(Positions!$D$2:$D$4694,MATCH($A18&amp;"|65",Positions!$A$2:$A$4694,0))</f>
        <v>64</v>
      </c>
      <c r="F18" s="4" t="str">
        <f>INDEX(Positions!$E$2:$E$4694,MATCH($A18&amp;"|49",Positions!$A$2:$A$4694,0))</f>
        <v>G</v>
      </c>
      <c r="G18" s="4" t="str">
        <f>INDEX(Positions!$E$2:$E$4694,MATCH($A18&amp;"|65",Positions!$A$2:$A$4694,0))</f>
        <v>C</v>
      </c>
      <c r="H18" s="3" t="str">
        <f t="shared" si="0"/>
        <v>G-C</v>
      </c>
      <c r="I18" s="4">
        <f t="shared" si="1"/>
        <v>1</v>
      </c>
      <c r="J18" s="4">
        <f t="shared" si="2"/>
        <v>1</v>
      </c>
      <c r="K18" s="3">
        <f t="shared" si="3"/>
        <v>2</v>
      </c>
    </row>
    <row r="19" spans="1:11">
      <c r="A19" s="4" t="s">
        <v>37</v>
      </c>
      <c r="B19" s="4" t="s">
        <v>169</v>
      </c>
      <c r="C19" s="4" t="s">
        <v>237</v>
      </c>
      <c r="D19" s="4">
        <f>INDEX(Positions!$D$2:$D$4694,MATCH($A19&amp;"|50",Positions!$A$2:$A$4694,0))</f>
        <v>49</v>
      </c>
      <c r="E19" s="4">
        <f>INDEX(Positions!$D$2:$D$4694,MATCH($A19&amp;"|64",Positions!$A$2:$A$4694,0))</f>
        <v>63</v>
      </c>
      <c r="F19" s="4" t="str">
        <f>INDEX(Positions!$E$2:$E$4694,MATCH($A19&amp;"|50",Positions!$A$2:$A$4694,0))</f>
        <v>C</v>
      </c>
      <c r="G19" s="4" t="str">
        <f>INDEX(Positions!$E$2:$E$4694,MATCH($A19&amp;"|64",Positions!$A$2:$A$4694,0))</f>
        <v>G</v>
      </c>
      <c r="H19" s="3" t="str">
        <f t="shared" si="0"/>
        <v>C-G</v>
      </c>
      <c r="I19" s="4">
        <f t="shared" si="1"/>
        <v>1</v>
      </c>
      <c r="J19" s="4">
        <f t="shared" si="2"/>
        <v>1</v>
      </c>
      <c r="K19" s="3">
        <f t="shared" si="3"/>
        <v>2</v>
      </c>
    </row>
    <row r="20" spans="1:11">
      <c r="A20" s="4" t="s">
        <v>37</v>
      </c>
      <c r="B20" s="4" t="s">
        <v>169</v>
      </c>
      <c r="C20" s="4" t="s">
        <v>238</v>
      </c>
      <c r="D20" s="4">
        <f>INDEX(Positions!$D$2:$D$4694,MATCH($A20&amp;"|51",Positions!$A$2:$A$4694,0))</f>
        <v>50</v>
      </c>
      <c r="E20" s="4">
        <f>INDEX(Positions!$D$2:$D$4694,MATCH($A20&amp;"|63",Positions!$A$2:$A$4694,0))</f>
        <v>62</v>
      </c>
      <c r="F20" s="4" t="str">
        <f>INDEX(Positions!$E$2:$E$4694,MATCH($A20&amp;"|51",Positions!$A$2:$A$4694,0))</f>
        <v>G</v>
      </c>
      <c r="G20" s="4" t="str">
        <f>INDEX(Positions!$E$2:$E$4694,MATCH($A20&amp;"|63",Positions!$A$2:$A$4694,0))</f>
        <v>C</v>
      </c>
      <c r="H20" s="3" t="str">
        <f t="shared" si="0"/>
        <v>G-C</v>
      </c>
      <c r="I20" s="4">
        <f t="shared" si="1"/>
        <v>1</v>
      </c>
      <c r="J20" s="4">
        <f t="shared" si="2"/>
        <v>1</v>
      </c>
      <c r="K20" s="3">
        <f t="shared" si="3"/>
        <v>2</v>
      </c>
    </row>
    <row r="21" spans="1:11">
      <c r="A21" s="4" t="s">
        <v>37</v>
      </c>
      <c r="B21" s="4" t="s">
        <v>169</v>
      </c>
      <c r="C21" s="4" t="s">
        <v>239</v>
      </c>
      <c r="D21" s="4">
        <f>INDEX(Positions!$D$2:$D$4694,MATCH($A21&amp;"|52",Positions!$A$2:$A$4694,0))</f>
        <v>51</v>
      </c>
      <c r="E21" s="4">
        <f>INDEX(Positions!$D$2:$D$4694,MATCH($A21&amp;"|62",Positions!$A$2:$A$4694,0))</f>
        <v>61</v>
      </c>
      <c r="F21" s="4" t="str">
        <f>INDEX(Positions!$E$2:$E$4694,MATCH($A21&amp;"|52",Positions!$A$2:$A$4694,0))</f>
        <v>G</v>
      </c>
      <c r="G21" s="4" t="str">
        <f>INDEX(Positions!$E$2:$E$4694,MATCH($A21&amp;"|62",Positions!$A$2:$A$4694,0))</f>
        <v>C</v>
      </c>
      <c r="H21" s="3" t="str">
        <f t="shared" si="0"/>
        <v>G-C</v>
      </c>
      <c r="I21" s="4">
        <f t="shared" si="1"/>
        <v>1</v>
      </c>
      <c r="J21" s="4">
        <f t="shared" si="2"/>
        <v>1</v>
      </c>
      <c r="K21" s="3">
        <f t="shared" si="3"/>
        <v>2</v>
      </c>
    </row>
    <row r="22" spans="1:11">
      <c r="A22" s="4" t="s">
        <v>37</v>
      </c>
      <c r="B22" s="4" t="s">
        <v>169</v>
      </c>
      <c r="C22" s="4" t="s">
        <v>240</v>
      </c>
      <c r="D22" s="4">
        <f>INDEX(Positions!$D$2:$D$4694,MATCH($A22&amp;"|53",Positions!$A$2:$A$4694,0))</f>
        <v>52</v>
      </c>
      <c r="E22" s="4">
        <f>INDEX(Positions!$D$2:$D$4694,MATCH($A22&amp;"|61",Positions!$A$2:$A$4694,0))</f>
        <v>60</v>
      </c>
      <c r="F22" s="4" t="str">
        <f>INDEX(Positions!$E$2:$E$4694,MATCH($A22&amp;"|53",Positions!$A$2:$A$4694,0))</f>
        <v>G</v>
      </c>
      <c r="G22" s="4" t="str">
        <f>INDEX(Positions!$E$2:$E$4694,MATCH($A22&amp;"|61",Positions!$A$2:$A$4694,0))</f>
        <v>C</v>
      </c>
      <c r="H22" s="3" t="str">
        <f t="shared" si="0"/>
        <v>G-C</v>
      </c>
      <c r="I22" s="4">
        <f t="shared" si="1"/>
        <v>1</v>
      </c>
      <c r="J22" s="4">
        <f t="shared" si="2"/>
        <v>1</v>
      </c>
      <c r="K22" s="3">
        <f t="shared" si="3"/>
        <v>2</v>
      </c>
    </row>
    <row r="23" spans="1:11">
      <c r="A23" s="23" t="s">
        <v>37</v>
      </c>
      <c r="B23" s="23" t="s">
        <v>241</v>
      </c>
      <c r="C23" s="23" t="s">
        <v>242</v>
      </c>
      <c r="D23" s="23">
        <f>INDEX(Positions!$D$2:$D$4694,MATCH($A23&amp;"|8",Positions!$A$2:$A$4694,0))</f>
        <v>8</v>
      </c>
      <c r="E23" s="23">
        <f>INDEX(Positions!$D$2:$D$4694,MATCH($A23&amp;"|14",Positions!$A$2:$A$4694,0))</f>
        <v>14</v>
      </c>
      <c r="F23" s="23" t="str">
        <f>INDEX(Positions!$E$2:$E$4694,MATCH($A23&amp;"|8",Positions!$A$2:$A$4694,0))</f>
        <v>U</v>
      </c>
      <c r="G23" s="23" t="str">
        <f>INDEX(Positions!$E$2:$E$4694,MATCH($A23&amp;"|14",Positions!$A$2:$A$4694,0))</f>
        <v>A</v>
      </c>
      <c r="H23" s="24" t="str">
        <f t="shared" si="0"/>
        <v>U-A</v>
      </c>
      <c r="I23" s="23">
        <f t="shared" si="1"/>
        <v>0</v>
      </c>
      <c r="J23" s="23">
        <f t="shared" si="2"/>
        <v>0</v>
      </c>
      <c r="K23" s="24">
        <f t="shared" si="3"/>
        <v>0</v>
      </c>
    </row>
    <row r="24" spans="1:11">
      <c r="A24" s="23" t="s">
        <v>37</v>
      </c>
      <c r="B24" s="23" t="s">
        <v>241</v>
      </c>
      <c r="C24" s="23" t="s">
        <v>243</v>
      </c>
      <c r="D24" s="23">
        <f>INDEX(Positions!$D$2:$D$4694,MATCH($A24&amp;"|15",Positions!$A$2:$A$4694,0))</f>
        <v>15</v>
      </c>
      <c r="E24" s="23">
        <f>INDEX(Positions!$D$2:$D$4694,MATCH($A24&amp;"|48",Positions!$A$2:$A$4694,0))</f>
        <v>47</v>
      </c>
      <c r="F24" s="23" t="str">
        <f>INDEX(Positions!$E$2:$E$4694,MATCH($A24&amp;"|15",Positions!$A$2:$A$4694,0))</f>
        <v>G</v>
      </c>
      <c r="G24" s="23" t="str">
        <f>INDEX(Positions!$E$2:$E$4694,MATCH($A24&amp;"|48",Positions!$A$2:$A$4694,0))</f>
        <v>C</v>
      </c>
      <c r="H24" s="24" t="str">
        <f t="shared" si="0"/>
        <v>G-C</v>
      </c>
      <c r="I24" s="23">
        <f t="shared" si="1"/>
        <v>1</v>
      </c>
      <c r="J24" s="23">
        <f t="shared" si="2"/>
        <v>1</v>
      </c>
      <c r="K24" s="24">
        <f t="shared" si="3"/>
        <v>2</v>
      </c>
    </row>
    <row r="25" spans="1:11">
      <c r="A25" s="23" t="s">
        <v>37</v>
      </c>
      <c r="B25" s="23" t="s">
        <v>241</v>
      </c>
      <c r="C25" s="23" t="s">
        <v>244</v>
      </c>
      <c r="D25" s="23">
        <f>INDEX(Positions!$D$2:$D$4694,MATCH($A25&amp;"|18",Positions!$A$2:$A$4694,0))</f>
        <v>16</v>
      </c>
      <c r="E25" s="23">
        <f>INDEX(Positions!$D$2:$D$4694,MATCH($A25&amp;"|55",Positions!$A$2:$A$4694,0))</f>
        <v>54</v>
      </c>
      <c r="F25" s="23" t="str">
        <f>INDEX(Positions!$E$2:$E$4694,MATCH($A25&amp;"|18",Positions!$A$2:$A$4694,0))</f>
        <v>G</v>
      </c>
      <c r="G25" s="23" t="str">
        <f>INDEX(Positions!$E$2:$E$4694,MATCH($A25&amp;"|55",Positions!$A$2:$A$4694,0))</f>
        <v>U</v>
      </c>
      <c r="H25" s="24" t="str">
        <f t="shared" si="0"/>
        <v>G-U</v>
      </c>
      <c r="I25" s="23">
        <f t="shared" si="1"/>
        <v>1</v>
      </c>
      <c r="J25" s="23">
        <f t="shared" si="2"/>
        <v>0</v>
      </c>
      <c r="K25" s="24">
        <f t="shared" si="3"/>
        <v>1</v>
      </c>
    </row>
    <row r="26" spans="1:11">
      <c r="A26" s="23" t="s">
        <v>37</v>
      </c>
      <c r="B26" s="23" t="s">
        <v>241</v>
      </c>
      <c r="C26" s="23" t="s">
        <v>245</v>
      </c>
      <c r="D26" s="23">
        <f>INDEX(Positions!$D$2:$D$4694,MATCH($A26&amp;"|19",Positions!$A$2:$A$4694,0))</f>
        <v>17</v>
      </c>
      <c r="E26" s="23">
        <f>INDEX(Positions!$D$2:$D$4694,MATCH($A26&amp;"|56",Positions!$A$2:$A$4694,0))</f>
        <v>55</v>
      </c>
      <c r="F26" s="23" t="str">
        <f>INDEX(Positions!$E$2:$E$4694,MATCH($A26&amp;"|19",Positions!$A$2:$A$4694,0))</f>
        <v>G</v>
      </c>
      <c r="G26" s="23" t="str">
        <f>INDEX(Positions!$E$2:$E$4694,MATCH($A26&amp;"|56",Positions!$A$2:$A$4694,0))</f>
        <v>C</v>
      </c>
      <c r="H26" s="24" t="str">
        <f t="shared" si="0"/>
        <v>G-C</v>
      </c>
      <c r="I26" s="23">
        <f t="shared" si="1"/>
        <v>1</v>
      </c>
      <c r="J26" s="23">
        <f t="shared" si="2"/>
        <v>1</v>
      </c>
      <c r="K26" s="24">
        <f t="shared" si="3"/>
        <v>2</v>
      </c>
    </row>
    <row r="27" spans="1:11">
      <c r="A27" s="23" t="s">
        <v>37</v>
      </c>
      <c r="B27" s="23" t="s">
        <v>241</v>
      </c>
      <c r="C27" s="23" t="s">
        <v>246</v>
      </c>
      <c r="D27" s="23">
        <f>INDEX(Positions!$D$2:$D$4694,MATCH($A27&amp;"|26",Positions!$A$2:$A$4694,0))</f>
        <v>25</v>
      </c>
      <c r="E27" s="23">
        <f>INDEX(Positions!$D$2:$D$4694,MATCH($A27&amp;"|44",Positions!$A$2:$A$4694,0))</f>
        <v>43</v>
      </c>
      <c r="F27" s="23" t="str">
        <f>INDEX(Positions!$E$2:$E$4694,MATCH($A27&amp;"|26",Positions!$A$2:$A$4694,0))</f>
        <v>G</v>
      </c>
      <c r="G27" s="23" t="str">
        <f>INDEX(Positions!$E$2:$E$4694,MATCH($A27&amp;"|44",Positions!$A$2:$A$4694,0))</f>
        <v>A</v>
      </c>
      <c r="H27" s="24" t="str">
        <f t="shared" si="0"/>
        <v>G-A</v>
      </c>
      <c r="I27" s="23">
        <f t="shared" si="1"/>
        <v>1</v>
      </c>
      <c r="J27" s="23">
        <f t="shared" si="2"/>
        <v>0</v>
      </c>
      <c r="K27" s="24">
        <f t="shared" si="3"/>
        <v>1</v>
      </c>
    </row>
    <row r="28" spans="1:11">
      <c r="A28" s="23" t="s">
        <v>37</v>
      </c>
      <c r="B28" s="23" t="s">
        <v>241</v>
      </c>
      <c r="C28" s="23" t="s">
        <v>247</v>
      </c>
      <c r="D28" s="23">
        <f>INDEX(Positions!$D$2:$D$4694,MATCH($A28&amp;"|32",Positions!$A$2:$A$4694,0))</f>
        <v>31</v>
      </c>
      <c r="E28" s="23">
        <f>INDEX(Positions!$D$2:$D$4694,MATCH($A28&amp;"|38",Positions!$A$2:$A$4694,0))</f>
        <v>37</v>
      </c>
      <c r="F28" s="23" t="str">
        <f>INDEX(Positions!$E$2:$E$4694,MATCH($A28&amp;"|32",Positions!$A$2:$A$4694,0))</f>
        <v>U</v>
      </c>
      <c r="G28" s="23" t="str">
        <f>INDEX(Positions!$E$2:$E$4694,MATCH($A28&amp;"|38",Positions!$A$2:$A$4694,0))</f>
        <v>A</v>
      </c>
      <c r="H28" s="24" t="str">
        <f t="shared" si="0"/>
        <v>U-A</v>
      </c>
      <c r="I28" s="23">
        <f t="shared" si="1"/>
        <v>0</v>
      </c>
      <c r="J28" s="23">
        <f t="shared" si="2"/>
        <v>0</v>
      </c>
      <c r="K28" s="24">
        <f t="shared" si="3"/>
        <v>0</v>
      </c>
    </row>
    <row r="29" spans="1:11">
      <c r="A29" s="23" t="s">
        <v>37</v>
      </c>
      <c r="B29" s="23" t="s">
        <v>241</v>
      </c>
      <c r="C29" s="23" t="s">
        <v>248</v>
      </c>
      <c r="D29" s="23">
        <f>INDEX(Positions!$D$2:$D$4694,MATCH($A29&amp;"|54",Positions!$A$2:$A$4694,0))</f>
        <v>53</v>
      </c>
      <c r="E29" s="23">
        <f>INDEX(Positions!$D$2:$D$4694,MATCH($A29&amp;"|58",Positions!$A$2:$A$4694,0))</f>
        <v>57</v>
      </c>
      <c r="F29" s="23" t="str">
        <f>INDEX(Positions!$E$2:$E$4694,MATCH($A29&amp;"|54",Positions!$A$2:$A$4694,0))</f>
        <v>U</v>
      </c>
      <c r="G29" s="23" t="str">
        <f>INDEX(Positions!$E$2:$E$4694,MATCH($A29&amp;"|58",Positions!$A$2:$A$4694,0))</f>
        <v>A</v>
      </c>
      <c r="H29" s="24" t="str">
        <f t="shared" si="0"/>
        <v>U-A</v>
      </c>
      <c r="I29" s="23">
        <f t="shared" si="1"/>
        <v>0</v>
      </c>
      <c r="J29" s="23">
        <f t="shared" si="2"/>
        <v>0</v>
      </c>
      <c r="K29" s="24">
        <f t="shared" si="3"/>
        <v>0</v>
      </c>
    </row>
    <row r="30" spans="1:11">
      <c r="A30" s="4" t="s">
        <v>38</v>
      </c>
      <c r="B30" s="4" t="s">
        <v>110</v>
      </c>
      <c r="C30" s="4" t="s">
        <v>220</v>
      </c>
      <c r="D30" s="4">
        <f>INDEX(Positions!$D$2:$D$4694,MATCH($A30&amp;"|1",Positions!$A$2:$A$4694,0))</f>
        <v>1</v>
      </c>
      <c r="E30" s="4">
        <f>INDEX(Positions!$D$2:$D$4694,MATCH($A30&amp;"|72",Positions!$A$2:$A$4694,0))</f>
        <v>71</v>
      </c>
      <c r="F30" s="4" t="str">
        <f>INDEX(Positions!$E$2:$E$4694,MATCH($A30&amp;"|1",Positions!$A$2:$A$4694,0))</f>
        <v>G</v>
      </c>
      <c r="G30" s="4" t="str">
        <f>INDEX(Positions!$E$2:$E$4694,MATCH($A30&amp;"|72",Positions!$A$2:$A$4694,0))</f>
        <v>C</v>
      </c>
      <c r="H30" s="3" t="str">
        <f t="shared" si="0"/>
        <v>G-C</v>
      </c>
      <c r="I30" s="4">
        <f t="shared" si="1"/>
        <v>1</v>
      </c>
      <c r="J30" s="4">
        <f t="shared" si="2"/>
        <v>1</v>
      </c>
      <c r="K30" s="3">
        <f t="shared" si="3"/>
        <v>2</v>
      </c>
    </row>
    <row r="31" spans="1:11">
      <c r="A31" s="4" t="s">
        <v>38</v>
      </c>
      <c r="B31" s="4" t="s">
        <v>110</v>
      </c>
      <c r="C31" s="4" t="s">
        <v>221</v>
      </c>
      <c r="D31" s="4">
        <f>INDEX(Positions!$D$2:$D$4694,MATCH($A31&amp;"|2",Positions!$A$2:$A$4694,0))</f>
        <v>2</v>
      </c>
      <c r="E31" s="4">
        <f>INDEX(Positions!$D$2:$D$4694,MATCH($A31&amp;"|71",Positions!$A$2:$A$4694,0))</f>
        <v>70</v>
      </c>
      <c r="F31" s="4" t="str">
        <f>INDEX(Positions!$E$2:$E$4694,MATCH($A31&amp;"|2",Positions!$A$2:$A$4694,0))</f>
        <v>G</v>
      </c>
      <c r="G31" s="4" t="str">
        <f>INDEX(Positions!$E$2:$E$4694,MATCH($A31&amp;"|71",Positions!$A$2:$A$4694,0))</f>
        <v>C</v>
      </c>
      <c r="H31" s="3" t="str">
        <f t="shared" si="0"/>
        <v>G-C</v>
      </c>
      <c r="I31" s="4">
        <f t="shared" si="1"/>
        <v>1</v>
      </c>
      <c r="J31" s="4">
        <f t="shared" si="2"/>
        <v>1</v>
      </c>
      <c r="K31" s="3">
        <f t="shared" si="3"/>
        <v>2</v>
      </c>
    </row>
    <row r="32" spans="1:11">
      <c r="A32" s="4" t="s">
        <v>38</v>
      </c>
      <c r="B32" s="4" t="s">
        <v>110</v>
      </c>
      <c r="C32" s="4" t="s">
        <v>222</v>
      </c>
      <c r="D32" s="4">
        <f>INDEX(Positions!$D$2:$D$4694,MATCH($A32&amp;"|3",Positions!$A$2:$A$4694,0))</f>
        <v>3</v>
      </c>
      <c r="E32" s="4">
        <f>INDEX(Positions!$D$2:$D$4694,MATCH($A32&amp;"|70",Positions!$A$2:$A$4694,0))</f>
        <v>69</v>
      </c>
      <c r="F32" s="4" t="str">
        <f>INDEX(Positions!$E$2:$E$4694,MATCH($A32&amp;"|3",Positions!$A$2:$A$4694,0))</f>
        <v>G</v>
      </c>
      <c r="G32" s="4" t="str">
        <f>INDEX(Positions!$E$2:$E$4694,MATCH($A32&amp;"|70",Positions!$A$2:$A$4694,0))</f>
        <v>U</v>
      </c>
      <c r="H32" s="3" t="str">
        <f t="shared" si="0"/>
        <v>G-U</v>
      </c>
      <c r="I32" s="4">
        <f t="shared" si="1"/>
        <v>1</v>
      </c>
      <c r="J32" s="4">
        <f t="shared" si="2"/>
        <v>0</v>
      </c>
      <c r="K32" s="3">
        <f t="shared" si="3"/>
        <v>1</v>
      </c>
    </row>
    <row r="33" spans="1:11">
      <c r="A33" s="4" t="s">
        <v>38</v>
      </c>
      <c r="B33" s="4" t="s">
        <v>110</v>
      </c>
      <c r="C33" s="4" t="s">
        <v>223</v>
      </c>
      <c r="D33" s="4">
        <f>INDEX(Positions!$D$2:$D$4694,MATCH($A33&amp;"|4",Positions!$A$2:$A$4694,0))</f>
        <v>4</v>
      </c>
      <c r="E33" s="4">
        <f>INDEX(Positions!$D$2:$D$4694,MATCH($A33&amp;"|69",Positions!$A$2:$A$4694,0))</f>
        <v>68</v>
      </c>
      <c r="F33" s="4" t="str">
        <f>INDEX(Positions!$E$2:$E$4694,MATCH($A33&amp;"|4",Positions!$A$2:$A$4694,0))</f>
        <v>C</v>
      </c>
      <c r="G33" s="4" t="str">
        <f>INDEX(Positions!$E$2:$E$4694,MATCH($A33&amp;"|69",Positions!$A$2:$A$4694,0))</f>
        <v>G</v>
      </c>
      <c r="H33" s="3" t="str">
        <f t="shared" si="0"/>
        <v>C-G</v>
      </c>
      <c r="I33" s="4">
        <f t="shared" si="1"/>
        <v>1</v>
      </c>
      <c r="J33" s="4">
        <f t="shared" si="2"/>
        <v>1</v>
      </c>
      <c r="K33" s="3">
        <f t="shared" si="3"/>
        <v>2</v>
      </c>
    </row>
    <row r="34" spans="1:11">
      <c r="A34" s="4" t="s">
        <v>38</v>
      </c>
      <c r="B34" s="4" t="s">
        <v>110</v>
      </c>
      <c r="C34" s="4" t="s">
        <v>224</v>
      </c>
      <c r="D34" s="4">
        <f>INDEX(Positions!$D$2:$D$4694,MATCH($A34&amp;"|5",Positions!$A$2:$A$4694,0))</f>
        <v>5</v>
      </c>
      <c r="E34" s="4">
        <f>INDEX(Positions!$D$2:$D$4694,MATCH($A34&amp;"|68",Positions!$A$2:$A$4694,0))</f>
        <v>67</v>
      </c>
      <c r="F34" s="4" t="str">
        <f>INDEX(Positions!$E$2:$E$4694,MATCH($A34&amp;"|5",Positions!$A$2:$A$4694,0))</f>
        <v>C</v>
      </c>
      <c r="G34" s="4" t="str">
        <f>INDEX(Positions!$E$2:$E$4694,MATCH($A34&amp;"|68",Positions!$A$2:$A$4694,0))</f>
        <v>G</v>
      </c>
      <c r="H34" s="3" t="str">
        <f t="shared" si="0"/>
        <v>C-G</v>
      </c>
      <c r="I34" s="4">
        <f t="shared" si="1"/>
        <v>1</v>
      </c>
      <c r="J34" s="4">
        <f t="shared" si="2"/>
        <v>1</v>
      </c>
      <c r="K34" s="3">
        <f t="shared" si="3"/>
        <v>2</v>
      </c>
    </row>
    <row r="35" spans="1:11">
      <c r="A35" s="4" t="s">
        <v>38</v>
      </c>
      <c r="B35" s="4" t="s">
        <v>110</v>
      </c>
      <c r="C35" s="4" t="s">
        <v>225</v>
      </c>
      <c r="D35" s="4">
        <f>INDEX(Positions!$D$2:$D$4694,MATCH($A35&amp;"|6",Positions!$A$2:$A$4694,0))</f>
        <v>6</v>
      </c>
      <c r="E35" s="4">
        <f>INDEX(Positions!$D$2:$D$4694,MATCH($A35&amp;"|67",Positions!$A$2:$A$4694,0))</f>
        <v>66</v>
      </c>
      <c r="F35" s="4" t="str">
        <f>INDEX(Positions!$E$2:$E$4694,MATCH($A35&amp;"|6",Positions!$A$2:$A$4694,0))</f>
        <v>G</v>
      </c>
      <c r="G35" s="4" t="str">
        <f>INDEX(Positions!$E$2:$E$4694,MATCH($A35&amp;"|67",Positions!$A$2:$A$4694,0))</f>
        <v>C</v>
      </c>
      <c r="H35" s="3" t="str">
        <f t="shared" si="0"/>
        <v>G-C</v>
      </c>
      <c r="I35" s="4">
        <f t="shared" si="1"/>
        <v>1</v>
      </c>
      <c r="J35" s="4">
        <f t="shared" si="2"/>
        <v>1</v>
      </c>
      <c r="K35" s="3">
        <f t="shared" si="3"/>
        <v>2</v>
      </c>
    </row>
    <row r="36" spans="1:11">
      <c r="A36" s="4" t="s">
        <v>38</v>
      </c>
      <c r="B36" s="4" t="s">
        <v>110</v>
      </c>
      <c r="C36" s="4" t="s">
        <v>226</v>
      </c>
      <c r="D36" s="4">
        <f>INDEX(Positions!$D$2:$D$4694,MATCH($A36&amp;"|7",Positions!$A$2:$A$4694,0))</f>
        <v>7</v>
      </c>
      <c r="E36" s="4">
        <f>INDEX(Positions!$D$2:$D$4694,MATCH($A36&amp;"|66",Positions!$A$2:$A$4694,0))</f>
        <v>65</v>
      </c>
      <c r="F36" s="4" t="str">
        <f>INDEX(Positions!$E$2:$E$4694,MATCH($A36&amp;"|7",Positions!$A$2:$A$4694,0))</f>
        <v>G</v>
      </c>
      <c r="G36" s="4" t="str">
        <f>INDEX(Positions!$E$2:$E$4694,MATCH($A36&amp;"|66",Positions!$A$2:$A$4694,0))</f>
        <v>C</v>
      </c>
      <c r="H36" s="3" t="str">
        <f t="shared" si="0"/>
        <v>G-C</v>
      </c>
      <c r="I36" s="4">
        <f t="shared" si="1"/>
        <v>1</v>
      </c>
      <c r="J36" s="4">
        <f t="shared" si="2"/>
        <v>1</v>
      </c>
      <c r="K36" s="3">
        <f t="shared" si="3"/>
        <v>2</v>
      </c>
    </row>
    <row r="37" spans="1:11">
      <c r="A37" s="4" t="s">
        <v>38</v>
      </c>
      <c r="B37" s="4" t="s">
        <v>125</v>
      </c>
      <c r="C37" s="4" t="s">
        <v>227</v>
      </c>
      <c r="D37" s="4">
        <f>INDEX(Positions!$D$2:$D$4694,MATCH($A37&amp;"|10",Positions!$A$2:$A$4694,0))</f>
        <v>10</v>
      </c>
      <c r="E37" s="4">
        <f>INDEX(Positions!$D$2:$D$4694,MATCH($A37&amp;"|25",Positions!$A$2:$A$4694,0))</f>
        <v>24</v>
      </c>
      <c r="F37" s="4" t="str">
        <f>INDEX(Positions!$E$2:$E$4694,MATCH($A37&amp;"|10",Positions!$A$2:$A$4694,0))</f>
        <v>G</v>
      </c>
      <c r="G37" s="4" t="str">
        <f>INDEX(Positions!$E$2:$E$4694,MATCH($A37&amp;"|25",Positions!$A$2:$A$4694,0))</f>
        <v>C</v>
      </c>
      <c r="H37" s="3" t="str">
        <f t="shared" si="0"/>
        <v>G-C</v>
      </c>
      <c r="I37" s="4">
        <f t="shared" si="1"/>
        <v>1</v>
      </c>
      <c r="J37" s="4">
        <f t="shared" si="2"/>
        <v>1</v>
      </c>
      <c r="K37" s="3">
        <f t="shared" si="3"/>
        <v>2</v>
      </c>
    </row>
    <row r="38" spans="1:11">
      <c r="A38" s="4" t="s">
        <v>38</v>
      </c>
      <c r="B38" s="4" t="s">
        <v>125</v>
      </c>
      <c r="C38" s="4" t="s">
        <v>228</v>
      </c>
      <c r="D38" s="4">
        <f>INDEX(Positions!$D$2:$D$4694,MATCH($A38&amp;"|11",Positions!$A$2:$A$4694,0))</f>
        <v>11</v>
      </c>
      <c r="E38" s="4">
        <f>INDEX(Positions!$D$2:$D$4694,MATCH($A38&amp;"|24",Positions!$A$2:$A$4694,0))</f>
        <v>23</v>
      </c>
      <c r="F38" s="4" t="str">
        <f>INDEX(Positions!$E$2:$E$4694,MATCH($A38&amp;"|11",Positions!$A$2:$A$4694,0))</f>
        <v>A</v>
      </c>
      <c r="G38" s="4" t="str">
        <f>INDEX(Positions!$E$2:$E$4694,MATCH($A38&amp;"|24",Positions!$A$2:$A$4694,0))</f>
        <v>U</v>
      </c>
      <c r="H38" s="3" t="str">
        <f t="shared" si="0"/>
        <v>A-U</v>
      </c>
      <c r="I38" s="4">
        <f t="shared" si="1"/>
        <v>0</v>
      </c>
      <c r="J38" s="4">
        <f t="shared" si="2"/>
        <v>0</v>
      </c>
      <c r="K38" s="3">
        <f t="shared" si="3"/>
        <v>0</v>
      </c>
    </row>
    <row r="39" spans="1:11">
      <c r="A39" s="4" t="s">
        <v>38</v>
      </c>
      <c r="B39" s="4" t="s">
        <v>125</v>
      </c>
      <c r="C39" s="4" t="s">
        <v>229</v>
      </c>
      <c r="D39" s="4">
        <f>INDEX(Positions!$D$2:$D$4694,MATCH($A39&amp;"|12",Positions!$A$2:$A$4694,0))</f>
        <v>12</v>
      </c>
      <c r="E39" s="4">
        <f>INDEX(Positions!$D$2:$D$4694,MATCH($A39&amp;"|23",Positions!$A$2:$A$4694,0))</f>
        <v>22</v>
      </c>
      <c r="F39" s="4" t="str">
        <f>INDEX(Positions!$E$2:$E$4694,MATCH($A39&amp;"|12",Positions!$A$2:$A$4694,0))</f>
        <v>U</v>
      </c>
      <c r="G39" s="4" t="str">
        <f>INDEX(Positions!$E$2:$E$4694,MATCH($A39&amp;"|23",Positions!$A$2:$A$4694,0))</f>
        <v>A</v>
      </c>
      <c r="H39" s="3" t="str">
        <f t="shared" si="0"/>
        <v>U-A</v>
      </c>
      <c r="I39" s="4">
        <f t="shared" si="1"/>
        <v>0</v>
      </c>
      <c r="J39" s="4">
        <f t="shared" si="2"/>
        <v>0</v>
      </c>
      <c r="K39" s="3">
        <f t="shared" si="3"/>
        <v>0</v>
      </c>
    </row>
    <row r="40" spans="1:11">
      <c r="A40" s="4" t="s">
        <v>38</v>
      </c>
      <c r="B40" s="4" t="s">
        <v>125</v>
      </c>
      <c r="C40" s="4" t="s">
        <v>230</v>
      </c>
      <c r="D40" s="4">
        <f>INDEX(Positions!$D$2:$D$4694,MATCH($A40&amp;"|13",Positions!$A$2:$A$4694,0))</f>
        <v>13</v>
      </c>
      <c r="E40" s="4">
        <f>INDEX(Positions!$D$2:$D$4694,MATCH($A40&amp;"|22",Positions!$A$2:$A$4694,0))</f>
        <v>21</v>
      </c>
      <c r="F40" s="4" t="str">
        <f>INDEX(Positions!$E$2:$E$4694,MATCH($A40&amp;"|13",Positions!$A$2:$A$4694,0))</f>
        <v>C</v>
      </c>
      <c r="G40" s="4" t="str">
        <f>INDEX(Positions!$E$2:$E$4694,MATCH($A40&amp;"|22",Positions!$A$2:$A$4694,0))</f>
        <v>G</v>
      </c>
      <c r="H40" s="3" t="str">
        <f t="shared" si="0"/>
        <v>C-G</v>
      </c>
      <c r="I40" s="4">
        <f t="shared" si="1"/>
        <v>1</v>
      </c>
      <c r="J40" s="4">
        <f t="shared" si="2"/>
        <v>1</v>
      </c>
      <c r="K40" s="3">
        <f t="shared" si="3"/>
        <v>2</v>
      </c>
    </row>
    <row r="41" spans="1:11">
      <c r="A41" s="4" t="s">
        <v>38</v>
      </c>
      <c r="B41" s="4" t="s">
        <v>144</v>
      </c>
      <c r="C41" s="4" t="s">
        <v>231</v>
      </c>
      <c r="D41" s="4">
        <f>INDEX(Positions!$D$2:$D$4694,MATCH($A41&amp;"|27",Positions!$A$2:$A$4694,0))</f>
        <v>26</v>
      </c>
      <c r="E41" s="4">
        <f>INDEX(Positions!$D$2:$D$4694,MATCH($A41&amp;"|43",Positions!$A$2:$A$4694,0))</f>
        <v>42</v>
      </c>
      <c r="F41" s="4" t="str">
        <f>INDEX(Positions!$E$2:$E$4694,MATCH($A41&amp;"|27",Positions!$A$2:$A$4694,0))</f>
        <v>C</v>
      </c>
      <c r="G41" s="4" t="str">
        <f>INDEX(Positions!$E$2:$E$4694,MATCH($A41&amp;"|43",Positions!$A$2:$A$4694,0))</f>
        <v>G</v>
      </c>
      <c r="H41" s="3" t="str">
        <f t="shared" si="0"/>
        <v>C-G</v>
      </c>
      <c r="I41" s="4">
        <f t="shared" si="1"/>
        <v>1</v>
      </c>
      <c r="J41" s="4">
        <f t="shared" si="2"/>
        <v>1</v>
      </c>
      <c r="K41" s="3">
        <f t="shared" si="3"/>
        <v>2</v>
      </c>
    </row>
    <row r="42" spans="1:11">
      <c r="A42" s="4" t="s">
        <v>38</v>
      </c>
      <c r="B42" s="4" t="s">
        <v>144</v>
      </c>
      <c r="C42" s="4" t="s">
        <v>232</v>
      </c>
      <c r="D42" s="4">
        <f>INDEX(Positions!$D$2:$D$4694,MATCH($A42&amp;"|28",Positions!$A$2:$A$4694,0))</f>
        <v>27</v>
      </c>
      <c r="E42" s="4">
        <f>INDEX(Positions!$D$2:$D$4694,MATCH($A42&amp;"|42",Positions!$A$2:$A$4694,0))</f>
        <v>41</v>
      </c>
      <c r="F42" s="4" t="str">
        <f>INDEX(Positions!$E$2:$E$4694,MATCH($A42&amp;"|28",Positions!$A$2:$A$4694,0))</f>
        <v>U</v>
      </c>
      <c r="G42" s="4" t="str">
        <f>INDEX(Positions!$E$2:$E$4694,MATCH($A42&amp;"|42",Positions!$A$2:$A$4694,0))</f>
        <v>A</v>
      </c>
      <c r="H42" s="3" t="str">
        <f t="shared" si="0"/>
        <v>U-A</v>
      </c>
      <c r="I42" s="4">
        <f t="shared" si="1"/>
        <v>0</v>
      </c>
      <c r="J42" s="4">
        <f t="shared" si="2"/>
        <v>0</v>
      </c>
      <c r="K42" s="3">
        <f t="shared" si="3"/>
        <v>0</v>
      </c>
    </row>
    <row r="43" spans="1:11">
      <c r="A43" s="4" t="s">
        <v>38</v>
      </c>
      <c r="B43" s="4" t="s">
        <v>144</v>
      </c>
      <c r="C43" s="4" t="s">
        <v>233</v>
      </c>
      <c r="D43" s="4">
        <f>INDEX(Positions!$D$2:$D$4694,MATCH($A43&amp;"|29",Positions!$A$2:$A$4694,0))</f>
        <v>28</v>
      </c>
      <c r="E43" s="4">
        <f>INDEX(Positions!$D$2:$D$4694,MATCH($A43&amp;"|41",Positions!$A$2:$A$4694,0))</f>
        <v>40</v>
      </c>
      <c r="F43" s="4" t="str">
        <f>INDEX(Positions!$E$2:$E$4694,MATCH($A43&amp;"|29",Positions!$A$2:$A$4694,0))</f>
        <v>A</v>
      </c>
      <c r="G43" s="4" t="str">
        <f>INDEX(Positions!$E$2:$E$4694,MATCH($A43&amp;"|41",Positions!$A$2:$A$4694,0))</f>
        <v>U</v>
      </c>
      <c r="H43" s="3" t="str">
        <f t="shared" si="0"/>
        <v>A-U</v>
      </c>
      <c r="I43" s="4">
        <f t="shared" si="1"/>
        <v>0</v>
      </c>
      <c r="J43" s="4">
        <f t="shared" si="2"/>
        <v>0</v>
      </c>
      <c r="K43" s="3">
        <f t="shared" si="3"/>
        <v>0</v>
      </c>
    </row>
    <row r="44" spans="1:11">
      <c r="A44" s="4" t="s">
        <v>38</v>
      </c>
      <c r="B44" s="4" t="s">
        <v>144</v>
      </c>
      <c r="C44" s="4" t="s">
        <v>234</v>
      </c>
      <c r="D44" s="4">
        <f>INDEX(Positions!$D$2:$D$4694,MATCH($A44&amp;"|30",Positions!$A$2:$A$4694,0))</f>
        <v>29</v>
      </c>
      <c r="E44" s="4">
        <f>INDEX(Positions!$D$2:$D$4694,MATCH($A44&amp;"|40",Positions!$A$2:$A$4694,0))</f>
        <v>39</v>
      </c>
      <c r="F44" s="4" t="str">
        <f>INDEX(Positions!$E$2:$E$4694,MATCH($A44&amp;"|30",Positions!$A$2:$A$4694,0))</f>
        <v>C</v>
      </c>
      <c r="G44" s="4" t="str">
        <f>INDEX(Positions!$E$2:$E$4694,MATCH($A44&amp;"|40",Positions!$A$2:$A$4694,0))</f>
        <v>G</v>
      </c>
      <c r="H44" s="3" t="str">
        <f t="shared" si="0"/>
        <v>C-G</v>
      </c>
      <c r="I44" s="4">
        <f t="shared" si="1"/>
        <v>1</v>
      </c>
      <c r="J44" s="4">
        <f t="shared" si="2"/>
        <v>1</v>
      </c>
      <c r="K44" s="3">
        <f t="shared" si="3"/>
        <v>2</v>
      </c>
    </row>
    <row r="45" spans="1:11">
      <c r="A45" s="4" t="s">
        <v>38</v>
      </c>
      <c r="B45" s="4" t="s">
        <v>144</v>
      </c>
      <c r="C45" s="4" t="s">
        <v>235</v>
      </c>
      <c r="D45" s="4">
        <f>INDEX(Positions!$D$2:$D$4694,MATCH($A45&amp;"|31",Positions!$A$2:$A$4694,0))</f>
        <v>30</v>
      </c>
      <c r="E45" s="4">
        <f>INDEX(Positions!$D$2:$D$4694,MATCH($A45&amp;"|39",Positions!$A$2:$A$4694,0))</f>
        <v>38</v>
      </c>
      <c r="F45" s="4" t="str">
        <f>INDEX(Positions!$E$2:$E$4694,MATCH($A45&amp;"|31",Positions!$A$2:$A$4694,0))</f>
        <v>C</v>
      </c>
      <c r="G45" s="4" t="str">
        <f>INDEX(Positions!$E$2:$E$4694,MATCH($A45&amp;"|39",Positions!$A$2:$A$4694,0))</f>
        <v>G</v>
      </c>
      <c r="H45" s="3" t="str">
        <f t="shared" si="0"/>
        <v>C-G</v>
      </c>
      <c r="I45" s="4">
        <f t="shared" si="1"/>
        <v>1</v>
      </c>
      <c r="J45" s="4">
        <f t="shared" si="2"/>
        <v>1</v>
      </c>
      <c r="K45" s="3">
        <f t="shared" si="3"/>
        <v>2</v>
      </c>
    </row>
    <row r="46" spans="1:11">
      <c r="A46" s="4" t="s">
        <v>38</v>
      </c>
      <c r="B46" s="4" t="s">
        <v>169</v>
      </c>
      <c r="C46" s="4" t="s">
        <v>236</v>
      </c>
      <c r="D46" s="4">
        <f>INDEX(Positions!$D$2:$D$4694,MATCH($A46&amp;"|49",Positions!$A$2:$A$4694,0))</f>
        <v>48</v>
      </c>
      <c r="E46" s="4">
        <f>INDEX(Positions!$D$2:$D$4694,MATCH($A46&amp;"|65",Positions!$A$2:$A$4694,0))</f>
        <v>64</v>
      </c>
      <c r="F46" s="4" t="str">
        <f>INDEX(Positions!$E$2:$E$4694,MATCH($A46&amp;"|49",Positions!$A$2:$A$4694,0))</f>
        <v>U</v>
      </c>
      <c r="G46" s="4" t="str">
        <f>INDEX(Positions!$E$2:$E$4694,MATCH($A46&amp;"|65",Positions!$A$2:$A$4694,0))</f>
        <v>A</v>
      </c>
      <c r="H46" s="3" t="str">
        <f t="shared" si="0"/>
        <v>U-A</v>
      </c>
      <c r="I46" s="4">
        <f t="shared" si="1"/>
        <v>0</v>
      </c>
      <c r="J46" s="4">
        <f t="shared" si="2"/>
        <v>0</v>
      </c>
      <c r="K46" s="3">
        <f t="shared" si="3"/>
        <v>0</v>
      </c>
    </row>
    <row r="47" spans="1:11">
      <c r="A47" s="4" t="s">
        <v>38</v>
      </c>
      <c r="B47" s="4" t="s">
        <v>169</v>
      </c>
      <c r="C47" s="4" t="s">
        <v>237</v>
      </c>
      <c r="D47" s="4">
        <f>INDEX(Positions!$D$2:$D$4694,MATCH($A47&amp;"|50",Positions!$A$2:$A$4694,0))</f>
        <v>49</v>
      </c>
      <c r="E47" s="4">
        <f>INDEX(Positions!$D$2:$D$4694,MATCH($A47&amp;"|64",Positions!$A$2:$A$4694,0))</f>
        <v>63</v>
      </c>
      <c r="F47" s="4" t="str">
        <f>INDEX(Positions!$E$2:$E$4694,MATCH($A47&amp;"|50",Positions!$A$2:$A$4694,0))</f>
        <v>C</v>
      </c>
      <c r="G47" s="4" t="str">
        <f>INDEX(Positions!$E$2:$E$4694,MATCH($A47&amp;"|64",Positions!$A$2:$A$4694,0))</f>
        <v>G</v>
      </c>
      <c r="H47" s="3" t="str">
        <f t="shared" si="0"/>
        <v>C-G</v>
      </c>
      <c r="I47" s="4">
        <f t="shared" si="1"/>
        <v>1</v>
      </c>
      <c r="J47" s="4">
        <f t="shared" si="2"/>
        <v>1</v>
      </c>
      <c r="K47" s="3">
        <f t="shared" si="3"/>
        <v>2</v>
      </c>
    </row>
    <row r="48" spans="1:11">
      <c r="A48" s="4" t="s">
        <v>38</v>
      </c>
      <c r="B48" s="4" t="s">
        <v>169</v>
      </c>
      <c r="C48" s="4" t="s">
        <v>238</v>
      </c>
      <c r="D48" s="4">
        <f>INDEX(Positions!$D$2:$D$4694,MATCH($A48&amp;"|51",Positions!$A$2:$A$4694,0))</f>
        <v>50</v>
      </c>
      <c r="E48" s="4">
        <f>INDEX(Positions!$D$2:$D$4694,MATCH($A48&amp;"|63",Positions!$A$2:$A$4694,0))</f>
        <v>62</v>
      </c>
      <c r="F48" s="4" t="str">
        <f>INDEX(Positions!$E$2:$E$4694,MATCH($A48&amp;"|51",Positions!$A$2:$A$4694,0))</f>
        <v>G</v>
      </c>
      <c r="G48" s="4" t="str">
        <f>INDEX(Positions!$E$2:$E$4694,MATCH($A48&amp;"|63",Positions!$A$2:$A$4694,0))</f>
        <v>C</v>
      </c>
      <c r="H48" s="3" t="str">
        <f t="shared" si="0"/>
        <v>G-C</v>
      </c>
      <c r="I48" s="4">
        <f t="shared" si="1"/>
        <v>1</v>
      </c>
      <c r="J48" s="4">
        <f t="shared" si="2"/>
        <v>1</v>
      </c>
      <c r="K48" s="3">
        <f t="shared" si="3"/>
        <v>2</v>
      </c>
    </row>
    <row r="49" spans="1:11">
      <c r="A49" s="4" t="s">
        <v>38</v>
      </c>
      <c r="B49" s="4" t="s">
        <v>169</v>
      </c>
      <c r="C49" s="4" t="s">
        <v>239</v>
      </c>
      <c r="D49" s="4">
        <f>INDEX(Positions!$D$2:$D$4694,MATCH($A49&amp;"|52",Positions!$A$2:$A$4694,0))</f>
        <v>51</v>
      </c>
      <c r="E49" s="4">
        <f>INDEX(Positions!$D$2:$D$4694,MATCH($A49&amp;"|62",Positions!$A$2:$A$4694,0))</f>
        <v>61</v>
      </c>
      <c r="F49" s="4" t="str">
        <f>INDEX(Positions!$E$2:$E$4694,MATCH($A49&amp;"|52",Positions!$A$2:$A$4694,0))</f>
        <v>G</v>
      </c>
      <c r="G49" s="4" t="str">
        <f>INDEX(Positions!$E$2:$E$4694,MATCH($A49&amp;"|62",Positions!$A$2:$A$4694,0))</f>
        <v>C</v>
      </c>
      <c r="H49" s="3" t="str">
        <f t="shared" si="0"/>
        <v>G-C</v>
      </c>
      <c r="I49" s="4">
        <f t="shared" si="1"/>
        <v>1</v>
      </c>
      <c r="J49" s="4">
        <f t="shared" si="2"/>
        <v>1</v>
      </c>
      <c r="K49" s="3">
        <f t="shared" si="3"/>
        <v>2</v>
      </c>
    </row>
    <row r="50" spans="1:11">
      <c r="A50" s="4" t="s">
        <v>38</v>
      </c>
      <c r="B50" s="4" t="s">
        <v>169</v>
      </c>
      <c r="C50" s="4" t="s">
        <v>240</v>
      </c>
      <c r="D50" s="4">
        <f>INDEX(Positions!$D$2:$D$4694,MATCH($A50&amp;"|53",Positions!$A$2:$A$4694,0))</f>
        <v>52</v>
      </c>
      <c r="E50" s="4">
        <f>INDEX(Positions!$D$2:$D$4694,MATCH($A50&amp;"|61",Positions!$A$2:$A$4694,0))</f>
        <v>60</v>
      </c>
      <c r="F50" s="4" t="str">
        <f>INDEX(Positions!$E$2:$E$4694,MATCH($A50&amp;"|53",Positions!$A$2:$A$4694,0))</f>
        <v>G</v>
      </c>
      <c r="G50" s="4" t="str">
        <f>INDEX(Positions!$E$2:$E$4694,MATCH($A50&amp;"|61",Positions!$A$2:$A$4694,0))</f>
        <v>C</v>
      </c>
      <c r="H50" s="3" t="str">
        <f t="shared" si="0"/>
        <v>G-C</v>
      </c>
      <c r="I50" s="4">
        <f t="shared" si="1"/>
        <v>1</v>
      </c>
      <c r="J50" s="4">
        <f t="shared" si="2"/>
        <v>1</v>
      </c>
      <c r="K50" s="3">
        <f t="shared" si="3"/>
        <v>2</v>
      </c>
    </row>
    <row r="51" spans="1:11">
      <c r="A51" s="23" t="s">
        <v>38</v>
      </c>
      <c r="B51" s="23" t="s">
        <v>241</v>
      </c>
      <c r="C51" s="23" t="s">
        <v>242</v>
      </c>
      <c r="D51" s="23">
        <f>INDEX(Positions!$D$2:$D$4694,MATCH($A51&amp;"|8",Positions!$A$2:$A$4694,0))</f>
        <v>8</v>
      </c>
      <c r="E51" s="23">
        <f>INDEX(Positions!$D$2:$D$4694,MATCH($A51&amp;"|14",Positions!$A$2:$A$4694,0))</f>
        <v>14</v>
      </c>
      <c r="F51" s="23" t="str">
        <f>INDEX(Positions!$E$2:$E$4694,MATCH($A51&amp;"|8",Positions!$A$2:$A$4694,0))</f>
        <v>U</v>
      </c>
      <c r="G51" s="23" t="str">
        <f>INDEX(Positions!$E$2:$E$4694,MATCH($A51&amp;"|14",Positions!$A$2:$A$4694,0))</f>
        <v>A</v>
      </c>
      <c r="H51" s="24" t="str">
        <f t="shared" si="0"/>
        <v>U-A</v>
      </c>
      <c r="I51" s="23">
        <f t="shared" si="1"/>
        <v>0</v>
      </c>
      <c r="J51" s="23">
        <f t="shared" si="2"/>
        <v>0</v>
      </c>
      <c r="K51" s="24">
        <f t="shared" si="3"/>
        <v>0</v>
      </c>
    </row>
    <row r="52" spans="1:11">
      <c r="A52" s="23" t="s">
        <v>38</v>
      </c>
      <c r="B52" s="23" t="s">
        <v>241</v>
      </c>
      <c r="C52" s="23" t="s">
        <v>243</v>
      </c>
      <c r="D52" s="23">
        <f>INDEX(Positions!$D$2:$D$4694,MATCH($A52&amp;"|15",Positions!$A$2:$A$4694,0))</f>
        <v>15</v>
      </c>
      <c r="E52" s="23">
        <f>INDEX(Positions!$D$2:$D$4694,MATCH($A52&amp;"|48",Positions!$A$2:$A$4694,0))</f>
        <v>47</v>
      </c>
      <c r="F52" s="23" t="str">
        <f>INDEX(Positions!$E$2:$E$4694,MATCH($A52&amp;"|15",Positions!$A$2:$A$4694,0))</f>
        <v>G</v>
      </c>
      <c r="G52" s="23" t="str">
        <f>INDEX(Positions!$E$2:$E$4694,MATCH($A52&amp;"|48",Positions!$A$2:$A$4694,0))</f>
        <v>C</v>
      </c>
      <c r="H52" s="24" t="str">
        <f t="shared" si="0"/>
        <v>G-C</v>
      </c>
      <c r="I52" s="23">
        <f t="shared" si="1"/>
        <v>1</v>
      </c>
      <c r="J52" s="23">
        <f t="shared" si="2"/>
        <v>1</v>
      </c>
      <c r="K52" s="24">
        <f t="shared" si="3"/>
        <v>2</v>
      </c>
    </row>
    <row r="53" spans="1:11">
      <c r="A53" s="23" t="s">
        <v>38</v>
      </c>
      <c r="B53" s="23" t="s">
        <v>241</v>
      </c>
      <c r="C53" s="23" t="s">
        <v>244</v>
      </c>
      <c r="D53" s="23">
        <f>INDEX(Positions!$D$2:$D$4694,MATCH($A53&amp;"|18",Positions!$A$2:$A$4694,0))</f>
        <v>16</v>
      </c>
      <c r="E53" s="23">
        <f>INDEX(Positions!$D$2:$D$4694,MATCH($A53&amp;"|55",Positions!$A$2:$A$4694,0))</f>
        <v>54</v>
      </c>
      <c r="F53" s="23" t="str">
        <f>INDEX(Positions!$E$2:$E$4694,MATCH($A53&amp;"|18",Positions!$A$2:$A$4694,0))</f>
        <v>G</v>
      </c>
      <c r="G53" s="23" t="str">
        <f>INDEX(Positions!$E$2:$E$4694,MATCH($A53&amp;"|55",Positions!$A$2:$A$4694,0))</f>
        <v>U</v>
      </c>
      <c r="H53" s="24" t="str">
        <f t="shared" si="0"/>
        <v>G-U</v>
      </c>
      <c r="I53" s="23">
        <f t="shared" si="1"/>
        <v>1</v>
      </c>
      <c r="J53" s="23">
        <f t="shared" si="2"/>
        <v>0</v>
      </c>
      <c r="K53" s="24">
        <f t="shared" si="3"/>
        <v>1</v>
      </c>
    </row>
    <row r="54" spans="1:11">
      <c r="A54" s="23" t="s">
        <v>38</v>
      </c>
      <c r="B54" s="23" t="s">
        <v>241</v>
      </c>
      <c r="C54" s="23" t="s">
        <v>245</v>
      </c>
      <c r="D54" s="23">
        <f>INDEX(Positions!$D$2:$D$4694,MATCH($A54&amp;"|19",Positions!$A$2:$A$4694,0))</f>
        <v>17</v>
      </c>
      <c r="E54" s="23">
        <f>INDEX(Positions!$D$2:$D$4694,MATCH($A54&amp;"|56",Positions!$A$2:$A$4694,0))</f>
        <v>55</v>
      </c>
      <c r="F54" s="23" t="str">
        <f>INDEX(Positions!$E$2:$E$4694,MATCH($A54&amp;"|19",Positions!$A$2:$A$4694,0))</f>
        <v>G</v>
      </c>
      <c r="G54" s="23" t="str">
        <f>INDEX(Positions!$E$2:$E$4694,MATCH($A54&amp;"|56",Positions!$A$2:$A$4694,0))</f>
        <v>C</v>
      </c>
      <c r="H54" s="24" t="str">
        <f t="shared" si="0"/>
        <v>G-C</v>
      </c>
      <c r="I54" s="23">
        <f t="shared" si="1"/>
        <v>1</v>
      </c>
      <c r="J54" s="23">
        <f t="shared" si="2"/>
        <v>1</v>
      </c>
      <c r="K54" s="24">
        <f t="shared" si="3"/>
        <v>2</v>
      </c>
    </row>
    <row r="55" spans="1:11">
      <c r="A55" s="23" t="s">
        <v>38</v>
      </c>
      <c r="B55" s="23" t="s">
        <v>241</v>
      </c>
      <c r="C55" s="23" t="s">
        <v>246</v>
      </c>
      <c r="D55" s="23">
        <f>INDEX(Positions!$D$2:$D$4694,MATCH($A55&amp;"|26",Positions!$A$2:$A$4694,0))</f>
        <v>25</v>
      </c>
      <c r="E55" s="23">
        <f>INDEX(Positions!$D$2:$D$4694,MATCH($A55&amp;"|44",Positions!$A$2:$A$4694,0))</f>
        <v>43</v>
      </c>
      <c r="F55" s="23" t="str">
        <f>INDEX(Positions!$E$2:$E$4694,MATCH($A55&amp;"|26",Positions!$A$2:$A$4694,0))</f>
        <v>G</v>
      </c>
      <c r="G55" s="23" t="str">
        <f>INDEX(Positions!$E$2:$E$4694,MATCH($A55&amp;"|44",Positions!$A$2:$A$4694,0))</f>
        <v>A</v>
      </c>
      <c r="H55" s="24" t="str">
        <f t="shared" si="0"/>
        <v>G-A</v>
      </c>
      <c r="I55" s="23">
        <f t="shared" si="1"/>
        <v>1</v>
      </c>
      <c r="J55" s="23">
        <f t="shared" si="2"/>
        <v>0</v>
      </c>
      <c r="K55" s="24">
        <f t="shared" si="3"/>
        <v>1</v>
      </c>
    </row>
    <row r="56" spans="1:11">
      <c r="A56" s="23" t="s">
        <v>38</v>
      </c>
      <c r="B56" s="23" t="s">
        <v>241</v>
      </c>
      <c r="C56" s="23" t="s">
        <v>247</v>
      </c>
      <c r="D56" s="23">
        <f>INDEX(Positions!$D$2:$D$4694,MATCH($A56&amp;"|32",Positions!$A$2:$A$4694,0))</f>
        <v>31</v>
      </c>
      <c r="E56" s="23">
        <f>INDEX(Positions!$D$2:$D$4694,MATCH($A56&amp;"|38",Positions!$A$2:$A$4694,0))</f>
        <v>37</v>
      </c>
      <c r="F56" s="23" t="str">
        <f>INDEX(Positions!$E$2:$E$4694,MATCH($A56&amp;"|32",Positions!$A$2:$A$4694,0))</f>
        <v>U</v>
      </c>
      <c r="G56" s="23" t="str">
        <f>INDEX(Positions!$E$2:$E$4694,MATCH($A56&amp;"|38",Positions!$A$2:$A$4694,0))</f>
        <v>U</v>
      </c>
      <c r="H56" s="24" t="str">
        <f t="shared" si="0"/>
        <v>U-U</v>
      </c>
      <c r="I56" s="23">
        <f t="shared" si="1"/>
        <v>0</v>
      </c>
      <c r="J56" s="23">
        <f t="shared" si="2"/>
        <v>0</v>
      </c>
      <c r="K56" s="24">
        <f t="shared" si="3"/>
        <v>0</v>
      </c>
    </row>
    <row r="57" spans="1:11">
      <c r="A57" s="23" t="s">
        <v>38</v>
      </c>
      <c r="B57" s="23" t="s">
        <v>241</v>
      </c>
      <c r="C57" s="23" t="s">
        <v>248</v>
      </c>
      <c r="D57" s="23">
        <f>INDEX(Positions!$D$2:$D$4694,MATCH($A57&amp;"|54",Positions!$A$2:$A$4694,0))</f>
        <v>53</v>
      </c>
      <c r="E57" s="23">
        <f>INDEX(Positions!$D$2:$D$4694,MATCH($A57&amp;"|58",Positions!$A$2:$A$4694,0))</f>
        <v>57</v>
      </c>
      <c r="F57" s="23" t="str">
        <f>INDEX(Positions!$E$2:$E$4694,MATCH($A57&amp;"|54",Positions!$A$2:$A$4694,0))</f>
        <v>U</v>
      </c>
      <c r="G57" s="23" t="str">
        <f>INDEX(Positions!$E$2:$E$4694,MATCH($A57&amp;"|58",Positions!$A$2:$A$4694,0))</f>
        <v>A</v>
      </c>
      <c r="H57" s="24" t="str">
        <f t="shared" si="0"/>
        <v>U-A</v>
      </c>
      <c r="I57" s="23">
        <f t="shared" si="1"/>
        <v>0</v>
      </c>
      <c r="J57" s="23">
        <f t="shared" si="2"/>
        <v>0</v>
      </c>
      <c r="K57" s="24">
        <f t="shared" si="3"/>
        <v>0</v>
      </c>
    </row>
    <row r="58" spans="1:11">
      <c r="A58" s="4" t="s">
        <v>39</v>
      </c>
      <c r="B58" s="4" t="s">
        <v>110</v>
      </c>
      <c r="C58" s="4" t="s">
        <v>220</v>
      </c>
      <c r="D58" s="4">
        <f>INDEX(Positions!$D$2:$D$4694,MATCH($A58&amp;"|1",Positions!$A$2:$A$4694,0))</f>
        <v>1</v>
      </c>
      <c r="E58" s="4">
        <f>INDEX(Positions!$D$2:$D$4694,MATCH($A58&amp;"|72",Positions!$A$2:$A$4694,0))</f>
        <v>72</v>
      </c>
      <c r="F58" s="4" t="str">
        <f>INDEX(Positions!$E$2:$E$4694,MATCH($A58&amp;"|1",Positions!$A$2:$A$4694,0))</f>
        <v>G</v>
      </c>
      <c r="G58" s="4" t="str">
        <f>INDEX(Positions!$E$2:$E$4694,MATCH($A58&amp;"|72",Positions!$A$2:$A$4694,0))</f>
        <v>C</v>
      </c>
      <c r="H58" s="3" t="str">
        <f t="shared" si="0"/>
        <v>G-C</v>
      </c>
      <c r="I58" s="4">
        <f t="shared" si="1"/>
        <v>1</v>
      </c>
      <c r="J58" s="4">
        <f t="shared" si="2"/>
        <v>1</v>
      </c>
      <c r="K58" s="3">
        <f t="shared" si="3"/>
        <v>2</v>
      </c>
    </row>
    <row r="59" spans="1:11">
      <c r="A59" s="4" t="s">
        <v>39</v>
      </c>
      <c r="B59" s="4" t="s">
        <v>110</v>
      </c>
      <c r="C59" s="4" t="s">
        <v>221</v>
      </c>
      <c r="D59" s="4">
        <f>INDEX(Positions!$D$2:$D$4694,MATCH($A59&amp;"|2",Positions!$A$2:$A$4694,0))</f>
        <v>2</v>
      </c>
      <c r="E59" s="4">
        <f>INDEX(Positions!$D$2:$D$4694,MATCH($A59&amp;"|71",Positions!$A$2:$A$4694,0))</f>
        <v>71</v>
      </c>
      <c r="F59" s="4" t="str">
        <f>INDEX(Positions!$E$2:$E$4694,MATCH($A59&amp;"|2",Positions!$A$2:$A$4694,0))</f>
        <v>G</v>
      </c>
      <c r="G59" s="4" t="str">
        <f>INDEX(Positions!$E$2:$E$4694,MATCH($A59&amp;"|71",Positions!$A$2:$A$4694,0))</f>
        <v>C</v>
      </c>
      <c r="H59" s="3" t="str">
        <f t="shared" si="0"/>
        <v>G-C</v>
      </c>
      <c r="I59" s="4">
        <f t="shared" si="1"/>
        <v>1</v>
      </c>
      <c r="J59" s="4">
        <f t="shared" si="2"/>
        <v>1</v>
      </c>
      <c r="K59" s="3">
        <f t="shared" si="3"/>
        <v>2</v>
      </c>
    </row>
    <row r="60" spans="1:11">
      <c r="A60" s="4" t="s">
        <v>39</v>
      </c>
      <c r="B60" s="4" t="s">
        <v>110</v>
      </c>
      <c r="C60" s="4" t="s">
        <v>222</v>
      </c>
      <c r="D60" s="4">
        <f>INDEX(Positions!$D$2:$D$4694,MATCH($A60&amp;"|3",Positions!$A$2:$A$4694,0))</f>
        <v>3</v>
      </c>
      <c r="E60" s="4">
        <f>INDEX(Positions!$D$2:$D$4694,MATCH($A60&amp;"|70",Positions!$A$2:$A$4694,0))</f>
        <v>70</v>
      </c>
      <c r="F60" s="4" t="str">
        <f>INDEX(Positions!$E$2:$E$4694,MATCH($A60&amp;"|3",Positions!$A$2:$A$4694,0))</f>
        <v>G</v>
      </c>
      <c r="G60" s="4" t="str">
        <f>INDEX(Positions!$E$2:$E$4694,MATCH($A60&amp;"|70",Positions!$A$2:$A$4694,0))</f>
        <v>U</v>
      </c>
      <c r="H60" s="3" t="str">
        <f t="shared" si="0"/>
        <v>G-U</v>
      </c>
      <c r="I60" s="4">
        <f t="shared" si="1"/>
        <v>1</v>
      </c>
      <c r="J60" s="4">
        <f t="shared" si="2"/>
        <v>0</v>
      </c>
      <c r="K60" s="3">
        <f t="shared" si="3"/>
        <v>1</v>
      </c>
    </row>
    <row r="61" spans="1:11">
      <c r="A61" s="4" t="s">
        <v>39</v>
      </c>
      <c r="B61" s="4" t="s">
        <v>110</v>
      </c>
      <c r="C61" s="4" t="s">
        <v>223</v>
      </c>
      <c r="D61" s="4">
        <f>INDEX(Positions!$D$2:$D$4694,MATCH($A61&amp;"|4",Positions!$A$2:$A$4694,0))</f>
        <v>4</v>
      </c>
      <c r="E61" s="4">
        <f>INDEX(Positions!$D$2:$D$4694,MATCH($A61&amp;"|69",Positions!$A$2:$A$4694,0))</f>
        <v>69</v>
      </c>
      <c r="F61" s="4" t="str">
        <f>INDEX(Positions!$E$2:$E$4694,MATCH($A61&amp;"|4",Positions!$A$2:$A$4694,0))</f>
        <v>C</v>
      </c>
      <c r="G61" s="4" t="str">
        <f>INDEX(Positions!$E$2:$E$4694,MATCH($A61&amp;"|69",Positions!$A$2:$A$4694,0))</f>
        <v>G</v>
      </c>
      <c r="H61" s="3" t="str">
        <f t="shared" si="0"/>
        <v>C-G</v>
      </c>
      <c r="I61" s="4">
        <f t="shared" si="1"/>
        <v>1</v>
      </c>
      <c r="J61" s="4">
        <f t="shared" si="2"/>
        <v>1</v>
      </c>
      <c r="K61" s="3">
        <f t="shared" si="3"/>
        <v>2</v>
      </c>
    </row>
    <row r="62" spans="1:11">
      <c r="A62" s="4" t="s">
        <v>39</v>
      </c>
      <c r="B62" s="4" t="s">
        <v>110</v>
      </c>
      <c r="C62" s="4" t="s">
        <v>224</v>
      </c>
      <c r="D62" s="4">
        <f>INDEX(Positions!$D$2:$D$4694,MATCH($A62&amp;"|5",Positions!$A$2:$A$4694,0))</f>
        <v>5</v>
      </c>
      <c r="E62" s="4">
        <f>INDEX(Positions!$D$2:$D$4694,MATCH($A62&amp;"|68",Positions!$A$2:$A$4694,0))</f>
        <v>68</v>
      </c>
      <c r="F62" s="4" t="str">
        <f>INDEX(Positions!$E$2:$E$4694,MATCH($A62&amp;"|5",Positions!$A$2:$A$4694,0))</f>
        <v>U</v>
      </c>
      <c r="G62" s="4" t="str">
        <f>INDEX(Positions!$E$2:$E$4694,MATCH($A62&amp;"|68",Positions!$A$2:$A$4694,0))</f>
        <v>A</v>
      </c>
      <c r="H62" s="3" t="str">
        <f t="shared" si="0"/>
        <v>U-A</v>
      </c>
      <c r="I62" s="4">
        <f t="shared" si="1"/>
        <v>0</v>
      </c>
      <c r="J62" s="4">
        <f t="shared" si="2"/>
        <v>0</v>
      </c>
      <c r="K62" s="3">
        <f t="shared" si="3"/>
        <v>0</v>
      </c>
    </row>
    <row r="63" spans="1:11">
      <c r="A63" s="4" t="s">
        <v>39</v>
      </c>
      <c r="B63" s="4" t="s">
        <v>110</v>
      </c>
      <c r="C63" s="4" t="s">
        <v>225</v>
      </c>
      <c r="D63" s="4">
        <f>INDEX(Positions!$D$2:$D$4694,MATCH($A63&amp;"|6",Positions!$A$2:$A$4694,0))</f>
        <v>6</v>
      </c>
      <c r="E63" s="4">
        <f>INDEX(Positions!$D$2:$D$4694,MATCH($A63&amp;"|67",Positions!$A$2:$A$4694,0))</f>
        <v>67</v>
      </c>
      <c r="F63" s="4" t="str">
        <f>INDEX(Positions!$E$2:$E$4694,MATCH($A63&amp;"|6",Positions!$A$2:$A$4694,0))</f>
        <v>U</v>
      </c>
      <c r="G63" s="4" t="str">
        <f>INDEX(Positions!$E$2:$E$4694,MATCH($A63&amp;"|67",Positions!$A$2:$A$4694,0))</f>
        <v>A</v>
      </c>
      <c r="H63" s="3" t="str">
        <f t="shared" si="0"/>
        <v>U-A</v>
      </c>
      <c r="I63" s="4">
        <f t="shared" si="1"/>
        <v>0</v>
      </c>
      <c r="J63" s="4">
        <f t="shared" si="2"/>
        <v>0</v>
      </c>
      <c r="K63" s="3">
        <f t="shared" si="3"/>
        <v>0</v>
      </c>
    </row>
    <row r="64" spans="1:11">
      <c r="A64" s="4" t="s">
        <v>39</v>
      </c>
      <c r="B64" s="4" t="s">
        <v>110</v>
      </c>
      <c r="C64" s="4" t="s">
        <v>226</v>
      </c>
      <c r="D64" s="4">
        <f>INDEX(Positions!$D$2:$D$4694,MATCH($A64&amp;"|7",Positions!$A$2:$A$4694,0))</f>
        <v>7</v>
      </c>
      <c r="E64" s="4">
        <f>INDEX(Positions!$D$2:$D$4694,MATCH($A64&amp;"|66",Positions!$A$2:$A$4694,0))</f>
        <v>66</v>
      </c>
      <c r="F64" s="4" t="str">
        <f>INDEX(Positions!$E$2:$E$4694,MATCH($A64&amp;"|7",Positions!$A$2:$A$4694,0))</f>
        <v>G</v>
      </c>
      <c r="G64" s="4" t="str">
        <f>INDEX(Positions!$E$2:$E$4694,MATCH($A64&amp;"|66",Positions!$A$2:$A$4694,0))</f>
        <v>C</v>
      </c>
      <c r="H64" s="3" t="str">
        <f t="shared" si="0"/>
        <v>G-C</v>
      </c>
      <c r="I64" s="4">
        <f t="shared" si="1"/>
        <v>1</v>
      </c>
      <c r="J64" s="4">
        <f t="shared" si="2"/>
        <v>1</v>
      </c>
      <c r="K64" s="3">
        <f t="shared" si="3"/>
        <v>2</v>
      </c>
    </row>
    <row r="65" spans="1:11">
      <c r="A65" s="4" t="s">
        <v>39</v>
      </c>
      <c r="B65" s="4" t="s">
        <v>125</v>
      </c>
      <c r="C65" s="4" t="s">
        <v>227</v>
      </c>
      <c r="D65" s="4">
        <f>INDEX(Positions!$D$2:$D$4694,MATCH($A65&amp;"|10",Positions!$A$2:$A$4694,0))</f>
        <v>10</v>
      </c>
      <c r="E65" s="4">
        <f>INDEX(Positions!$D$2:$D$4694,MATCH($A65&amp;"|25",Positions!$A$2:$A$4694,0))</f>
        <v>25</v>
      </c>
      <c r="F65" s="4" t="str">
        <f>INDEX(Positions!$E$2:$E$4694,MATCH($A65&amp;"|10",Positions!$A$2:$A$4694,0))</f>
        <v>G</v>
      </c>
      <c r="G65" s="4" t="str">
        <f>INDEX(Positions!$E$2:$E$4694,MATCH($A65&amp;"|25",Positions!$A$2:$A$4694,0))</f>
        <v>C</v>
      </c>
      <c r="H65" s="3" t="str">
        <f t="shared" si="0"/>
        <v>G-C</v>
      </c>
      <c r="I65" s="4">
        <f t="shared" si="1"/>
        <v>1</v>
      </c>
      <c r="J65" s="4">
        <f t="shared" si="2"/>
        <v>1</v>
      </c>
      <c r="K65" s="3">
        <f t="shared" si="3"/>
        <v>2</v>
      </c>
    </row>
    <row r="66" spans="1:11">
      <c r="A66" s="4" t="s">
        <v>39</v>
      </c>
      <c r="B66" s="4" t="s">
        <v>125</v>
      </c>
      <c r="C66" s="4" t="s">
        <v>228</v>
      </c>
      <c r="D66" s="4">
        <f>INDEX(Positions!$D$2:$D$4694,MATCH($A66&amp;"|11",Positions!$A$2:$A$4694,0))</f>
        <v>11</v>
      </c>
      <c r="E66" s="4">
        <f>INDEX(Positions!$D$2:$D$4694,MATCH($A66&amp;"|24",Positions!$A$2:$A$4694,0))</f>
        <v>24</v>
      </c>
      <c r="F66" s="4" t="str">
        <f>INDEX(Positions!$E$2:$E$4694,MATCH($A66&amp;"|11",Positions!$A$2:$A$4694,0))</f>
        <v>A</v>
      </c>
      <c r="G66" s="4" t="str">
        <f>INDEX(Positions!$E$2:$E$4694,MATCH($A66&amp;"|24",Positions!$A$2:$A$4694,0))</f>
        <v>U</v>
      </c>
      <c r="H66" s="3" t="str">
        <f t="shared" ref="H66:H129" si="4">F66&amp;"-"&amp;G66</f>
        <v>A-U</v>
      </c>
      <c r="I66" s="4">
        <f t="shared" ref="I66:I129" si="5">(F66="G")+(G66="G")</f>
        <v>0</v>
      </c>
      <c r="J66" s="4">
        <f t="shared" ref="J66:J129" si="6">(F66="C")+(G66="C")</f>
        <v>0</v>
      </c>
      <c r="K66" s="3">
        <f t="shared" ref="K66:K129" si="7">I66+J66</f>
        <v>0</v>
      </c>
    </row>
    <row r="67" spans="1:11">
      <c r="A67" s="4" t="s">
        <v>39</v>
      </c>
      <c r="B67" s="4" t="s">
        <v>125</v>
      </c>
      <c r="C67" s="4" t="s">
        <v>229</v>
      </c>
      <c r="D67" s="4">
        <f>INDEX(Positions!$D$2:$D$4694,MATCH($A67&amp;"|12",Positions!$A$2:$A$4694,0))</f>
        <v>12</v>
      </c>
      <c r="E67" s="4">
        <f>INDEX(Positions!$D$2:$D$4694,MATCH($A67&amp;"|23",Positions!$A$2:$A$4694,0))</f>
        <v>23</v>
      </c>
      <c r="F67" s="4" t="str">
        <f>INDEX(Positions!$E$2:$E$4694,MATCH($A67&amp;"|12",Positions!$A$2:$A$4694,0))</f>
        <v>U</v>
      </c>
      <c r="G67" s="4" t="str">
        <f>INDEX(Positions!$E$2:$E$4694,MATCH($A67&amp;"|23",Positions!$A$2:$A$4694,0))</f>
        <v>A</v>
      </c>
      <c r="H67" s="3" t="str">
        <f t="shared" si="4"/>
        <v>U-A</v>
      </c>
      <c r="I67" s="4">
        <f t="shared" si="5"/>
        <v>0</v>
      </c>
      <c r="J67" s="4">
        <f t="shared" si="6"/>
        <v>0</v>
      </c>
      <c r="K67" s="3">
        <f t="shared" si="7"/>
        <v>0</v>
      </c>
    </row>
    <row r="68" spans="1:11">
      <c r="A68" s="4" t="s">
        <v>39</v>
      </c>
      <c r="B68" s="4" t="s">
        <v>125</v>
      </c>
      <c r="C68" s="4" t="s">
        <v>230</v>
      </c>
      <c r="D68" s="4">
        <f>INDEX(Positions!$D$2:$D$4694,MATCH($A68&amp;"|13",Positions!$A$2:$A$4694,0))</f>
        <v>13</v>
      </c>
      <c r="E68" s="4">
        <f>INDEX(Positions!$D$2:$D$4694,MATCH($A68&amp;"|22",Positions!$A$2:$A$4694,0))</f>
        <v>22</v>
      </c>
      <c r="F68" s="4" t="str">
        <f>INDEX(Positions!$E$2:$E$4694,MATCH($A68&amp;"|13",Positions!$A$2:$A$4694,0))</f>
        <v>C</v>
      </c>
      <c r="G68" s="4" t="str">
        <f>INDEX(Positions!$E$2:$E$4694,MATCH($A68&amp;"|22",Positions!$A$2:$A$4694,0))</f>
        <v>G</v>
      </c>
      <c r="H68" s="3" t="str">
        <f t="shared" si="4"/>
        <v>C-G</v>
      </c>
      <c r="I68" s="4">
        <f t="shared" si="5"/>
        <v>1</v>
      </c>
      <c r="J68" s="4">
        <f t="shared" si="6"/>
        <v>1</v>
      </c>
      <c r="K68" s="3">
        <f t="shared" si="7"/>
        <v>2</v>
      </c>
    </row>
    <row r="69" spans="1:11">
      <c r="A69" s="4" t="s">
        <v>39</v>
      </c>
      <c r="B69" s="4" t="s">
        <v>144</v>
      </c>
      <c r="C69" s="4" t="s">
        <v>231</v>
      </c>
      <c r="D69" s="4">
        <f>INDEX(Positions!$D$2:$D$4694,MATCH($A69&amp;"|27",Positions!$A$2:$A$4694,0))</f>
        <v>27</v>
      </c>
      <c r="E69" s="4">
        <f>INDEX(Positions!$D$2:$D$4694,MATCH($A69&amp;"|43",Positions!$A$2:$A$4694,0))</f>
        <v>43</v>
      </c>
      <c r="F69" s="4" t="str">
        <f>INDEX(Positions!$E$2:$E$4694,MATCH($A69&amp;"|27",Positions!$A$2:$A$4694,0))</f>
        <v>C</v>
      </c>
      <c r="G69" s="4" t="str">
        <f>INDEX(Positions!$E$2:$E$4694,MATCH($A69&amp;"|43",Positions!$A$2:$A$4694,0))</f>
        <v>G</v>
      </c>
      <c r="H69" s="3" t="str">
        <f t="shared" si="4"/>
        <v>C-G</v>
      </c>
      <c r="I69" s="4">
        <f t="shared" si="5"/>
        <v>1</v>
      </c>
      <c r="J69" s="4">
        <f t="shared" si="6"/>
        <v>1</v>
      </c>
      <c r="K69" s="3">
        <f t="shared" si="7"/>
        <v>2</v>
      </c>
    </row>
    <row r="70" spans="1:11">
      <c r="A70" s="4" t="s">
        <v>39</v>
      </c>
      <c r="B70" s="4" t="s">
        <v>144</v>
      </c>
      <c r="C70" s="4" t="s">
        <v>232</v>
      </c>
      <c r="D70" s="4">
        <f>INDEX(Positions!$D$2:$D$4694,MATCH($A70&amp;"|28",Positions!$A$2:$A$4694,0))</f>
        <v>28</v>
      </c>
      <c r="E70" s="4">
        <f>INDEX(Positions!$D$2:$D$4694,MATCH($A70&amp;"|42",Positions!$A$2:$A$4694,0))</f>
        <v>42</v>
      </c>
      <c r="F70" s="4" t="str">
        <f>INDEX(Positions!$E$2:$E$4694,MATCH($A70&amp;"|28",Positions!$A$2:$A$4694,0))</f>
        <v>U</v>
      </c>
      <c r="G70" s="4" t="str">
        <f>INDEX(Positions!$E$2:$E$4694,MATCH($A70&amp;"|42",Positions!$A$2:$A$4694,0))</f>
        <v>A</v>
      </c>
      <c r="H70" s="3" t="str">
        <f t="shared" si="4"/>
        <v>U-A</v>
      </c>
      <c r="I70" s="4">
        <f t="shared" si="5"/>
        <v>0</v>
      </c>
      <c r="J70" s="4">
        <f t="shared" si="6"/>
        <v>0</v>
      </c>
      <c r="K70" s="3">
        <f t="shared" si="7"/>
        <v>0</v>
      </c>
    </row>
    <row r="71" spans="1:11">
      <c r="A71" s="4" t="s">
        <v>39</v>
      </c>
      <c r="B71" s="4" t="s">
        <v>144</v>
      </c>
      <c r="C71" s="4" t="s">
        <v>233</v>
      </c>
      <c r="D71" s="4">
        <f>INDEX(Positions!$D$2:$D$4694,MATCH($A71&amp;"|29",Positions!$A$2:$A$4694,0))</f>
        <v>29</v>
      </c>
      <c r="E71" s="4">
        <f>INDEX(Positions!$D$2:$D$4694,MATCH($A71&amp;"|41",Positions!$A$2:$A$4694,0))</f>
        <v>41</v>
      </c>
      <c r="F71" s="4" t="str">
        <f>INDEX(Positions!$E$2:$E$4694,MATCH($A71&amp;"|29",Positions!$A$2:$A$4694,0))</f>
        <v>G</v>
      </c>
      <c r="G71" s="4" t="str">
        <f>INDEX(Positions!$E$2:$E$4694,MATCH($A71&amp;"|41",Positions!$A$2:$A$4694,0))</f>
        <v>C</v>
      </c>
      <c r="H71" s="3" t="str">
        <f t="shared" si="4"/>
        <v>G-C</v>
      </c>
      <c r="I71" s="4">
        <f t="shared" si="5"/>
        <v>1</v>
      </c>
      <c r="J71" s="4">
        <f t="shared" si="6"/>
        <v>1</v>
      </c>
      <c r="K71" s="3">
        <f t="shared" si="7"/>
        <v>2</v>
      </c>
    </row>
    <row r="72" spans="1:11">
      <c r="A72" s="4" t="s">
        <v>39</v>
      </c>
      <c r="B72" s="4" t="s">
        <v>144</v>
      </c>
      <c r="C72" s="4" t="s">
        <v>234</v>
      </c>
      <c r="D72" s="4">
        <f>INDEX(Positions!$D$2:$D$4694,MATCH($A72&amp;"|30",Positions!$A$2:$A$4694,0))</f>
        <v>30</v>
      </c>
      <c r="E72" s="4">
        <f>INDEX(Positions!$D$2:$D$4694,MATCH($A72&amp;"|40",Positions!$A$2:$A$4694,0))</f>
        <v>40</v>
      </c>
      <c r="F72" s="4" t="str">
        <f>INDEX(Positions!$E$2:$E$4694,MATCH($A72&amp;"|30",Positions!$A$2:$A$4694,0))</f>
        <v>C</v>
      </c>
      <c r="G72" s="4" t="str">
        <f>INDEX(Positions!$E$2:$E$4694,MATCH($A72&amp;"|40",Positions!$A$2:$A$4694,0))</f>
        <v>G</v>
      </c>
      <c r="H72" s="3" t="str">
        <f t="shared" si="4"/>
        <v>C-G</v>
      </c>
      <c r="I72" s="4">
        <f t="shared" si="5"/>
        <v>1</v>
      </c>
      <c r="J72" s="4">
        <f t="shared" si="6"/>
        <v>1</v>
      </c>
      <c r="K72" s="3">
        <f t="shared" si="7"/>
        <v>2</v>
      </c>
    </row>
    <row r="73" spans="1:11">
      <c r="A73" s="4" t="s">
        <v>39</v>
      </c>
      <c r="B73" s="4" t="s">
        <v>144</v>
      </c>
      <c r="C73" s="4" t="s">
        <v>235</v>
      </c>
      <c r="D73" s="4">
        <f>INDEX(Positions!$D$2:$D$4694,MATCH($A73&amp;"|31",Positions!$A$2:$A$4694,0))</f>
        <v>31</v>
      </c>
      <c r="E73" s="4">
        <f>INDEX(Positions!$D$2:$D$4694,MATCH($A73&amp;"|39",Positions!$A$2:$A$4694,0))</f>
        <v>39</v>
      </c>
      <c r="F73" s="4" t="str">
        <f>INDEX(Positions!$E$2:$E$4694,MATCH($A73&amp;"|31",Positions!$A$2:$A$4694,0))</f>
        <v>C</v>
      </c>
      <c r="G73" s="4" t="str">
        <f>INDEX(Positions!$E$2:$E$4694,MATCH($A73&amp;"|39",Positions!$A$2:$A$4694,0))</f>
        <v>G</v>
      </c>
      <c r="H73" s="3" t="str">
        <f t="shared" si="4"/>
        <v>C-G</v>
      </c>
      <c r="I73" s="4">
        <f t="shared" si="5"/>
        <v>1</v>
      </c>
      <c r="J73" s="4">
        <f t="shared" si="6"/>
        <v>1</v>
      </c>
      <c r="K73" s="3">
        <f t="shared" si="7"/>
        <v>2</v>
      </c>
    </row>
    <row r="74" spans="1:11">
      <c r="A74" s="4" t="s">
        <v>39</v>
      </c>
      <c r="B74" s="4" t="s">
        <v>169</v>
      </c>
      <c r="C74" s="4" t="s">
        <v>236</v>
      </c>
      <c r="D74" s="4">
        <f>INDEX(Positions!$D$2:$D$4694,MATCH($A74&amp;"|49",Positions!$A$2:$A$4694,0))</f>
        <v>49</v>
      </c>
      <c r="E74" s="4">
        <f>INDEX(Positions!$D$2:$D$4694,MATCH($A74&amp;"|65",Positions!$A$2:$A$4694,0))</f>
        <v>65</v>
      </c>
      <c r="F74" s="4" t="str">
        <f>INDEX(Positions!$E$2:$E$4694,MATCH($A74&amp;"|49",Positions!$A$2:$A$4694,0))</f>
        <v>C</v>
      </c>
      <c r="G74" s="4" t="str">
        <f>INDEX(Positions!$E$2:$E$4694,MATCH($A74&amp;"|65",Positions!$A$2:$A$4694,0))</f>
        <v>G</v>
      </c>
      <c r="H74" s="3" t="str">
        <f t="shared" si="4"/>
        <v>C-G</v>
      </c>
      <c r="I74" s="4">
        <f t="shared" si="5"/>
        <v>1</v>
      </c>
      <c r="J74" s="4">
        <f t="shared" si="6"/>
        <v>1</v>
      </c>
      <c r="K74" s="3">
        <f t="shared" si="7"/>
        <v>2</v>
      </c>
    </row>
    <row r="75" spans="1:11">
      <c r="A75" s="4" t="s">
        <v>39</v>
      </c>
      <c r="B75" s="4" t="s">
        <v>169</v>
      </c>
      <c r="C75" s="4" t="s">
        <v>237</v>
      </c>
      <c r="D75" s="4">
        <f>INDEX(Positions!$D$2:$D$4694,MATCH($A75&amp;"|50",Positions!$A$2:$A$4694,0))</f>
        <v>50</v>
      </c>
      <c r="E75" s="4">
        <f>INDEX(Positions!$D$2:$D$4694,MATCH($A75&amp;"|64",Positions!$A$2:$A$4694,0))</f>
        <v>64</v>
      </c>
      <c r="F75" s="4" t="str">
        <f>INDEX(Positions!$E$2:$E$4694,MATCH($A75&amp;"|50",Positions!$A$2:$A$4694,0))</f>
        <v>U</v>
      </c>
      <c r="G75" s="4" t="str">
        <f>INDEX(Positions!$E$2:$E$4694,MATCH($A75&amp;"|64",Positions!$A$2:$A$4694,0))</f>
        <v>A</v>
      </c>
      <c r="H75" s="3" t="str">
        <f t="shared" si="4"/>
        <v>U-A</v>
      </c>
      <c r="I75" s="4">
        <f t="shared" si="5"/>
        <v>0</v>
      </c>
      <c r="J75" s="4">
        <f t="shared" si="6"/>
        <v>0</v>
      </c>
      <c r="K75" s="3">
        <f t="shared" si="7"/>
        <v>0</v>
      </c>
    </row>
    <row r="76" spans="1:11">
      <c r="A76" s="4" t="s">
        <v>39</v>
      </c>
      <c r="B76" s="4" t="s">
        <v>169</v>
      </c>
      <c r="C76" s="4" t="s">
        <v>238</v>
      </c>
      <c r="D76" s="4">
        <f>INDEX(Positions!$D$2:$D$4694,MATCH($A76&amp;"|51",Positions!$A$2:$A$4694,0))</f>
        <v>51</v>
      </c>
      <c r="E76" s="4">
        <f>INDEX(Positions!$D$2:$D$4694,MATCH($A76&amp;"|63",Positions!$A$2:$A$4694,0))</f>
        <v>63</v>
      </c>
      <c r="F76" s="4" t="str">
        <f>INDEX(Positions!$E$2:$E$4694,MATCH($A76&amp;"|51",Positions!$A$2:$A$4694,0))</f>
        <v>G</v>
      </c>
      <c r="G76" s="4" t="str">
        <f>INDEX(Positions!$E$2:$E$4694,MATCH($A76&amp;"|63",Positions!$A$2:$A$4694,0))</f>
        <v>C</v>
      </c>
      <c r="H76" s="3" t="str">
        <f t="shared" si="4"/>
        <v>G-C</v>
      </c>
      <c r="I76" s="4">
        <f t="shared" si="5"/>
        <v>1</v>
      </c>
      <c r="J76" s="4">
        <f t="shared" si="6"/>
        <v>1</v>
      </c>
      <c r="K76" s="3">
        <f t="shared" si="7"/>
        <v>2</v>
      </c>
    </row>
    <row r="77" spans="1:11">
      <c r="A77" s="4" t="s">
        <v>39</v>
      </c>
      <c r="B77" s="4" t="s">
        <v>169</v>
      </c>
      <c r="C77" s="4" t="s">
        <v>239</v>
      </c>
      <c r="D77" s="4">
        <f>INDEX(Positions!$D$2:$D$4694,MATCH($A77&amp;"|52",Positions!$A$2:$A$4694,0))</f>
        <v>52</v>
      </c>
      <c r="E77" s="4">
        <f>INDEX(Positions!$D$2:$D$4694,MATCH($A77&amp;"|62",Positions!$A$2:$A$4694,0))</f>
        <v>62</v>
      </c>
      <c r="F77" s="4" t="str">
        <f>INDEX(Positions!$E$2:$E$4694,MATCH($A77&amp;"|52",Positions!$A$2:$A$4694,0))</f>
        <v>G</v>
      </c>
      <c r="G77" s="4" t="str">
        <f>INDEX(Positions!$E$2:$E$4694,MATCH($A77&amp;"|62",Positions!$A$2:$A$4694,0))</f>
        <v>C</v>
      </c>
      <c r="H77" s="3" t="str">
        <f t="shared" si="4"/>
        <v>G-C</v>
      </c>
      <c r="I77" s="4">
        <f t="shared" si="5"/>
        <v>1</v>
      </c>
      <c r="J77" s="4">
        <f t="shared" si="6"/>
        <v>1</v>
      </c>
      <c r="K77" s="3">
        <f t="shared" si="7"/>
        <v>2</v>
      </c>
    </row>
    <row r="78" spans="1:11">
      <c r="A78" s="4" t="s">
        <v>39</v>
      </c>
      <c r="B78" s="4" t="s">
        <v>169</v>
      </c>
      <c r="C78" s="4" t="s">
        <v>240</v>
      </c>
      <c r="D78" s="4">
        <f>INDEX(Positions!$D$2:$D$4694,MATCH($A78&amp;"|53",Positions!$A$2:$A$4694,0))</f>
        <v>53</v>
      </c>
      <c r="E78" s="4">
        <f>INDEX(Positions!$D$2:$D$4694,MATCH($A78&amp;"|61",Positions!$A$2:$A$4694,0))</f>
        <v>61</v>
      </c>
      <c r="F78" s="4" t="str">
        <f>INDEX(Positions!$E$2:$E$4694,MATCH($A78&amp;"|53",Positions!$A$2:$A$4694,0))</f>
        <v>G</v>
      </c>
      <c r="G78" s="4" t="str">
        <f>INDEX(Positions!$E$2:$E$4694,MATCH($A78&amp;"|61",Positions!$A$2:$A$4694,0))</f>
        <v>C</v>
      </c>
      <c r="H78" s="3" t="str">
        <f t="shared" si="4"/>
        <v>G-C</v>
      </c>
      <c r="I78" s="4">
        <f t="shared" si="5"/>
        <v>1</v>
      </c>
      <c r="J78" s="4">
        <f t="shared" si="6"/>
        <v>1</v>
      </c>
      <c r="K78" s="3">
        <f t="shared" si="7"/>
        <v>2</v>
      </c>
    </row>
    <row r="79" spans="1:11">
      <c r="A79" s="23" t="s">
        <v>39</v>
      </c>
      <c r="B79" s="23" t="s">
        <v>241</v>
      </c>
      <c r="C79" s="23" t="s">
        <v>242</v>
      </c>
      <c r="D79" s="23">
        <f>INDEX(Positions!$D$2:$D$4694,MATCH($A79&amp;"|8",Positions!$A$2:$A$4694,0))</f>
        <v>8</v>
      </c>
      <c r="E79" s="23">
        <f>INDEX(Positions!$D$2:$D$4694,MATCH($A79&amp;"|14",Positions!$A$2:$A$4694,0))</f>
        <v>14</v>
      </c>
      <c r="F79" s="23" t="str">
        <f>INDEX(Positions!$E$2:$E$4694,MATCH($A79&amp;"|8",Positions!$A$2:$A$4694,0))</f>
        <v>U</v>
      </c>
      <c r="G79" s="23" t="str">
        <f>INDEX(Positions!$E$2:$E$4694,MATCH($A79&amp;"|14",Positions!$A$2:$A$4694,0))</f>
        <v>A</v>
      </c>
      <c r="H79" s="24" t="str">
        <f t="shared" si="4"/>
        <v>U-A</v>
      </c>
      <c r="I79" s="23">
        <f t="shared" si="5"/>
        <v>0</v>
      </c>
      <c r="J79" s="23">
        <f t="shared" si="6"/>
        <v>0</v>
      </c>
      <c r="K79" s="24">
        <f t="shared" si="7"/>
        <v>0</v>
      </c>
    </row>
    <row r="80" spans="1:11">
      <c r="A80" s="23" t="s">
        <v>39</v>
      </c>
      <c r="B80" s="23" t="s">
        <v>241</v>
      </c>
      <c r="C80" s="23" t="s">
        <v>243</v>
      </c>
      <c r="D80" s="23">
        <f>INDEX(Positions!$D$2:$D$4694,MATCH($A80&amp;"|15",Positions!$A$2:$A$4694,0))</f>
        <v>15</v>
      </c>
      <c r="E80" s="23">
        <f>INDEX(Positions!$D$2:$D$4694,MATCH($A80&amp;"|48",Positions!$A$2:$A$4694,0))</f>
        <v>48</v>
      </c>
      <c r="F80" s="23" t="str">
        <f>INDEX(Positions!$E$2:$E$4694,MATCH($A80&amp;"|15",Positions!$A$2:$A$4694,0))</f>
        <v>G</v>
      </c>
      <c r="G80" s="23" t="str">
        <f>INDEX(Positions!$E$2:$E$4694,MATCH($A80&amp;"|48",Positions!$A$2:$A$4694,0))</f>
        <v>C</v>
      </c>
      <c r="H80" s="24" t="str">
        <f t="shared" si="4"/>
        <v>G-C</v>
      </c>
      <c r="I80" s="23">
        <f t="shared" si="5"/>
        <v>1</v>
      </c>
      <c r="J80" s="23">
        <f t="shared" si="6"/>
        <v>1</v>
      </c>
      <c r="K80" s="24">
        <f t="shared" si="7"/>
        <v>2</v>
      </c>
    </row>
    <row r="81" spans="1:11">
      <c r="A81" s="23" t="s">
        <v>39</v>
      </c>
      <c r="B81" s="23" t="s">
        <v>241</v>
      </c>
      <c r="C81" s="23" t="s">
        <v>244</v>
      </c>
      <c r="D81" s="23">
        <f>INDEX(Positions!$D$2:$D$4694,MATCH($A81&amp;"|18",Positions!$A$2:$A$4694,0))</f>
        <v>18</v>
      </c>
      <c r="E81" s="23">
        <f>INDEX(Positions!$D$2:$D$4694,MATCH($A81&amp;"|55",Positions!$A$2:$A$4694,0))</f>
        <v>55</v>
      </c>
      <c r="F81" s="23" t="str">
        <f>INDEX(Positions!$E$2:$E$4694,MATCH($A81&amp;"|18",Positions!$A$2:$A$4694,0))</f>
        <v>G</v>
      </c>
      <c r="G81" s="23" t="str">
        <f>INDEX(Positions!$E$2:$E$4694,MATCH($A81&amp;"|55",Positions!$A$2:$A$4694,0))</f>
        <v>U</v>
      </c>
      <c r="H81" s="24" t="str">
        <f t="shared" si="4"/>
        <v>G-U</v>
      </c>
      <c r="I81" s="23">
        <f t="shared" si="5"/>
        <v>1</v>
      </c>
      <c r="J81" s="23">
        <f t="shared" si="6"/>
        <v>0</v>
      </c>
      <c r="K81" s="24">
        <f t="shared" si="7"/>
        <v>1</v>
      </c>
    </row>
    <row r="82" spans="1:11">
      <c r="A82" s="23" t="s">
        <v>39</v>
      </c>
      <c r="B82" s="23" t="s">
        <v>241</v>
      </c>
      <c r="C82" s="23" t="s">
        <v>245</v>
      </c>
      <c r="D82" s="23">
        <f>INDEX(Positions!$D$2:$D$4694,MATCH($A82&amp;"|19",Positions!$A$2:$A$4694,0))</f>
        <v>19</v>
      </c>
      <c r="E82" s="23">
        <f>INDEX(Positions!$D$2:$D$4694,MATCH($A82&amp;"|56",Positions!$A$2:$A$4694,0))</f>
        <v>56</v>
      </c>
      <c r="F82" s="23" t="str">
        <f>INDEX(Positions!$E$2:$E$4694,MATCH($A82&amp;"|19",Positions!$A$2:$A$4694,0))</f>
        <v>G</v>
      </c>
      <c r="G82" s="23" t="str">
        <f>INDEX(Positions!$E$2:$E$4694,MATCH($A82&amp;"|56",Positions!$A$2:$A$4694,0))</f>
        <v>C</v>
      </c>
      <c r="H82" s="24" t="str">
        <f t="shared" si="4"/>
        <v>G-C</v>
      </c>
      <c r="I82" s="23">
        <f t="shared" si="5"/>
        <v>1</v>
      </c>
      <c r="J82" s="23">
        <f t="shared" si="6"/>
        <v>1</v>
      </c>
      <c r="K82" s="24">
        <f t="shared" si="7"/>
        <v>2</v>
      </c>
    </row>
    <row r="83" spans="1:11">
      <c r="A83" s="23" t="s">
        <v>39</v>
      </c>
      <c r="B83" s="23" t="s">
        <v>241</v>
      </c>
      <c r="C83" s="23" t="s">
        <v>246</v>
      </c>
      <c r="D83" s="23">
        <f>INDEX(Positions!$D$2:$D$4694,MATCH($A83&amp;"|26",Positions!$A$2:$A$4694,0))</f>
        <v>26</v>
      </c>
      <c r="E83" s="23">
        <f>INDEX(Positions!$D$2:$D$4694,MATCH($A83&amp;"|44",Positions!$A$2:$A$4694,0))</f>
        <v>44</v>
      </c>
      <c r="F83" s="23" t="str">
        <f>INDEX(Positions!$E$2:$E$4694,MATCH($A83&amp;"|26",Positions!$A$2:$A$4694,0))</f>
        <v>G</v>
      </c>
      <c r="G83" s="23" t="str">
        <f>INDEX(Positions!$E$2:$E$4694,MATCH($A83&amp;"|44",Positions!$A$2:$A$4694,0))</f>
        <v>A</v>
      </c>
      <c r="H83" s="24" t="str">
        <f t="shared" si="4"/>
        <v>G-A</v>
      </c>
      <c r="I83" s="23">
        <f t="shared" si="5"/>
        <v>1</v>
      </c>
      <c r="J83" s="23">
        <f t="shared" si="6"/>
        <v>0</v>
      </c>
      <c r="K83" s="24">
        <f t="shared" si="7"/>
        <v>1</v>
      </c>
    </row>
    <row r="84" spans="1:11">
      <c r="A84" s="23" t="s">
        <v>39</v>
      </c>
      <c r="B84" s="23" t="s">
        <v>241</v>
      </c>
      <c r="C84" s="23" t="s">
        <v>247</v>
      </c>
      <c r="D84" s="23">
        <f>INDEX(Positions!$D$2:$D$4694,MATCH($A84&amp;"|32",Positions!$A$2:$A$4694,0))</f>
        <v>32</v>
      </c>
      <c r="E84" s="23">
        <f>INDEX(Positions!$D$2:$D$4694,MATCH($A84&amp;"|38",Positions!$A$2:$A$4694,0))</f>
        <v>38</v>
      </c>
      <c r="F84" s="23" t="str">
        <f>INDEX(Positions!$E$2:$E$4694,MATCH($A84&amp;"|32",Positions!$A$2:$A$4694,0))</f>
        <v>U</v>
      </c>
      <c r="G84" s="23" t="str">
        <f>INDEX(Positions!$E$2:$E$4694,MATCH($A84&amp;"|38",Positions!$A$2:$A$4694,0))</f>
        <v>A</v>
      </c>
      <c r="H84" s="24" t="str">
        <f t="shared" si="4"/>
        <v>U-A</v>
      </c>
      <c r="I84" s="23">
        <f t="shared" si="5"/>
        <v>0</v>
      </c>
      <c r="J84" s="23">
        <f t="shared" si="6"/>
        <v>0</v>
      </c>
      <c r="K84" s="24">
        <f t="shared" si="7"/>
        <v>0</v>
      </c>
    </row>
    <row r="85" spans="1:11">
      <c r="A85" s="23" t="s">
        <v>39</v>
      </c>
      <c r="B85" s="23" t="s">
        <v>241</v>
      </c>
      <c r="C85" s="23" t="s">
        <v>248</v>
      </c>
      <c r="D85" s="23">
        <f>INDEX(Positions!$D$2:$D$4694,MATCH($A85&amp;"|54",Positions!$A$2:$A$4694,0))</f>
        <v>54</v>
      </c>
      <c r="E85" s="23">
        <f>INDEX(Positions!$D$2:$D$4694,MATCH($A85&amp;"|58",Positions!$A$2:$A$4694,0))</f>
        <v>58</v>
      </c>
      <c r="F85" s="23" t="str">
        <f>INDEX(Positions!$E$2:$E$4694,MATCH($A85&amp;"|54",Positions!$A$2:$A$4694,0))</f>
        <v>U</v>
      </c>
      <c r="G85" s="23" t="str">
        <f>INDEX(Positions!$E$2:$E$4694,MATCH($A85&amp;"|58",Positions!$A$2:$A$4694,0))</f>
        <v>A</v>
      </c>
      <c r="H85" s="24" t="str">
        <f t="shared" si="4"/>
        <v>U-A</v>
      </c>
      <c r="I85" s="23">
        <f t="shared" si="5"/>
        <v>0</v>
      </c>
      <c r="J85" s="23">
        <f t="shared" si="6"/>
        <v>0</v>
      </c>
      <c r="K85" s="24">
        <f t="shared" si="7"/>
        <v>0</v>
      </c>
    </row>
    <row r="86" spans="1:11">
      <c r="A86" s="4" t="s">
        <v>40</v>
      </c>
      <c r="B86" s="4" t="s">
        <v>110</v>
      </c>
      <c r="C86" s="4" t="s">
        <v>220</v>
      </c>
      <c r="D86" s="4">
        <f>INDEX(Positions!$D$2:$D$4694,MATCH($A86&amp;"|1",Positions!$A$2:$A$4694,0))</f>
        <v>1</v>
      </c>
      <c r="E86" s="4">
        <f>INDEX(Positions!$D$2:$D$4694,MATCH($A86&amp;"|72",Positions!$A$2:$A$4694,0))</f>
        <v>71</v>
      </c>
      <c r="F86" s="4" t="str">
        <f>INDEX(Positions!$E$2:$E$4694,MATCH($A86&amp;"|1",Positions!$A$2:$A$4694,0))</f>
        <v>A</v>
      </c>
      <c r="G86" s="4" t="str">
        <f>INDEX(Positions!$E$2:$E$4694,MATCH($A86&amp;"|72",Positions!$A$2:$A$4694,0))</f>
        <v>U</v>
      </c>
      <c r="H86" s="3" t="str">
        <f t="shared" si="4"/>
        <v>A-U</v>
      </c>
      <c r="I86" s="4">
        <f t="shared" si="5"/>
        <v>0</v>
      </c>
      <c r="J86" s="4">
        <f t="shared" si="6"/>
        <v>0</v>
      </c>
      <c r="K86" s="3">
        <f t="shared" si="7"/>
        <v>0</v>
      </c>
    </row>
    <row r="87" spans="1:11">
      <c r="A87" s="4" t="s">
        <v>40</v>
      </c>
      <c r="B87" s="4" t="s">
        <v>110</v>
      </c>
      <c r="C87" s="4" t="s">
        <v>221</v>
      </c>
      <c r="D87" s="4">
        <f>INDEX(Positions!$D$2:$D$4694,MATCH($A87&amp;"|2",Positions!$A$2:$A$4694,0))</f>
        <v>2</v>
      </c>
      <c r="E87" s="4">
        <f>INDEX(Positions!$D$2:$D$4694,MATCH($A87&amp;"|71",Positions!$A$2:$A$4694,0))</f>
        <v>70</v>
      </c>
      <c r="F87" s="4" t="str">
        <f>INDEX(Positions!$E$2:$E$4694,MATCH($A87&amp;"|2",Positions!$A$2:$A$4694,0))</f>
        <v>G</v>
      </c>
      <c r="G87" s="4" t="str">
        <f>INDEX(Positions!$E$2:$E$4694,MATCH($A87&amp;"|71",Positions!$A$2:$A$4694,0))</f>
        <v>C</v>
      </c>
      <c r="H87" s="3" t="str">
        <f t="shared" si="4"/>
        <v>G-C</v>
      </c>
      <c r="I87" s="4">
        <f t="shared" si="5"/>
        <v>1</v>
      </c>
      <c r="J87" s="4">
        <f t="shared" si="6"/>
        <v>1</v>
      </c>
      <c r="K87" s="3">
        <f t="shared" si="7"/>
        <v>2</v>
      </c>
    </row>
    <row r="88" spans="1:11">
      <c r="A88" s="4" t="s">
        <v>40</v>
      </c>
      <c r="B88" s="4" t="s">
        <v>110</v>
      </c>
      <c r="C88" s="4" t="s">
        <v>222</v>
      </c>
      <c r="D88" s="4">
        <f>INDEX(Positions!$D$2:$D$4694,MATCH($A88&amp;"|3",Positions!$A$2:$A$4694,0))</f>
        <v>3</v>
      </c>
      <c r="E88" s="4">
        <f>INDEX(Positions!$D$2:$D$4694,MATCH($A88&amp;"|70",Positions!$A$2:$A$4694,0))</f>
        <v>69</v>
      </c>
      <c r="F88" s="4" t="str">
        <f>INDEX(Positions!$E$2:$E$4694,MATCH($A88&amp;"|3",Positions!$A$2:$A$4694,0))</f>
        <v>G</v>
      </c>
      <c r="G88" s="4" t="str">
        <f>INDEX(Positions!$E$2:$E$4694,MATCH($A88&amp;"|70",Positions!$A$2:$A$4694,0))</f>
        <v>C</v>
      </c>
      <c r="H88" s="3" t="str">
        <f t="shared" si="4"/>
        <v>G-C</v>
      </c>
      <c r="I88" s="4">
        <f t="shared" si="5"/>
        <v>1</v>
      </c>
      <c r="J88" s="4">
        <f t="shared" si="6"/>
        <v>1</v>
      </c>
      <c r="K88" s="3">
        <f t="shared" si="7"/>
        <v>2</v>
      </c>
    </row>
    <row r="89" spans="1:11">
      <c r="A89" s="4" t="s">
        <v>40</v>
      </c>
      <c r="B89" s="4" t="s">
        <v>110</v>
      </c>
      <c r="C89" s="4" t="s">
        <v>223</v>
      </c>
      <c r="D89" s="4">
        <f>INDEX(Positions!$D$2:$D$4694,MATCH($A89&amp;"|4",Positions!$A$2:$A$4694,0))</f>
        <v>4</v>
      </c>
      <c r="E89" s="4">
        <f>INDEX(Positions!$D$2:$D$4694,MATCH($A89&amp;"|69",Positions!$A$2:$A$4694,0))</f>
        <v>68</v>
      </c>
      <c r="F89" s="4" t="str">
        <f>INDEX(Positions!$E$2:$E$4694,MATCH($A89&amp;"|4",Positions!$A$2:$A$4694,0))</f>
        <v>U</v>
      </c>
      <c r="G89" s="4" t="str">
        <f>INDEX(Positions!$E$2:$E$4694,MATCH($A89&amp;"|69",Positions!$A$2:$A$4694,0))</f>
        <v>A</v>
      </c>
      <c r="H89" s="3" t="str">
        <f t="shared" si="4"/>
        <v>U-A</v>
      </c>
      <c r="I89" s="4">
        <f t="shared" si="5"/>
        <v>0</v>
      </c>
      <c r="J89" s="4">
        <f t="shared" si="6"/>
        <v>0</v>
      </c>
      <c r="K89" s="3">
        <f t="shared" si="7"/>
        <v>0</v>
      </c>
    </row>
    <row r="90" spans="1:11">
      <c r="A90" s="4" t="s">
        <v>40</v>
      </c>
      <c r="B90" s="4" t="s">
        <v>110</v>
      </c>
      <c r="C90" s="4" t="s">
        <v>224</v>
      </c>
      <c r="D90" s="4">
        <f>INDEX(Positions!$D$2:$D$4694,MATCH($A90&amp;"|5",Positions!$A$2:$A$4694,0))</f>
        <v>5</v>
      </c>
      <c r="E90" s="4">
        <f>INDEX(Positions!$D$2:$D$4694,MATCH($A90&amp;"|68",Positions!$A$2:$A$4694,0))</f>
        <v>67</v>
      </c>
      <c r="F90" s="4" t="str">
        <f>INDEX(Positions!$E$2:$E$4694,MATCH($A90&amp;"|5",Positions!$A$2:$A$4694,0))</f>
        <v>C</v>
      </c>
      <c r="G90" s="4" t="str">
        <f>INDEX(Positions!$E$2:$E$4694,MATCH($A90&amp;"|68",Positions!$A$2:$A$4694,0))</f>
        <v>G</v>
      </c>
      <c r="H90" s="3" t="str">
        <f t="shared" si="4"/>
        <v>C-G</v>
      </c>
      <c r="I90" s="4">
        <f t="shared" si="5"/>
        <v>1</v>
      </c>
      <c r="J90" s="4">
        <f t="shared" si="6"/>
        <v>1</v>
      </c>
      <c r="K90" s="3">
        <f t="shared" si="7"/>
        <v>2</v>
      </c>
    </row>
    <row r="91" spans="1:11">
      <c r="A91" s="4" t="s">
        <v>40</v>
      </c>
      <c r="B91" s="4" t="s">
        <v>110</v>
      </c>
      <c r="C91" s="4" t="s">
        <v>225</v>
      </c>
      <c r="D91" s="4">
        <f>INDEX(Positions!$D$2:$D$4694,MATCH($A91&amp;"|6",Positions!$A$2:$A$4694,0))</f>
        <v>6</v>
      </c>
      <c r="E91" s="4">
        <f>INDEX(Positions!$D$2:$D$4694,MATCH($A91&amp;"|67",Positions!$A$2:$A$4694,0))</f>
        <v>66</v>
      </c>
      <c r="F91" s="4" t="str">
        <f>INDEX(Positions!$E$2:$E$4694,MATCH($A91&amp;"|6",Positions!$A$2:$A$4694,0))</f>
        <v>U</v>
      </c>
      <c r="G91" s="4" t="str">
        <f>INDEX(Positions!$E$2:$E$4694,MATCH($A91&amp;"|67",Positions!$A$2:$A$4694,0))</f>
        <v>A</v>
      </c>
      <c r="H91" s="3" t="str">
        <f t="shared" si="4"/>
        <v>U-A</v>
      </c>
      <c r="I91" s="4">
        <f t="shared" si="5"/>
        <v>0</v>
      </c>
      <c r="J91" s="4">
        <f t="shared" si="6"/>
        <v>0</v>
      </c>
      <c r="K91" s="3">
        <f t="shared" si="7"/>
        <v>0</v>
      </c>
    </row>
    <row r="92" spans="1:11">
      <c r="A92" s="4" t="s">
        <v>40</v>
      </c>
      <c r="B92" s="4" t="s">
        <v>110</v>
      </c>
      <c r="C92" s="4" t="s">
        <v>226</v>
      </c>
      <c r="D92" s="4">
        <f>INDEX(Positions!$D$2:$D$4694,MATCH($A92&amp;"|7",Positions!$A$2:$A$4694,0))</f>
        <v>7</v>
      </c>
      <c r="E92" s="4">
        <f>INDEX(Positions!$D$2:$D$4694,MATCH($A92&amp;"|66",Positions!$A$2:$A$4694,0))</f>
        <v>65</v>
      </c>
      <c r="F92" s="4" t="str">
        <f>INDEX(Positions!$E$2:$E$4694,MATCH($A92&amp;"|7",Positions!$A$2:$A$4694,0))</f>
        <v>G</v>
      </c>
      <c r="G92" s="4" t="str">
        <f>INDEX(Positions!$E$2:$E$4694,MATCH($A92&amp;"|66",Positions!$A$2:$A$4694,0))</f>
        <v>C</v>
      </c>
      <c r="H92" s="3" t="str">
        <f t="shared" si="4"/>
        <v>G-C</v>
      </c>
      <c r="I92" s="4">
        <f t="shared" si="5"/>
        <v>1</v>
      </c>
      <c r="J92" s="4">
        <f t="shared" si="6"/>
        <v>1</v>
      </c>
      <c r="K92" s="3">
        <f t="shared" si="7"/>
        <v>2</v>
      </c>
    </row>
    <row r="93" spans="1:11">
      <c r="A93" s="4" t="s">
        <v>40</v>
      </c>
      <c r="B93" s="4" t="s">
        <v>125</v>
      </c>
      <c r="C93" s="4" t="s">
        <v>227</v>
      </c>
      <c r="D93" s="4">
        <f>INDEX(Positions!$D$2:$D$4694,MATCH($A93&amp;"|10",Positions!$A$2:$A$4694,0))</f>
        <v>10</v>
      </c>
      <c r="E93" s="4">
        <f>INDEX(Positions!$D$2:$D$4694,MATCH($A93&amp;"|25",Positions!$A$2:$A$4694,0))</f>
        <v>25</v>
      </c>
      <c r="F93" s="4" t="str">
        <f>INDEX(Positions!$E$2:$E$4694,MATCH($A93&amp;"|10",Positions!$A$2:$A$4694,0))</f>
        <v>G</v>
      </c>
      <c r="G93" s="4" t="str">
        <f>INDEX(Positions!$E$2:$E$4694,MATCH($A93&amp;"|25",Positions!$A$2:$A$4694,0))</f>
        <v>C</v>
      </c>
      <c r="H93" s="3" t="str">
        <f t="shared" si="4"/>
        <v>G-C</v>
      </c>
      <c r="I93" s="4">
        <f t="shared" si="5"/>
        <v>1</v>
      </c>
      <c r="J93" s="4">
        <f t="shared" si="6"/>
        <v>1</v>
      </c>
      <c r="K93" s="3">
        <f t="shared" si="7"/>
        <v>2</v>
      </c>
    </row>
    <row r="94" spans="1:11">
      <c r="A94" s="4" t="s">
        <v>40</v>
      </c>
      <c r="B94" s="4" t="s">
        <v>125</v>
      </c>
      <c r="C94" s="4" t="s">
        <v>228</v>
      </c>
      <c r="D94" s="4">
        <f>INDEX(Positions!$D$2:$D$4694,MATCH($A94&amp;"|11",Positions!$A$2:$A$4694,0))</f>
        <v>11</v>
      </c>
      <c r="E94" s="4">
        <f>INDEX(Positions!$D$2:$D$4694,MATCH($A94&amp;"|24",Positions!$A$2:$A$4694,0))</f>
        <v>24</v>
      </c>
      <c r="F94" s="4" t="str">
        <f>INDEX(Positions!$E$2:$E$4694,MATCH($A94&amp;"|11",Positions!$A$2:$A$4694,0))</f>
        <v>U</v>
      </c>
      <c r="G94" s="4" t="str">
        <f>INDEX(Positions!$E$2:$E$4694,MATCH($A94&amp;"|24",Positions!$A$2:$A$4694,0))</f>
        <v>A</v>
      </c>
      <c r="H94" s="3" t="str">
        <f t="shared" si="4"/>
        <v>U-A</v>
      </c>
      <c r="I94" s="4">
        <f t="shared" si="5"/>
        <v>0</v>
      </c>
      <c r="J94" s="4">
        <f t="shared" si="6"/>
        <v>0</v>
      </c>
      <c r="K94" s="3">
        <f t="shared" si="7"/>
        <v>0</v>
      </c>
    </row>
    <row r="95" spans="1:11">
      <c r="A95" s="4" t="s">
        <v>40</v>
      </c>
      <c r="B95" s="4" t="s">
        <v>125</v>
      </c>
      <c r="C95" s="4" t="s">
        <v>229</v>
      </c>
      <c r="D95" s="4">
        <f>INDEX(Positions!$D$2:$D$4694,MATCH($A95&amp;"|12",Positions!$A$2:$A$4694,0))</f>
        <v>12</v>
      </c>
      <c r="E95" s="4">
        <f>INDEX(Positions!$D$2:$D$4694,MATCH($A95&amp;"|23",Positions!$A$2:$A$4694,0))</f>
        <v>23</v>
      </c>
      <c r="F95" s="4" t="str">
        <f>INDEX(Positions!$E$2:$E$4694,MATCH($A95&amp;"|12",Positions!$A$2:$A$4694,0))</f>
        <v>G</v>
      </c>
      <c r="G95" s="4" t="str">
        <f>INDEX(Positions!$E$2:$E$4694,MATCH($A95&amp;"|23",Positions!$A$2:$A$4694,0))</f>
        <v>C</v>
      </c>
      <c r="H95" s="3" t="str">
        <f t="shared" si="4"/>
        <v>G-C</v>
      </c>
      <c r="I95" s="4">
        <f t="shared" si="5"/>
        <v>1</v>
      </c>
      <c r="J95" s="4">
        <f t="shared" si="6"/>
        <v>1</v>
      </c>
      <c r="K95" s="3">
        <f t="shared" si="7"/>
        <v>2</v>
      </c>
    </row>
    <row r="96" spans="1:11">
      <c r="A96" s="4" t="s">
        <v>40</v>
      </c>
      <c r="B96" s="4" t="s">
        <v>125</v>
      </c>
      <c r="C96" s="4" t="s">
        <v>230</v>
      </c>
      <c r="D96" s="4">
        <f>INDEX(Positions!$D$2:$D$4694,MATCH($A96&amp;"|13",Positions!$A$2:$A$4694,0))</f>
        <v>13</v>
      </c>
      <c r="E96" s="4">
        <f>INDEX(Positions!$D$2:$D$4694,MATCH($A96&amp;"|22",Positions!$A$2:$A$4694,0))</f>
        <v>22</v>
      </c>
      <c r="F96" s="4" t="str">
        <f>INDEX(Positions!$E$2:$E$4694,MATCH($A96&amp;"|13",Positions!$A$2:$A$4694,0))</f>
        <v>U</v>
      </c>
      <c r="G96" s="4" t="str">
        <f>INDEX(Positions!$E$2:$E$4694,MATCH($A96&amp;"|22",Positions!$A$2:$A$4694,0))</f>
        <v>U</v>
      </c>
      <c r="H96" s="3" t="str">
        <f t="shared" si="4"/>
        <v>U-U</v>
      </c>
      <c r="I96" s="4">
        <f t="shared" si="5"/>
        <v>0</v>
      </c>
      <c r="J96" s="4">
        <f t="shared" si="6"/>
        <v>0</v>
      </c>
      <c r="K96" s="3">
        <f t="shared" si="7"/>
        <v>0</v>
      </c>
    </row>
    <row r="97" spans="1:11">
      <c r="A97" s="4" t="s">
        <v>40</v>
      </c>
      <c r="B97" s="4" t="s">
        <v>144</v>
      </c>
      <c r="C97" s="4" t="s">
        <v>231</v>
      </c>
      <c r="D97" s="4">
        <f>INDEX(Positions!$D$2:$D$4694,MATCH($A97&amp;"|27",Positions!$A$2:$A$4694,0))</f>
        <v>27</v>
      </c>
      <c r="E97" s="4">
        <f>INDEX(Positions!$D$2:$D$4694,MATCH($A97&amp;"|43",Positions!$A$2:$A$4694,0))</f>
        <v>43</v>
      </c>
      <c r="F97" s="4" t="str">
        <f>INDEX(Positions!$E$2:$E$4694,MATCH($A97&amp;"|27",Positions!$A$2:$A$4694,0))</f>
        <v>G</v>
      </c>
      <c r="G97" s="4" t="str">
        <f>INDEX(Positions!$E$2:$E$4694,MATCH($A97&amp;"|43",Positions!$A$2:$A$4694,0))</f>
        <v>C</v>
      </c>
      <c r="H97" s="3" t="str">
        <f t="shared" si="4"/>
        <v>G-C</v>
      </c>
      <c r="I97" s="4">
        <f t="shared" si="5"/>
        <v>1</v>
      </c>
      <c r="J97" s="4">
        <f t="shared" si="6"/>
        <v>1</v>
      </c>
      <c r="K97" s="3">
        <f t="shared" si="7"/>
        <v>2</v>
      </c>
    </row>
    <row r="98" spans="1:11">
      <c r="A98" s="4" t="s">
        <v>40</v>
      </c>
      <c r="B98" s="4" t="s">
        <v>144</v>
      </c>
      <c r="C98" s="4" t="s">
        <v>232</v>
      </c>
      <c r="D98" s="4">
        <f>INDEX(Positions!$D$2:$D$4694,MATCH($A98&amp;"|28",Positions!$A$2:$A$4694,0))</f>
        <v>28</v>
      </c>
      <c r="E98" s="4">
        <f>INDEX(Positions!$D$2:$D$4694,MATCH($A98&amp;"|42",Positions!$A$2:$A$4694,0))</f>
        <v>42</v>
      </c>
      <c r="F98" s="4" t="str">
        <f>INDEX(Positions!$E$2:$E$4694,MATCH($A98&amp;"|28",Positions!$A$2:$A$4694,0))</f>
        <v>G</v>
      </c>
      <c r="G98" s="4" t="str">
        <f>INDEX(Positions!$E$2:$E$4694,MATCH($A98&amp;"|42",Positions!$A$2:$A$4694,0))</f>
        <v>C</v>
      </c>
      <c r="H98" s="3" t="str">
        <f t="shared" si="4"/>
        <v>G-C</v>
      </c>
      <c r="I98" s="4">
        <f t="shared" si="5"/>
        <v>1</v>
      </c>
      <c r="J98" s="4">
        <f t="shared" si="6"/>
        <v>1</v>
      </c>
      <c r="K98" s="3">
        <f t="shared" si="7"/>
        <v>2</v>
      </c>
    </row>
    <row r="99" spans="1:11">
      <c r="A99" s="4" t="s">
        <v>40</v>
      </c>
      <c r="B99" s="4" t="s">
        <v>144</v>
      </c>
      <c r="C99" s="4" t="s">
        <v>233</v>
      </c>
      <c r="D99" s="4">
        <f>INDEX(Positions!$D$2:$D$4694,MATCH($A99&amp;"|29",Positions!$A$2:$A$4694,0))</f>
        <v>29</v>
      </c>
      <c r="E99" s="4">
        <f>INDEX(Positions!$D$2:$D$4694,MATCH($A99&amp;"|41",Positions!$A$2:$A$4694,0))</f>
        <v>41</v>
      </c>
      <c r="F99" s="4" t="str">
        <f>INDEX(Positions!$E$2:$E$4694,MATCH($A99&amp;"|29",Positions!$A$2:$A$4694,0))</f>
        <v>A</v>
      </c>
      <c r="G99" s="4" t="str">
        <f>INDEX(Positions!$E$2:$E$4694,MATCH($A99&amp;"|41",Positions!$A$2:$A$4694,0))</f>
        <v>U</v>
      </c>
      <c r="H99" s="3" t="str">
        <f t="shared" si="4"/>
        <v>A-U</v>
      </c>
      <c r="I99" s="4">
        <f t="shared" si="5"/>
        <v>0</v>
      </c>
      <c r="J99" s="4">
        <f t="shared" si="6"/>
        <v>0</v>
      </c>
      <c r="K99" s="3">
        <f t="shared" si="7"/>
        <v>0</v>
      </c>
    </row>
    <row r="100" spans="1:11">
      <c r="A100" s="4" t="s">
        <v>40</v>
      </c>
      <c r="B100" s="4" t="s">
        <v>144</v>
      </c>
      <c r="C100" s="4" t="s">
        <v>234</v>
      </c>
      <c r="D100" s="4">
        <f>INDEX(Positions!$D$2:$D$4694,MATCH($A100&amp;"|30",Positions!$A$2:$A$4694,0))</f>
        <v>30</v>
      </c>
      <c r="E100" s="4">
        <f>INDEX(Positions!$D$2:$D$4694,MATCH($A100&amp;"|40",Positions!$A$2:$A$4694,0))</f>
        <v>40</v>
      </c>
      <c r="F100" s="4" t="str">
        <f>INDEX(Positions!$E$2:$E$4694,MATCH($A100&amp;"|30",Positions!$A$2:$A$4694,0))</f>
        <v>G</v>
      </c>
      <c r="G100" s="4" t="str">
        <f>INDEX(Positions!$E$2:$E$4694,MATCH($A100&amp;"|40",Positions!$A$2:$A$4694,0))</f>
        <v>C</v>
      </c>
      <c r="H100" s="3" t="str">
        <f t="shared" si="4"/>
        <v>G-C</v>
      </c>
      <c r="I100" s="4">
        <f t="shared" si="5"/>
        <v>1</v>
      </c>
      <c r="J100" s="4">
        <f t="shared" si="6"/>
        <v>1</v>
      </c>
      <c r="K100" s="3">
        <f t="shared" si="7"/>
        <v>2</v>
      </c>
    </row>
    <row r="101" spans="1:11">
      <c r="A101" s="4" t="s">
        <v>40</v>
      </c>
      <c r="B101" s="4" t="s">
        <v>144</v>
      </c>
      <c r="C101" s="4" t="s">
        <v>235</v>
      </c>
      <c r="D101" s="4">
        <f>INDEX(Positions!$D$2:$D$4694,MATCH($A101&amp;"|31",Positions!$A$2:$A$4694,0))</f>
        <v>31</v>
      </c>
      <c r="E101" s="4">
        <f>INDEX(Positions!$D$2:$D$4694,MATCH($A101&amp;"|39",Positions!$A$2:$A$4694,0))</f>
        <v>39</v>
      </c>
      <c r="F101" s="4" t="str">
        <f>INDEX(Positions!$E$2:$E$4694,MATCH($A101&amp;"|31",Positions!$A$2:$A$4694,0))</f>
        <v>C</v>
      </c>
      <c r="G101" s="4" t="str">
        <f>INDEX(Positions!$E$2:$E$4694,MATCH($A101&amp;"|39",Positions!$A$2:$A$4694,0))</f>
        <v>G</v>
      </c>
      <c r="H101" s="3" t="str">
        <f t="shared" si="4"/>
        <v>C-G</v>
      </c>
      <c r="I101" s="4">
        <f t="shared" si="5"/>
        <v>1</v>
      </c>
      <c r="J101" s="4">
        <f t="shared" si="6"/>
        <v>1</v>
      </c>
      <c r="K101" s="3">
        <f t="shared" si="7"/>
        <v>2</v>
      </c>
    </row>
    <row r="102" spans="1:11">
      <c r="A102" s="4" t="s">
        <v>40</v>
      </c>
      <c r="B102" s="4" t="s">
        <v>169</v>
      </c>
      <c r="C102" s="4" t="s">
        <v>236</v>
      </c>
      <c r="D102" s="4">
        <f>INDEX(Positions!$D$2:$D$4694,MATCH($A102&amp;"|49",Positions!$A$2:$A$4694,0))</f>
        <v>48</v>
      </c>
      <c r="E102" s="4">
        <f>INDEX(Positions!$D$2:$D$4694,MATCH($A102&amp;"|65",Positions!$A$2:$A$4694,0))</f>
        <v>64</v>
      </c>
      <c r="F102" s="4" t="str">
        <f>INDEX(Positions!$E$2:$E$4694,MATCH($A102&amp;"|49",Positions!$A$2:$A$4694,0))</f>
        <v>C</v>
      </c>
      <c r="G102" s="4" t="str">
        <f>INDEX(Positions!$E$2:$E$4694,MATCH($A102&amp;"|65",Positions!$A$2:$A$4694,0))</f>
        <v>G</v>
      </c>
      <c r="H102" s="3" t="str">
        <f t="shared" si="4"/>
        <v>C-G</v>
      </c>
      <c r="I102" s="4">
        <f t="shared" si="5"/>
        <v>1</v>
      </c>
      <c r="J102" s="4">
        <f t="shared" si="6"/>
        <v>1</v>
      </c>
      <c r="K102" s="3">
        <f t="shared" si="7"/>
        <v>2</v>
      </c>
    </row>
    <row r="103" spans="1:11">
      <c r="A103" s="4" t="s">
        <v>40</v>
      </c>
      <c r="B103" s="4" t="s">
        <v>169</v>
      </c>
      <c r="C103" s="4" t="s">
        <v>237</v>
      </c>
      <c r="D103" s="4">
        <f>INDEX(Positions!$D$2:$D$4694,MATCH($A103&amp;"|50",Positions!$A$2:$A$4694,0))</f>
        <v>49</v>
      </c>
      <c r="E103" s="4">
        <f>INDEX(Positions!$D$2:$D$4694,MATCH($A103&amp;"|64",Positions!$A$2:$A$4694,0))</f>
        <v>63</v>
      </c>
      <c r="F103" s="4" t="str">
        <f>INDEX(Positions!$E$2:$E$4694,MATCH($A103&amp;"|50",Positions!$A$2:$A$4694,0))</f>
        <v>U</v>
      </c>
      <c r="G103" s="4" t="str">
        <f>INDEX(Positions!$E$2:$E$4694,MATCH($A103&amp;"|64",Positions!$A$2:$A$4694,0))</f>
        <v>A</v>
      </c>
      <c r="H103" s="3" t="str">
        <f t="shared" si="4"/>
        <v>U-A</v>
      </c>
      <c r="I103" s="4">
        <f t="shared" si="5"/>
        <v>0</v>
      </c>
      <c r="J103" s="4">
        <f t="shared" si="6"/>
        <v>0</v>
      </c>
      <c r="K103" s="3">
        <f t="shared" si="7"/>
        <v>0</v>
      </c>
    </row>
    <row r="104" spans="1:11">
      <c r="A104" s="4" t="s">
        <v>40</v>
      </c>
      <c r="B104" s="4" t="s">
        <v>169</v>
      </c>
      <c r="C104" s="4" t="s">
        <v>238</v>
      </c>
      <c r="D104" s="4">
        <f>INDEX(Positions!$D$2:$D$4694,MATCH($A104&amp;"|51",Positions!$A$2:$A$4694,0))</f>
        <v>50</v>
      </c>
      <c r="E104" s="4">
        <f>INDEX(Positions!$D$2:$D$4694,MATCH($A104&amp;"|63",Positions!$A$2:$A$4694,0))</f>
        <v>62</v>
      </c>
      <c r="F104" s="4" t="str">
        <f>INDEX(Positions!$E$2:$E$4694,MATCH($A104&amp;"|51",Positions!$A$2:$A$4694,0))</f>
        <v>G</v>
      </c>
      <c r="G104" s="4" t="str">
        <f>INDEX(Positions!$E$2:$E$4694,MATCH($A104&amp;"|63",Positions!$A$2:$A$4694,0))</f>
        <v>C</v>
      </c>
      <c r="H104" s="3" t="str">
        <f t="shared" si="4"/>
        <v>G-C</v>
      </c>
      <c r="I104" s="4">
        <f t="shared" si="5"/>
        <v>1</v>
      </c>
      <c r="J104" s="4">
        <f t="shared" si="6"/>
        <v>1</v>
      </c>
      <c r="K104" s="3">
        <f t="shared" si="7"/>
        <v>2</v>
      </c>
    </row>
    <row r="105" spans="1:11">
      <c r="A105" s="4" t="s">
        <v>40</v>
      </c>
      <c r="B105" s="4" t="s">
        <v>169</v>
      </c>
      <c r="C105" s="4" t="s">
        <v>239</v>
      </c>
      <c r="D105" s="4">
        <f>INDEX(Positions!$D$2:$D$4694,MATCH($A105&amp;"|52",Positions!$A$2:$A$4694,0))</f>
        <v>51</v>
      </c>
      <c r="E105" s="4">
        <f>INDEX(Positions!$D$2:$D$4694,MATCH($A105&amp;"|62",Positions!$A$2:$A$4694,0))</f>
        <v>61</v>
      </c>
      <c r="F105" s="4" t="str">
        <f>INDEX(Positions!$E$2:$E$4694,MATCH($A105&amp;"|52",Positions!$A$2:$A$4694,0))</f>
        <v>G</v>
      </c>
      <c r="G105" s="4" t="str">
        <f>INDEX(Positions!$E$2:$E$4694,MATCH($A105&amp;"|62",Positions!$A$2:$A$4694,0))</f>
        <v>C</v>
      </c>
      <c r="H105" s="3" t="str">
        <f t="shared" si="4"/>
        <v>G-C</v>
      </c>
      <c r="I105" s="4">
        <f t="shared" si="5"/>
        <v>1</v>
      </c>
      <c r="J105" s="4">
        <f t="shared" si="6"/>
        <v>1</v>
      </c>
      <c r="K105" s="3">
        <f t="shared" si="7"/>
        <v>2</v>
      </c>
    </row>
    <row r="106" spans="1:11">
      <c r="A106" s="4" t="s">
        <v>40</v>
      </c>
      <c r="B106" s="4" t="s">
        <v>169</v>
      </c>
      <c r="C106" s="4" t="s">
        <v>240</v>
      </c>
      <c r="D106" s="4">
        <f>INDEX(Positions!$D$2:$D$4694,MATCH($A106&amp;"|53",Positions!$A$2:$A$4694,0))</f>
        <v>52</v>
      </c>
      <c r="E106" s="4">
        <f>INDEX(Positions!$D$2:$D$4694,MATCH($A106&amp;"|61",Positions!$A$2:$A$4694,0))</f>
        <v>60</v>
      </c>
      <c r="F106" s="4" t="str">
        <f>INDEX(Positions!$E$2:$E$4694,MATCH($A106&amp;"|53",Positions!$A$2:$A$4694,0))</f>
        <v>G</v>
      </c>
      <c r="G106" s="4" t="str">
        <f>INDEX(Positions!$E$2:$E$4694,MATCH($A106&amp;"|61",Positions!$A$2:$A$4694,0))</f>
        <v>C</v>
      </c>
      <c r="H106" s="3" t="str">
        <f t="shared" si="4"/>
        <v>G-C</v>
      </c>
      <c r="I106" s="4">
        <f t="shared" si="5"/>
        <v>1</v>
      </c>
      <c r="J106" s="4">
        <f t="shared" si="6"/>
        <v>1</v>
      </c>
      <c r="K106" s="3">
        <f t="shared" si="7"/>
        <v>2</v>
      </c>
    </row>
    <row r="107" spans="1:11">
      <c r="A107" s="23" t="s">
        <v>40</v>
      </c>
      <c r="B107" s="23" t="s">
        <v>241</v>
      </c>
      <c r="C107" s="23" t="s">
        <v>242</v>
      </c>
      <c r="D107" s="23">
        <f>INDEX(Positions!$D$2:$D$4694,MATCH($A107&amp;"|8",Positions!$A$2:$A$4694,0))</f>
        <v>8</v>
      </c>
      <c r="E107" s="23">
        <f>INDEX(Positions!$D$2:$D$4694,MATCH($A107&amp;"|14",Positions!$A$2:$A$4694,0))</f>
        <v>14</v>
      </c>
      <c r="F107" s="23" t="str">
        <f>INDEX(Positions!$E$2:$E$4694,MATCH($A107&amp;"|8",Positions!$A$2:$A$4694,0))</f>
        <v>U</v>
      </c>
      <c r="G107" s="23" t="str">
        <f>INDEX(Positions!$E$2:$E$4694,MATCH($A107&amp;"|14",Positions!$A$2:$A$4694,0))</f>
        <v>A</v>
      </c>
      <c r="H107" s="24" t="str">
        <f t="shared" si="4"/>
        <v>U-A</v>
      </c>
      <c r="I107" s="23">
        <f t="shared" si="5"/>
        <v>0</v>
      </c>
      <c r="J107" s="23">
        <f t="shared" si="6"/>
        <v>0</v>
      </c>
      <c r="K107" s="24">
        <f t="shared" si="7"/>
        <v>0</v>
      </c>
    </row>
    <row r="108" spans="1:11">
      <c r="A108" s="23" t="s">
        <v>40</v>
      </c>
      <c r="B108" s="23" t="s">
        <v>241</v>
      </c>
      <c r="C108" s="23" t="s">
        <v>243</v>
      </c>
      <c r="D108" s="23">
        <f>INDEX(Positions!$D$2:$D$4694,MATCH($A108&amp;"|15",Positions!$A$2:$A$4694,0))</f>
        <v>15</v>
      </c>
      <c r="E108" s="23">
        <f>INDEX(Positions!$D$2:$D$4694,MATCH($A108&amp;"|48",Positions!$A$2:$A$4694,0))</f>
        <v>47</v>
      </c>
      <c r="F108" s="23" t="str">
        <f>INDEX(Positions!$E$2:$E$4694,MATCH($A108&amp;"|15",Positions!$A$2:$A$4694,0))</f>
        <v>G</v>
      </c>
      <c r="G108" s="23" t="str">
        <f>INDEX(Positions!$E$2:$E$4694,MATCH($A108&amp;"|48",Positions!$A$2:$A$4694,0))</f>
        <v>C</v>
      </c>
      <c r="H108" s="24" t="str">
        <f t="shared" si="4"/>
        <v>G-C</v>
      </c>
      <c r="I108" s="23">
        <f t="shared" si="5"/>
        <v>1</v>
      </c>
      <c r="J108" s="23">
        <f t="shared" si="6"/>
        <v>1</v>
      </c>
      <c r="K108" s="24">
        <f t="shared" si="7"/>
        <v>2</v>
      </c>
    </row>
    <row r="109" spans="1:11">
      <c r="A109" s="23" t="s">
        <v>40</v>
      </c>
      <c r="B109" s="23" t="s">
        <v>241</v>
      </c>
      <c r="C109" s="23" t="s">
        <v>244</v>
      </c>
      <c r="D109" s="23">
        <f>INDEX(Positions!$D$2:$D$4694,MATCH($A109&amp;"|18",Positions!$A$2:$A$4694,0))</f>
        <v>17</v>
      </c>
      <c r="E109" s="23">
        <f>INDEX(Positions!$D$2:$D$4694,MATCH($A109&amp;"|55",Positions!$A$2:$A$4694,0))</f>
        <v>54</v>
      </c>
      <c r="F109" s="23" t="str">
        <f>INDEX(Positions!$E$2:$E$4694,MATCH($A109&amp;"|18",Positions!$A$2:$A$4694,0))</f>
        <v>G</v>
      </c>
      <c r="G109" s="23" t="str">
        <f>INDEX(Positions!$E$2:$E$4694,MATCH($A109&amp;"|55",Positions!$A$2:$A$4694,0))</f>
        <v>U</v>
      </c>
      <c r="H109" s="24" t="str">
        <f t="shared" si="4"/>
        <v>G-U</v>
      </c>
      <c r="I109" s="23">
        <f t="shared" si="5"/>
        <v>1</v>
      </c>
      <c r="J109" s="23">
        <f t="shared" si="6"/>
        <v>0</v>
      </c>
      <c r="K109" s="24">
        <f t="shared" si="7"/>
        <v>1</v>
      </c>
    </row>
    <row r="110" spans="1:11">
      <c r="A110" s="23" t="s">
        <v>40</v>
      </c>
      <c r="B110" s="23" t="s">
        <v>241</v>
      </c>
      <c r="C110" s="23" t="s">
        <v>245</v>
      </c>
      <c r="D110" s="23">
        <f>INDEX(Positions!$D$2:$D$4694,MATCH($A110&amp;"|19",Positions!$A$2:$A$4694,0))</f>
        <v>18</v>
      </c>
      <c r="E110" s="23">
        <f>INDEX(Positions!$D$2:$D$4694,MATCH($A110&amp;"|56",Positions!$A$2:$A$4694,0))</f>
        <v>55</v>
      </c>
      <c r="F110" s="23" t="str">
        <f>INDEX(Positions!$E$2:$E$4694,MATCH($A110&amp;"|19",Positions!$A$2:$A$4694,0))</f>
        <v>G</v>
      </c>
      <c r="G110" s="23" t="str">
        <f>INDEX(Positions!$E$2:$E$4694,MATCH($A110&amp;"|56",Positions!$A$2:$A$4694,0))</f>
        <v>C</v>
      </c>
      <c r="H110" s="24" t="str">
        <f t="shared" si="4"/>
        <v>G-C</v>
      </c>
      <c r="I110" s="23">
        <f t="shared" si="5"/>
        <v>1</v>
      </c>
      <c r="J110" s="23">
        <f t="shared" si="6"/>
        <v>1</v>
      </c>
      <c r="K110" s="24">
        <f t="shared" si="7"/>
        <v>2</v>
      </c>
    </row>
    <row r="111" spans="1:11">
      <c r="A111" s="23" t="s">
        <v>40</v>
      </c>
      <c r="B111" s="23" t="s">
        <v>241</v>
      </c>
      <c r="C111" s="23" t="s">
        <v>246</v>
      </c>
      <c r="D111" s="23">
        <f>INDEX(Positions!$D$2:$D$4694,MATCH($A111&amp;"|26",Positions!$A$2:$A$4694,0))</f>
        <v>26</v>
      </c>
      <c r="E111" s="23">
        <f>INDEX(Positions!$D$2:$D$4694,MATCH($A111&amp;"|44",Positions!$A$2:$A$4694,0))</f>
        <v>44</v>
      </c>
      <c r="F111" s="23" t="str">
        <f>INDEX(Positions!$E$2:$E$4694,MATCH($A111&amp;"|26",Positions!$A$2:$A$4694,0))</f>
        <v>U</v>
      </c>
      <c r="G111" s="23" t="str">
        <f>INDEX(Positions!$E$2:$E$4694,MATCH($A111&amp;"|44",Positions!$A$2:$A$4694,0))</f>
        <v>G</v>
      </c>
      <c r="H111" s="24" t="str">
        <f t="shared" si="4"/>
        <v>U-G</v>
      </c>
      <c r="I111" s="23">
        <f t="shared" si="5"/>
        <v>1</v>
      </c>
      <c r="J111" s="23">
        <f t="shared" si="6"/>
        <v>0</v>
      </c>
      <c r="K111" s="24">
        <f t="shared" si="7"/>
        <v>1</v>
      </c>
    </row>
    <row r="112" spans="1:11">
      <c r="A112" s="23" t="s">
        <v>40</v>
      </c>
      <c r="B112" s="23" t="s">
        <v>241</v>
      </c>
      <c r="C112" s="23" t="s">
        <v>247</v>
      </c>
      <c r="D112" s="23">
        <f>INDEX(Positions!$D$2:$D$4694,MATCH($A112&amp;"|32",Positions!$A$2:$A$4694,0))</f>
        <v>32</v>
      </c>
      <c r="E112" s="23">
        <f>INDEX(Positions!$D$2:$D$4694,MATCH($A112&amp;"|38",Positions!$A$2:$A$4694,0))</f>
        <v>38</v>
      </c>
      <c r="F112" s="23" t="str">
        <f>INDEX(Positions!$E$2:$E$4694,MATCH($A112&amp;"|32",Positions!$A$2:$A$4694,0))</f>
        <v>C</v>
      </c>
      <c r="G112" s="23" t="str">
        <f>INDEX(Positions!$E$2:$E$4694,MATCH($A112&amp;"|38",Positions!$A$2:$A$4694,0))</f>
        <v>A</v>
      </c>
      <c r="H112" s="24" t="str">
        <f t="shared" si="4"/>
        <v>C-A</v>
      </c>
      <c r="I112" s="23">
        <f t="shared" si="5"/>
        <v>0</v>
      </c>
      <c r="J112" s="23">
        <f t="shared" si="6"/>
        <v>1</v>
      </c>
      <c r="K112" s="24">
        <f t="shared" si="7"/>
        <v>1</v>
      </c>
    </row>
    <row r="113" spans="1:11">
      <c r="A113" s="23" t="s">
        <v>40</v>
      </c>
      <c r="B113" s="23" t="s">
        <v>241</v>
      </c>
      <c r="C113" s="23" t="s">
        <v>248</v>
      </c>
      <c r="D113" s="23">
        <f>INDEX(Positions!$D$2:$D$4694,MATCH($A113&amp;"|54",Positions!$A$2:$A$4694,0))</f>
        <v>53</v>
      </c>
      <c r="E113" s="23">
        <f>INDEX(Positions!$D$2:$D$4694,MATCH($A113&amp;"|58",Positions!$A$2:$A$4694,0))</f>
        <v>57</v>
      </c>
      <c r="F113" s="23" t="str">
        <f>INDEX(Positions!$E$2:$E$4694,MATCH($A113&amp;"|54",Positions!$A$2:$A$4694,0))</f>
        <v>U</v>
      </c>
      <c r="G113" s="23" t="str">
        <f>INDEX(Positions!$E$2:$E$4694,MATCH($A113&amp;"|58",Positions!$A$2:$A$4694,0))</f>
        <v>A</v>
      </c>
      <c r="H113" s="24" t="str">
        <f t="shared" si="4"/>
        <v>U-A</v>
      </c>
      <c r="I113" s="23">
        <f t="shared" si="5"/>
        <v>0</v>
      </c>
      <c r="J113" s="23">
        <f t="shared" si="6"/>
        <v>0</v>
      </c>
      <c r="K113" s="24">
        <f t="shared" si="7"/>
        <v>0</v>
      </c>
    </row>
    <row r="114" spans="1:11">
      <c r="A114" s="4" t="s">
        <v>41</v>
      </c>
      <c r="B114" s="4" t="s">
        <v>110</v>
      </c>
      <c r="C114" s="4" t="s">
        <v>220</v>
      </c>
      <c r="D114" s="4">
        <f>INDEX(Positions!$D$2:$D$4694,MATCH($A114&amp;"|1",Positions!$A$2:$A$4694,0))</f>
        <v>1</v>
      </c>
      <c r="E114" s="4">
        <f>INDEX(Positions!$D$2:$D$4694,MATCH($A114&amp;"|72",Positions!$A$2:$A$4694,0))</f>
        <v>74</v>
      </c>
      <c r="F114" s="4" t="str">
        <f>INDEX(Positions!$E$2:$E$4694,MATCH($A114&amp;"|1",Positions!$A$2:$A$4694,0))</f>
        <v>G</v>
      </c>
      <c r="G114" s="4" t="str">
        <f>INDEX(Positions!$E$2:$E$4694,MATCH($A114&amp;"|72",Positions!$A$2:$A$4694,0))</f>
        <v>C</v>
      </c>
      <c r="H114" s="3" t="str">
        <f t="shared" si="4"/>
        <v>G-C</v>
      </c>
      <c r="I114" s="4">
        <f t="shared" si="5"/>
        <v>1</v>
      </c>
      <c r="J114" s="4">
        <f t="shared" si="6"/>
        <v>1</v>
      </c>
      <c r="K114" s="3">
        <f t="shared" si="7"/>
        <v>2</v>
      </c>
    </row>
    <row r="115" spans="1:11">
      <c r="A115" s="4" t="s">
        <v>41</v>
      </c>
      <c r="B115" s="4" t="s">
        <v>110</v>
      </c>
      <c r="C115" s="4" t="s">
        <v>221</v>
      </c>
      <c r="D115" s="4">
        <f>INDEX(Positions!$D$2:$D$4694,MATCH($A115&amp;"|2",Positions!$A$2:$A$4694,0))</f>
        <v>2</v>
      </c>
      <c r="E115" s="4">
        <f>INDEX(Positions!$D$2:$D$4694,MATCH($A115&amp;"|71",Positions!$A$2:$A$4694,0))</f>
        <v>73</v>
      </c>
      <c r="F115" s="4" t="str">
        <f>INDEX(Positions!$E$2:$E$4694,MATCH($A115&amp;"|2",Positions!$A$2:$A$4694,0))</f>
        <v>G</v>
      </c>
      <c r="G115" s="4" t="str">
        <f>INDEX(Positions!$E$2:$E$4694,MATCH($A115&amp;"|71",Positions!$A$2:$A$4694,0))</f>
        <v>C</v>
      </c>
      <c r="H115" s="3" t="str">
        <f t="shared" si="4"/>
        <v>G-C</v>
      </c>
      <c r="I115" s="4">
        <f t="shared" si="5"/>
        <v>1</v>
      </c>
      <c r="J115" s="4">
        <f t="shared" si="6"/>
        <v>1</v>
      </c>
      <c r="K115" s="3">
        <f t="shared" si="7"/>
        <v>2</v>
      </c>
    </row>
    <row r="116" spans="1:11">
      <c r="A116" s="4" t="s">
        <v>41</v>
      </c>
      <c r="B116" s="4" t="s">
        <v>110</v>
      </c>
      <c r="C116" s="4" t="s">
        <v>222</v>
      </c>
      <c r="D116" s="4">
        <f>INDEX(Positions!$D$2:$D$4694,MATCH($A116&amp;"|3",Positions!$A$2:$A$4694,0))</f>
        <v>3</v>
      </c>
      <c r="E116" s="4">
        <f>INDEX(Positions!$D$2:$D$4694,MATCH($A116&amp;"|70",Positions!$A$2:$A$4694,0))</f>
        <v>72</v>
      </c>
      <c r="F116" s="4" t="str">
        <f>INDEX(Positions!$E$2:$E$4694,MATCH($A116&amp;"|3",Positions!$A$2:$A$4694,0))</f>
        <v>G</v>
      </c>
      <c r="G116" s="4" t="str">
        <f>INDEX(Positions!$E$2:$E$4694,MATCH($A116&amp;"|70",Positions!$A$2:$A$4694,0))</f>
        <v>C</v>
      </c>
      <c r="H116" s="3" t="str">
        <f t="shared" si="4"/>
        <v>G-C</v>
      </c>
      <c r="I116" s="4">
        <f t="shared" si="5"/>
        <v>1</v>
      </c>
      <c r="J116" s="4">
        <f t="shared" si="6"/>
        <v>1</v>
      </c>
      <c r="K116" s="3">
        <f t="shared" si="7"/>
        <v>2</v>
      </c>
    </row>
    <row r="117" spans="1:11">
      <c r="A117" s="4" t="s">
        <v>41</v>
      </c>
      <c r="B117" s="4" t="s">
        <v>110</v>
      </c>
      <c r="C117" s="4" t="s">
        <v>223</v>
      </c>
      <c r="D117" s="4">
        <f>INDEX(Positions!$D$2:$D$4694,MATCH($A117&amp;"|4",Positions!$A$2:$A$4694,0))</f>
        <v>4</v>
      </c>
      <c r="E117" s="4">
        <f>INDEX(Positions!$D$2:$D$4694,MATCH($A117&amp;"|69",Positions!$A$2:$A$4694,0))</f>
        <v>71</v>
      </c>
      <c r="F117" s="4" t="str">
        <f>INDEX(Positions!$E$2:$E$4694,MATCH($A117&amp;"|4",Positions!$A$2:$A$4694,0))</f>
        <v>C</v>
      </c>
      <c r="G117" s="4" t="str">
        <f>INDEX(Positions!$E$2:$E$4694,MATCH($A117&amp;"|69",Positions!$A$2:$A$4694,0))</f>
        <v>G</v>
      </c>
      <c r="H117" s="3" t="str">
        <f t="shared" si="4"/>
        <v>C-G</v>
      </c>
      <c r="I117" s="4">
        <f t="shared" si="5"/>
        <v>1</v>
      </c>
      <c r="J117" s="4">
        <f t="shared" si="6"/>
        <v>1</v>
      </c>
      <c r="K117" s="3">
        <f t="shared" si="7"/>
        <v>2</v>
      </c>
    </row>
    <row r="118" spans="1:11">
      <c r="A118" s="4" t="s">
        <v>41</v>
      </c>
      <c r="B118" s="4" t="s">
        <v>110</v>
      </c>
      <c r="C118" s="4" t="s">
        <v>224</v>
      </c>
      <c r="D118" s="4">
        <f>INDEX(Positions!$D$2:$D$4694,MATCH($A118&amp;"|5",Positions!$A$2:$A$4694,0))</f>
        <v>5</v>
      </c>
      <c r="E118" s="4">
        <f>INDEX(Positions!$D$2:$D$4694,MATCH($A118&amp;"|68",Positions!$A$2:$A$4694,0))</f>
        <v>70</v>
      </c>
      <c r="F118" s="4" t="str">
        <f>INDEX(Positions!$E$2:$E$4694,MATCH($A118&amp;"|5",Positions!$A$2:$A$4694,0))</f>
        <v>G</v>
      </c>
      <c r="G118" s="4" t="str">
        <f>INDEX(Positions!$E$2:$E$4694,MATCH($A118&amp;"|68",Positions!$A$2:$A$4694,0))</f>
        <v>C</v>
      </c>
      <c r="H118" s="3" t="str">
        <f t="shared" si="4"/>
        <v>G-C</v>
      </c>
      <c r="I118" s="4">
        <f t="shared" si="5"/>
        <v>1</v>
      </c>
      <c r="J118" s="4">
        <f t="shared" si="6"/>
        <v>1</v>
      </c>
      <c r="K118" s="3">
        <f t="shared" si="7"/>
        <v>2</v>
      </c>
    </row>
    <row r="119" spans="1:11">
      <c r="A119" s="4" t="s">
        <v>41</v>
      </c>
      <c r="B119" s="4" t="s">
        <v>110</v>
      </c>
      <c r="C119" s="4" t="s">
        <v>225</v>
      </c>
      <c r="D119" s="4">
        <f>INDEX(Positions!$D$2:$D$4694,MATCH($A119&amp;"|6",Positions!$A$2:$A$4694,0))</f>
        <v>6</v>
      </c>
      <c r="E119" s="4">
        <f>INDEX(Positions!$D$2:$D$4694,MATCH($A119&amp;"|67",Positions!$A$2:$A$4694,0))</f>
        <v>69</v>
      </c>
      <c r="F119" s="4" t="str">
        <f>INDEX(Positions!$E$2:$E$4694,MATCH($A119&amp;"|6",Positions!$A$2:$A$4694,0))</f>
        <v>C</v>
      </c>
      <c r="G119" s="4" t="str">
        <f>INDEX(Positions!$E$2:$E$4694,MATCH($A119&amp;"|67",Positions!$A$2:$A$4694,0))</f>
        <v>G</v>
      </c>
      <c r="H119" s="3" t="str">
        <f t="shared" si="4"/>
        <v>C-G</v>
      </c>
      <c r="I119" s="4">
        <f t="shared" si="5"/>
        <v>1</v>
      </c>
      <c r="J119" s="4">
        <f t="shared" si="6"/>
        <v>1</v>
      </c>
      <c r="K119" s="3">
        <f t="shared" si="7"/>
        <v>2</v>
      </c>
    </row>
    <row r="120" spans="1:11">
      <c r="A120" s="4" t="s">
        <v>41</v>
      </c>
      <c r="B120" s="4" t="s">
        <v>110</v>
      </c>
      <c r="C120" s="4" t="s">
        <v>226</v>
      </c>
      <c r="D120" s="4">
        <f>INDEX(Positions!$D$2:$D$4694,MATCH($A120&amp;"|7",Positions!$A$2:$A$4694,0))</f>
        <v>7</v>
      </c>
      <c r="E120" s="4">
        <f>INDEX(Positions!$D$2:$D$4694,MATCH($A120&amp;"|66",Positions!$A$2:$A$4694,0))</f>
        <v>68</v>
      </c>
      <c r="F120" s="4" t="str">
        <f>INDEX(Positions!$E$2:$E$4694,MATCH($A120&amp;"|7",Positions!$A$2:$A$4694,0))</f>
        <v>G</v>
      </c>
      <c r="G120" s="4" t="str">
        <f>INDEX(Positions!$E$2:$E$4694,MATCH($A120&amp;"|66",Positions!$A$2:$A$4694,0))</f>
        <v>C</v>
      </c>
      <c r="H120" s="3" t="str">
        <f t="shared" si="4"/>
        <v>G-C</v>
      </c>
      <c r="I120" s="4">
        <f t="shared" si="5"/>
        <v>1</v>
      </c>
      <c r="J120" s="4">
        <f t="shared" si="6"/>
        <v>1</v>
      </c>
      <c r="K120" s="3">
        <f t="shared" si="7"/>
        <v>2</v>
      </c>
    </row>
    <row r="121" spans="1:11">
      <c r="A121" s="4" t="s">
        <v>41</v>
      </c>
      <c r="B121" s="4" t="s">
        <v>125</v>
      </c>
      <c r="C121" s="4" t="s">
        <v>227</v>
      </c>
      <c r="D121" s="4">
        <f>INDEX(Positions!$D$2:$D$4694,MATCH($A121&amp;"|10",Positions!$A$2:$A$4694,0))</f>
        <v>10</v>
      </c>
      <c r="E121" s="4">
        <f>INDEX(Positions!$D$2:$D$4694,MATCH($A121&amp;"|25",Positions!$A$2:$A$4694,0))</f>
        <v>27</v>
      </c>
      <c r="F121" s="4" t="str">
        <f>INDEX(Positions!$E$2:$E$4694,MATCH($A121&amp;"|10",Positions!$A$2:$A$4694,0))</f>
        <v>G</v>
      </c>
      <c r="G121" s="4" t="str">
        <f>INDEX(Positions!$E$2:$E$4694,MATCH($A121&amp;"|25",Positions!$A$2:$A$4694,0))</f>
        <v>C</v>
      </c>
      <c r="H121" s="3" t="str">
        <f t="shared" si="4"/>
        <v>G-C</v>
      </c>
      <c r="I121" s="4">
        <f t="shared" si="5"/>
        <v>1</v>
      </c>
      <c r="J121" s="4">
        <f t="shared" si="6"/>
        <v>1</v>
      </c>
      <c r="K121" s="3">
        <f t="shared" si="7"/>
        <v>2</v>
      </c>
    </row>
    <row r="122" spans="1:11">
      <c r="A122" s="4" t="s">
        <v>41</v>
      </c>
      <c r="B122" s="4" t="s">
        <v>125</v>
      </c>
      <c r="C122" s="4" t="s">
        <v>228</v>
      </c>
      <c r="D122" s="4">
        <f>INDEX(Positions!$D$2:$D$4694,MATCH($A122&amp;"|11",Positions!$A$2:$A$4694,0))</f>
        <v>11</v>
      </c>
      <c r="E122" s="4">
        <f>INDEX(Positions!$D$2:$D$4694,MATCH($A122&amp;"|24",Positions!$A$2:$A$4694,0))</f>
        <v>26</v>
      </c>
      <c r="F122" s="4" t="str">
        <f>INDEX(Positions!$E$2:$E$4694,MATCH($A122&amp;"|11",Positions!$A$2:$A$4694,0))</f>
        <v>C</v>
      </c>
      <c r="G122" s="4" t="str">
        <f>INDEX(Positions!$E$2:$E$4694,MATCH($A122&amp;"|24",Positions!$A$2:$A$4694,0))</f>
        <v>G</v>
      </c>
      <c r="H122" s="3" t="str">
        <f t="shared" si="4"/>
        <v>C-G</v>
      </c>
      <c r="I122" s="4">
        <f t="shared" si="5"/>
        <v>1</v>
      </c>
      <c r="J122" s="4">
        <f t="shared" si="6"/>
        <v>1</v>
      </c>
      <c r="K122" s="3">
        <f t="shared" si="7"/>
        <v>2</v>
      </c>
    </row>
    <row r="123" spans="1:11">
      <c r="A123" s="4" t="s">
        <v>41</v>
      </c>
      <c r="B123" s="4" t="s">
        <v>125</v>
      </c>
      <c r="C123" s="4" t="s">
        <v>229</v>
      </c>
      <c r="D123" s="4">
        <f>INDEX(Positions!$D$2:$D$4694,MATCH($A123&amp;"|12",Positions!$A$2:$A$4694,0))</f>
        <v>12</v>
      </c>
      <c r="E123" s="4">
        <f>INDEX(Positions!$D$2:$D$4694,MATCH($A123&amp;"|23",Positions!$A$2:$A$4694,0))</f>
        <v>25</v>
      </c>
      <c r="F123" s="4" t="str">
        <f>INDEX(Positions!$E$2:$E$4694,MATCH($A123&amp;"|12",Positions!$A$2:$A$4694,0))</f>
        <v>C</v>
      </c>
      <c r="G123" s="4" t="str">
        <f>INDEX(Positions!$E$2:$E$4694,MATCH($A123&amp;"|23",Positions!$A$2:$A$4694,0))</f>
        <v>G</v>
      </c>
      <c r="H123" s="3" t="str">
        <f t="shared" si="4"/>
        <v>C-G</v>
      </c>
      <c r="I123" s="4">
        <f t="shared" si="5"/>
        <v>1</v>
      </c>
      <c r="J123" s="4">
        <f t="shared" si="6"/>
        <v>1</v>
      </c>
      <c r="K123" s="3">
        <f t="shared" si="7"/>
        <v>2</v>
      </c>
    </row>
    <row r="124" spans="1:11">
      <c r="A124" s="4" t="s">
        <v>41</v>
      </c>
      <c r="B124" s="4" t="s">
        <v>125</v>
      </c>
      <c r="C124" s="4" t="s">
        <v>230</v>
      </c>
      <c r="D124" s="4">
        <f>INDEX(Positions!$D$2:$D$4694,MATCH($A124&amp;"|13",Positions!$A$2:$A$4694,0))</f>
        <v>13</v>
      </c>
      <c r="E124" s="4">
        <f>INDEX(Positions!$D$2:$D$4694,MATCH($A124&amp;"|22",Positions!$A$2:$A$4694,0))</f>
        <v>24</v>
      </c>
      <c r="F124" s="4" t="str">
        <f>INDEX(Positions!$E$2:$E$4694,MATCH($A124&amp;"|13",Positions!$A$2:$A$4694,0))</f>
        <v>U</v>
      </c>
      <c r="G124" s="4" t="str">
        <f>INDEX(Positions!$E$2:$E$4694,MATCH($A124&amp;"|22",Positions!$A$2:$A$4694,0))</f>
        <v>U</v>
      </c>
      <c r="H124" s="3" t="str">
        <f t="shared" si="4"/>
        <v>U-U</v>
      </c>
      <c r="I124" s="4">
        <f t="shared" si="5"/>
        <v>0</v>
      </c>
      <c r="J124" s="4">
        <f t="shared" si="6"/>
        <v>0</v>
      </c>
      <c r="K124" s="3">
        <f t="shared" si="7"/>
        <v>0</v>
      </c>
    </row>
    <row r="125" spans="1:11">
      <c r="A125" s="4" t="s">
        <v>41</v>
      </c>
      <c r="B125" s="4" t="s">
        <v>144</v>
      </c>
      <c r="C125" s="4" t="s">
        <v>231</v>
      </c>
      <c r="D125" s="4">
        <f>INDEX(Positions!$D$2:$D$4694,MATCH($A125&amp;"|27",Positions!$A$2:$A$4694,0))</f>
        <v>29</v>
      </c>
      <c r="E125" s="4">
        <f>INDEX(Positions!$D$2:$D$4694,MATCH($A125&amp;"|43",Positions!$A$2:$A$4694,0))</f>
        <v>45</v>
      </c>
      <c r="F125" s="4" t="str">
        <f>INDEX(Positions!$E$2:$E$4694,MATCH($A125&amp;"|27",Positions!$A$2:$A$4694,0))</f>
        <v>G</v>
      </c>
      <c r="G125" s="4" t="str">
        <f>INDEX(Positions!$E$2:$E$4694,MATCH($A125&amp;"|43",Positions!$A$2:$A$4694,0))</f>
        <v>U</v>
      </c>
      <c r="H125" s="3" t="str">
        <f t="shared" si="4"/>
        <v>G-U</v>
      </c>
      <c r="I125" s="4">
        <f t="shared" si="5"/>
        <v>1</v>
      </c>
      <c r="J125" s="4">
        <f t="shared" si="6"/>
        <v>0</v>
      </c>
      <c r="K125" s="3">
        <f t="shared" si="7"/>
        <v>1</v>
      </c>
    </row>
    <row r="126" spans="1:11">
      <c r="A126" s="4" t="s">
        <v>41</v>
      </c>
      <c r="B126" s="4" t="s">
        <v>144</v>
      </c>
      <c r="C126" s="4" t="s">
        <v>232</v>
      </c>
      <c r="D126" s="4">
        <f>INDEX(Positions!$D$2:$D$4694,MATCH($A126&amp;"|28",Positions!$A$2:$A$4694,0))</f>
        <v>30</v>
      </c>
      <c r="E126" s="4">
        <f>INDEX(Positions!$D$2:$D$4694,MATCH($A126&amp;"|42",Positions!$A$2:$A$4694,0))</f>
        <v>44</v>
      </c>
      <c r="F126" s="4" t="str">
        <f>INDEX(Positions!$E$2:$E$4694,MATCH($A126&amp;"|28",Positions!$A$2:$A$4694,0))</f>
        <v>C</v>
      </c>
      <c r="G126" s="4" t="str">
        <f>INDEX(Positions!$E$2:$E$4694,MATCH($A126&amp;"|42",Positions!$A$2:$A$4694,0))</f>
        <v>G</v>
      </c>
      <c r="H126" s="3" t="str">
        <f t="shared" si="4"/>
        <v>C-G</v>
      </c>
      <c r="I126" s="4">
        <f t="shared" si="5"/>
        <v>1</v>
      </c>
      <c r="J126" s="4">
        <f t="shared" si="6"/>
        <v>1</v>
      </c>
      <c r="K126" s="3">
        <f t="shared" si="7"/>
        <v>2</v>
      </c>
    </row>
    <row r="127" spans="1:11">
      <c r="A127" s="4" t="s">
        <v>41</v>
      </c>
      <c r="B127" s="4" t="s">
        <v>144</v>
      </c>
      <c r="C127" s="4" t="s">
        <v>233</v>
      </c>
      <c r="D127" s="4">
        <f>INDEX(Positions!$D$2:$D$4694,MATCH($A127&amp;"|29",Positions!$A$2:$A$4694,0))</f>
        <v>31</v>
      </c>
      <c r="E127" s="4">
        <f>INDEX(Positions!$D$2:$D$4694,MATCH($A127&amp;"|41",Positions!$A$2:$A$4694,0))</f>
        <v>43</v>
      </c>
      <c r="F127" s="4" t="str">
        <f>INDEX(Positions!$E$2:$E$4694,MATCH($A127&amp;"|29",Positions!$A$2:$A$4694,0))</f>
        <v>A</v>
      </c>
      <c r="G127" s="4" t="str">
        <f>INDEX(Positions!$E$2:$E$4694,MATCH($A127&amp;"|41",Positions!$A$2:$A$4694,0))</f>
        <v>U</v>
      </c>
      <c r="H127" s="3" t="str">
        <f t="shared" si="4"/>
        <v>A-U</v>
      </c>
      <c r="I127" s="4">
        <f t="shared" si="5"/>
        <v>0</v>
      </c>
      <c r="J127" s="4">
        <f t="shared" si="6"/>
        <v>0</v>
      </c>
      <c r="K127" s="3">
        <f t="shared" si="7"/>
        <v>0</v>
      </c>
    </row>
    <row r="128" spans="1:11">
      <c r="A128" s="4" t="s">
        <v>41</v>
      </c>
      <c r="B128" s="4" t="s">
        <v>144</v>
      </c>
      <c r="C128" s="4" t="s">
        <v>234</v>
      </c>
      <c r="D128" s="4">
        <f>INDEX(Positions!$D$2:$D$4694,MATCH($A128&amp;"|30",Positions!$A$2:$A$4694,0))</f>
        <v>32</v>
      </c>
      <c r="E128" s="4">
        <f>INDEX(Positions!$D$2:$D$4694,MATCH($A128&amp;"|40",Positions!$A$2:$A$4694,0))</f>
        <v>42</v>
      </c>
      <c r="F128" s="4" t="str">
        <f>INDEX(Positions!$E$2:$E$4694,MATCH($A128&amp;"|30",Positions!$A$2:$A$4694,0))</f>
        <v>G</v>
      </c>
      <c r="G128" s="4" t="str">
        <f>INDEX(Positions!$E$2:$E$4694,MATCH($A128&amp;"|40",Positions!$A$2:$A$4694,0))</f>
        <v>C</v>
      </c>
      <c r="H128" s="3" t="str">
        <f t="shared" si="4"/>
        <v>G-C</v>
      </c>
      <c r="I128" s="4">
        <f t="shared" si="5"/>
        <v>1</v>
      </c>
      <c r="J128" s="4">
        <f t="shared" si="6"/>
        <v>1</v>
      </c>
      <c r="K128" s="3">
        <f t="shared" si="7"/>
        <v>2</v>
      </c>
    </row>
    <row r="129" spans="1:11">
      <c r="A129" s="4" t="s">
        <v>41</v>
      </c>
      <c r="B129" s="4" t="s">
        <v>144</v>
      </c>
      <c r="C129" s="4" t="s">
        <v>235</v>
      </c>
      <c r="D129" s="4">
        <f>INDEX(Positions!$D$2:$D$4694,MATCH($A129&amp;"|31",Positions!$A$2:$A$4694,0))</f>
        <v>33</v>
      </c>
      <c r="E129" s="4">
        <f>INDEX(Positions!$D$2:$D$4694,MATCH($A129&amp;"|39",Positions!$A$2:$A$4694,0))</f>
        <v>41</v>
      </c>
      <c r="F129" s="4" t="str">
        <f>INDEX(Positions!$E$2:$E$4694,MATCH($A129&amp;"|31",Positions!$A$2:$A$4694,0))</f>
        <v>C</v>
      </c>
      <c r="G129" s="4" t="str">
        <f>INDEX(Positions!$E$2:$E$4694,MATCH($A129&amp;"|39",Positions!$A$2:$A$4694,0))</f>
        <v>G</v>
      </c>
      <c r="H129" s="3" t="str">
        <f t="shared" si="4"/>
        <v>C-G</v>
      </c>
      <c r="I129" s="4">
        <f t="shared" si="5"/>
        <v>1</v>
      </c>
      <c r="J129" s="4">
        <f t="shared" si="6"/>
        <v>1</v>
      </c>
      <c r="K129" s="3">
        <f t="shared" si="7"/>
        <v>2</v>
      </c>
    </row>
    <row r="130" spans="1:11">
      <c r="A130" s="4" t="s">
        <v>41</v>
      </c>
      <c r="B130" s="4" t="s">
        <v>169</v>
      </c>
      <c r="C130" s="4" t="s">
        <v>236</v>
      </c>
      <c r="D130" s="4">
        <f>INDEX(Positions!$D$2:$D$4694,MATCH($A130&amp;"|49",Positions!$A$2:$A$4694,0))</f>
        <v>51</v>
      </c>
      <c r="E130" s="4">
        <f>INDEX(Positions!$D$2:$D$4694,MATCH($A130&amp;"|65",Positions!$A$2:$A$4694,0))</f>
        <v>67</v>
      </c>
      <c r="F130" s="4" t="str">
        <f>INDEX(Positions!$E$2:$E$4694,MATCH($A130&amp;"|49",Positions!$A$2:$A$4694,0))</f>
        <v>G</v>
      </c>
      <c r="G130" s="4" t="str">
        <f>INDEX(Positions!$E$2:$E$4694,MATCH($A130&amp;"|65",Positions!$A$2:$A$4694,0))</f>
        <v>U</v>
      </c>
      <c r="H130" s="3" t="str">
        <f t="shared" ref="H130:H193" si="8">F130&amp;"-"&amp;G130</f>
        <v>G-U</v>
      </c>
      <c r="I130" s="4">
        <f t="shared" ref="I130:I193" si="9">(F130="G")+(G130="G")</f>
        <v>1</v>
      </c>
      <c r="J130" s="4">
        <f t="shared" ref="J130:J193" si="10">(F130="C")+(G130="C")</f>
        <v>0</v>
      </c>
      <c r="K130" s="3">
        <f t="shared" ref="K130:K193" si="11">I130+J130</f>
        <v>1</v>
      </c>
    </row>
    <row r="131" spans="1:11">
      <c r="A131" s="4" t="s">
        <v>41</v>
      </c>
      <c r="B131" s="4" t="s">
        <v>169</v>
      </c>
      <c r="C131" s="4" t="s">
        <v>237</v>
      </c>
      <c r="D131" s="4">
        <f>INDEX(Positions!$D$2:$D$4694,MATCH($A131&amp;"|50",Positions!$A$2:$A$4694,0))</f>
        <v>52</v>
      </c>
      <c r="E131" s="4">
        <f>INDEX(Positions!$D$2:$D$4694,MATCH($A131&amp;"|64",Positions!$A$2:$A$4694,0))</f>
        <v>66</v>
      </c>
      <c r="F131" s="4" t="str">
        <f>INDEX(Positions!$E$2:$E$4694,MATCH($A131&amp;"|50",Positions!$A$2:$A$4694,0))</f>
        <v>G</v>
      </c>
      <c r="G131" s="4" t="str">
        <f>INDEX(Positions!$E$2:$E$4694,MATCH($A131&amp;"|64",Positions!$A$2:$A$4694,0))</f>
        <v>U</v>
      </c>
      <c r="H131" s="3" t="str">
        <f t="shared" si="8"/>
        <v>G-U</v>
      </c>
      <c r="I131" s="4">
        <f t="shared" si="9"/>
        <v>1</v>
      </c>
      <c r="J131" s="4">
        <f t="shared" si="10"/>
        <v>0</v>
      </c>
      <c r="K131" s="3">
        <f t="shared" si="11"/>
        <v>1</v>
      </c>
    </row>
    <row r="132" spans="1:11">
      <c r="A132" s="4" t="s">
        <v>41</v>
      </c>
      <c r="B132" s="4" t="s">
        <v>169</v>
      </c>
      <c r="C132" s="4" t="s">
        <v>238</v>
      </c>
      <c r="D132" s="4">
        <f>INDEX(Positions!$D$2:$D$4694,MATCH($A132&amp;"|51",Positions!$A$2:$A$4694,0))</f>
        <v>53</v>
      </c>
      <c r="E132" s="4">
        <f>INDEX(Positions!$D$2:$D$4694,MATCH($A132&amp;"|63",Positions!$A$2:$A$4694,0))</f>
        <v>65</v>
      </c>
      <c r="F132" s="4" t="str">
        <f>INDEX(Positions!$E$2:$E$4694,MATCH($A132&amp;"|51",Positions!$A$2:$A$4694,0))</f>
        <v>G</v>
      </c>
      <c r="G132" s="4" t="str">
        <f>INDEX(Positions!$E$2:$E$4694,MATCH($A132&amp;"|63",Positions!$A$2:$A$4694,0))</f>
        <v>C</v>
      </c>
      <c r="H132" s="3" t="str">
        <f t="shared" si="8"/>
        <v>G-C</v>
      </c>
      <c r="I132" s="4">
        <f t="shared" si="9"/>
        <v>1</v>
      </c>
      <c r="J132" s="4">
        <f t="shared" si="10"/>
        <v>1</v>
      </c>
      <c r="K132" s="3">
        <f t="shared" si="11"/>
        <v>2</v>
      </c>
    </row>
    <row r="133" spans="1:11">
      <c r="A133" s="4" t="s">
        <v>41</v>
      </c>
      <c r="B133" s="4" t="s">
        <v>169</v>
      </c>
      <c r="C133" s="4" t="s">
        <v>239</v>
      </c>
      <c r="D133" s="4">
        <f>INDEX(Positions!$D$2:$D$4694,MATCH($A133&amp;"|52",Positions!$A$2:$A$4694,0))</f>
        <v>54</v>
      </c>
      <c r="E133" s="4">
        <f>INDEX(Positions!$D$2:$D$4694,MATCH($A133&amp;"|62",Positions!$A$2:$A$4694,0))</f>
        <v>64</v>
      </c>
      <c r="F133" s="4" t="str">
        <f>INDEX(Positions!$E$2:$E$4694,MATCH($A133&amp;"|52",Positions!$A$2:$A$4694,0))</f>
        <v>G</v>
      </c>
      <c r="G133" s="4" t="str">
        <f>INDEX(Positions!$E$2:$E$4694,MATCH($A133&amp;"|62",Positions!$A$2:$A$4694,0))</f>
        <v>C</v>
      </c>
      <c r="H133" s="3" t="str">
        <f t="shared" si="8"/>
        <v>G-C</v>
      </c>
      <c r="I133" s="4">
        <f t="shared" si="9"/>
        <v>1</v>
      </c>
      <c r="J133" s="4">
        <f t="shared" si="10"/>
        <v>1</v>
      </c>
      <c r="K133" s="3">
        <f t="shared" si="11"/>
        <v>2</v>
      </c>
    </row>
    <row r="134" spans="1:11">
      <c r="A134" s="4" t="s">
        <v>41</v>
      </c>
      <c r="B134" s="4" t="s">
        <v>169</v>
      </c>
      <c r="C134" s="4" t="s">
        <v>240</v>
      </c>
      <c r="D134" s="4">
        <f>INDEX(Positions!$D$2:$D$4694,MATCH($A134&amp;"|53",Positions!$A$2:$A$4694,0))</f>
        <v>55</v>
      </c>
      <c r="E134" s="4">
        <f>INDEX(Positions!$D$2:$D$4694,MATCH($A134&amp;"|61",Positions!$A$2:$A$4694,0))</f>
        <v>63</v>
      </c>
      <c r="F134" s="4" t="str">
        <f>INDEX(Positions!$E$2:$E$4694,MATCH($A134&amp;"|53",Positions!$A$2:$A$4694,0))</f>
        <v>G</v>
      </c>
      <c r="G134" s="4" t="str">
        <f>INDEX(Positions!$E$2:$E$4694,MATCH($A134&amp;"|61",Positions!$A$2:$A$4694,0))</f>
        <v>C</v>
      </c>
      <c r="H134" s="3" t="str">
        <f t="shared" si="8"/>
        <v>G-C</v>
      </c>
      <c r="I134" s="4">
        <f t="shared" si="9"/>
        <v>1</v>
      </c>
      <c r="J134" s="4">
        <f t="shared" si="10"/>
        <v>1</v>
      </c>
      <c r="K134" s="3">
        <f t="shared" si="11"/>
        <v>2</v>
      </c>
    </row>
    <row r="135" spans="1:11">
      <c r="A135" s="23" t="s">
        <v>41</v>
      </c>
      <c r="B135" s="23" t="s">
        <v>241</v>
      </c>
      <c r="C135" s="23" t="s">
        <v>242</v>
      </c>
      <c r="D135" s="23">
        <f>INDEX(Positions!$D$2:$D$4694,MATCH($A135&amp;"|8",Positions!$A$2:$A$4694,0))</f>
        <v>8</v>
      </c>
      <c r="E135" s="23">
        <f>INDEX(Positions!$D$2:$D$4694,MATCH($A135&amp;"|14",Positions!$A$2:$A$4694,0))</f>
        <v>14</v>
      </c>
      <c r="F135" s="23" t="str">
        <f>INDEX(Positions!$E$2:$E$4694,MATCH($A135&amp;"|8",Positions!$A$2:$A$4694,0))</f>
        <v>U</v>
      </c>
      <c r="G135" s="23" t="str">
        <f>INDEX(Positions!$E$2:$E$4694,MATCH($A135&amp;"|14",Positions!$A$2:$A$4694,0))</f>
        <v>A</v>
      </c>
      <c r="H135" s="24" t="str">
        <f t="shared" si="8"/>
        <v>U-A</v>
      </c>
      <c r="I135" s="23">
        <f t="shared" si="9"/>
        <v>0</v>
      </c>
      <c r="J135" s="23">
        <f t="shared" si="10"/>
        <v>0</v>
      </c>
      <c r="K135" s="24">
        <f t="shared" si="11"/>
        <v>0</v>
      </c>
    </row>
    <row r="136" spans="1:11">
      <c r="A136" s="23" t="s">
        <v>41</v>
      </c>
      <c r="B136" s="23" t="s">
        <v>241</v>
      </c>
      <c r="C136" s="23" t="s">
        <v>243</v>
      </c>
      <c r="D136" s="23">
        <f>INDEX(Positions!$D$2:$D$4694,MATCH($A136&amp;"|15",Positions!$A$2:$A$4694,0))</f>
        <v>15</v>
      </c>
      <c r="E136" s="23">
        <f>INDEX(Positions!$D$2:$D$4694,MATCH($A136&amp;"|48",Positions!$A$2:$A$4694,0))</f>
        <v>50</v>
      </c>
      <c r="F136" s="23" t="str">
        <f>INDEX(Positions!$E$2:$E$4694,MATCH($A136&amp;"|15",Positions!$A$2:$A$4694,0))</f>
        <v>G</v>
      </c>
      <c r="G136" s="23" t="str">
        <f>INDEX(Positions!$E$2:$E$4694,MATCH($A136&amp;"|48",Positions!$A$2:$A$4694,0))</f>
        <v>C</v>
      </c>
      <c r="H136" s="24" t="str">
        <f t="shared" si="8"/>
        <v>G-C</v>
      </c>
      <c r="I136" s="23">
        <f t="shared" si="9"/>
        <v>1</v>
      </c>
      <c r="J136" s="23">
        <f t="shared" si="10"/>
        <v>1</v>
      </c>
      <c r="K136" s="24">
        <f t="shared" si="11"/>
        <v>2</v>
      </c>
    </row>
    <row r="137" spans="1:11">
      <c r="A137" s="23" t="s">
        <v>41</v>
      </c>
      <c r="B137" s="23" t="s">
        <v>241</v>
      </c>
      <c r="C137" s="23" t="s">
        <v>244</v>
      </c>
      <c r="D137" s="23">
        <f>INDEX(Positions!$D$2:$D$4694,MATCH($A137&amp;"|18",Positions!$A$2:$A$4694,0))</f>
        <v>19</v>
      </c>
      <c r="E137" s="23">
        <f>INDEX(Positions!$D$2:$D$4694,MATCH($A137&amp;"|55",Positions!$A$2:$A$4694,0))</f>
        <v>57</v>
      </c>
      <c r="F137" s="23" t="str">
        <f>INDEX(Positions!$E$2:$E$4694,MATCH($A137&amp;"|18",Positions!$A$2:$A$4694,0))</f>
        <v>G</v>
      </c>
      <c r="G137" s="23" t="str">
        <f>INDEX(Positions!$E$2:$E$4694,MATCH($A137&amp;"|55",Positions!$A$2:$A$4694,0))</f>
        <v>U</v>
      </c>
      <c r="H137" s="24" t="str">
        <f t="shared" si="8"/>
        <v>G-U</v>
      </c>
      <c r="I137" s="23">
        <f t="shared" si="9"/>
        <v>1</v>
      </c>
      <c r="J137" s="23">
        <f t="shared" si="10"/>
        <v>0</v>
      </c>
      <c r="K137" s="24">
        <f t="shared" si="11"/>
        <v>1</v>
      </c>
    </row>
    <row r="138" spans="1:11">
      <c r="A138" s="23" t="s">
        <v>41</v>
      </c>
      <c r="B138" s="23" t="s">
        <v>241</v>
      </c>
      <c r="C138" s="23" t="s">
        <v>245</v>
      </c>
      <c r="D138" s="23">
        <f>INDEX(Positions!$D$2:$D$4694,MATCH($A138&amp;"|19",Positions!$A$2:$A$4694,0))</f>
        <v>20</v>
      </c>
      <c r="E138" s="23">
        <f>INDEX(Positions!$D$2:$D$4694,MATCH($A138&amp;"|56",Positions!$A$2:$A$4694,0))</f>
        <v>58</v>
      </c>
      <c r="F138" s="23" t="str">
        <f>INDEX(Positions!$E$2:$E$4694,MATCH($A138&amp;"|19",Positions!$A$2:$A$4694,0))</f>
        <v>G</v>
      </c>
      <c r="G138" s="23" t="str">
        <f>INDEX(Positions!$E$2:$E$4694,MATCH($A138&amp;"|56",Positions!$A$2:$A$4694,0))</f>
        <v>C</v>
      </c>
      <c r="H138" s="24" t="str">
        <f t="shared" si="8"/>
        <v>G-C</v>
      </c>
      <c r="I138" s="23">
        <f t="shared" si="9"/>
        <v>1</v>
      </c>
      <c r="J138" s="23">
        <f t="shared" si="10"/>
        <v>1</v>
      </c>
      <c r="K138" s="24">
        <f t="shared" si="11"/>
        <v>2</v>
      </c>
    </row>
    <row r="139" spans="1:11">
      <c r="A139" s="23" t="s">
        <v>41</v>
      </c>
      <c r="B139" s="23" t="s">
        <v>241</v>
      </c>
      <c r="C139" s="23" t="s">
        <v>246</v>
      </c>
      <c r="D139" s="23">
        <f>INDEX(Positions!$D$2:$D$4694,MATCH($A139&amp;"|26",Positions!$A$2:$A$4694,0))</f>
        <v>28</v>
      </c>
      <c r="E139" s="23">
        <f>INDEX(Positions!$D$2:$D$4694,MATCH($A139&amp;"|44",Positions!$A$2:$A$4694,0))</f>
        <v>46</v>
      </c>
      <c r="F139" s="23" t="str">
        <f>INDEX(Positions!$E$2:$E$4694,MATCH($A139&amp;"|26",Positions!$A$2:$A$4694,0))</f>
        <v>G</v>
      </c>
      <c r="G139" s="23" t="str">
        <f>INDEX(Positions!$E$2:$E$4694,MATCH($A139&amp;"|44",Positions!$A$2:$A$4694,0))</f>
        <v>A</v>
      </c>
      <c r="H139" s="24" t="str">
        <f t="shared" si="8"/>
        <v>G-A</v>
      </c>
      <c r="I139" s="23">
        <f t="shared" si="9"/>
        <v>1</v>
      </c>
      <c r="J139" s="23">
        <f t="shared" si="10"/>
        <v>0</v>
      </c>
      <c r="K139" s="24">
        <f t="shared" si="11"/>
        <v>1</v>
      </c>
    </row>
    <row r="140" spans="1:11">
      <c r="A140" s="23" t="s">
        <v>41</v>
      </c>
      <c r="B140" s="23" t="s">
        <v>241</v>
      </c>
      <c r="C140" s="23" t="s">
        <v>247</v>
      </c>
      <c r="D140" s="23">
        <f>INDEX(Positions!$D$2:$D$4694,MATCH($A140&amp;"|32",Positions!$A$2:$A$4694,0))</f>
        <v>34</v>
      </c>
      <c r="E140" s="23">
        <f>INDEX(Positions!$D$2:$D$4694,MATCH($A140&amp;"|38",Positions!$A$2:$A$4694,0))</f>
        <v>40</v>
      </c>
      <c r="F140" s="23" t="str">
        <f>INDEX(Positions!$E$2:$E$4694,MATCH($A140&amp;"|32",Positions!$A$2:$A$4694,0))</f>
        <v>C</v>
      </c>
      <c r="G140" s="23" t="str">
        <f>INDEX(Positions!$E$2:$E$4694,MATCH($A140&amp;"|38",Positions!$A$2:$A$4694,0))</f>
        <v>A</v>
      </c>
      <c r="H140" s="24" t="str">
        <f t="shared" si="8"/>
        <v>C-A</v>
      </c>
      <c r="I140" s="23">
        <f t="shared" si="9"/>
        <v>0</v>
      </c>
      <c r="J140" s="23">
        <f t="shared" si="10"/>
        <v>1</v>
      </c>
      <c r="K140" s="24">
        <f t="shared" si="11"/>
        <v>1</v>
      </c>
    </row>
    <row r="141" spans="1:11">
      <c r="A141" s="23" t="s">
        <v>41</v>
      </c>
      <c r="B141" s="23" t="s">
        <v>241</v>
      </c>
      <c r="C141" s="23" t="s">
        <v>248</v>
      </c>
      <c r="D141" s="23">
        <f>INDEX(Positions!$D$2:$D$4694,MATCH($A141&amp;"|54",Positions!$A$2:$A$4694,0))</f>
        <v>56</v>
      </c>
      <c r="E141" s="23">
        <f>INDEX(Positions!$D$2:$D$4694,MATCH($A141&amp;"|58",Positions!$A$2:$A$4694,0))</f>
        <v>60</v>
      </c>
      <c r="F141" s="23" t="str">
        <f>INDEX(Positions!$E$2:$E$4694,MATCH($A141&amp;"|54",Positions!$A$2:$A$4694,0))</f>
        <v>U</v>
      </c>
      <c r="G141" s="23" t="str">
        <f>INDEX(Positions!$E$2:$E$4694,MATCH($A141&amp;"|58",Positions!$A$2:$A$4694,0))</f>
        <v>A</v>
      </c>
      <c r="H141" s="24" t="str">
        <f t="shared" si="8"/>
        <v>U-A</v>
      </c>
      <c r="I141" s="23">
        <f t="shared" si="9"/>
        <v>0</v>
      </c>
      <c r="J141" s="23">
        <f t="shared" si="10"/>
        <v>0</v>
      </c>
      <c r="K141" s="24">
        <f t="shared" si="11"/>
        <v>0</v>
      </c>
    </row>
    <row r="142" spans="1:11">
      <c r="A142" s="4" t="s">
        <v>42</v>
      </c>
      <c r="B142" s="4" t="s">
        <v>110</v>
      </c>
      <c r="C142" s="4" t="s">
        <v>220</v>
      </c>
      <c r="D142" s="4">
        <f>INDEX(Positions!$D$2:$D$4694,MATCH($A142&amp;"|1",Positions!$A$2:$A$4694,0))</f>
        <v>1</v>
      </c>
      <c r="E142" s="4">
        <f>INDEX(Positions!$D$2:$D$4694,MATCH($A142&amp;"|72",Positions!$A$2:$A$4694,0))</f>
        <v>71</v>
      </c>
      <c r="F142" s="4" t="str">
        <f>INDEX(Positions!$E$2:$E$4694,MATCH($A142&amp;"|1",Positions!$A$2:$A$4694,0))</f>
        <v>G</v>
      </c>
      <c r="G142" s="4" t="str">
        <f>INDEX(Positions!$E$2:$E$4694,MATCH($A142&amp;"|72",Positions!$A$2:$A$4694,0))</f>
        <v>C</v>
      </c>
      <c r="H142" s="3" t="str">
        <f t="shared" si="8"/>
        <v>G-C</v>
      </c>
      <c r="I142" s="4">
        <f t="shared" si="9"/>
        <v>1</v>
      </c>
      <c r="J142" s="4">
        <f t="shared" si="10"/>
        <v>1</v>
      </c>
      <c r="K142" s="3">
        <f t="shared" si="11"/>
        <v>2</v>
      </c>
    </row>
    <row r="143" spans="1:11">
      <c r="A143" s="4" t="s">
        <v>42</v>
      </c>
      <c r="B143" s="4" t="s">
        <v>110</v>
      </c>
      <c r="C143" s="4" t="s">
        <v>221</v>
      </c>
      <c r="D143" s="4">
        <f>INDEX(Positions!$D$2:$D$4694,MATCH($A143&amp;"|2",Positions!$A$2:$A$4694,0))</f>
        <v>2</v>
      </c>
      <c r="E143" s="4">
        <f>INDEX(Positions!$D$2:$D$4694,MATCH($A143&amp;"|71",Positions!$A$2:$A$4694,0))</f>
        <v>70</v>
      </c>
      <c r="F143" s="4" t="str">
        <f>INDEX(Positions!$E$2:$E$4694,MATCH($A143&amp;"|2",Positions!$A$2:$A$4694,0))</f>
        <v>U</v>
      </c>
      <c r="G143" s="4" t="str">
        <f>INDEX(Positions!$E$2:$E$4694,MATCH($A143&amp;"|71",Positions!$A$2:$A$4694,0))</f>
        <v>A</v>
      </c>
      <c r="H143" s="3" t="str">
        <f t="shared" si="8"/>
        <v>U-A</v>
      </c>
      <c r="I143" s="4">
        <f t="shared" si="9"/>
        <v>0</v>
      </c>
      <c r="J143" s="4">
        <f t="shared" si="10"/>
        <v>0</v>
      </c>
      <c r="K143" s="3">
        <f t="shared" si="11"/>
        <v>0</v>
      </c>
    </row>
    <row r="144" spans="1:11">
      <c r="A144" s="4" t="s">
        <v>42</v>
      </c>
      <c r="B144" s="4" t="s">
        <v>110</v>
      </c>
      <c r="C144" s="4" t="s">
        <v>222</v>
      </c>
      <c r="D144" s="4">
        <f>INDEX(Positions!$D$2:$D$4694,MATCH($A144&amp;"|3",Positions!$A$2:$A$4694,0))</f>
        <v>3</v>
      </c>
      <c r="E144" s="4">
        <f>INDEX(Positions!$D$2:$D$4694,MATCH($A144&amp;"|70",Positions!$A$2:$A$4694,0))</f>
        <v>69</v>
      </c>
      <c r="F144" s="4" t="str">
        <f>INDEX(Positions!$E$2:$E$4694,MATCH($A144&amp;"|3",Positions!$A$2:$A$4694,0))</f>
        <v>C</v>
      </c>
      <c r="G144" s="4" t="str">
        <f>INDEX(Positions!$E$2:$E$4694,MATCH($A144&amp;"|70",Positions!$A$2:$A$4694,0))</f>
        <v>G</v>
      </c>
      <c r="H144" s="3" t="str">
        <f t="shared" si="8"/>
        <v>C-G</v>
      </c>
      <c r="I144" s="4">
        <f t="shared" si="9"/>
        <v>1</v>
      </c>
      <c r="J144" s="4">
        <f t="shared" si="10"/>
        <v>1</v>
      </c>
      <c r="K144" s="3">
        <f t="shared" si="11"/>
        <v>2</v>
      </c>
    </row>
    <row r="145" spans="1:11">
      <c r="A145" s="4" t="s">
        <v>42</v>
      </c>
      <c r="B145" s="4" t="s">
        <v>110</v>
      </c>
      <c r="C145" s="4" t="s">
        <v>223</v>
      </c>
      <c r="D145" s="4">
        <f>INDEX(Positions!$D$2:$D$4694,MATCH($A145&amp;"|4",Positions!$A$2:$A$4694,0))</f>
        <v>4</v>
      </c>
      <c r="E145" s="4">
        <f>INDEX(Positions!$D$2:$D$4694,MATCH($A145&amp;"|69",Positions!$A$2:$A$4694,0))</f>
        <v>68</v>
      </c>
      <c r="F145" s="4" t="str">
        <f>INDEX(Positions!$E$2:$E$4694,MATCH($A145&amp;"|4",Positions!$A$2:$A$4694,0))</f>
        <v>C</v>
      </c>
      <c r="G145" s="4" t="str">
        <f>INDEX(Positions!$E$2:$E$4694,MATCH($A145&amp;"|69",Positions!$A$2:$A$4694,0))</f>
        <v>G</v>
      </c>
      <c r="H145" s="3" t="str">
        <f t="shared" si="8"/>
        <v>C-G</v>
      </c>
      <c r="I145" s="4">
        <f t="shared" si="9"/>
        <v>1</v>
      </c>
      <c r="J145" s="4">
        <f t="shared" si="10"/>
        <v>1</v>
      </c>
      <c r="K145" s="3">
        <f t="shared" si="11"/>
        <v>2</v>
      </c>
    </row>
    <row r="146" spans="1:11">
      <c r="A146" s="4" t="s">
        <v>42</v>
      </c>
      <c r="B146" s="4" t="s">
        <v>110</v>
      </c>
      <c r="C146" s="4" t="s">
        <v>224</v>
      </c>
      <c r="D146" s="4">
        <f>INDEX(Positions!$D$2:$D$4694,MATCH($A146&amp;"|5",Positions!$A$2:$A$4694,0))</f>
        <v>5</v>
      </c>
      <c r="E146" s="4">
        <f>INDEX(Positions!$D$2:$D$4694,MATCH($A146&amp;"|68",Positions!$A$2:$A$4694,0))</f>
        <v>67</v>
      </c>
      <c r="F146" s="4" t="str">
        <f>INDEX(Positions!$E$2:$E$4694,MATCH($A146&amp;"|5",Positions!$A$2:$A$4694,0))</f>
        <v>C</v>
      </c>
      <c r="G146" s="4" t="str">
        <f>INDEX(Positions!$E$2:$E$4694,MATCH($A146&amp;"|68",Positions!$A$2:$A$4694,0))</f>
        <v>G</v>
      </c>
      <c r="H146" s="3" t="str">
        <f t="shared" si="8"/>
        <v>C-G</v>
      </c>
      <c r="I146" s="4">
        <f t="shared" si="9"/>
        <v>1</v>
      </c>
      <c r="J146" s="4">
        <f t="shared" si="10"/>
        <v>1</v>
      </c>
      <c r="K146" s="3">
        <f t="shared" si="11"/>
        <v>2</v>
      </c>
    </row>
    <row r="147" spans="1:11">
      <c r="A147" s="4" t="s">
        <v>42</v>
      </c>
      <c r="B147" s="4" t="s">
        <v>110</v>
      </c>
      <c r="C147" s="4" t="s">
        <v>225</v>
      </c>
      <c r="D147" s="4">
        <f>INDEX(Positions!$D$2:$D$4694,MATCH($A147&amp;"|6",Positions!$A$2:$A$4694,0))</f>
        <v>6</v>
      </c>
      <c r="E147" s="4">
        <f>INDEX(Positions!$D$2:$D$4694,MATCH($A147&amp;"|67",Positions!$A$2:$A$4694,0))</f>
        <v>66</v>
      </c>
      <c r="F147" s="4" t="str">
        <f>INDEX(Positions!$E$2:$E$4694,MATCH($A147&amp;"|6",Positions!$A$2:$A$4694,0))</f>
        <v>G</v>
      </c>
      <c r="G147" s="4" t="str">
        <f>INDEX(Positions!$E$2:$E$4694,MATCH($A147&amp;"|67",Positions!$A$2:$A$4694,0))</f>
        <v>C</v>
      </c>
      <c r="H147" s="3" t="str">
        <f t="shared" si="8"/>
        <v>G-C</v>
      </c>
      <c r="I147" s="4">
        <f t="shared" si="9"/>
        <v>1</v>
      </c>
      <c r="J147" s="4">
        <f t="shared" si="10"/>
        <v>1</v>
      </c>
      <c r="K147" s="3">
        <f t="shared" si="11"/>
        <v>2</v>
      </c>
    </row>
    <row r="148" spans="1:11">
      <c r="A148" s="4" t="s">
        <v>42</v>
      </c>
      <c r="B148" s="4" t="s">
        <v>110</v>
      </c>
      <c r="C148" s="4" t="s">
        <v>226</v>
      </c>
      <c r="D148" s="4">
        <f>INDEX(Positions!$D$2:$D$4694,MATCH($A148&amp;"|7",Positions!$A$2:$A$4694,0))</f>
        <v>7</v>
      </c>
      <c r="E148" s="4">
        <f>INDEX(Positions!$D$2:$D$4694,MATCH($A148&amp;"|66",Positions!$A$2:$A$4694,0))</f>
        <v>65</v>
      </c>
      <c r="F148" s="4" t="str">
        <f>INDEX(Positions!$E$2:$E$4694,MATCH($A148&amp;"|7",Positions!$A$2:$A$4694,0))</f>
        <v>A</v>
      </c>
      <c r="G148" s="4" t="str">
        <f>INDEX(Positions!$E$2:$E$4694,MATCH($A148&amp;"|66",Positions!$A$2:$A$4694,0))</f>
        <v>U</v>
      </c>
      <c r="H148" s="3" t="str">
        <f t="shared" si="8"/>
        <v>A-U</v>
      </c>
      <c r="I148" s="4">
        <f t="shared" si="9"/>
        <v>0</v>
      </c>
      <c r="J148" s="4">
        <f t="shared" si="10"/>
        <v>0</v>
      </c>
      <c r="K148" s="3">
        <f t="shared" si="11"/>
        <v>0</v>
      </c>
    </row>
    <row r="149" spans="1:11">
      <c r="A149" s="4" t="s">
        <v>42</v>
      </c>
      <c r="B149" s="4" t="s">
        <v>125</v>
      </c>
      <c r="C149" s="4" t="s">
        <v>227</v>
      </c>
      <c r="D149" s="4">
        <f>INDEX(Positions!$D$2:$D$4694,MATCH($A149&amp;"|10",Positions!$A$2:$A$4694,0))</f>
        <v>10</v>
      </c>
      <c r="E149" s="4">
        <f>INDEX(Positions!$D$2:$D$4694,MATCH($A149&amp;"|25",Positions!$A$2:$A$4694,0))</f>
        <v>25</v>
      </c>
      <c r="F149" s="4" t="str">
        <f>INDEX(Positions!$E$2:$E$4694,MATCH($A149&amp;"|10",Positions!$A$2:$A$4694,0))</f>
        <v>G</v>
      </c>
      <c r="G149" s="4" t="str">
        <f>INDEX(Positions!$E$2:$E$4694,MATCH($A149&amp;"|25",Positions!$A$2:$A$4694,0))</f>
        <v>U</v>
      </c>
      <c r="H149" s="3" t="str">
        <f t="shared" si="8"/>
        <v>G-U</v>
      </c>
      <c r="I149" s="4">
        <f t="shared" si="9"/>
        <v>1</v>
      </c>
      <c r="J149" s="4">
        <f t="shared" si="10"/>
        <v>0</v>
      </c>
      <c r="K149" s="3">
        <f t="shared" si="11"/>
        <v>1</v>
      </c>
    </row>
    <row r="150" spans="1:11">
      <c r="A150" s="4" t="s">
        <v>42</v>
      </c>
      <c r="B150" s="4" t="s">
        <v>125</v>
      </c>
      <c r="C150" s="4" t="s">
        <v>228</v>
      </c>
      <c r="D150" s="4">
        <f>INDEX(Positions!$D$2:$D$4694,MATCH($A150&amp;"|11",Positions!$A$2:$A$4694,0))</f>
        <v>11</v>
      </c>
      <c r="E150" s="4">
        <f>INDEX(Positions!$D$2:$D$4694,MATCH($A150&amp;"|24",Positions!$A$2:$A$4694,0))</f>
        <v>24</v>
      </c>
      <c r="F150" s="4" t="str">
        <f>INDEX(Positions!$E$2:$E$4694,MATCH($A150&amp;"|11",Positions!$A$2:$A$4694,0))</f>
        <v>G</v>
      </c>
      <c r="G150" s="4" t="str">
        <f>INDEX(Positions!$E$2:$E$4694,MATCH($A150&amp;"|24",Positions!$A$2:$A$4694,0))</f>
        <v>C</v>
      </c>
      <c r="H150" s="3" t="str">
        <f t="shared" si="8"/>
        <v>G-C</v>
      </c>
      <c r="I150" s="4">
        <f t="shared" si="9"/>
        <v>1</v>
      </c>
      <c r="J150" s="4">
        <f t="shared" si="10"/>
        <v>1</v>
      </c>
      <c r="K150" s="3">
        <f t="shared" si="11"/>
        <v>2</v>
      </c>
    </row>
    <row r="151" spans="1:11">
      <c r="A151" s="4" t="s">
        <v>42</v>
      </c>
      <c r="B151" s="4" t="s">
        <v>125</v>
      </c>
      <c r="C151" s="4" t="s">
        <v>229</v>
      </c>
      <c r="D151" s="4">
        <f>INDEX(Positions!$D$2:$D$4694,MATCH($A151&amp;"|12",Positions!$A$2:$A$4694,0))</f>
        <v>12</v>
      </c>
      <c r="E151" s="4">
        <f>INDEX(Positions!$D$2:$D$4694,MATCH($A151&amp;"|23",Positions!$A$2:$A$4694,0))</f>
        <v>23</v>
      </c>
      <c r="F151" s="4" t="str">
        <f>INDEX(Positions!$E$2:$E$4694,MATCH($A151&amp;"|12",Positions!$A$2:$A$4694,0))</f>
        <v>G</v>
      </c>
      <c r="G151" s="4" t="str">
        <f>INDEX(Positions!$E$2:$E$4694,MATCH($A151&amp;"|23",Positions!$A$2:$A$4694,0))</f>
        <v>C</v>
      </c>
      <c r="H151" s="3" t="str">
        <f t="shared" si="8"/>
        <v>G-C</v>
      </c>
      <c r="I151" s="4">
        <f t="shared" si="9"/>
        <v>1</v>
      </c>
      <c r="J151" s="4">
        <f t="shared" si="10"/>
        <v>1</v>
      </c>
      <c r="K151" s="3">
        <f t="shared" si="11"/>
        <v>2</v>
      </c>
    </row>
    <row r="152" spans="1:11">
      <c r="A152" s="4" t="s">
        <v>42</v>
      </c>
      <c r="B152" s="4" t="s">
        <v>125</v>
      </c>
      <c r="C152" s="4" t="s">
        <v>230</v>
      </c>
      <c r="D152" s="4">
        <f>INDEX(Positions!$D$2:$D$4694,MATCH($A152&amp;"|13",Positions!$A$2:$A$4694,0))</f>
        <v>13</v>
      </c>
      <c r="E152" s="4">
        <f>INDEX(Positions!$D$2:$D$4694,MATCH($A152&amp;"|22",Positions!$A$2:$A$4694,0))</f>
        <v>22</v>
      </c>
      <c r="F152" s="4" t="str">
        <f>INDEX(Positions!$E$2:$E$4694,MATCH($A152&amp;"|13",Positions!$A$2:$A$4694,0))</f>
        <v>U</v>
      </c>
      <c r="G152" s="4" t="str">
        <f>INDEX(Positions!$E$2:$E$4694,MATCH($A152&amp;"|22",Positions!$A$2:$A$4694,0))</f>
        <v>U</v>
      </c>
      <c r="H152" s="3" t="str">
        <f t="shared" si="8"/>
        <v>U-U</v>
      </c>
      <c r="I152" s="4">
        <f t="shared" si="9"/>
        <v>0</v>
      </c>
      <c r="J152" s="4">
        <f t="shared" si="10"/>
        <v>0</v>
      </c>
      <c r="K152" s="3">
        <f t="shared" si="11"/>
        <v>0</v>
      </c>
    </row>
    <row r="153" spans="1:11">
      <c r="A153" s="4" t="s">
        <v>42</v>
      </c>
      <c r="B153" s="4" t="s">
        <v>144</v>
      </c>
      <c r="C153" s="4" t="s">
        <v>231</v>
      </c>
      <c r="D153" s="4">
        <f>INDEX(Positions!$D$2:$D$4694,MATCH($A153&amp;"|27",Positions!$A$2:$A$4694,0))</f>
        <v>27</v>
      </c>
      <c r="E153" s="4">
        <f>INDEX(Positions!$D$2:$D$4694,MATCH($A153&amp;"|43",Positions!$A$2:$A$4694,0))</f>
        <v>43</v>
      </c>
      <c r="F153" s="4" t="str">
        <f>INDEX(Positions!$E$2:$E$4694,MATCH($A153&amp;"|27",Positions!$A$2:$A$4694,0))</f>
        <v>G</v>
      </c>
      <c r="G153" s="4" t="str">
        <f>INDEX(Positions!$E$2:$E$4694,MATCH($A153&amp;"|43",Positions!$A$2:$A$4694,0))</f>
        <v>U</v>
      </c>
      <c r="H153" s="3" t="str">
        <f t="shared" si="8"/>
        <v>G-U</v>
      </c>
      <c r="I153" s="4">
        <f t="shared" si="9"/>
        <v>1</v>
      </c>
      <c r="J153" s="4">
        <f t="shared" si="10"/>
        <v>0</v>
      </c>
      <c r="K153" s="3">
        <f t="shared" si="11"/>
        <v>1</v>
      </c>
    </row>
    <row r="154" spans="1:11">
      <c r="A154" s="4" t="s">
        <v>42</v>
      </c>
      <c r="B154" s="4" t="s">
        <v>144</v>
      </c>
      <c r="C154" s="4" t="s">
        <v>232</v>
      </c>
      <c r="D154" s="4">
        <f>INDEX(Positions!$D$2:$D$4694,MATCH($A154&amp;"|28",Positions!$A$2:$A$4694,0))</f>
        <v>28</v>
      </c>
      <c r="E154" s="4">
        <f>INDEX(Positions!$D$2:$D$4694,MATCH($A154&amp;"|42",Positions!$A$2:$A$4694,0))</f>
        <v>42</v>
      </c>
      <c r="F154" s="4" t="str">
        <f>INDEX(Positions!$E$2:$E$4694,MATCH($A154&amp;"|28",Positions!$A$2:$A$4694,0))</f>
        <v>A</v>
      </c>
      <c r="G154" s="4" t="str">
        <f>INDEX(Positions!$E$2:$E$4694,MATCH($A154&amp;"|42",Positions!$A$2:$A$4694,0))</f>
        <v>U</v>
      </c>
      <c r="H154" s="3" t="str">
        <f t="shared" si="8"/>
        <v>A-U</v>
      </c>
      <c r="I154" s="4">
        <f t="shared" si="9"/>
        <v>0</v>
      </c>
      <c r="J154" s="4">
        <f t="shared" si="10"/>
        <v>0</v>
      </c>
      <c r="K154" s="3">
        <f t="shared" si="11"/>
        <v>0</v>
      </c>
    </row>
    <row r="155" spans="1:11">
      <c r="A155" s="4" t="s">
        <v>42</v>
      </c>
      <c r="B155" s="4" t="s">
        <v>144</v>
      </c>
      <c r="C155" s="4" t="s">
        <v>233</v>
      </c>
      <c r="D155" s="4">
        <f>INDEX(Positions!$D$2:$D$4694,MATCH($A155&amp;"|29",Positions!$A$2:$A$4694,0))</f>
        <v>29</v>
      </c>
      <c r="E155" s="4">
        <f>INDEX(Positions!$D$2:$D$4694,MATCH($A155&amp;"|41",Positions!$A$2:$A$4694,0))</f>
        <v>41</v>
      </c>
      <c r="F155" s="4" t="str">
        <f>INDEX(Positions!$E$2:$E$4694,MATCH($A155&amp;"|29",Positions!$A$2:$A$4694,0))</f>
        <v>G</v>
      </c>
      <c r="G155" s="4" t="str">
        <f>INDEX(Positions!$E$2:$E$4694,MATCH($A155&amp;"|41",Positions!$A$2:$A$4694,0))</f>
        <v>C</v>
      </c>
      <c r="H155" s="3" t="str">
        <f t="shared" si="8"/>
        <v>G-C</v>
      </c>
      <c r="I155" s="4">
        <f t="shared" si="9"/>
        <v>1</v>
      </c>
      <c r="J155" s="4">
        <f t="shared" si="10"/>
        <v>1</v>
      </c>
      <c r="K155" s="3">
        <f t="shared" si="11"/>
        <v>2</v>
      </c>
    </row>
    <row r="156" spans="1:11">
      <c r="A156" s="4" t="s">
        <v>42</v>
      </c>
      <c r="B156" s="4" t="s">
        <v>144</v>
      </c>
      <c r="C156" s="4" t="s">
        <v>234</v>
      </c>
      <c r="D156" s="4">
        <f>INDEX(Positions!$D$2:$D$4694,MATCH($A156&amp;"|30",Positions!$A$2:$A$4694,0))</f>
        <v>30</v>
      </c>
      <c r="E156" s="4">
        <f>INDEX(Positions!$D$2:$D$4694,MATCH($A156&amp;"|40",Positions!$A$2:$A$4694,0))</f>
        <v>40</v>
      </c>
      <c r="F156" s="4" t="str">
        <f>INDEX(Positions!$E$2:$E$4694,MATCH($A156&amp;"|30",Positions!$A$2:$A$4694,0))</f>
        <v>G</v>
      </c>
      <c r="G156" s="4" t="str">
        <f>INDEX(Positions!$E$2:$E$4694,MATCH($A156&amp;"|40",Positions!$A$2:$A$4694,0))</f>
        <v>C</v>
      </c>
      <c r="H156" s="3" t="str">
        <f t="shared" si="8"/>
        <v>G-C</v>
      </c>
      <c r="I156" s="4">
        <f t="shared" si="9"/>
        <v>1</v>
      </c>
      <c r="J156" s="4">
        <f t="shared" si="10"/>
        <v>1</v>
      </c>
      <c r="K156" s="3">
        <f t="shared" si="11"/>
        <v>2</v>
      </c>
    </row>
    <row r="157" spans="1:11">
      <c r="A157" s="4" t="s">
        <v>42</v>
      </c>
      <c r="B157" s="4" t="s">
        <v>144</v>
      </c>
      <c r="C157" s="4" t="s">
        <v>235</v>
      </c>
      <c r="D157" s="4">
        <f>INDEX(Positions!$D$2:$D$4694,MATCH($A157&amp;"|31",Positions!$A$2:$A$4694,0))</f>
        <v>31</v>
      </c>
      <c r="E157" s="4">
        <f>INDEX(Positions!$D$2:$D$4694,MATCH($A157&amp;"|39",Positions!$A$2:$A$4694,0))</f>
        <v>39</v>
      </c>
      <c r="F157" s="4" t="str">
        <f>INDEX(Positions!$E$2:$E$4694,MATCH($A157&amp;"|31",Positions!$A$2:$A$4694,0))</f>
        <v>C</v>
      </c>
      <c r="G157" s="4" t="str">
        <f>INDEX(Positions!$E$2:$E$4694,MATCH($A157&amp;"|39",Positions!$A$2:$A$4694,0))</f>
        <v>G</v>
      </c>
      <c r="H157" s="3" t="str">
        <f t="shared" si="8"/>
        <v>C-G</v>
      </c>
      <c r="I157" s="4">
        <f t="shared" si="9"/>
        <v>1</v>
      </c>
      <c r="J157" s="4">
        <f t="shared" si="10"/>
        <v>1</v>
      </c>
      <c r="K157" s="3">
        <f t="shared" si="11"/>
        <v>2</v>
      </c>
    </row>
    <row r="158" spans="1:11">
      <c r="A158" s="4" t="s">
        <v>42</v>
      </c>
      <c r="B158" s="4" t="s">
        <v>169</v>
      </c>
      <c r="C158" s="4" t="s">
        <v>236</v>
      </c>
      <c r="D158" s="4">
        <f>INDEX(Positions!$D$2:$D$4694,MATCH($A158&amp;"|49",Positions!$A$2:$A$4694,0))</f>
        <v>48</v>
      </c>
      <c r="E158" s="4">
        <f>INDEX(Positions!$D$2:$D$4694,MATCH($A158&amp;"|65",Positions!$A$2:$A$4694,0))</f>
        <v>64</v>
      </c>
      <c r="F158" s="4" t="str">
        <f>INDEX(Positions!$E$2:$E$4694,MATCH($A158&amp;"|49",Positions!$A$2:$A$4694,0))</f>
        <v>C</v>
      </c>
      <c r="G158" s="4" t="str">
        <f>INDEX(Positions!$E$2:$E$4694,MATCH($A158&amp;"|65",Positions!$A$2:$A$4694,0))</f>
        <v>G</v>
      </c>
      <c r="H158" s="3" t="str">
        <f t="shared" si="8"/>
        <v>C-G</v>
      </c>
      <c r="I158" s="4">
        <f t="shared" si="9"/>
        <v>1</v>
      </c>
      <c r="J158" s="4">
        <f t="shared" si="10"/>
        <v>1</v>
      </c>
      <c r="K158" s="3">
        <f t="shared" si="11"/>
        <v>2</v>
      </c>
    </row>
    <row r="159" spans="1:11">
      <c r="A159" s="4" t="s">
        <v>42</v>
      </c>
      <c r="B159" s="4" t="s">
        <v>169</v>
      </c>
      <c r="C159" s="4" t="s">
        <v>237</v>
      </c>
      <c r="D159" s="4">
        <f>INDEX(Positions!$D$2:$D$4694,MATCH($A159&amp;"|50",Positions!$A$2:$A$4694,0))</f>
        <v>49</v>
      </c>
      <c r="E159" s="4">
        <f>INDEX(Positions!$D$2:$D$4694,MATCH($A159&amp;"|64",Positions!$A$2:$A$4694,0))</f>
        <v>63</v>
      </c>
      <c r="F159" s="4" t="str">
        <f>INDEX(Positions!$E$2:$E$4694,MATCH($A159&amp;"|50",Positions!$A$2:$A$4694,0))</f>
        <v>U</v>
      </c>
      <c r="G159" s="4" t="str">
        <f>INDEX(Positions!$E$2:$E$4694,MATCH($A159&amp;"|64",Positions!$A$2:$A$4694,0))</f>
        <v>A</v>
      </c>
      <c r="H159" s="3" t="str">
        <f t="shared" si="8"/>
        <v>U-A</v>
      </c>
      <c r="I159" s="4">
        <f t="shared" si="9"/>
        <v>0</v>
      </c>
      <c r="J159" s="4">
        <f t="shared" si="10"/>
        <v>0</v>
      </c>
      <c r="K159" s="3">
        <f t="shared" si="11"/>
        <v>0</v>
      </c>
    </row>
    <row r="160" spans="1:11">
      <c r="A160" s="4" t="s">
        <v>42</v>
      </c>
      <c r="B160" s="4" t="s">
        <v>169</v>
      </c>
      <c r="C160" s="4" t="s">
        <v>238</v>
      </c>
      <c r="D160" s="4">
        <f>INDEX(Positions!$D$2:$D$4694,MATCH($A160&amp;"|51",Positions!$A$2:$A$4694,0))</f>
        <v>50</v>
      </c>
      <c r="E160" s="4">
        <f>INDEX(Positions!$D$2:$D$4694,MATCH($A160&amp;"|63",Positions!$A$2:$A$4694,0))</f>
        <v>62</v>
      </c>
      <c r="F160" s="4" t="str">
        <f>INDEX(Positions!$E$2:$E$4694,MATCH($A160&amp;"|51",Positions!$A$2:$A$4694,0))</f>
        <v>G</v>
      </c>
      <c r="G160" s="4" t="str">
        <f>INDEX(Positions!$E$2:$E$4694,MATCH($A160&amp;"|63",Positions!$A$2:$A$4694,0))</f>
        <v>C</v>
      </c>
      <c r="H160" s="3" t="str">
        <f t="shared" si="8"/>
        <v>G-C</v>
      </c>
      <c r="I160" s="4">
        <f t="shared" si="9"/>
        <v>1</v>
      </c>
      <c r="J160" s="4">
        <f t="shared" si="10"/>
        <v>1</v>
      </c>
      <c r="K160" s="3">
        <f t="shared" si="11"/>
        <v>2</v>
      </c>
    </row>
    <row r="161" spans="1:11">
      <c r="A161" s="4" t="s">
        <v>42</v>
      </c>
      <c r="B161" s="4" t="s">
        <v>169</v>
      </c>
      <c r="C161" s="4" t="s">
        <v>239</v>
      </c>
      <c r="D161" s="4">
        <f>INDEX(Positions!$D$2:$D$4694,MATCH($A161&amp;"|52",Positions!$A$2:$A$4694,0))</f>
        <v>51</v>
      </c>
      <c r="E161" s="4">
        <f>INDEX(Positions!$D$2:$D$4694,MATCH($A161&amp;"|62",Positions!$A$2:$A$4694,0))</f>
        <v>61</v>
      </c>
      <c r="F161" s="4" t="str">
        <f>INDEX(Positions!$E$2:$E$4694,MATCH($A161&amp;"|52",Positions!$A$2:$A$4694,0))</f>
        <v>A</v>
      </c>
      <c r="G161" s="4" t="str">
        <f>INDEX(Positions!$E$2:$E$4694,MATCH($A161&amp;"|62",Positions!$A$2:$A$4694,0))</f>
        <v>U</v>
      </c>
      <c r="H161" s="3" t="str">
        <f t="shared" si="8"/>
        <v>A-U</v>
      </c>
      <c r="I161" s="4">
        <f t="shared" si="9"/>
        <v>0</v>
      </c>
      <c r="J161" s="4">
        <f t="shared" si="10"/>
        <v>0</v>
      </c>
      <c r="K161" s="3">
        <f t="shared" si="11"/>
        <v>0</v>
      </c>
    </row>
    <row r="162" spans="1:11">
      <c r="A162" s="4" t="s">
        <v>42</v>
      </c>
      <c r="B162" s="4" t="s">
        <v>169</v>
      </c>
      <c r="C162" s="4" t="s">
        <v>240</v>
      </c>
      <c r="D162" s="4">
        <f>INDEX(Positions!$D$2:$D$4694,MATCH($A162&amp;"|53",Positions!$A$2:$A$4694,0))</f>
        <v>52</v>
      </c>
      <c r="E162" s="4">
        <f>INDEX(Positions!$D$2:$D$4694,MATCH($A162&amp;"|61",Positions!$A$2:$A$4694,0))</f>
        <v>60</v>
      </c>
      <c r="F162" s="4" t="str">
        <f>INDEX(Positions!$E$2:$E$4694,MATCH($A162&amp;"|53",Positions!$A$2:$A$4694,0))</f>
        <v>G</v>
      </c>
      <c r="G162" s="4" t="str">
        <f>INDEX(Positions!$E$2:$E$4694,MATCH($A162&amp;"|61",Positions!$A$2:$A$4694,0))</f>
        <v>C</v>
      </c>
      <c r="H162" s="3" t="str">
        <f t="shared" si="8"/>
        <v>G-C</v>
      </c>
      <c r="I162" s="4">
        <f t="shared" si="9"/>
        <v>1</v>
      </c>
      <c r="J162" s="4">
        <f t="shared" si="10"/>
        <v>1</v>
      </c>
      <c r="K162" s="3">
        <f t="shared" si="11"/>
        <v>2</v>
      </c>
    </row>
    <row r="163" spans="1:11">
      <c r="A163" s="23" t="s">
        <v>42</v>
      </c>
      <c r="B163" s="23" t="s">
        <v>241</v>
      </c>
      <c r="C163" s="23" t="s">
        <v>242</v>
      </c>
      <c r="D163" s="23">
        <f>INDEX(Positions!$D$2:$D$4694,MATCH($A163&amp;"|8",Positions!$A$2:$A$4694,0))</f>
        <v>8</v>
      </c>
      <c r="E163" s="23">
        <f>INDEX(Positions!$D$2:$D$4694,MATCH($A163&amp;"|14",Positions!$A$2:$A$4694,0))</f>
        <v>14</v>
      </c>
      <c r="F163" s="23" t="str">
        <f>INDEX(Positions!$E$2:$E$4694,MATCH($A163&amp;"|8",Positions!$A$2:$A$4694,0))</f>
        <v>U</v>
      </c>
      <c r="G163" s="23" t="str">
        <f>INDEX(Positions!$E$2:$E$4694,MATCH($A163&amp;"|14",Positions!$A$2:$A$4694,0))</f>
        <v>A</v>
      </c>
      <c r="H163" s="24" t="str">
        <f t="shared" si="8"/>
        <v>U-A</v>
      </c>
      <c r="I163" s="23">
        <f t="shared" si="9"/>
        <v>0</v>
      </c>
      <c r="J163" s="23">
        <f t="shared" si="10"/>
        <v>0</v>
      </c>
      <c r="K163" s="24">
        <f t="shared" si="11"/>
        <v>0</v>
      </c>
    </row>
    <row r="164" spans="1:11">
      <c r="A164" s="23" t="s">
        <v>42</v>
      </c>
      <c r="B164" s="23" t="s">
        <v>241</v>
      </c>
      <c r="C164" s="23" t="s">
        <v>243</v>
      </c>
      <c r="D164" s="23">
        <f>INDEX(Positions!$D$2:$D$4694,MATCH($A164&amp;"|15",Positions!$A$2:$A$4694,0))</f>
        <v>15</v>
      </c>
      <c r="E164" s="23">
        <f>INDEX(Positions!$D$2:$D$4694,MATCH($A164&amp;"|48",Positions!$A$2:$A$4694,0))</f>
        <v>47</v>
      </c>
      <c r="F164" s="23" t="str">
        <f>INDEX(Positions!$E$2:$E$4694,MATCH($A164&amp;"|15",Positions!$A$2:$A$4694,0))</f>
        <v>G</v>
      </c>
      <c r="G164" s="23" t="str">
        <f>INDEX(Positions!$E$2:$E$4694,MATCH($A164&amp;"|48",Positions!$A$2:$A$4694,0))</f>
        <v>C</v>
      </c>
      <c r="H164" s="24" t="str">
        <f t="shared" si="8"/>
        <v>G-C</v>
      </c>
      <c r="I164" s="23">
        <f t="shared" si="9"/>
        <v>1</v>
      </c>
      <c r="J164" s="23">
        <f t="shared" si="10"/>
        <v>1</v>
      </c>
      <c r="K164" s="24">
        <f t="shared" si="11"/>
        <v>2</v>
      </c>
    </row>
    <row r="165" spans="1:11">
      <c r="A165" s="23" t="s">
        <v>42</v>
      </c>
      <c r="B165" s="23" t="s">
        <v>241</v>
      </c>
      <c r="C165" s="23" t="s">
        <v>244</v>
      </c>
      <c r="D165" s="23">
        <f>INDEX(Positions!$D$2:$D$4694,MATCH($A165&amp;"|18",Positions!$A$2:$A$4694,0))</f>
        <v>17</v>
      </c>
      <c r="E165" s="23">
        <f>INDEX(Positions!$D$2:$D$4694,MATCH($A165&amp;"|55",Positions!$A$2:$A$4694,0))</f>
        <v>54</v>
      </c>
      <c r="F165" s="23" t="str">
        <f>INDEX(Positions!$E$2:$E$4694,MATCH($A165&amp;"|18",Positions!$A$2:$A$4694,0))</f>
        <v>G</v>
      </c>
      <c r="G165" s="23" t="str">
        <f>INDEX(Positions!$E$2:$E$4694,MATCH($A165&amp;"|55",Positions!$A$2:$A$4694,0))</f>
        <v>U</v>
      </c>
      <c r="H165" s="24" t="str">
        <f t="shared" si="8"/>
        <v>G-U</v>
      </c>
      <c r="I165" s="23">
        <f t="shared" si="9"/>
        <v>1</v>
      </c>
      <c r="J165" s="23">
        <f t="shared" si="10"/>
        <v>0</v>
      </c>
      <c r="K165" s="24">
        <f t="shared" si="11"/>
        <v>1</v>
      </c>
    </row>
    <row r="166" spans="1:11">
      <c r="A166" s="23" t="s">
        <v>42</v>
      </c>
      <c r="B166" s="23" t="s">
        <v>241</v>
      </c>
      <c r="C166" s="23" t="s">
        <v>245</v>
      </c>
      <c r="D166" s="23">
        <f>INDEX(Positions!$D$2:$D$4694,MATCH($A166&amp;"|19",Positions!$A$2:$A$4694,0))</f>
        <v>18</v>
      </c>
      <c r="E166" s="23">
        <f>INDEX(Positions!$D$2:$D$4694,MATCH($A166&amp;"|56",Positions!$A$2:$A$4694,0))</f>
        <v>55</v>
      </c>
      <c r="F166" s="23" t="str">
        <f>INDEX(Positions!$E$2:$E$4694,MATCH($A166&amp;"|19",Positions!$A$2:$A$4694,0))</f>
        <v>G</v>
      </c>
      <c r="G166" s="23" t="str">
        <f>INDEX(Positions!$E$2:$E$4694,MATCH($A166&amp;"|56",Positions!$A$2:$A$4694,0))</f>
        <v>C</v>
      </c>
      <c r="H166" s="24" t="str">
        <f t="shared" si="8"/>
        <v>G-C</v>
      </c>
      <c r="I166" s="23">
        <f t="shared" si="9"/>
        <v>1</v>
      </c>
      <c r="J166" s="23">
        <f t="shared" si="10"/>
        <v>1</v>
      </c>
      <c r="K166" s="24">
        <f t="shared" si="11"/>
        <v>2</v>
      </c>
    </row>
    <row r="167" spans="1:11">
      <c r="A167" s="23" t="s">
        <v>42</v>
      </c>
      <c r="B167" s="23" t="s">
        <v>241</v>
      </c>
      <c r="C167" s="23" t="s">
        <v>246</v>
      </c>
      <c r="D167" s="23">
        <f>INDEX(Positions!$D$2:$D$4694,MATCH($A167&amp;"|26",Positions!$A$2:$A$4694,0))</f>
        <v>26</v>
      </c>
      <c r="E167" s="23">
        <f>INDEX(Positions!$D$2:$D$4694,MATCH($A167&amp;"|44",Positions!$A$2:$A$4694,0))</f>
        <v>44</v>
      </c>
      <c r="F167" s="23" t="str">
        <f>INDEX(Positions!$E$2:$E$4694,MATCH($A167&amp;"|26",Positions!$A$2:$A$4694,0))</f>
        <v>U</v>
      </c>
      <c r="G167" s="23" t="str">
        <f>INDEX(Positions!$E$2:$E$4694,MATCH($A167&amp;"|44",Positions!$A$2:$A$4694,0))</f>
        <v>A</v>
      </c>
      <c r="H167" s="24" t="str">
        <f t="shared" si="8"/>
        <v>U-A</v>
      </c>
      <c r="I167" s="23">
        <f t="shared" si="9"/>
        <v>0</v>
      </c>
      <c r="J167" s="23">
        <f t="shared" si="10"/>
        <v>0</v>
      </c>
      <c r="K167" s="24">
        <f t="shared" si="11"/>
        <v>0</v>
      </c>
    </row>
    <row r="168" spans="1:11">
      <c r="A168" s="23" t="s">
        <v>42</v>
      </c>
      <c r="B168" s="23" t="s">
        <v>241</v>
      </c>
      <c r="C168" s="23" t="s">
        <v>247</v>
      </c>
      <c r="D168" s="23">
        <f>INDEX(Positions!$D$2:$D$4694,MATCH($A168&amp;"|32",Positions!$A$2:$A$4694,0))</f>
        <v>32</v>
      </c>
      <c r="E168" s="23">
        <f>INDEX(Positions!$D$2:$D$4694,MATCH($A168&amp;"|38",Positions!$A$2:$A$4694,0))</f>
        <v>38</v>
      </c>
      <c r="F168" s="23" t="str">
        <f>INDEX(Positions!$E$2:$E$4694,MATCH($A168&amp;"|32",Positions!$A$2:$A$4694,0))</f>
        <v>C</v>
      </c>
      <c r="G168" s="23" t="str">
        <f>INDEX(Positions!$E$2:$E$4694,MATCH($A168&amp;"|38",Positions!$A$2:$A$4694,0))</f>
        <v>A</v>
      </c>
      <c r="H168" s="24" t="str">
        <f t="shared" si="8"/>
        <v>C-A</v>
      </c>
      <c r="I168" s="23">
        <f t="shared" si="9"/>
        <v>0</v>
      </c>
      <c r="J168" s="23">
        <f t="shared" si="10"/>
        <v>1</v>
      </c>
      <c r="K168" s="24">
        <f t="shared" si="11"/>
        <v>1</v>
      </c>
    </row>
    <row r="169" spans="1:11">
      <c r="A169" s="23" t="s">
        <v>42</v>
      </c>
      <c r="B169" s="23" t="s">
        <v>241</v>
      </c>
      <c r="C169" s="23" t="s">
        <v>248</v>
      </c>
      <c r="D169" s="23">
        <f>INDEX(Positions!$D$2:$D$4694,MATCH($A169&amp;"|54",Positions!$A$2:$A$4694,0))</f>
        <v>53</v>
      </c>
      <c r="E169" s="23">
        <f>INDEX(Positions!$D$2:$D$4694,MATCH($A169&amp;"|58",Positions!$A$2:$A$4694,0))</f>
        <v>57</v>
      </c>
      <c r="F169" s="23" t="str">
        <f>INDEX(Positions!$E$2:$E$4694,MATCH($A169&amp;"|54",Positions!$A$2:$A$4694,0))</f>
        <v>U</v>
      </c>
      <c r="G169" s="23" t="str">
        <f>INDEX(Positions!$E$2:$E$4694,MATCH($A169&amp;"|58",Positions!$A$2:$A$4694,0))</f>
        <v>A</v>
      </c>
      <c r="H169" s="24" t="str">
        <f t="shared" si="8"/>
        <v>U-A</v>
      </c>
      <c r="I169" s="23">
        <f t="shared" si="9"/>
        <v>0</v>
      </c>
      <c r="J169" s="23">
        <f t="shared" si="10"/>
        <v>0</v>
      </c>
      <c r="K169" s="24">
        <f t="shared" si="11"/>
        <v>0</v>
      </c>
    </row>
    <row r="170" spans="1:11">
      <c r="A170" s="4" t="s">
        <v>43</v>
      </c>
      <c r="B170" s="4" t="s">
        <v>110</v>
      </c>
      <c r="C170" s="4" t="s">
        <v>220</v>
      </c>
      <c r="D170" s="4">
        <f>INDEX(Positions!$D$2:$D$4694,MATCH($A170&amp;"|1",Positions!$A$2:$A$4694,0))</f>
        <v>1</v>
      </c>
      <c r="E170" s="4">
        <f>INDEX(Positions!$D$2:$D$4694,MATCH($A170&amp;"|72",Positions!$A$2:$A$4694,0))</f>
        <v>73</v>
      </c>
      <c r="F170" s="4" t="str">
        <f>INDEX(Positions!$E$2:$E$4694,MATCH($A170&amp;"|1",Positions!$A$2:$A$4694,0))</f>
        <v>G</v>
      </c>
      <c r="G170" s="4" t="str">
        <f>INDEX(Positions!$E$2:$E$4694,MATCH($A170&amp;"|72",Positions!$A$2:$A$4694,0))</f>
        <v>C</v>
      </c>
      <c r="H170" s="3" t="str">
        <f t="shared" si="8"/>
        <v>G-C</v>
      </c>
      <c r="I170" s="4">
        <f t="shared" si="9"/>
        <v>1</v>
      </c>
      <c r="J170" s="4">
        <f t="shared" si="10"/>
        <v>1</v>
      </c>
      <c r="K170" s="3">
        <f t="shared" si="11"/>
        <v>2</v>
      </c>
    </row>
    <row r="171" spans="1:11">
      <c r="A171" s="4" t="s">
        <v>43</v>
      </c>
      <c r="B171" s="4" t="s">
        <v>110</v>
      </c>
      <c r="C171" s="4" t="s">
        <v>221</v>
      </c>
      <c r="D171" s="4">
        <f>INDEX(Positions!$D$2:$D$4694,MATCH($A171&amp;"|2",Positions!$A$2:$A$4694,0))</f>
        <v>2</v>
      </c>
      <c r="E171" s="4">
        <f>INDEX(Positions!$D$2:$D$4694,MATCH($A171&amp;"|71",Positions!$A$2:$A$4694,0))</f>
        <v>72</v>
      </c>
      <c r="F171" s="4" t="str">
        <f>INDEX(Positions!$E$2:$E$4694,MATCH($A171&amp;"|2",Positions!$A$2:$A$4694,0))</f>
        <v>G</v>
      </c>
      <c r="G171" s="4" t="str">
        <f>INDEX(Positions!$E$2:$E$4694,MATCH($A171&amp;"|71",Positions!$A$2:$A$4694,0))</f>
        <v>C</v>
      </c>
      <c r="H171" s="3" t="str">
        <f t="shared" si="8"/>
        <v>G-C</v>
      </c>
      <c r="I171" s="4">
        <f t="shared" si="9"/>
        <v>1</v>
      </c>
      <c r="J171" s="4">
        <f t="shared" si="10"/>
        <v>1</v>
      </c>
      <c r="K171" s="3">
        <f t="shared" si="11"/>
        <v>2</v>
      </c>
    </row>
    <row r="172" spans="1:11">
      <c r="A172" s="4" t="s">
        <v>43</v>
      </c>
      <c r="B172" s="4" t="s">
        <v>110</v>
      </c>
      <c r="C172" s="4" t="s">
        <v>222</v>
      </c>
      <c r="D172" s="4">
        <f>INDEX(Positions!$D$2:$D$4694,MATCH($A172&amp;"|3",Positions!$A$2:$A$4694,0))</f>
        <v>3</v>
      </c>
      <c r="E172" s="4">
        <f>INDEX(Positions!$D$2:$D$4694,MATCH($A172&amp;"|70",Positions!$A$2:$A$4694,0))</f>
        <v>71</v>
      </c>
      <c r="F172" s="4" t="str">
        <f>INDEX(Positions!$E$2:$E$4694,MATCH($A172&amp;"|3",Positions!$A$2:$A$4694,0))</f>
        <v>G</v>
      </c>
      <c r="G172" s="4" t="str">
        <f>INDEX(Positions!$E$2:$E$4694,MATCH($A172&amp;"|70",Positions!$A$2:$A$4694,0))</f>
        <v>C</v>
      </c>
      <c r="H172" s="3" t="str">
        <f t="shared" si="8"/>
        <v>G-C</v>
      </c>
      <c r="I172" s="4">
        <f t="shared" si="9"/>
        <v>1</v>
      </c>
      <c r="J172" s="4">
        <f t="shared" si="10"/>
        <v>1</v>
      </c>
      <c r="K172" s="3">
        <f t="shared" si="11"/>
        <v>2</v>
      </c>
    </row>
    <row r="173" spans="1:11">
      <c r="A173" s="4" t="s">
        <v>43</v>
      </c>
      <c r="B173" s="4" t="s">
        <v>110</v>
      </c>
      <c r="C173" s="4" t="s">
        <v>223</v>
      </c>
      <c r="D173" s="4">
        <f>INDEX(Positions!$D$2:$D$4694,MATCH($A173&amp;"|4",Positions!$A$2:$A$4694,0))</f>
        <v>4</v>
      </c>
      <c r="E173" s="4">
        <f>INDEX(Positions!$D$2:$D$4694,MATCH($A173&amp;"|69",Positions!$A$2:$A$4694,0))</f>
        <v>70</v>
      </c>
      <c r="F173" s="4" t="str">
        <f>INDEX(Positions!$E$2:$E$4694,MATCH($A173&amp;"|4",Positions!$A$2:$A$4694,0))</f>
        <v>C</v>
      </c>
      <c r="G173" s="4" t="str">
        <f>INDEX(Positions!$E$2:$E$4694,MATCH($A173&amp;"|69",Positions!$A$2:$A$4694,0))</f>
        <v>G</v>
      </c>
      <c r="H173" s="3" t="str">
        <f t="shared" si="8"/>
        <v>C-G</v>
      </c>
      <c r="I173" s="4">
        <f t="shared" si="9"/>
        <v>1</v>
      </c>
      <c r="J173" s="4">
        <f t="shared" si="10"/>
        <v>1</v>
      </c>
      <c r="K173" s="3">
        <f t="shared" si="11"/>
        <v>2</v>
      </c>
    </row>
    <row r="174" spans="1:11">
      <c r="A174" s="4" t="s">
        <v>43</v>
      </c>
      <c r="B174" s="4" t="s">
        <v>110</v>
      </c>
      <c r="C174" s="4" t="s">
        <v>224</v>
      </c>
      <c r="D174" s="4">
        <f>INDEX(Positions!$D$2:$D$4694,MATCH($A174&amp;"|5",Positions!$A$2:$A$4694,0))</f>
        <v>5</v>
      </c>
      <c r="E174" s="4">
        <f>INDEX(Positions!$D$2:$D$4694,MATCH($A174&amp;"|68",Positions!$A$2:$A$4694,0))</f>
        <v>69</v>
      </c>
      <c r="F174" s="4" t="str">
        <f>INDEX(Positions!$E$2:$E$4694,MATCH($A174&amp;"|5",Positions!$A$2:$A$4694,0))</f>
        <v>U</v>
      </c>
      <c r="G174" s="4" t="str">
        <f>INDEX(Positions!$E$2:$E$4694,MATCH($A174&amp;"|68",Positions!$A$2:$A$4694,0))</f>
        <v>G</v>
      </c>
      <c r="H174" s="3" t="str">
        <f t="shared" si="8"/>
        <v>U-G</v>
      </c>
      <c r="I174" s="4">
        <f t="shared" si="9"/>
        <v>1</v>
      </c>
      <c r="J174" s="4">
        <f t="shared" si="10"/>
        <v>0</v>
      </c>
      <c r="K174" s="3">
        <f t="shared" si="11"/>
        <v>1</v>
      </c>
    </row>
    <row r="175" spans="1:11">
      <c r="A175" s="4" t="s">
        <v>43</v>
      </c>
      <c r="B175" s="4" t="s">
        <v>110</v>
      </c>
      <c r="C175" s="4" t="s">
        <v>225</v>
      </c>
      <c r="D175" s="4">
        <f>INDEX(Positions!$D$2:$D$4694,MATCH($A175&amp;"|6",Positions!$A$2:$A$4694,0))</f>
        <v>6</v>
      </c>
      <c r="E175" s="4">
        <f>INDEX(Positions!$D$2:$D$4694,MATCH($A175&amp;"|67",Positions!$A$2:$A$4694,0))</f>
        <v>68</v>
      </c>
      <c r="F175" s="4" t="str">
        <f>INDEX(Positions!$E$2:$E$4694,MATCH($A175&amp;"|6",Positions!$A$2:$A$4694,0))</f>
        <v>C</v>
      </c>
      <c r="G175" s="4" t="str">
        <f>INDEX(Positions!$E$2:$E$4694,MATCH($A175&amp;"|67",Positions!$A$2:$A$4694,0))</f>
        <v>G</v>
      </c>
      <c r="H175" s="3" t="str">
        <f t="shared" si="8"/>
        <v>C-G</v>
      </c>
      <c r="I175" s="4">
        <f t="shared" si="9"/>
        <v>1</v>
      </c>
      <c r="J175" s="4">
        <f t="shared" si="10"/>
        <v>1</v>
      </c>
      <c r="K175" s="3">
        <f t="shared" si="11"/>
        <v>2</v>
      </c>
    </row>
    <row r="176" spans="1:11">
      <c r="A176" s="4" t="s">
        <v>43</v>
      </c>
      <c r="B176" s="4" t="s">
        <v>110</v>
      </c>
      <c r="C176" s="4" t="s">
        <v>226</v>
      </c>
      <c r="D176" s="4">
        <f>INDEX(Positions!$D$2:$D$4694,MATCH($A176&amp;"|7",Positions!$A$2:$A$4694,0))</f>
        <v>7</v>
      </c>
      <c r="E176" s="4">
        <f>INDEX(Positions!$D$2:$D$4694,MATCH($A176&amp;"|66",Positions!$A$2:$A$4694,0))</f>
        <v>67</v>
      </c>
      <c r="F176" s="4" t="str">
        <f>INDEX(Positions!$E$2:$E$4694,MATCH($A176&amp;"|7",Positions!$A$2:$A$4694,0))</f>
        <v>G</v>
      </c>
      <c r="G176" s="4" t="str">
        <f>INDEX(Positions!$E$2:$E$4694,MATCH($A176&amp;"|66",Positions!$A$2:$A$4694,0))</f>
        <v>C</v>
      </c>
      <c r="H176" s="3" t="str">
        <f t="shared" si="8"/>
        <v>G-C</v>
      </c>
      <c r="I176" s="4">
        <f t="shared" si="9"/>
        <v>1</v>
      </c>
      <c r="J176" s="4">
        <f t="shared" si="10"/>
        <v>1</v>
      </c>
      <c r="K176" s="3">
        <f t="shared" si="11"/>
        <v>2</v>
      </c>
    </row>
    <row r="177" spans="1:11">
      <c r="A177" s="4" t="s">
        <v>43</v>
      </c>
      <c r="B177" s="4" t="s">
        <v>125</v>
      </c>
      <c r="C177" s="4" t="s">
        <v>227</v>
      </c>
      <c r="D177" s="4">
        <f>INDEX(Positions!$D$2:$D$4694,MATCH($A177&amp;"|10",Positions!$A$2:$A$4694,0))</f>
        <v>10</v>
      </c>
      <c r="E177" s="4">
        <f>INDEX(Positions!$D$2:$D$4694,MATCH($A177&amp;"|25",Positions!$A$2:$A$4694,0))</f>
        <v>27</v>
      </c>
      <c r="F177" s="4" t="str">
        <f>INDEX(Positions!$E$2:$E$4694,MATCH($A177&amp;"|10",Positions!$A$2:$A$4694,0))</f>
        <v>G</v>
      </c>
      <c r="G177" s="4" t="str">
        <f>INDEX(Positions!$E$2:$E$4694,MATCH($A177&amp;"|25",Positions!$A$2:$A$4694,0))</f>
        <v>U</v>
      </c>
      <c r="H177" s="3" t="str">
        <f t="shared" si="8"/>
        <v>G-U</v>
      </c>
      <c r="I177" s="4">
        <f t="shared" si="9"/>
        <v>1</v>
      </c>
      <c r="J177" s="4">
        <f t="shared" si="10"/>
        <v>0</v>
      </c>
      <c r="K177" s="3">
        <f t="shared" si="11"/>
        <v>1</v>
      </c>
    </row>
    <row r="178" spans="1:11">
      <c r="A178" s="4" t="s">
        <v>43</v>
      </c>
      <c r="B178" s="4" t="s">
        <v>125</v>
      </c>
      <c r="C178" s="4" t="s">
        <v>228</v>
      </c>
      <c r="D178" s="4">
        <f>INDEX(Positions!$D$2:$D$4694,MATCH($A178&amp;"|11",Positions!$A$2:$A$4694,0))</f>
        <v>11</v>
      </c>
      <c r="E178" s="4">
        <f>INDEX(Positions!$D$2:$D$4694,MATCH($A178&amp;"|24",Positions!$A$2:$A$4694,0))</f>
        <v>26</v>
      </c>
      <c r="F178" s="4" t="str">
        <f>INDEX(Positions!$E$2:$E$4694,MATCH($A178&amp;"|11",Positions!$A$2:$A$4694,0))</f>
        <v>G</v>
      </c>
      <c r="G178" s="4" t="str">
        <f>INDEX(Positions!$E$2:$E$4694,MATCH($A178&amp;"|24",Positions!$A$2:$A$4694,0))</f>
        <v>C</v>
      </c>
      <c r="H178" s="3" t="str">
        <f t="shared" si="8"/>
        <v>G-C</v>
      </c>
      <c r="I178" s="4">
        <f t="shared" si="9"/>
        <v>1</v>
      </c>
      <c r="J178" s="4">
        <f t="shared" si="10"/>
        <v>1</v>
      </c>
      <c r="K178" s="3">
        <f t="shared" si="11"/>
        <v>2</v>
      </c>
    </row>
    <row r="179" spans="1:11">
      <c r="A179" s="4" t="s">
        <v>43</v>
      </c>
      <c r="B179" s="4" t="s">
        <v>125</v>
      </c>
      <c r="C179" s="4" t="s">
        <v>229</v>
      </c>
      <c r="D179" s="4">
        <f>INDEX(Positions!$D$2:$D$4694,MATCH($A179&amp;"|12",Positions!$A$2:$A$4694,0))</f>
        <v>12</v>
      </c>
      <c r="E179" s="4">
        <f>INDEX(Positions!$D$2:$D$4694,MATCH($A179&amp;"|23",Positions!$A$2:$A$4694,0))</f>
        <v>25</v>
      </c>
      <c r="F179" s="4" t="str">
        <f>INDEX(Positions!$E$2:$E$4694,MATCH($A179&amp;"|12",Positions!$A$2:$A$4694,0))</f>
        <v>G</v>
      </c>
      <c r="G179" s="4" t="str">
        <f>INDEX(Positions!$E$2:$E$4694,MATCH($A179&amp;"|23",Positions!$A$2:$A$4694,0))</f>
        <v>C</v>
      </c>
      <c r="H179" s="3" t="str">
        <f t="shared" si="8"/>
        <v>G-C</v>
      </c>
      <c r="I179" s="4">
        <f t="shared" si="9"/>
        <v>1</v>
      </c>
      <c r="J179" s="4">
        <f t="shared" si="10"/>
        <v>1</v>
      </c>
      <c r="K179" s="3">
        <f t="shared" si="11"/>
        <v>2</v>
      </c>
    </row>
    <row r="180" spans="1:11">
      <c r="A180" s="4" t="s">
        <v>43</v>
      </c>
      <c r="B180" s="4" t="s">
        <v>125</v>
      </c>
      <c r="C180" s="4" t="s">
        <v>230</v>
      </c>
      <c r="D180" s="4">
        <f>INDEX(Positions!$D$2:$D$4694,MATCH($A180&amp;"|13",Positions!$A$2:$A$4694,0))</f>
        <v>13</v>
      </c>
      <c r="E180" s="4">
        <f>INDEX(Positions!$D$2:$D$4694,MATCH($A180&amp;"|22",Positions!$A$2:$A$4694,0))</f>
        <v>24</v>
      </c>
      <c r="F180" s="4" t="str">
        <f>INDEX(Positions!$E$2:$E$4694,MATCH($A180&amp;"|13",Positions!$A$2:$A$4694,0))</f>
        <v>U</v>
      </c>
      <c r="G180" s="4" t="str">
        <f>INDEX(Positions!$E$2:$E$4694,MATCH($A180&amp;"|22",Positions!$A$2:$A$4694,0))</f>
        <v>U</v>
      </c>
      <c r="H180" s="3" t="str">
        <f t="shared" si="8"/>
        <v>U-U</v>
      </c>
      <c r="I180" s="4">
        <f t="shared" si="9"/>
        <v>0</v>
      </c>
      <c r="J180" s="4">
        <f t="shared" si="10"/>
        <v>0</v>
      </c>
      <c r="K180" s="3">
        <f t="shared" si="11"/>
        <v>0</v>
      </c>
    </row>
    <row r="181" spans="1:11">
      <c r="A181" s="4" t="s">
        <v>43</v>
      </c>
      <c r="B181" s="4" t="s">
        <v>144</v>
      </c>
      <c r="C181" s="4" t="s">
        <v>231</v>
      </c>
      <c r="D181" s="4">
        <f>INDEX(Positions!$D$2:$D$4694,MATCH($A181&amp;"|27",Positions!$A$2:$A$4694,0))</f>
        <v>29</v>
      </c>
      <c r="E181" s="4">
        <f>INDEX(Positions!$D$2:$D$4694,MATCH($A181&amp;"|43",Positions!$A$2:$A$4694,0))</f>
        <v>45</v>
      </c>
      <c r="F181" s="4" t="str">
        <f>INDEX(Positions!$E$2:$E$4694,MATCH($A181&amp;"|27",Positions!$A$2:$A$4694,0))</f>
        <v>A</v>
      </c>
      <c r="G181" s="4" t="str">
        <f>INDEX(Positions!$E$2:$E$4694,MATCH($A181&amp;"|43",Positions!$A$2:$A$4694,0))</f>
        <v>U</v>
      </c>
      <c r="H181" s="3" t="str">
        <f t="shared" si="8"/>
        <v>A-U</v>
      </c>
      <c r="I181" s="4">
        <f t="shared" si="9"/>
        <v>0</v>
      </c>
      <c r="J181" s="4">
        <f t="shared" si="10"/>
        <v>0</v>
      </c>
      <c r="K181" s="3">
        <f t="shared" si="11"/>
        <v>0</v>
      </c>
    </row>
    <row r="182" spans="1:11">
      <c r="A182" s="4" t="s">
        <v>43</v>
      </c>
      <c r="B182" s="4" t="s">
        <v>144</v>
      </c>
      <c r="C182" s="4" t="s">
        <v>232</v>
      </c>
      <c r="D182" s="4">
        <f>INDEX(Positions!$D$2:$D$4694,MATCH($A182&amp;"|28",Positions!$A$2:$A$4694,0))</f>
        <v>30</v>
      </c>
      <c r="E182" s="4">
        <f>INDEX(Positions!$D$2:$D$4694,MATCH($A182&amp;"|42",Positions!$A$2:$A$4694,0))</f>
        <v>44</v>
      </c>
      <c r="F182" s="4" t="str">
        <f>INDEX(Positions!$E$2:$E$4694,MATCH($A182&amp;"|28",Positions!$A$2:$A$4694,0))</f>
        <v>U</v>
      </c>
      <c r="G182" s="4" t="str">
        <f>INDEX(Positions!$E$2:$E$4694,MATCH($A182&amp;"|42",Positions!$A$2:$A$4694,0))</f>
        <v>A</v>
      </c>
      <c r="H182" s="3" t="str">
        <f t="shared" si="8"/>
        <v>U-A</v>
      </c>
      <c r="I182" s="4">
        <f t="shared" si="9"/>
        <v>0</v>
      </c>
      <c r="J182" s="4">
        <f t="shared" si="10"/>
        <v>0</v>
      </c>
      <c r="K182" s="3">
        <f t="shared" si="11"/>
        <v>0</v>
      </c>
    </row>
    <row r="183" spans="1:11">
      <c r="A183" s="4" t="s">
        <v>43</v>
      </c>
      <c r="B183" s="4" t="s">
        <v>144</v>
      </c>
      <c r="C183" s="4" t="s">
        <v>233</v>
      </c>
      <c r="D183" s="4">
        <f>INDEX(Positions!$D$2:$D$4694,MATCH($A183&amp;"|29",Positions!$A$2:$A$4694,0))</f>
        <v>31</v>
      </c>
      <c r="E183" s="4">
        <f>INDEX(Positions!$D$2:$D$4694,MATCH($A183&amp;"|41",Positions!$A$2:$A$4694,0))</f>
        <v>43</v>
      </c>
      <c r="F183" s="4" t="str">
        <f>INDEX(Positions!$E$2:$E$4694,MATCH($A183&amp;"|29",Positions!$A$2:$A$4694,0))</f>
        <v>G</v>
      </c>
      <c r="G183" s="4" t="str">
        <f>INDEX(Positions!$E$2:$E$4694,MATCH($A183&amp;"|41",Positions!$A$2:$A$4694,0))</f>
        <v>C</v>
      </c>
      <c r="H183" s="3" t="str">
        <f t="shared" si="8"/>
        <v>G-C</v>
      </c>
      <c r="I183" s="4">
        <f t="shared" si="9"/>
        <v>1</v>
      </c>
      <c r="J183" s="4">
        <f t="shared" si="10"/>
        <v>1</v>
      </c>
      <c r="K183" s="3">
        <f t="shared" si="11"/>
        <v>2</v>
      </c>
    </row>
    <row r="184" spans="1:11">
      <c r="A184" s="4" t="s">
        <v>43</v>
      </c>
      <c r="B184" s="4" t="s">
        <v>144</v>
      </c>
      <c r="C184" s="4" t="s">
        <v>234</v>
      </c>
      <c r="D184" s="4">
        <f>INDEX(Positions!$D$2:$D$4694,MATCH($A184&amp;"|30",Positions!$A$2:$A$4694,0))</f>
        <v>32</v>
      </c>
      <c r="E184" s="4">
        <f>INDEX(Positions!$D$2:$D$4694,MATCH($A184&amp;"|40",Positions!$A$2:$A$4694,0))</f>
        <v>42</v>
      </c>
      <c r="F184" s="4" t="str">
        <f>INDEX(Positions!$E$2:$E$4694,MATCH($A184&amp;"|30",Positions!$A$2:$A$4694,0))</f>
        <v>G</v>
      </c>
      <c r="G184" s="4" t="str">
        <f>INDEX(Positions!$E$2:$E$4694,MATCH($A184&amp;"|40",Positions!$A$2:$A$4694,0))</f>
        <v>C</v>
      </c>
      <c r="H184" s="3" t="str">
        <f t="shared" si="8"/>
        <v>G-C</v>
      </c>
      <c r="I184" s="4">
        <f t="shared" si="9"/>
        <v>1</v>
      </c>
      <c r="J184" s="4">
        <f t="shared" si="10"/>
        <v>1</v>
      </c>
      <c r="K184" s="3">
        <f t="shared" si="11"/>
        <v>2</v>
      </c>
    </row>
    <row r="185" spans="1:11">
      <c r="A185" s="4" t="s">
        <v>43</v>
      </c>
      <c r="B185" s="4" t="s">
        <v>144</v>
      </c>
      <c r="C185" s="4" t="s">
        <v>235</v>
      </c>
      <c r="D185" s="4">
        <f>INDEX(Positions!$D$2:$D$4694,MATCH($A185&amp;"|31",Positions!$A$2:$A$4694,0))</f>
        <v>33</v>
      </c>
      <c r="E185" s="4">
        <f>INDEX(Positions!$D$2:$D$4694,MATCH($A185&amp;"|39",Positions!$A$2:$A$4694,0))</f>
        <v>41</v>
      </c>
      <c r="F185" s="4" t="str">
        <f>INDEX(Positions!$E$2:$E$4694,MATCH($A185&amp;"|31",Positions!$A$2:$A$4694,0))</f>
        <v>G</v>
      </c>
      <c r="G185" s="4" t="str">
        <f>INDEX(Positions!$E$2:$E$4694,MATCH($A185&amp;"|39",Positions!$A$2:$A$4694,0))</f>
        <v>C</v>
      </c>
      <c r="H185" s="3" t="str">
        <f t="shared" si="8"/>
        <v>G-C</v>
      </c>
      <c r="I185" s="4">
        <f t="shared" si="9"/>
        <v>1</v>
      </c>
      <c r="J185" s="4">
        <f t="shared" si="10"/>
        <v>1</v>
      </c>
      <c r="K185" s="3">
        <f t="shared" si="11"/>
        <v>2</v>
      </c>
    </row>
    <row r="186" spans="1:11">
      <c r="A186" s="4" t="s">
        <v>43</v>
      </c>
      <c r="B186" s="4" t="s">
        <v>169</v>
      </c>
      <c r="C186" s="4" t="s">
        <v>236</v>
      </c>
      <c r="D186" s="4">
        <f>INDEX(Positions!$D$2:$D$4694,MATCH($A186&amp;"|49",Positions!$A$2:$A$4694,0))</f>
        <v>50</v>
      </c>
      <c r="E186" s="4">
        <f>INDEX(Positions!$D$2:$D$4694,MATCH($A186&amp;"|65",Positions!$A$2:$A$4694,0))</f>
        <v>66</v>
      </c>
      <c r="F186" s="4" t="str">
        <f>INDEX(Positions!$E$2:$E$4694,MATCH($A186&amp;"|49",Positions!$A$2:$A$4694,0))</f>
        <v>U</v>
      </c>
      <c r="G186" s="4" t="str">
        <f>INDEX(Positions!$E$2:$E$4694,MATCH($A186&amp;"|65",Positions!$A$2:$A$4694,0))</f>
        <v>G</v>
      </c>
      <c r="H186" s="3" t="str">
        <f t="shared" si="8"/>
        <v>U-G</v>
      </c>
      <c r="I186" s="4">
        <f t="shared" si="9"/>
        <v>1</v>
      </c>
      <c r="J186" s="4">
        <f t="shared" si="10"/>
        <v>0</v>
      </c>
      <c r="K186" s="3">
        <f t="shared" si="11"/>
        <v>1</v>
      </c>
    </row>
    <row r="187" spans="1:11">
      <c r="A187" s="4" t="s">
        <v>43</v>
      </c>
      <c r="B187" s="4" t="s">
        <v>169</v>
      </c>
      <c r="C187" s="4" t="s">
        <v>237</v>
      </c>
      <c r="D187" s="4">
        <f>INDEX(Positions!$D$2:$D$4694,MATCH($A187&amp;"|50",Positions!$A$2:$A$4694,0))</f>
        <v>51</v>
      </c>
      <c r="E187" s="4">
        <f>INDEX(Positions!$D$2:$D$4694,MATCH($A187&amp;"|64",Positions!$A$2:$A$4694,0))</f>
        <v>65</v>
      </c>
      <c r="F187" s="4" t="str">
        <f>INDEX(Positions!$E$2:$E$4694,MATCH($A187&amp;"|50",Positions!$A$2:$A$4694,0))</f>
        <v>C</v>
      </c>
      <c r="G187" s="4" t="str">
        <f>INDEX(Positions!$E$2:$E$4694,MATCH($A187&amp;"|64",Positions!$A$2:$A$4694,0))</f>
        <v>G</v>
      </c>
      <c r="H187" s="3" t="str">
        <f t="shared" si="8"/>
        <v>C-G</v>
      </c>
      <c r="I187" s="4">
        <f t="shared" si="9"/>
        <v>1</v>
      </c>
      <c r="J187" s="4">
        <f t="shared" si="10"/>
        <v>1</v>
      </c>
      <c r="K187" s="3">
        <f t="shared" si="11"/>
        <v>2</v>
      </c>
    </row>
    <row r="188" spans="1:11">
      <c r="A188" s="4" t="s">
        <v>43</v>
      </c>
      <c r="B188" s="4" t="s">
        <v>169</v>
      </c>
      <c r="C188" s="4" t="s">
        <v>238</v>
      </c>
      <c r="D188" s="4">
        <f>INDEX(Positions!$D$2:$D$4694,MATCH($A188&amp;"|51",Positions!$A$2:$A$4694,0))</f>
        <v>52</v>
      </c>
      <c r="E188" s="4">
        <f>INDEX(Positions!$D$2:$D$4694,MATCH($A188&amp;"|63",Positions!$A$2:$A$4694,0))</f>
        <v>64</v>
      </c>
      <c r="F188" s="4" t="str">
        <f>INDEX(Positions!$E$2:$E$4694,MATCH($A188&amp;"|51",Positions!$A$2:$A$4694,0))</f>
        <v>G</v>
      </c>
      <c r="G188" s="4" t="str">
        <f>INDEX(Positions!$E$2:$E$4694,MATCH($A188&amp;"|63",Positions!$A$2:$A$4694,0))</f>
        <v>C</v>
      </c>
      <c r="H188" s="3" t="str">
        <f t="shared" si="8"/>
        <v>G-C</v>
      </c>
      <c r="I188" s="4">
        <f t="shared" si="9"/>
        <v>1</v>
      </c>
      <c r="J188" s="4">
        <f t="shared" si="10"/>
        <v>1</v>
      </c>
      <c r="K188" s="3">
        <f t="shared" si="11"/>
        <v>2</v>
      </c>
    </row>
    <row r="189" spans="1:11">
      <c r="A189" s="4" t="s">
        <v>43</v>
      </c>
      <c r="B189" s="4" t="s">
        <v>169</v>
      </c>
      <c r="C189" s="4" t="s">
        <v>239</v>
      </c>
      <c r="D189" s="4">
        <f>INDEX(Positions!$D$2:$D$4694,MATCH($A189&amp;"|52",Positions!$A$2:$A$4694,0))</f>
        <v>53</v>
      </c>
      <c r="E189" s="4">
        <f>INDEX(Positions!$D$2:$D$4694,MATCH($A189&amp;"|62",Positions!$A$2:$A$4694,0))</f>
        <v>63</v>
      </c>
      <c r="F189" s="4" t="str">
        <f>INDEX(Positions!$E$2:$E$4694,MATCH($A189&amp;"|52",Positions!$A$2:$A$4694,0))</f>
        <v>U</v>
      </c>
      <c r="G189" s="4" t="str">
        <f>INDEX(Positions!$E$2:$E$4694,MATCH($A189&amp;"|62",Positions!$A$2:$A$4694,0))</f>
        <v>G</v>
      </c>
      <c r="H189" s="3" t="str">
        <f t="shared" si="8"/>
        <v>U-G</v>
      </c>
      <c r="I189" s="4">
        <f t="shared" si="9"/>
        <v>1</v>
      </c>
      <c r="J189" s="4">
        <f t="shared" si="10"/>
        <v>0</v>
      </c>
      <c r="K189" s="3">
        <f t="shared" si="11"/>
        <v>1</v>
      </c>
    </row>
    <row r="190" spans="1:11">
      <c r="A190" s="4" t="s">
        <v>43</v>
      </c>
      <c r="B190" s="4" t="s">
        <v>169</v>
      </c>
      <c r="C190" s="4" t="s">
        <v>240</v>
      </c>
      <c r="D190" s="4">
        <f>INDEX(Positions!$D$2:$D$4694,MATCH($A190&amp;"|53",Positions!$A$2:$A$4694,0))</f>
        <v>54</v>
      </c>
      <c r="E190" s="4">
        <f>INDEX(Positions!$D$2:$D$4694,MATCH($A190&amp;"|61",Positions!$A$2:$A$4694,0))</f>
        <v>62</v>
      </c>
      <c r="F190" s="4" t="str">
        <f>INDEX(Positions!$E$2:$E$4694,MATCH($A190&amp;"|53",Positions!$A$2:$A$4694,0))</f>
        <v>G</v>
      </c>
      <c r="G190" s="4" t="str">
        <f>INDEX(Positions!$E$2:$E$4694,MATCH($A190&amp;"|61",Positions!$A$2:$A$4694,0))</f>
        <v>C</v>
      </c>
      <c r="H190" s="3" t="str">
        <f t="shared" si="8"/>
        <v>G-C</v>
      </c>
      <c r="I190" s="4">
        <f t="shared" si="9"/>
        <v>1</v>
      </c>
      <c r="J190" s="4">
        <f t="shared" si="10"/>
        <v>1</v>
      </c>
      <c r="K190" s="3">
        <f t="shared" si="11"/>
        <v>2</v>
      </c>
    </row>
    <row r="191" spans="1:11">
      <c r="A191" s="23" t="s">
        <v>43</v>
      </c>
      <c r="B191" s="23" t="s">
        <v>241</v>
      </c>
      <c r="C191" s="23" t="s">
        <v>242</v>
      </c>
      <c r="D191" s="23">
        <f>INDEX(Positions!$D$2:$D$4694,MATCH($A191&amp;"|8",Positions!$A$2:$A$4694,0))</f>
        <v>8</v>
      </c>
      <c r="E191" s="23">
        <f>INDEX(Positions!$D$2:$D$4694,MATCH($A191&amp;"|14",Positions!$A$2:$A$4694,0))</f>
        <v>14</v>
      </c>
      <c r="F191" s="23" t="str">
        <f>INDEX(Positions!$E$2:$E$4694,MATCH($A191&amp;"|8",Positions!$A$2:$A$4694,0))</f>
        <v>U</v>
      </c>
      <c r="G191" s="23" t="str">
        <f>INDEX(Positions!$E$2:$E$4694,MATCH($A191&amp;"|14",Positions!$A$2:$A$4694,0))</f>
        <v>A</v>
      </c>
      <c r="H191" s="24" t="str">
        <f t="shared" si="8"/>
        <v>U-A</v>
      </c>
      <c r="I191" s="23">
        <f t="shared" si="9"/>
        <v>0</v>
      </c>
      <c r="J191" s="23">
        <f t="shared" si="10"/>
        <v>0</v>
      </c>
      <c r="K191" s="24">
        <f t="shared" si="11"/>
        <v>0</v>
      </c>
    </row>
    <row r="192" spans="1:11">
      <c r="A192" s="23" t="s">
        <v>43</v>
      </c>
      <c r="B192" s="23" t="s">
        <v>241</v>
      </c>
      <c r="C192" s="23" t="s">
        <v>243</v>
      </c>
      <c r="D192" s="23">
        <f>INDEX(Positions!$D$2:$D$4694,MATCH($A192&amp;"|15",Positions!$A$2:$A$4694,0))</f>
        <v>15</v>
      </c>
      <c r="E192" s="23">
        <f>INDEX(Positions!$D$2:$D$4694,MATCH($A192&amp;"|48",Positions!$A$2:$A$4694,0))</f>
        <v>49</v>
      </c>
      <c r="F192" s="23" t="str">
        <f>INDEX(Positions!$E$2:$E$4694,MATCH($A192&amp;"|15",Positions!$A$2:$A$4694,0))</f>
        <v>G</v>
      </c>
      <c r="G192" s="23" t="str">
        <f>INDEX(Positions!$E$2:$E$4694,MATCH($A192&amp;"|48",Positions!$A$2:$A$4694,0))</f>
        <v>C</v>
      </c>
      <c r="H192" s="24" t="str">
        <f t="shared" si="8"/>
        <v>G-C</v>
      </c>
      <c r="I192" s="23">
        <f t="shared" si="9"/>
        <v>1</v>
      </c>
      <c r="J192" s="23">
        <f t="shared" si="10"/>
        <v>1</v>
      </c>
      <c r="K192" s="24">
        <f t="shared" si="11"/>
        <v>2</v>
      </c>
    </row>
    <row r="193" spans="1:11">
      <c r="A193" s="23" t="s">
        <v>43</v>
      </c>
      <c r="B193" s="23" t="s">
        <v>241</v>
      </c>
      <c r="C193" s="23" t="s">
        <v>244</v>
      </c>
      <c r="D193" s="23">
        <f>INDEX(Positions!$D$2:$D$4694,MATCH($A193&amp;"|18",Positions!$A$2:$A$4694,0))</f>
        <v>19</v>
      </c>
      <c r="E193" s="23">
        <f>INDEX(Positions!$D$2:$D$4694,MATCH($A193&amp;"|55",Positions!$A$2:$A$4694,0))</f>
        <v>56</v>
      </c>
      <c r="F193" s="23" t="str">
        <f>INDEX(Positions!$E$2:$E$4694,MATCH($A193&amp;"|18",Positions!$A$2:$A$4694,0))</f>
        <v>G</v>
      </c>
      <c r="G193" s="23" t="str">
        <f>INDEX(Positions!$E$2:$E$4694,MATCH($A193&amp;"|55",Positions!$A$2:$A$4694,0))</f>
        <v>U</v>
      </c>
      <c r="H193" s="24" t="str">
        <f t="shared" si="8"/>
        <v>G-U</v>
      </c>
      <c r="I193" s="23">
        <f t="shared" si="9"/>
        <v>1</v>
      </c>
      <c r="J193" s="23">
        <f t="shared" si="10"/>
        <v>0</v>
      </c>
      <c r="K193" s="24">
        <f t="shared" si="11"/>
        <v>1</v>
      </c>
    </row>
    <row r="194" spans="1:11">
      <c r="A194" s="23" t="s">
        <v>43</v>
      </c>
      <c r="B194" s="23" t="s">
        <v>241</v>
      </c>
      <c r="C194" s="23" t="s">
        <v>245</v>
      </c>
      <c r="D194" s="23">
        <f>INDEX(Positions!$D$2:$D$4694,MATCH($A194&amp;"|19",Positions!$A$2:$A$4694,0))</f>
        <v>20</v>
      </c>
      <c r="E194" s="23">
        <f>INDEX(Positions!$D$2:$D$4694,MATCH($A194&amp;"|56",Positions!$A$2:$A$4694,0))</f>
        <v>57</v>
      </c>
      <c r="F194" s="23" t="str">
        <f>INDEX(Positions!$E$2:$E$4694,MATCH($A194&amp;"|19",Positions!$A$2:$A$4694,0))</f>
        <v>G</v>
      </c>
      <c r="G194" s="23" t="str">
        <f>INDEX(Positions!$E$2:$E$4694,MATCH($A194&amp;"|56",Positions!$A$2:$A$4694,0))</f>
        <v>C</v>
      </c>
      <c r="H194" s="24" t="str">
        <f t="shared" ref="H194:H257" si="12">F194&amp;"-"&amp;G194</f>
        <v>G-C</v>
      </c>
      <c r="I194" s="23">
        <f t="shared" ref="I194:I257" si="13">(F194="G")+(G194="G")</f>
        <v>1</v>
      </c>
      <c r="J194" s="23">
        <f t="shared" ref="J194:J257" si="14">(F194="C")+(G194="C")</f>
        <v>1</v>
      </c>
      <c r="K194" s="24">
        <f t="shared" ref="K194:K257" si="15">I194+J194</f>
        <v>2</v>
      </c>
    </row>
    <row r="195" spans="1:11">
      <c r="A195" s="23" t="s">
        <v>43</v>
      </c>
      <c r="B195" s="23" t="s">
        <v>241</v>
      </c>
      <c r="C195" s="23" t="s">
        <v>246</v>
      </c>
      <c r="D195" s="23">
        <f>INDEX(Positions!$D$2:$D$4694,MATCH($A195&amp;"|26",Positions!$A$2:$A$4694,0))</f>
        <v>28</v>
      </c>
      <c r="E195" s="23">
        <f>INDEX(Positions!$D$2:$D$4694,MATCH($A195&amp;"|44",Positions!$A$2:$A$4694,0))</f>
        <v>46</v>
      </c>
      <c r="F195" s="23" t="str">
        <f>INDEX(Positions!$E$2:$E$4694,MATCH($A195&amp;"|26",Positions!$A$2:$A$4694,0))</f>
        <v>A</v>
      </c>
      <c r="G195" s="23" t="str">
        <f>INDEX(Positions!$E$2:$E$4694,MATCH($A195&amp;"|44",Positions!$A$2:$A$4694,0))</f>
        <v>U</v>
      </c>
      <c r="H195" s="24" t="str">
        <f t="shared" si="12"/>
        <v>A-U</v>
      </c>
      <c r="I195" s="23">
        <f t="shared" si="13"/>
        <v>0</v>
      </c>
      <c r="J195" s="23">
        <f t="shared" si="14"/>
        <v>0</v>
      </c>
      <c r="K195" s="24">
        <f t="shared" si="15"/>
        <v>0</v>
      </c>
    </row>
    <row r="196" spans="1:11">
      <c r="A196" s="23" t="s">
        <v>43</v>
      </c>
      <c r="B196" s="23" t="s">
        <v>241</v>
      </c>
      <c r="C196" s="23" t="s">
        <v>247</v>
      </c>
      <c r="D196" s="23">
        <f>INDEX(Positions!$D$2:$D$4694,MATCH($A196&amp;"|32",Positions!$A$2:$A$4694,0))</f>
        <v>34</v>
      </c>
      <c r="E196" s="23">
        <f>INDEX(Positions!$D$2:$D$4694,MATCH($A196&amp;"|38",Positions!$A$2:$A$4694,0))</f>
        <v>40</v>
      </c>
      <c r="F196" s="23" t="str">
        <f>INDEX(Positions!$E$2:$E$4694,MATCH($A196&amp;"|32",Positions!$A$2:$A$4694,0))</f>
        <v>C</v>
      </c>
      <c r="G196" s="23" t="str">
        <f>INDEX(Positions!$E$2:$E$4694,MATCH($A196&amp;"|38",Positions!$A$2:$A$4694,0))</f>
        <v>A</v>
      </c>
      <c r="H196" s="24" t="str">
        <f t="shared" si="12"/>
        <v>C-A</v>
      </c>
      <c r="I196" s="23">
        <f t="shared" si="13"/>
        <v>0</v>
      </c>
      <c r="J196" s="23">
        <f t="shared" si="14"/>
        <v>1</v>
      </c>
      <c r="K196" s="24">
        <f t="shared" si="15"/>
        <v>1</v>
      </c>
    </row>
    <row r="197" spans="1:11">
      <c r="A197" s="23" t="s">
        <v>43</v>
      </c>
      <c r="B197" s="23" t="s">
        <v>241</v>
      </c>
      <c r="C197" s="23" t="s">
        <v>248</v>
      </c>
      <c r="D197" s="23">
        <f>INDEX(Positions!$D$2:$D$4694,MATCH($A197&amp;"|54",Positions!$A$2:$A$4694,0))</f>
        <v>55</v>
      </c>
      <c r="E197" s="23">
        <f>INDEX(Positions!$D$2:$D$4694,MATCH($A197&amp;"|58",Positions!$A$2:$A$4694,0))</f>
        <v>59</v>
      </c>
      <c r="F197" s="23" t="str">
        <f>INDEX(Positions!$E$2:$E$4694,MATCH($A197&amp;"|54",Positions!$A$2:$A$4694,0))</f>
        <v>U</v>
      </c>
      <c r="G197" s="23" t="str">
        <f>INDEX(Positions!$E$2:$E$4694,MATCH($A197&amp;"|58",Positions!$A$2:$A$4694,0))</f>
        <v>A</v>
      </c>
      <c r="H197" s="24" t="str">
        <f t="shared" si="12"/>
        <v>U-A</v>
      </c>
      <c r="I197" s="23">
        <f t="shared" si="13"/>
        <v>0</v>
      </c>
      <c r="J197" s="23">
        <f t="shared" si="14"/>
        <v>0</v>
      </c>
      <c r="K197" s="24">
        <f t="shared" si="15"/>
        <v>0</v>
      </c>
    </row>
    <row r="198" spans="1:11">
      <c r="A198" s="4" t="s">
        <v>44</v>
      </c>
      <c r="B198" s="4" t="s">
        <v>110</v>
      </c>
      <c r="C198" s="4" t="s">
        <v>220</v>
      </c>
      <c r="D198" s="4">
        <f>INDEX(Positions!$D$2:$D$4694,MATCH($A198&amp;"|1",Positions!$A$2:$A$4694,0))</f>
        <v>1</v>
      </c>
      <c r="E198" s="4">
        <f>INDEX(Positions!$D$2:$D$4694,MATCH($A198&amp;"|72",Positions!$A$2:$A$4694,0))</f>
        <v>74</v>
      </c>
      <c r="F198" s="4" t="str">
        <f>INDEX(Positions!$E$2:$E$4694,MATCH($A198&amp;"|1",Positions!$A$2:$A$4694,0))</f>
        <v>G</v>
      </c>
      <c r="G198" s="4" t="str">
        <f>INDEX(Positions!$E$2:$E$4694,MATCH($A198&amp;"|72",Positions!$A$2:$A$4694,0))</f>
        <v>C</v>
      </c>
      <c r="H198" s="3" t="str">
        <f t="shared" si="12"/>
        <v>G-C</v>
      </c>
      <c r="I198" s="4">
        <f t="shared" si="13"/>
        <v>1</v>
      </c>
      <c r="J198" s="4">
        <f t="shared" si="14"/>
        <v>1</v>
      </c>
      <c r="K198" s="3">
        <f t="shared" si="15"/>
        <v>2</v>
      </c>
    </row>
    <row r="199" spans="1:11">
      <c r="A199" s="4" t="s">
        <v>44</v>
      </c>
      <c r="B199" s="4" t="s">
        <v>110</v>
      </c>
      <c r="C199" s="4" t="s">
        <v>221</v>
      </c>
      <c r="D199" s="4">
        <f>INDEX(Positions!$D$2:$D$4694,MATCH($A199&amp;"|2",Positions!$A$2:$A$4694,0))</f>
        <v>2</v>
      </c>
      <c r="E199" s="4">
        <f>INDEX(Positions!$D$2:$D$4694,MATCH($A199&amp;"|71",Positions!$A$2:$A$4694,0))</f>
        <v>73</v>
      </c>
      <c r="F199" s="4" t="str">
        <f>INDEX(Positions!$E$2:$E$4694,MATCH($A199&amp;"|2",Positions!$A$2:$A$4694,0))</f>
        <v>G</v>
      </c>
      <c r="G199" s="4" t="str">
        <f>INDEX(Positions!$E$2:$E$4694,MATCH($A199&amp;"|71",Positions!$A$2:$A$4694,0))</f>
        <v>C</v>
      </c>
      <c r="H199" s="3" t="str">
        <f t="shared" si="12"/>
        <v>G-C</v>
      </c>
      <c r="I199" s="4">
        <f t="shared" si="13"/>
        <v>1</v>
      </c>
      <c r="J199" s="4">
        <f t="shared" si="14"/>
        <v>1</v>
      </c>
      <c r="K199" s="3">
        <f t="shared" si="15"/>
        <v>2</v>
      </c>
    </row>
    <row r="200" spans="1:11">
      <c r="A200" s="4" t="s">
        <v>44</v>
      </c>
      <c r="B200" s="4" t="s">
        <v>110</v>
      </c>
      <c r="C200" s="4" t="s">
        <v>222</v>
      </c>
      <c r="D200" s="4">
        <f>INDEX(Positions!$D$2:$D$4694,MATCH($A200&amp;"|3",Positions!$A$2:$A$4694,0))</f>
        <v>3</v>
      </c>
      <c r="E200" s="4">
        <f>INDEX(Positions!$D$2:$D$4694,MATCH($A200&amp;"|70",Positions!$A$2:$A$4694,0))</f>
        <v>72</v>
      </c>
      <c r="F200" s="4" t="str">
        <f>INDEX(Positions!$E$2:$E$4694,MATCH($A200&amp;"|3",Positions!$A$2:$A$4694,0))</f>
        <v>G</v>
      </c>
      <c r="G200" s="4" t="str">
        <f>INDEX(Positions!$E$2:$E$4694,MATCH($A200&amp;"|70",Positions!$A$2:$A$4694,0))</f>
        <v>C</v>
      </c>
      <c r="H200" s="3" t="str">
        <f t="shared" si="12"/>
        <v>G-C</v>
      </c>
      <c r="I200" s="4">
        <f t="shared" si="13"/>
        <v>1</v>
      </c>
      <c r="J200" s="4">
        <f t="shared" si="14"/>
        <v>1</v>
      </c>
      <c r="K200" s="3">
        <f t="shared" si="15"/>
        <v>2</v>
      </c>
    </row>
    <row r="201" spans="1:11">
      <c r="A201" s="4" t="s">
        <v>44</v>
      </c>
      <c r="B201" s="4" t="s">
        <v>110</v>
      </c>
      <c r="C201" s="4" t="s">
        <v>223</v>
      </c>
      <c r="D201" s="4">
        <f>INDEX(Positions!$D$2:$D$4694,MATCH($A201&amp;"|4",Positions!$A$2:$A$4694,0))</f>
        <v>4</v>
      </c>
      <c r="E201" s="4">
        <f>INDEX(Positions!$D$2:$D$4694,MATCH($A201&amp;"|69",Positions!$A$2:$A$4694,0))</f>
        <v>71</v>
      </c>
      <c r="F201" s="4" t="str">
        <f>INDEX(Positions!$E$2:$E$4694,MATCH($A201&amp;"|4",Positions!$A$2:$A$4694,0))</f>
        <v>C</v>
      </c>
      <c r="G201" s="4" t="str">
        <f>INDEX(Positions!$E$2:$E$4694,MATCH($A201&amp;"|69",Positions!$A$2:$A$4694,0))</f>
        <v>G</v>
      </c>
      <c r="H201" s="3" t="str">
        <f t="shared" si="12"/>
        <v>C-G</v>
      </c>
      <c r="I201" s="4">
        <f t="shared" si="13"/>
        <v>1</v>
      </c>
      <c r="J201" s="4">
        <f t="shared" si="14"/>
        <v>1</v>
      </c>
      <c r="K201" s="3">
        <f t="shared" si="15"/>
        <v>2</v>
      </c>
    </row>
    <row r="202" spans="1:11">
      <c r="A202" s="4" t="s">
        <v>44</v>
      </c>
      <c r="B202" s="4" t="s">
        <v>110</v>
      </c>
      <c r="C202" s="4" t="s">
        <v>224</v>
      </c>
      <c r="D202" s="4">
        <f>INDEX(Positions!$D$2:$D$4694,MATCH($A202&amp;"|5",Positions!$A$2:$A$4694,0))</f>
        <v>5</v>
      </c>
      <c r="E202" s="4">
        <f>INDEX(Positions!$D$2:$D$4694,MATCH($A202&amp;"|68",Positions!$A$2:$A$4694,0))</f>
        <v>70</v>
      </c>
      <c r="F202" s="4" t="str">
        <f>INDEX(Positions!$E$2:$E$4694,MATCH($A202&amp;"|5",Positions!$A$2:$A$4694,0))</f>
        <v>U</v>
      </c>
      <c r="G202" s="4" t="str">
        <f>INDEX(Positions!$E$2:$E$4694,MATCH($A202&amp;"|68",Positions!$A$2:$A$4694,0))</f>
        <v>A</v>
      </c>
      <c r="H202" s="3" t="str">
        <f t="shared" si="12"/>
        <v>U-A</v>
      </c>
      <c r="I202" s="4">
        <f t="shared" si="13"/>
        <v>0</v>
      </c>
      <c r="J202" s="4">
        <f t="shared" si="14"/>
        <v>0</v>
      </c>
      <c r="K202" s="3">
        <f t="shared" si="15"/>
        <v>0</v>
      </c>
    </row>
    <row r="203" spans="1:11">
      <c r="A203" s="4" t="s">
        <v>44</v>
      </c>
      <c r="B203" s="4" t="s">
        <v>110</v>
      </c>
      <c r="C203" s="4" t="s">
        <v>225</v>
      </c>
      <c r="D203" s="4">
        <f>INDEX(Positions!$D$2:$D$4694,MATCH($A203&amp;"|6",Positions!$A$2:$A$4694,0))</f>
        <v>6</v>
      </c>
      <c r="E203" s="4">
        <f>INDEX(Positions!$D$2:$D$4694,MATCH($A203&amp;"|67",Positions!$A$2:$A$4694,0))</f>
        <v>69</v>
      </c>
      <c r="F203" s="4" t="str">
        <f>INDEX(Positions!$E$2:$E$4694,MATCH($A203&amp;"|6",Positions!$A$2:$A$4694,0))</f>
        <v>C</v>
      </c>
      <c r="G203" s="4" t="str">
        <f>INDEX(Positions!$E$2:$E$4694,MATCH($A203&amp;"|67",Positions!$A$2:$A$4694,0))</f>
        <v>G</v>
      </c>
      <c r="H203" s="3" t="str">
        <f t="shared" si="12"/>
        <v>C-G</v>
      </c>
      <c r="I203" s="4">
        <f t="shared" si="13"/>
        <v>1</v>
      </c>
      <c r="J203" s="4">
        <f t="shared" si="14"/>
        <v>1</v>
      </c>
      <c r="K203" s="3">
        <f t="shared" si="15"/>
        <v>2</v>
      </c>
    </row>
    <row r="204" spans="1:11">
      <c r="A204" s="4" t="s">
        <v>44</v>
      </c>
      <c r="B204" s="4" t="s">
        <v>110</v>
      </c>
      <c r="C204" s="4" t="s">
        <v>226</v>
      </c>
      <c r="D204" s="4">
        <f>INDEX(Positions!$D$2:$D$4694,MATCH($A204&amp;"|7",Positions!$A$2:$A$4694,0))</f>
        <v>7</v>
      </c>
      <c r="E204" s="4">
        <f>INDEX(Positions!$D$2:$D$4694,MATCH($A204&amp;"|66",Positions!$A$2:$A$4694,0))</f>
        <v>68</v>
      </c>
      <c r="F204" s="4" t="str">
        <f>INDEX(Positions!$E$2:$E$4694,MATCH($A204&amp;"|7",Positions!$A$2:$A$4694,0))</f>
        <v>G</v>
      </c>
      <c r="G204" s="4" t="str">
        <f>INDEX(Positions!$E$2:$E$4694,MATCH($A204&amp;"|66",Positions!$A$2:$A$4694,0))</f>
        <v>C</v>
      </c>
      <c r="H204" s="3" t="str">
        <f t="shared" si="12"/>
        <v>G-C</v>
      </c>
      <c r="I204" s="4">
        <f t="shared" si="13"/>
        <v>1</v>
      </c>
      <c r="J204" s="4">
        <f t="shared" si="14"/>
        <v>1</v>
      </c>
      <c r="K204" s="3">
        <f t="shared" si="15"/>
        <v>2</v>
      </c>
    </row>
    <row r="205" spans="1:11">
      <c r="A205" s="4" t="s">
        <v>44</v>
      </c>
      <c r="B205" s="4" t="s">
        <v>125</v>
      </c>
      <c r="C205" s="4" t="s">
        <v>227</v>
      </c>
      <c r="D205" s="4">
        <f>INDEX(Positions!$D$2:$D$4694,MATCH($A205&amp;"|10",Positions!$A$2:$A$4694,0))</f>
        <v>10</v>
      </c>
      <c r="E205" s="4">
        <f>INDEX(Positions!$D$2:$D$4694,MATCH($A205&amp;"|25",Positions!$A$2:$A$4694,0))</f>
        <v>27</v>
      </c>
      <c r="F205" s="4" t="str">
        <f>INDEX(Positions!$E$2:$E$4694,MATCH($A205&amp;"|10",Positions!$A$2:$A$4694,0))</f>
        <v>G</v>
      </c>
      <c r="G205" s="4" t="str">
        <f>INDEX(Positions!$E$2:$E$4694,MATCH($A205&amp;"|25",Positions!$A$2:$A$4694,0))</f>
        <v>C</v>
      </c>
      <c r="H205" s="3" t="str">
        <f t="shared" si="12"/>
        <v>G-C</v>
      </c>
      <c r="I205" s="4">
        <f t="shared" si="13"/>
        <v>1</v>
      </c>
      <c r="J205" s="4">
        <f t="shared" si="14"/>
        <v>1</v>
      </c>
      <c r="K205" s="3">
        <f t="shared" si="15"/>
        <v>2</v>
      </c>
    </row>
    <row r="206" spans="1:11">
      <c r="A206" s="4" t="s">
        <v>44</v>
      </c>
      <c r="B206" s="4" t="s">
        <v>125</v>
      </c>
      <c r="C206" s="4" t="s">
        <v>228</v>
      </c>
      <c r="D206" s="4">
        <f>INDEX(Positions!$D$2:$D$4694,MATCH($A206&amp;"|11",Positions!$A$2:$A$4694,0))</f>
        <v>11</v>
      </c>
      <c r="E206" s="4">
        <f>INDEX(Positions!$D$2:$D$4694,MATCH($A206&amp;"|24",Positions!$A$2:$A$4694,0))</f>
        <v>26</v>
      </c>
      <c r="F206" s="4" t="str">
        <f>INDEX(Positions!$E$2:$E$4694,MATCH($A206&amp;"|11",Positions!$A$2:$A$4694,0))</f>
        <v>C</v>
      </c>
      <c r="G206" s="4" t="str">
        <f>INDEX(Positions!$E$2:$E$4694,MATCH($A206&amp;"|24",Positions!$A$2:$A$4694,0))</f>
        <v>G</v>
      </c>
      <c r="H206" s="3" t="str">
        <f t="shared" si="12"/>
        <v>C-G</v>
      </c>
      <c r="I206" s="4">
        <f t="shared" si="13"/>
        <v>1</v>
      </c>
      <c r="J206" s="4">
        <f t="shared" si="14"/>
        <v>1</v>
      </c>
      <c r="K206" s="3">
        <f t="shared" si="15"/>
        <v>2</v>
      </c>
    </row>
    <row r="207" spans="1:11">
      <c r="A207" s="4" t="s">
        <v>44</v>
      </c>
      <c r="B207" s="4" t="s">
        <v>125</v>
      </c>
      <c r="C207" s="4" t="s">
        <v>229</v>
      </c>
      <c r="D207" s="4">
        <f>INDEX(Positions!$D$2:$D$4694,MATCH($A207&amp;"|12",Positions!$A$2:$A$4694,0))</f>
        <v>12</v>
      </c>
      <c r="E207" s="4">
        <f>INDEX(Positions!$D$2:$D$4694,MATCH($A207&amp;"|23",Positions!$A$2:$A$4694,0))</f>
        <v>25</v>
      </c>
      <c r="F207" s="4" t="str">
        <f>INDEX(Positions!$E$2:$E$4694,MATCH($A207&amp;"|12",Positions!$A$2:$A$4694,0))</f>
        <v>U</v>
      </c>
      <c r="G207" s="4" t="str">
        <f>INDEX(Positions!$E$2:$E$4694,MATCH($A207&amp;"|23",Positions!$A$2:$A$4694,0))</f>
        <v>A</v>
      </c>
      <c r="H207" s="3" t="str">
        <f t="shared" si="12"/>
        <v>U-A</v>
      </c>
      <c r="I207" s="4">
        <f t="shared" si="13"/>
        <v>0</v>
      </c>
      <c r="J207" s="4">
        <f t="shared" si="14"/>
        <v>0</v>
      </c>
      <c r="K207" s="3">
        <f t="shared" si="15"/>
        <v>0</v>
      </c>
    </row>
    <row r="208" spans="1:11">
      <c r="A208" s="4" t="s">
        <v>44</v>
      </c>
      <c r="B208" s="4" t="s">
        <v>125</v>
      </c>
      <c r="C208" s="4" t="s">
        <v>230</v>
      </c>
      <c r="D208" s="4">
        <f>INDEX(Positions!$D$2:$D$4694,MATCH($A208&amp;"|13",Positions!$A$2:$A$4694,0))</f>
        <v>13</v>
      </c>
      <c r="E208" s="4">
        <f>INDEX(Positions!$D$2:$D$4694,MATCH($A208&amp;"|22",Positions!$A$2:$A$4694,0))</f>
        <v>24</v>
      </c>
      <c r="F208" s="4" t="str">
        <f>INDEX(Positions!$E$2:$E$4694,MATCH($A208&amp;"|13",Positions!$A$2:$A$4694,0))</f>
        <v>U</v>
      </c>
      <c r="G208" s="4" t="str">
        <f>INDEX(Positions!$E$2:$E$4694,MATCH($A208&amp;"|22",Positions!$A$2:$A$4694,0))</f>
        <v>U</v>
      </c>
      <c r="H208" s="3" t="str">
        <f t="shared" si="12"/>
        <v>U-U</v>
      </c>
      <c r="I208" s="4">
        <f t="shared" si="13"/>
        <v>0</v>
      </c>
      <c r="J208" s="4">
        <f t="shared" si="14"/>
        <v>0</v>
      </c>
      <c r="K208" s="3">
        <f t="shared" si="15"/>
        <v>0</v>
      </c>
    </row>
    <row r="209" spans="1:11">
      <c r="A209" s="4" t="s">
        <v>44</v>
      </c>
      <c r="B209" s="4" t="s">
        <v>144</v>
      </c>
      <c r="C209" s="4" t="s">
        <v>231</v>
      </c>
      <c r="D209" s="4">
        <f>INDEX(Positions!$D$2:$D$4694,MATCH($A209&amp;"|27",Positions!$A$2:$A$4694,0))</f>
        <v>29</v>
      </c>
      <c r="E209" s="4">
        <f>INDEX(Positions!$D$2:$D$4694,MATCH($A209&amp;"|43",Positions!$A$2:$A$4694,0))</f>
        <v>45</v>
      </c>
      <c r="F209" s="4" t="str">
        <f>INDEX(Positions!$E$2:$E$4694,MATCH($A209&amp;"|27",Positions!$A$2:$A$4694,0))</f>
        <v>C</v>
      </c>
      <c r="G209" s="4" t="str">
        <f>INDEX(Positions!$E$2:$E$4694,MATCH($A209&amp;"|43",Positions!$A$2:$A$4694,0))</f>
        <v>G</v>
      </c>
      <c r="H209" s="3" t="str">
        <f t="shared" si="12"/>
        <v>C-G</v>
      </c>
      <c r="I209" s="4">
        <f t="shared" si="13"/>
        <v>1</v>
      </c>
      <c r="J209" s="4">
        <f t="shared" si="14"/>
        <v>1</v>
      </c>
      <c r="K209" s="3">
        <f t="shared" si="15"/>
        <v>2</v>
      </c>
    </row>
    <row r="210" spans="1:11">
      <c r="A210" s="4" t="s">
        <v>44</v>
      </c>
      <c r="B210" s="4" t="s">
        <v>144</v>
      </c>
      <c r="C210" s="4" t="s">
        <v>232</v>
      </c>
      <c r="D210" s="4">
        <f>INDEX(Positions!$D$2:$D$4694,MATCH($A210&amp;"|28",Positions!$A$2:$A$4694,0))</f>
        <v>30</v>
      </c>
      <c r="E210" s="4">
        <f>INDEX(Positions!$D$2:$D$4694,MATCH($A210&amp;"|42",Positions!$A$2:$A$4694,0))</f>
        <v>44</v>
      </c>
      <c r="F210" s="4" t="str">
        <f>INDEX(Positions!$E$2:$E$4694,MATCH($A210&amp;"|28",Positions!$A$2:$A$4694,0))</f>
        <v>U</v>
      </c>
      <c r="G210" s="4" t="str">
        <f>INDEX(Positions!$E$2:$E$4694,MATCH($A210&amp;"|42",Positions!$A$2:$A$4694,0))</f>
        <v>A</v>
      </c>
      <c r="H210" s="3" t="str">
        <f t="shared" si="12"/>
        <v>U-A</v>
      </c>
      <c r="I210" s="4">
        <f t="shared" si="13"/>
        <v>0</v>
      </c>
      <c r="J210" s="4">
        <f t="shared" si="14"/>
        <v>0</v>
      </c>
      <c r="K210" s="3">
        <f t="shared" si="15"/>
        <v>0</v>
      </c>
    </row>
    <row r="211" spans="1:11">
      <c r="A211" s="4" t="s">
        <v>44</v>
      </c>
      <c r="B211" s="4" t="s">
        <v>144</v>
      </c>
      <c r="C211" s="4" t="s">
        <v>233</v>
      </c>
      <c r="D211" s="4">
        <f>INDEX(Positions!$D$2:$D$4694,MATCH($A211&amp;"|29",Positions!$A$2:$A$4694,0))</f>
        <v>31</v>
      </c>
      <c r="E211" s="4">
        <f>INDEX(Positions!$D$2:$D$4694,MATCH($A211&amp;"|41",Positions!$A$2:$A$4694,0))</f>
        <v>43</v>
      </c>
      <c r="F211" s="4" t="str">
        <f>INDEX(Positions!$E$2:$E$4694,MATCH($A211&amp;"|29",Positions!$A$2:$A$4694,0))</f>
        <v>G</v>
      </c>
      <c r="G211" s="4" t="str">
        <f>INDEX(Positions!$E$2:$E$4694,MATCH($A211&amp;"|41",Positions!$A$2:$A$4694,0))</f>
        <v>C</v>
      </c>
      <c r="H211" s="3" t="str">
        <f t="shared" si="12"/>
        <v>G-C</v>
      </c>
      <c r="I211" s="4">
        <f t="shared" si="13"/>
        <v>1</v>
      </c>
      <c r="J211" s="4">
        <f t="shared" si="14"/>
        <v>1</v>
      </c>
      <c r="K211" s="3">
        <f t="shared" si="15"/>
        <v>2</v>
      </c>
    </row>
    <row r="212" spans="1:11">
      <c r="A212" s="4" t="s">
        <v>44</v>
      </c>
      <c r="B212" s="4" t="s">
        <v>144</v>
      </c>
      <c r="C212" s="4" t="s">
        <v>234</v>
      </c>
      <c r="D212" s="4">
        <f>INDEX(Positions!$D$2:$D$4694,MATCH($A212&amp;"|30",Positions!$A$2:$A$4694,0))</f>
        <v>32</v>
      </c>
      <c r="E212" s="4">
        <f>INDEX(Positions!$D$2:$D$4694,MATCH($A212&amp;"|40",Positions!$A$2:$A$4694,0))</f>
        <v>42</v>
      </c>
      <c r="F212" s="4" t="str">
        <f>INDEX(Positions!$E$2:$E$4694,MATCH($A212&amp;"|30",Positions!$A$2:$A$4694,0))</f>
        <v>G</v>
      </c>
      <c r="G212" s="4" t="str">
        <f>INDEX(Positions!$E$2:$E$4694,MATCH($A212&amp;"|40",Positions!$A$2:$A$4694,0))</f>
        <v>C</v>
      </c>
      <c r="H212" s="3" t="str">
        <f t="shared" si="12"/>
        <v>G-C</v>
      </c>
      <c r="I212" s="4">
        <f t="shared" si="13"/>
        <v>1</v>
      </c>
      <c r="J212" s="4">
        <f t="shared" si="14"/>
        <v>1</v>
      </c>
      <c r="K212" s="3">
        <f t="shared" si="15"/>
        <v>2</v>
      </c>
    </row>
    <row r="213" spans="1:11">
      <c r="A213" s="4" t="s">
        <v>44</v>
      </c>
      <c r="B213" s="4" t="s">
        <v>144</v>
      </c>
      <c r="C213" s="4" t="s">
        <v>235</v>
      </c>
      <c r="D213" s="4">
        <f>INDEX(Positions!$D$2:$D$4694,MATCH($A213&amp;"|31",Positions!$A$2:$A$4694,0))</f>
        <v>33</v>
      </c>
      <c r="E213" s="4">
        <f>INDEX(Positions!$D$2:$D$4694,MATCH($A213&amp;"|39",Positions!$A$2:$A$4694,0))</f>
        <v>41</v>
      </c>
      <c r="F213" s="4" t="str">
        <f>INDEX(Positions!$E$2:$E$4694,MATCH($A213&amp;"|31",Positions!$A$2:$A$4694,0))</f>
        <v>G</v>
      </c>
      <c r="G213" s="4" t="str">
        <f>INDEX(Positions!$E$2:$E$4694,MATCH($A213&amp;"|39",Positions!$A$2:$A$4694,0))</f>
        <v>C</v>
      </c>
      <c r="H213" s="3" t="str">
        <f t="shared" si="12"/>
        <v>G-C</v>
      </c>
      <c r="I213" s="4">
        <f t="shared" si="13"/>
        <v>1</v>
      </c>
      <c r="J213" s="4">
        <f t="shared" si="14"/>
        <v>1</v>
      </c>
      <c r="K213" s="3">
        <f t="shared" si="15"/>
        <v>2</v>
      </c>
    </row>
    <row r="214" spans="1:11">
      <c r="A214" s="4" t="s">
        <v>44</v>
      </c>
      <c r="B214" s="4" t="s">
        <v>169</v>
      </c>
      <c r="C214" s="4" t="s">
        <v>236</v>
      </c>
      <c r="D214" s="4">
        <f>INDEX(Positions!$D$2:$D$4694,MATCH($A214&amp;"|49",Positions!$A$2:$A$4694,0))</f>
        <v>51</v>
      </c>
      <c r="E214" s="4">
        <f>INDEX(Positions!$D$2:$D$4694,MATCH($A214&amp;"|65",Positions!$A$2:$A$4694,0))</f>
        <v>67</v>
      </c>
      <c r="F214" s="4" t="str">
        <f>INDEX(Positions!$E$2:$E$4694,MATCH($A214&amp;"|49",Positions!$A$2:$A$4694,0))</f>
        <v>G</v>
      </c>
      <c r="G214" s="4" t="str">
        <f>INDEX(Positions!$E$2:$E$4694,MATCH($A214&amp;"|65",Positions!$A$2:$A$4694,0))</f>
        <v>U</v>
      </c>
      <c r="H214" s="3" t="str">
        <f t="shared" si="12"/>
        <v>G-U</v>
      </c>
      <c r="I214" s="4">
        <f t="shared" si="13"/>
        <v>1</v>
      </c>
      <c r="J214" s="4">
        <f t="shared" si="14"/>
        <v>0</v>
      </c>
      <c r="K214" s="3">
        <f t="shared" si="15"/>
        <v>1</v>
      </c>
    </row>
    <row r="215" spans="1:11">
      <c r="A215" s="4" t="s">
        <v>44</v>
      </c>
      <c r="B215" s="4" t="s">
        <v>169</v>
      </c>
      <c r="C215" s="4" t="s">
        <v>237</v>
      </c>
      <c r="D215" s="4">
        <f>INDEX(Positions!$D$2:$D$4694,MATCH($A215&amp;"|50",Positions!$A$2:$A$4694,0))</f>
        <v>52</v>
      </c>
      <c r="E215" s="4">
        <f>INDEX(Positions!$D$2:$D$4694,MATCH($A215&amp;"|64",Positions!$A$2:$A$4694,0))</f>
        <v>66</v>
      </c>
      <c r="F215" s="4" t="str">
        <f>INDEX(Positions!$E$2:$E$4694,MATCH($A215&amp;"|50",Positions!$A$2:$A$4694,0))</f>
        <v>G</v>
      </c>
      <c r="G215" s="4" t="str">
        <f>INDEX(Positions!$E$2:$E$4694,MATCH($A215&amp;"|64",Positions!$A$2:$A$4694,0))</f>
        <v>U</v>
      </c>
      <c r="H215" s="3" t="str">
        <f t="shared" si="12"/>
        <v>G-U</v>
      </c>
      <c r="I215" s="4">
        <f t="shared" si="13"/>
        <v>1</v>
      </c>
      <c r="J215" s="4">
        <f t="shared" si="14"/>
        <v>0</v>
      </c>
      <c r="K215" s="3">
        <f t="shared" si="15"/>
        <v>1</v>
      </c>
    </row>
    <row r="216" spans="1:11">
      <c r="A216" s="4" t="s">
        <v>44</v>
      </c>
      <c r="B216" s="4" t="s">
        <v>169</v>
      </c>
      <c r="C216" s="4" t="s">
        <v>238</v>
      </c>
      <c r="D216" s="4">
        <f>INDEX(Positions!$D$2:$D$4694,MATCH($A216&amp;"|51",Positions!$A$2:$A$4694,0))</f>
        <v>53</v>
      </c>
      <c r="E216" s="4">
        <f>INDEX(Positions!$D$2:$D$4694,MATCH($A216&amp;"|63",Positions!$A$2:$A$4694,0))</f>
        <v>65</v>
      </c>
      <c r="F216" s="4" t="str">
        <f>INDEX(Positions!$E$2:$E$4694,MATCH($A216&amp;"|51",Positions!$A$2:$A$4694,0))</f>
        <v>G</v>
      </c>
      <c r="G216" s="4" t="str">
        <f>INDEX(Positions!$E$2:$E$4694,MATCH($A216&amp;"|63",Positions!$A$2:$A$4694,0))</f>
        <v>C</v>
      </c>
      <c r="H216" s="3" t="str">
        <f t="shared" si="12"/>
        <v>G-C</v>
      </c>
      <c r="I216" s="4">
        <f t="shared" si="13"/>
        <v>1</v>
      </c>
      <c r="J216" s="4">
        <f t="shared" si="14"/>
        <v>1</v>
      </c>
      <c r="K216" s="3">
        <f t="shared" si="15"/>
        <v>2</v>
      </c>
    </row>
    <row r="217" spans="1:11">
      <c r="A217" s="4" t="s">
        <v>44</v>
      </c>
      <c r="B217" s="4" t="s">
        <v>169</v>
      </c>
      <c r="C217" s="4" t="s">
        <v>239</v>
      </c>
      <c r="D217" s="4">
        <f>INDEX(Positions!$D$2:$D$4694,MATCH($A217&amp;"|52",Positions!$A$2:$A$4694,0))</f>
        <v>54</v>
      </c>
      <c r="E217" s="4">
        <f>INDEX(Positions!$D$2:$D$4694,MATCH($A217&amp;"|62",Positions!$A$2:$A$4694,0))</f>
        <v>64</v>
      </c>
      <c r="F217" s="4" t="str">
        <f>INDEX(Positions!$E$2:$E$4694,MATCH($A217&amp;"|52",Positions!$A$2:$A$4694,0))</f>
        <v>G</v>
      </c>
      <c r="G217" s="4" t="str">
        <f>INDEX(Positions!$E$2:$E$4694,MATCH($A217&amp;"|62",Positions!$A$2:$A$4694,0))</f>
        <v>C</v>
      </c>
      <c r="H217" s="3" t="str">
        <f t="shared" si="12"/>
        <v>G-C</v>
      </c>
      <c r="I217" s="4">
        <f t="shared" si="13"/>
        <v>1</v>
      </c>
      <c r="J217" s="4">
        <f t="shared" si="14"/>
        <v>1</v>
      </c>
      <c r="K217" s="3">
        <f t="shared" si="15"/>
        <v>2</v>
      </c>
    </row>
    <row r="218" spans="1:11">
      <c r="A218" s="4" t="s">
        <v>44</v>
      </c>
      <c r="B218" s="4" t="s">
        <v>169</v>
      </c>
      <c r="C218" s="4" t="s">
        <v>240</v>
      </c>
      <c r="D218" s="4">
        <f>INDEX(Positions!$D$2:$D$4694,MATCH($A218&amp;"|53",Positions!$A$2:$A$4694,0))</f>
        <v>55</v>
      </c>
      <c r="E218" s="4">
        <f>INDEX(Positions!$D$2:$D$4694,MATCH($A218&amp;"|61",Positions!$A$2:$A$4694,0))</f>
        <v>63</v>
      </c>
      <c r="F218" s="4" t="str">
        <f>INDEX(Positions!$E$2:$E$4694,MATCH($A218&amp;"|53",Positions!$A$2:$A$4694,0))</f>
        <v>G</v>
      </c>
      <c r="G218" s="4" t="str">
        <f>INDEX(Positions!$E$2:$E$4694,MATCH($A218&amp;"|61",Positions!$A$2:$A$4694,0))</f>
        <v>C</v>
      </c>
      <c r="H218" s="3" t="str">
        <f t="shared" si="12"/>
        <v>G-C</v>
      </c>
      <c r="I218" s="4">
        <f t="shared" si="13"/>
        <v>1</v>
      </c>
      <c r="J218" s="4">
        <f t="shared" si="14"/>
        <v>1</v>
      </c>
      <c r="K218" s="3">
        <f t="shared" si="15"/>
        <v>2</v>
      </c>
    </row>
    <row r="219" spans="1:11">
      <c r="A219" s="23" t="s">
        <v>44</v>
      </c>
      <c r="B219" s="23" t="s">
        <v>241</v>
      </c>
      <c r="C219" s="23" t="s">
        <v>242</v>
      </c>
      <c r="D219" s="23">
        <f>INDEX(Positions!$D$2:$D$4694,MATCH($A219&amp;"|8",Positions!$A$2:$A$4694,0))</f>
        <v>8</v>
      </c>
      <c r="E219" s="23">
        <f>INDEX(Positions!$D$2:$D$4694,MATCH($A219&amp;"|14",Positions!$A$2:$A$4694,0))</f>
        <v>14</v>
      </c>
      <c r="F219" s="23" t="str">
        <f>INDEX(Positions!$E$2:$E$4694,MATCH($A219&amp;"|8",Positions!$A$2:$A$4694,0))</f>
        <v>U</v>
      </c>
      <c r="G219" s="23" t="str">
        <f>INDEX(Positions!$E$2:$E$4694,MATCH($A219&amp;"|14",Positions!$A$2:$A$4694,0))</f>
        <v>A</v>
      </c>
      <c r="H219" s="24" t="str">
        <f t="shared" si="12"/>
        <v>U-A</v>
      </c>
      <c r="I219" s="23">
        <f t="shared" si="13"/>
        <v>0</v>
      </c>
      <c r="J219" s="23">
        <f t="shared" si="14"/>
        <v>0</v>
      </c>
      <c r="K219" s="24">
        <f t="shared" si="15"/>
        <v>0</v>
      </c>
    </row>
    <row r="220" spans="1:11">
      <c r="A220" s="23" t="s">
        <v>44</v>
      </c>
      <c r="B220" s="23" t="s">
        <v>241</v>
      </c>
      <c r="C220" s="23" t="s">
        <v>243</v>
      </c>
      <c r="D220" s="23">
        <f>INDEX(Positions!$D$2:$D$4694,MATCH($A220&amp;"|15",Positions!$A$2:$A$4694,0))</f>
        <v>15</v>
      </c>
      <c r="E220" s="23">
        <f>INDEX(Positions!$D$2:$D$4694,MATCH($A220&amp;"|48",Positions!$A$2:$A$4694,0))</f>
        <v>50</v>
      </c>
      <c r="F220" s="23" t="str">
        <f>INDEX(Positions!$E$2:$E$4694,MATCH($A220&amp;"|15",Positions!$A$2:$A$4694,0))</f>
        <v>G</v>
      </c>
      <c r="G220" s="23" t="str">
        <f>INDEX(Positions!$E$2:$E$4694,MATCH($A220&amp;"|48",Positions!$A$2:$A$4694,0))</f>
        <v>C</v>
      </c>
      <c r="H220" s="24" t="str">
        <f t="shared" si="12"/>
        <v>G-C</v>
      </c>
      <c r="I220" s="23">
        <f t="shared" si="13"/>
        <v>1</v>
      </c>
      <c r="J220" s="23">
        <f t="shared" si="14"/>
        <v>1</v>
      </c>
      <c r="K220" s="24">
        <f t="shared" si="15"/>
        <v>2</v>
      </c>
    </row>
    <row r="221" spans="1:11">
      <c r="A221" s="23" t="s">
        <v>44</v>
      </c>
      <c r="B221" s="23" t="s">
        <v>241</v>
      </c>
      <c r="C221" s="23" t="s">
        <v>244</v>
      </c>
      <c r="D221" s="23">
        <f>INDEX(Positions!$D$2:$D$4694,MATCH($A221&amp;"|18",Positions!$A$2:$A$4694,0))</f>
        <v>19</v>
      </c>
      <c r="E221" s="23">
        <f>INDEX(Positions!$D$2:$D$4694,MATCH($A221&amp;"|55",Positions!$A$2:$A$4694,0))</f>
        <v>57</v>
      </c>
      <c r="F221" s="23" t="str">
        <f>INDEX(Positions!$E$2:$E$4694,MATCH($A221&amp;"|18",Positions!$A$2:$A$4694,0))</f>
        <v>G</v>
      </c>
      <c r="G221" s="23" t="str">
        <f>INDEX(Positions!$E$2:$E$4694,MATCH($A221&amp;"|55",Positions!$A$2:$A$4694,0))</f>
        <v>U</v>
      </c>
      <c r="H221" s="24" t="str">
        <f t="shared" si="12"/>
        <v>G-U</v>
      </c>
      <c r="I221" s="23">
        <f t="shared" si="13"/>
        <v>1</v>
      </c>
      <c r="J221" s="23">
        <f t="shared" si="14"/>
        <v>0</v>
      </c>
      <c r="K221" s="24">
        <f t="shared" si="15"/>
        <v>1</v>
      </c>
    </row>
    <row r="222" spans="1:11">
      <c r="A222" s="23" t="s">
        <v>44</v>
      </c>
      <c r="B222" s="23" t="s">
        <v>241</v>
      </c>
      <c r="C222" s="23" t="s">
        <v>245</v>
      </c>
      <c r="D222" s="23">
        <f>INDEX(Positions!$D$2:$D$4694,MATCH($A222&amp;"|19",Positions!$A$2:$A$4694,0))</f>
        <v>20</v>
      </c>
      <c r="E222" s="23">
        <f>INDEX(Positions!$D$2:$D$4694,MATCH($A222&amp;"|56",Positions!$A$2:$A$4694,0))</f>
        <v>58</v>
      </c>
      <c r="F222" s="23" t="str">
        <f>INDEX(Positions!$E$2:$E$4694,MATCH($A222&amp;"|19",Positions!$A$2:$A$4694,0))</f>
        <v>G</v>
      </c>
      <c r="G222" s="23" t="str">
        <f>INDEX(Positions!$E$2:$E$4694,MATCH($A222&amp;"|56",Positions!$A$2:$A$4694,0))</f>
        <v>C</v>
      </c>
      <c r="H222" s="24" t="str">
        <f t="shared" si="12"/>
        <v>G-C</v>
      </c>
      <c r="I222" s="23">
        <f t="shared" si="13"/>
        <v>1</v>
      </c>
      <c r="J222" s="23">
        <f t="shared" si="14"/>
        <v>1</v>
      </c>
      <c r="K222" s="24">
        <f t="shared" si="15"/>
        <v>2</v>
      </c>
    </row>
    <row r="223" spans="1:11">
      <c r="A223" s="23" t="s">
        <v>44</v>
      </c>
      <c r="B223" s="23" t="s">
        <v>241</v>
      </c>
      <c r="C223" s="23" t="s">
        <v>246</v>
      </c>
      <c r="D223" s="23">
        <f>INDEX(Positions!$D$2:$D$4694,MATCH($A223&amp;"|26",Positions!$A$2:$A$4694,0))</f>
        <v>28</v>
      </c>
      <c r="E223" s="23">
        <f>INDEX(Positions!$D$2:$D$4694,MATCH($A223&amp;"|44",Positions!$A$2:$A$4694,0))</f>
        <v>46</v>
      </c>
      <c r="F223" s="23" t="str">
        <f>INDEX(Positions!$E$2:$E$4694,MATCH($A223&amp;"|26",Positions!$A$2:$A$4694,0))</f>
        <v>G</v>
      </c>
      <c r="G223" s="23" t="str">
        <f>INDEX(Positions!$E$2:$E$4694,MATCH($A223&amp;"|44",Positions!$A$2:$A$4694,0))</f>
        <v>A</v>
      </c>
      <c r="H223" s="24" t="str">
        <f t="shared" si="12"/>
        <v>G-A</v>
      </c>
      <c r="I223" s="23">
        <f t="shared" si="13"/>
        <v>1</v>
      </c>
      <c r="J223" s="23">
        <f t="shared" si="14"/>
        <v>0</v>
      </c>
      <c r="K223" s="24">
        <f t="shared" si="15"/>
        <v>1</v>
      </c>
    </row>
    <row r="224" spans="1:11">
      <c r="A224" s="23" t="s">
        <v>44</v>
      </c>
      <c r="B224" s="23" t="s">
        <v>241</v>
      </c>
      <c r="C224" s="23" t="s">
        <v>247</v>
      </c>
      <c r="D224" s="23">
        <f>INDEX(Positions!$D$2:$D$4694,MATCH($A224&amp;"|32",Positions!$A$2:$A$4694,0))</f>
        <v>34</v>
      </c>
      <c r="E224" s="23">
        <f>INDEX(Positions!$D$2:$D$4694,MATCH($A224&amp;"|38",Positions!$A$2:$A$4694,0))</f>
        <v>40</v>
      </c>
      <c r="F224" s="23" t="str">
        <f>INDEX(Positions!$E$2:$E$4694,MATCH($A224&amp;"|32",Positions!$A$2:$A$4694,0))</f>
        <v>C</v>
      </c>
      <c r="G224" s="23" t="str">
        <f>INDEX(Positions!$E$2:$E$4694,MATCH($A224&amp;"|38",Positions!$A$2:$A$4694,0))</f>
        <v>A</v>
      </c>
      <c r="H224" s="24" t="str">
        <f t="shared" si="12"/>
        <v>C-A</v>
      </c>
      <c r="I224" s="23">
        <f t="shared" si="13"/>
        <v>0</v>
      </c>
      <c r="J224" s="23">
        <f t="shared" si="14"/>
        <v>1</v>
      </c>
      <c r="K224" s="24">
        <f t="shared" si="15"/>
        <v>1</v>
      </c>
    </row>
    <row r="225" spans="1:11">
      <c r="A225" s="23" t="s">
        <v>44</v>
      </c>
      <c r="B225" s="23" t="s">
        <v>241</v>
      </c>
      <c r="C225" s="23" t="s">
        <v>248</v>
      </c>
      <c r="D225" s="23">
        <f>INDEX(Positions!$D$2:$D$4694,MATCH($A225&amp;"|54",Positions!$A$2:$A$4694,0))</f>
        <v>56</v>
      </c>
      <c r="E225" s="23">
        <f>INDEX(Positions!$D$2:$D$4694,MATCH($A225&amp;"|58",Positions!$A$2:$A$4694,0))</f>
        <v>60</v>
      </c>
      <c r="F225" s="23" t="str">
        <f>INDEX(Positions!$E$2:$E$4694,MATCH($A225&amp;"|54",Positions!$A$2:$A$4694,0))</f>
        <v>U</v>
      </c>
      <c r="G225" s="23" t="str">
        <f>INDEX(Positions!$E$2:$E$4694,MATCH($A225&amp;"|58",Positions!$A$2:$A$4694,0))</f>
        <v>A</v>
      </c>
      <c r="H225" s="24" t="str">
        <f t="shared" si="12"/>
        <v>U-A</v>
      </c>
      <c r="I225" s="23">
        <f t="shared" si="13"/>
        <v>0</v>
      </c>
      <c r="J225" s="23">
        <f t="shared" si="14"/>
        <v>0</v>
      </c>
      <c r="K225" s="24">
        <f t="shared" si="15"/>
        <v>0</v>
      </c>
    </row>
    <row r="226" spans="1:11">
      <c r="A226" s="4" t="s">
        <v>45</v>
      </c>
      <c r="B226" s="4" t="s">
        <v>110</v>
      </c>
      <c r="C226" s="4" t="s">
        <v>220</v>
      </c>
      <c r="D226" s="4">
        <f>INDEX(Positions!$D$2:$D$4694,MATCH($A226&amp;"|1",Positions!$A$2:$A$4694,0))</f>
        <v>1</v>
      </c>
      <c r="E226" s="4">
        <f>INDEX(Positions!$D$2:$D$4694,MATCH($A226&amp;"|72",Positions!$A$2:$A$4694,0))</f>
        <v>72</v>
      </c>
      <c r="F226" s="4" t="str">
        <f>INDEX(Positions!$E$2:$E$4694,MATCH($A226&amp;"|1",Positions!$A$2:$A$4694,0))</f>
        <v>G</v>
      </c>
      <c r="G226" s="4" t="str">
        <f>INDEX(Positions!$E$2:$E$4694,MATCH($A226&amp;"|72",Positions!$A$2:$A$4694,0))</f>
        <v>C</v>
      </c>
      <c r="H226" s="3" t="str">
        <f t="shared" si="12"/>
        <v>G-C</v>
      </c>
      <c r="I226" s="4">
        <f t="shared" si="13"/>
        <v>1</v>
      </c>
      <c r="J226" s="4">
        <f t="shared" si="14"/>
        <v>1</v>
      </c>
      <c r="K226" s="3">
        <f t="shared" si="15"/>
        <v>2</v>
      </c>
    </row>
    <row r="227" spans="1:11">
      <c r="A227" s="4" t="s">
        <v>45</v>
      </c>
      <c r="B227" s="4" t="s">
        <v>110</v>
      </c>
      <c r="C227" s="4" t="s">
        <v>221</v>
      </c>
      <c r="D227" s="4">
        <f>INDEX(Positions!$D$2:$D$4694,MATCH($A227&amp;"|2",Positions!$A$2:$A$4694,0))</f>
        <v>2</v>
      </c>
      <c r="E227" s="4">
        <f>INDEX(Positions!$D$2:$D$4694,MATCH($A227&amp;"|71",Positions!$A$2:$A$4694,0))</f>
        <v>71</v>
      </c>
      <c r="F227" s="4" t="str">
        <f>INDEX(Positions!$E$2:$E$4694,MATCH($A227&amp;"|2",Positions!$A$2:$A$4694,0))</f>
        <v>C</v>
      </c>
      <c r="G227" s="4" t="str">
        <f>INDEX(Positions!$E$2:$E$4694,MATCH($A227&amp;"|71",Positions!$A$2:$A$4694,0))</f>
        <v>G</v>
      </c>
      <c r="H227" s="3" t="str">
        <f t="shared" si="12"/>
        <v>C-G</v>
      </c>
      <c r="I227" s="4">
        <f t="shared" si="13"/>
        <v>1</v>
      </c>
      <c r="J227" s="4">
        <f t="shared" si="14"/>
        <v>1</v>
      </c>
      <c r="K227" s="3">
        <f t="shared" si="15"/>
        <v>2</v>
      </c>
    </row>
    <row r="228" spans="1:11">
      <c r="A228" s="4" t="s">
        <v>45</v>
      </c>
      <c r="B228" s="4" t="s">
        <v>110</v>
      </c>
      <c r="C228" s="4" t="s">
        <v>222</v>
      </c>
      <c r="D228" s="4">
        <f>INDEX(Positions!$D$2:$D$4694,MATCH($A228&amp;"|3",Positions!$A$2:$A$4694,0))</f>
        <v>3</v>
      </c>
      <c r="E228" s="4">
        <f>INDEX(Positions!$D$2:$D$4694,MATCH($A228&amp;"|70",Positions!$A$2:$A$4694,0))</f>
        <v>70</v>
      </c>
      <c r="F228" s="4" t="str">
        <f>INDEX(Positions!$E$2:$E$4694,MATCH($A228&amp;"|3",Positions!$A$2:$A$4694,0))</f>
        <v>C</v>
      </c>
      <c r="G228" s="4" t="str">
        <f>INDEX(Positions!$E$2:$E$4694,MATCH($A228&amp;"|70",Positions!$A$2:$A$4694,0))</f>
        <v>G</v>
      </c>
      <c r="H228" s="3" t="str">
        <f t="shared" si="12"/>
        <v>C-G</v>
      </c>
      <c r="I228" s="4">
        <f t="shared" si="13"/>
        <v>1</v>
      </c>
      <c r="J228" s="4">
        <f t="shared" si="14"/>
        <v>1</v>
      </c>
      <c r="K228" s="3">
        <f t="shared" si="15"/>
        <v>2</v>
      </c>
    </row>
    <row r="229" spans="1:11">
      <c r="A229" s="4" t="s">
        <v>45</v>
      </c>
      <c r="B229" s="4" t="s">
        <v>110</v>
      </c>
      <c r="C229" s="4" t="s">
        <v>223</v>
      </c>
      <c r="D229" s="4">
        <f>INDEX(Positions!$D$2:$D$4694,MATCH($A229&amp;"|4",Positions!$A$2:$A$4694,0))</f>
        <v>4</v>
      </c>
      <c r="E229" s="4">
        <f>INDEX(Positions!$D$2:$D$4694,MATCH($A229&amp;"|69",Positions!$A$2:$A$4694,0))</f>
        <v>69</v>
      </c>
      <c r="F229" s="4" t="str">
        <f>INDEX(Positions!$E$2:$E$4694,MATCH($A229&amp;"|4",Positions!$A$2:$A$4694,0))</f>
        <v>G</v>
      </c>
      <c r="G229" s="4" t="str">
        <f>INDEX(Positions!$E$2:$E$4694,MATCH($A229&amp;"|69",Positions!$A$2:$A$4694,0))</f>
        <v>C</v>
      </c>
      <c r="H229" s="3" t="str">
        <f t="shared" si="12"/>
        <v>G-C</v>
      </c>
      <c r="I229" s="4">
        <f t="shared" si="13"/>
        <v>1</v>
      </c>
      <c r="J229" s="4">
        <f t="shared" si="14"/>
        <v>1</v>
      </c>
      <c r="K229" s="3">
        <f t="shared" si="15"/>
        <v>2</v>
      </c>
    </row>
    <row r="230" spans="1:11">
      <c r="A230" s="4" t="s">
        <v>45</v>
      </c>
      <c r="B230" s="4" t="s">
        <v>110</v>
      </c>
      <c r="C230" s="4" t="s">
        <v>224</v>
      </c>
      <c r="D230" s="4">
        <f>INDEX(Positions!$D$2:$D$4694,MATCH($A230&amp;"|5",Positions!$A$2:$A$4694,0))</f>
        <v>5</v>
      </c>
      <c r="E230" s="4">
        <f>INDEX(Positions!$D$2:$D$4694,MATCH($A230&amp;"|68",Positions!$A$2:$A$4694,0))</f>
        <v>68</v>
      </c>
      <c r="F230" s="4" t="str">
        <f>INDEX(Positions!$E$2:$E$4694,MATCH($A230&amp;"|5",Positions!$A$2:$A$4694,0))</f>
        <v>C</v>
      </c>
      <c r="G230" s="4" t="str">
        <f>INDEX(Positions!$E$2:$E$4694,MATCH($A230&amp;"|68",Positions!$A$2:$A$4694,0))</f>
        <v>G</v>
      </c>
      <c r="H230" s="3" t="str">
        <f t="shared" si="12"/>
        <v>C-G</v>
      </c>
      <c r="I230" s="4">
        <f t="shared" si="13"/>
        <v>1</v>
      </c>
      <c r="J230" s="4">
        <f t="shared" si="14"/>
        <v>1</v>
      </c>
      <c r="K230" s="3">
        <f t="shared" si="15"/>
        <v>2</v>
      </c>
    </row>
    <row r="231" spans="1:11">
      <c r="A231" s="4" t="s">
        <v>45</v>
      </c>
      <c r="B231" s="4" t="s">
        <v>110</v>
      </c>
      <c r="C231" s="4" t="s">
        <v>225</v>
      </c>
      <c r="D231" s="4">
        <f>INDEX(Positions!$D$2:$D$4694,MATCH($A231&amp;"|6",Positions!$A$2:$A$4694,0))</f>
        <v>6</v>
      </c>
      <c r="E231" s="4">
        <f>INDEX(Positions!$D$2:$D$4694,MATCH($A231&amp;"|67",Positions!$A$2:$A$4694,0))</f>
        <v>67</v>
      </c>
      <c r="F231" s="4" t="str">
        <f>INDEX(Positions!$E$2:$E$4694,MATCH($A231&amp;"|6",Positions!$A$2:$A$4694,0))</f>
        <v>U</v>
      </c>
      <c r="G231" s="4" t="str">
        <f>INDEX(Positions!$E$2:$E$4694,MATCH($A231&amp;"|67",Positions!$A$2:$A$4694,0))</f>
        <v>A</v>
      </c>
      <c r="H231" s="3" t="str">
        <f t="shared" si="12"/>
        <v>U-A</v>
      </c>
      <c r="I231" s="4">
        <f t="shared" si="13"/>
        <v>0</v>
      </c>
      <c r="J231" s="4">
        <f t="shared" si="14"/>
        <v>0</v>
      </c>
      <c r="K231" s="3">
        <f t="shared" si="15"/>
        <v>0</v>
      </c>
    </row>
    <row r="232" spans="1:11">
      <c r="A232" s="4" t="s">
        <v>45</v>
      </c>
      <c r="B232" s="4" t="s">
        <v>110</v>
      </c>
      <c r="C232" s="4" t="s">
        <v>226</v>
      </c>
      <c r="D232" s="4">
        <f>INDEX(Positions!$D$2:$D$4694,MATCH($A232&amp;"|7",Positions!$A$2:$A$4694,0))</f>
        <v>7</v>
      </c>
      <c r="E232" s="4">
        <f>INDEX(Positions!$D$2:$D$4694,MATCH($A232&amp;"|66",Positions!$A$2:$A$4694,0))</f>
        <v>66</v>
      </c>
      <c r="F232" s="4" t="str">
        <f>INDEX(Positions!$E$2:$E$4694,MATCH($A232&amp;"|7",Positions!$A$2:$A$4694,0))</f>
        <v>U</v>
      </c>
      <c r="G232" s="4" t="str">
        <f>INDEX(Positions!$E$2:$E$4694,MATCH($A232&amp;"|66",Positions!$A$2:$A$4694,0))</f>
        <v>A</v>
      </c>
      <c r="H232" s="3" t="str">
        <f t="shared" si="12"/>
        <v>U-A</v>
      </c>
      <c r="I232" s="4">
        <f t="shared" si="13"/>
        <v>0</v>
      </c>
      <c r="J232" s="4">
        <f t="shared" si="14"/>
        <v>0</v>
      </c>
      <c r="K232" s="3">
        <f t="shared" si="15"/>
        <v>0</v>
      </c>
    </row>
    <row r="233" spans="1:11">
      <c r="A233" s="4" t="s">
        <v>45</v>
      </c>
      <c r="B233" s="4" t="s">
        <v>125</v>
      </c>
      <c r="C233" s="4" t="s">
        <v>227</v>
      </c>
      <c r="D233" s="4">
        <f>INDEX(Positions!$D$2:$D$4694,MATCH($A233&amp;"|10",Positions!$A$2:$A$4694,0))</f>
        <v>10</v>
      </c>
      <c r="E233" s="4">
        <f>INDEX(Positions!$D$2:$D$4694,MATCH($A233&amp;"|25",Positions!$A$2:$A$4694,0))</f>
        <v>25</v>
      </c>
      <c r="F233" s="4" t="str">
        <f>INDEX(Positions!$E$2:$E$4694,MATCH($A233&amp;"|10",Positions!$A$2:$A$4694,0))</f>
        <v>A</v>
      </c>
      <c r="G233" s="4" t="str">
        <f>INDEX(Positions!$E$2:$E$4694,MATCH($A233&amp;"|25",Positions!$A$2:$A$4694,0))</f>
        <v>U</v>
      </c>
      <c r="H233" s="3" t="str">
        <f t="shared" si="12"/>
        <v>A-U</v>
      </c>
      <c r="I233" s="4">
        <f t="shared" si="13"/>
        <v>0</v>
      </c>
      <c r="J233" s="4">
        <f t="shared" si="14"/>
        <v>0</v>
      </c>
      <c r="K233" s="3">
        <f t="shared" si="15"/>
        <v>0</v>
      </c>
    </row>
    <row r="234" spans="1:11">
      <c r="A234" s="4" t="s">
        <v>45</v>
      </c>
      <c r="B234" s="4" t="s">
        <v>125</v>
      </c>
      <c r="C234" s="4" t="s">
        <v>228</v>
      </c>
      <c r="D234" s="4">
        <f>INDEX(Positions!$D$2:$D$4694,MATCH($A234&amp;"|11",Positions!$A$2:$A$4694,0))</f>
        <v>11</v>
      </c>
      <c r="E234" s="4">
        <f>INDEX(Positions!$D$2:$D$4694,MATCH($A234&amp;"|24",Positions!$A$2:$A$4694,0))</f>
        <v>24</v>
      </c>
      <c r="F234" s="4" t="str">
        <f>INDEX(Positions!$E$2:$E$4694,MATCH($A234&amp;"|11",Positions!$A$2:$A$4694,0))</f>
        <v>C</v>
      </c>
      <c r="G234" s="4" t="str">
        <f>INDEX(Positions!$E$2:$E$4694,MATCH($A234&amp;"|24",Positions!$A$2:$A$4694,0))</f>
        <v>G</v>
      </c>
      <c r="H234" s="3" t="str">
        <f t="shared" si="12"/>
        <v>C-G</v>
      </c>
      <c r="I234" s="4">
        <f t="shared" si="13"/>
        <v>1</v>
      </c>
      <c r="J234" s="4">
        <f t="shared" si="14"/>
        <v>1</v>
      </c>
      <c r="K234" s="3">
        <f t="shared" si="15"/>
        <v>2</v>
      </c>
    </row>
    <row r="235" spans="1:11">
      <c r="A235" s="4" t="s">
        <v>45</v>
      </c>
      <c r="B235" s="4" t="s">
        <v>125</v>
      </c>
      <c r="C235" s="4" t="s">
        <v>229</v>
      </c>
      <c r="D235" s="4">
        <f>INDEX(Positions!$D$2:$D$4694,MATCH($A235&amp;"|12",Positions!$A$2:$A$4694,0))</f>
        <v>12</v>
      </c>
      <c r="E235" s="4">
        <f>INDEX(Positions!$D$2:$D$4694,MATCH($A235&amp;"|23",Positions!$A$2:$A$4694,0))</f>
        <v>23</v>
      </c>
      <c r="F235" s="4" t="str">
        <f>INDEX(Positions!$E$2:$E$4694,MATCH($A235&amp;"|12",Positions!$A$2:$A$4694,0))</f>
        <v>U</v>
      </c>
      <c r="G235" s="4" t="str">
        <f>INDEX(Positions!$E$2:$E$4694,MATCH($A235&amp;"|23",Positions!$A$2:$A$4694,0))</f>
        <v>A</v>
      </c>
      <c r="H235" s="3" t="str">
        <f t="shared" si="12"/>
        <v>U-A</v>
      </c>
      <c r="I235" s="4">
        <f t="shared" si="13"/>
        <v>0</v>
      </c>
      <c r="J235" s="4">
        <f t="shared" si="14"/>
        <v>0</v>
      </c>
      <c r="K235" s="3">
        <f t="shared" si="15"/>
        <v>0</v>
      </c>
    </row>
    <row r="236" spans="1:11">
      <c r="A236" s="4" t="s">
        <v>45</v>
      </c>
      <c r="B236" s="4" t="s">
        <v>125</v>
      </c>
      <c r="C236" s="4" t="s">
        <v>230</v>
      </c>
      <c r="D236" s="4">
        <f>INDEX(Positions!$D$2:$D$4694,MATCH($A236&amp;"|13",Positions!$A$2:$A$4694,0))</f>
        <v>13</v>
      </c>
      <c r="E236" s="4">
        <f>INDEX(Positions!$D$2:$D$4694,MATCH($A236&amp;"|22",Positions!$A$2:$A$4694,0))</f>
        <v>22</v>
      </c>
      <c r="F236" s="4" t="str">
        <f>INDEX(Positions!$E$2:$E$4694,MATCH($A236&amp;"|13",Positions!$A$2:$A$4694,0))</f>
        <v>C</v>
      </c>
      <c r="G236" s="4" t="str">
        <f>INDEX(Positions!$E$2:$E$4694,MATCH($A236&amp;"|22",Positions!$A$2:$A$4694,0))</f>
        <v>G</v>
      </c>
      <c r="H236" s="3" t="str">
        <f t="shared" si="12"/>
        <v>C-G</v>
      </c>
      <c r="I236" s="4">
        <f t="shared" si="13"/>
        <v>1</v>
      </c>
      <c r="J236" s="4">
        <f t="shared" si="14"/>
        <v>1</v>
      </c>
      <c r="K236" s="3">
        <f t="shared" si="15"/>
        <v>2</v>
      </c>
    </row>
    <row r="237" spans="1:11">
      <c r="A237" s="4" t="s">
        <v>45</v>
      </c>
      <c r="B237" s="4" t="s">
        <v>144</v>
      </c>
      <c r="C237" s="4" t="s">
        <v>231</v>
      </c>
      <c r="D237" s="4">
        <f>INDEX(Positions!$D$2:$D$4694,MATCH($A237&amp;"|27",Positions!$A$2:$A$4694,0))</f>
        <v>27</v>
      </c>
      <c r="E237" s="4">
        <f>INDEX(Positions!$D$2:$D$4694,MATCH($A237&amp;"|43",Positions!$A$2:$A$4694,0))</f>
        <v>43</v>
      </c>
      <c r="F237" s="4" t="str">
        <f>INDEX(Positions!$E$2:$E$4694,MATCH($A237&amp;"|27",Positions!$A$2:$A$4694,0))</f>
        <v>U</v>
      </c>
      <c r="G237" s="4" t="str">
        <f>INDEX(Positions!$E$2:$E$4694,MATCH($A237&amp;"|43",Positions!$A$2:$A$4694,0))</f>
        <v>A</v>
      </c>
      <c r="H237" s="3" t="str">
        <f t="shared" si="12"/>
        <v>U-A</v>
      </c>
      <c r="I237" s="4">
        <f t="shared" si="13"/>
        <v>0</v>
      </c>
      <c r="J237" s="4">
        <f t="shared" si="14"/>
        <v>0</v>
      </c>
      <c r="K237" s="3">
        <f t="shared" si="15"/>
        <v>0</v>
      </c>
    </row>
    <row r="238" spans="1:11">
      <c r="A238" s="4" t="s">
        <v>45</v>
      </c>
      <c r="B238" s="4" t="s">
        <v>144</v>
      </c>
      <c r="C238" s="4" t="s">
        <v>232</v>
      </c>
      <c r="D238" s="4">
        <f>INDEX(Positions!$D$2:$D$4694,MATCH($A238&amp;"|28",Positions!$A$2:$A$4694,0))</f>
        <v>28</v>
      </c>
      <c r="E238" s="4">
        <f>INDEX(Positions!$D$2:$D$4694,MATCH($A238&amp;"|42",Positions!$A$2:$A$4694,0))</f>
        <v>42</v>
      </c>
      <c r="F238" s="4" t="str">
        <f>INDEX(Positions!$E$2:$E$4694,MATCH($A238&amp;"|28",Positions!$A$2:$A$4694,0))</f>
        <v>C</v>
      </c>
      <c r="G238" s="4" t="str">
        <f>INDEX(Positions!$E$2:$E$4694,MATCH($A238&amp;"|42",Positions!$A$2:$A$4694,0))</f>
        <v>G</v>
      </c>
      <c r="H238" s="3" t="str">
        <f t="shared" si="12"/>
        <v>C-G</v>
      </c>
      <c r="I238" s="4">
        <f t="shared" si="13"/>
        <v>1</v>
      </c>
      <c r="J238" s="4">
        <f t="shared" si="14"/>
        <v>1</v>
      </c>
      <c r="K238" s="3">
        <f t="shared" si="15"/>
        <v>2</v>
      </c>
    </row>
    <row r="239" spans="1:11">
      <c r="A239" s="4" t="s">
        <v>45</v>
      </c>
      <c r="B239" s="4" t="s">
        <v>144</v>
      </c>
      <c r="C239" s="4" t="s">
        <v>233</v>
      </c>
      <c r="D239" s="4">
        <f>INDEX(Positions!$D$2:$D$4694,MATCH($A239&amp;"|29",Positions!$A$2:$A$4694,0))</f>
        <v>29</v>
      </c>
      <c r="E239" s="4">
        <f>INDEX(Positions!$D$2:$D$4694,MATCH($A239&amp;"|41",Positions!$A$2:$A$4694,0))</f>
        <v>41</v>
      </c>
      <c r="F239" s="4" t="str">
        <f>INDEX(Positions!$E$2:$E$4694,MATCH($A239&amp;"|29",Positions!$A$2:$A$4694,0))</f>
        <v>U</v>
      </c>
      <c r="G239" s="4" t="str">
        <f>INDEX(Positions!$E$2:$E$4694,MATCH($A239&amp;"|41",Positions!$A$2:$A$4694,0))</f>
        <v>A</v>
      </c>
      <c r="H239" s="3" t="str">
        <f t="shared" si="12"/>
        <v>U-A</v>
      </c>
      <c r="I239" s="4">
        <f t="shared" si="13"/>
        <v>0</v>
      </c>
      <c r="J239" s="4">
        <f t="shared" si="14"/>
        <v>0</v>
      </c>
      <c r="K239" s="3">
        <f t="shared" si="15"/>
        <v>0</v>
      </c>
    </row>
    <row r="240" spans="1:11">
      <c r="A240" s="4" t="s">
        <v>45</v>
      </c>
      <c r="B240" s="4" t="s">
        <v>144</v>
      </c>
      <c r="C240" s="4" t="s">
        <v>234</v>
      </c>
      <c r="D240" s="4">
        <f>INDEX(Positions!$D$2:$D$4694,MATCH($A240&amp;"|30",Positions!$A$2:$A$4694,0))</f>
        <v>30</v>
      </c>
      <c r="E240" s="4">
        <f>INDEX(Positions!$D$2:$D$4694,MATCH($A240&amp;"|40",Positions!$A$2:$A$4694,0))</f>
        <v>40</v>
      </c>
      <c r="F240" s="4" t="str">
        <f>INDEX(Positions!$E$2:$E$4694,MATCH($A240&amp;"|30",Positions!$A$2:$A$4694,0))</f>
        <v>G</v>
      </c>
      <c r="G240" s="4" t="str">
        <f>INDEX(Positions!$E$2:$E$4694,MATCH($A240&amp;"|40",Positions!$A$2:$A$4694,0))</f>
        <v>C</v>
      </c>
      <c r="H240" s="3" t="str">
        <f t="shared" si="12"/>
        <v>G-C</v>
      </c>
      <c r="I240" s="4">
        <f t="shared" si="13"/>
        <v>1</v>
      </c>
      <c r="J240" s="4">
        <f t="shared" si="14"/>
        <v>1</v>
      </c>
      <c r="K240" s="3">
        <f t="shared" si="15"/>
        <v>2</v>
      </c>
    </row>
    <row r="241" spans="1:11">
      <c r="A241" s="4" t="s">
        <v>45</v>
      </c>
      <c r="B241" s="4" t="s">
        <v>144</v>
      </c>
      <c r="C241" s="4" t="s">
        <v>235</v>
      </c>
      <c r="D241" s="4">
        <f>INDEX(Positions!$D$2:$D$4694,MATCH($A241&amp;"|31",Positions!$A$2:$A$4694,0))</f>
        <v>31</v>
      </c>
      <c r="E241" s="4">
        <f>INDEX(Positions!$D$2:$D$4694,MATCH($A241&amp;"|39",Positions!$A$2:$A$4694,0))</f>
        <v>39</v>
      </c>
      <c r="F241" s="4" t="str">
        <f>INDEX(Positions!$E$2:$E$4694,MATCH($A241&amp;"|31",Positions!$A$2:$A$4694,0))</f>
        <v>G</v>
      </c>
      <c r="G241" s="4" t="str">
        <f>INDEX(Positions!$E$2:$E$4694,MATCH($A241&amp;"|39",Positions!$A$2:$A$4694,0))</f>
        <v>C</v>
      </c>
      <c r="H241" s="3" t="str">
        <f t="shared" si="12"/>
        <v>G-C</v>
      </c>
      <c r="I241" s="4">
        <f t="shared" si="13"/>
        <v>1</v>
      </c>
      <c r="J241" s="4">
        <f t="shared" si="14"/>
        <v>1</v>
      </c>
      <c r="K241" s="3">
        <f t="shared" si="15"/>
        <v>2</v>
      </c>
    </row>
    <row r="242" spans="1:11">
      <c r="A242" s="4" t="s">
        <v>45</v>
      </c>
      <c r="B242" s="4" t="s">
        <v>169</v>
      </c>
      <c r="C242" s="4" t="s">
        <v>236</v>
      </c>
      <c r="D242" s="4">
        <f>INDEX(Positions!$D$2:$D$4694,MATCH($A242&amp;"|49",Positions!$A$2:$A$4694,0))</f>
        <v>49</v>
      </c>
      <c r="E242" s="4">
        <f>INDEX(Positions!$D$2:$D$4694,MATCH($A242&amp;"|65",Positions!$A$2:$A$4694,0))</f>
        <v>65</v>
      </c>
      <c r="F242" s="4" t="str">
        <f>INDEX(Positions!$E$2:$E$4694,MATCH($A242&amp;"|49",Positions!$A$2:$A$4694,0))</f>
        <v>G</v>
      </c>
      <c r="G242" s="4" t="str">
        <f>INDEX(Positions!$E$2:$E$4694,MATCH($A242&amp;"|65",Positions!$A$2:$A$4694,0))</f>
        <v>C</v>
      </c>
      <c r="H242" s="3" t="str">
        <f t="shared" si="12"/>
        <v>G-C</v>
      </c>
      <c r="I242" s="4">
        <f t="shared" si="13"/>
        <v>1</v>
      </c>
      <c r="J242" s="4">
        <f t="shared" si="14"/>
        <v>1</v>
      </c>
      <c r="K242" s="3">
        <f t="shared" si="15"/>
        <v>2</v>
      </c>
    </row>
    <row r="243" spans="1:11">
      <c r="A243" s="4" t="s">
        <v>45</v>
      </c>
      <c r="B243" s="4" t="s">
        <v>169</v>
      </c>
      <c r="C243" s="4" t="s">
        <v>237</v>
      </c>
      <c r="D243" s="4">
        <f>INDEX(Positions!$D$2:$D$4694,MATCH($A243&amp;"|50",Positions!$A$2:$A$4694,0))</f>
        <v>50</v>
      </c>
      <c r="E243" s="4">
        <f>INDEX(Positions!$D$2:$D$4694,MATCH($A243&amp;"|64",Positions!$A$2:$A$4694,0))</f>
        <v>64</v>
      </c>
      <c r="F243" s="4" t="str">
        <f>INDEX(Positions!$E$2:$E$4694,MATCH($A243&amp;"|50",Positions!$A$2:$A$4694,0))</f>
        <v>U</v>
      </c>
      <c r="G243" s="4" t="str">
        <f>INDEX(Positions!$E$2:$E$4694,MATCH($A243&amp;"|64",Positions!$A$2:$A$4694,0))</f>
        <v>G</v>
      </c>
      <c r="H243" s="3" t="str">
        <f t="shared" si="12"/>
        <v>U-G</v>
      </c>
      <c r="I243" s="4">
        <f t="shared" si="13"/>
        <v>1</v>
      </c>
      <c r="J243" s="4">
        <f t="shared" si="14"/>
        <v>0</v>
      </c>
      <c r="K243" s="3">
        <f t="shared" si="15"/>
        <v>1</v>
      </c>
    </row>
    <row r="244" spans="1:11">
      <c r="A244" s="4" t="s">
        <v>45</v>
      </c>
      <c r="B244" s="4" t="s">
        <v>169</v>
      </c>
      <c r="C244" s="4" t="s">
        <v>238</v>
      </c>
      <c r="D244" s="4">
        <f>INDEX(Positions!$D$2:$D$4694,MATCH($A244&amp;"|51",Positions!$A$2:$A$4694,0))</f>
        <v>51</v>
      </c>
      <c r="E244" s="4">
        <f>INDEX(Positions!$D$2:$D$4694,MATCH($A244&amp;"|63",Positions!$A$2:$A$4694,0))</f>
        <v>63</v>
      </c>
      <c r="F244" s="4" t="str">
        <f>INDEX(Positions!$E$2:$E$4694,MATCH($A244&amp;"|51",Positions!$A$2:$A$4694,0))</f>
        <v>A</v>
      </c>
      <c r="G244" s="4" t="str">
        <f>INDEX(Positions!$E$2:$E$4694,MATCH($A244&amp;"|63",Positions!$A$2:$A$4694,0))</f>
        <v>U</v>
      </c>
      <c r="H244" s="3" t="str">
        <f t="shared" si="12"/>
        <v>A-U</v>
      </c>
      <c r="I244" s="4">
        <f t="shared" si="13"/>
        <v>0</v>
      </c>
      <c r="J244" s="4">
        <f t="shared" si="14"/>
        <v>0</v>
      </c>
      <c r="K244" s="3">
        <f t="shared" si="15"/>
        <v>0</v>
      </c>
    </row>
    <row r="245" spans="1:11">
      <c r="A245" s="4" t="s">
        <v>45</v>
      </c>
      <c r="B245" s="4" t="s">
        <v>169</v>
      </c>
      <c r="C245" s="4" t="s">
        <v>239</v>
      </c>
      <c r="D245" s="4">
        <f>INDEX(Positions!$D$2:$D$4694,MATCH($A245&amp;"|52",Positions!$A$2:$A$4694,0))</f>
        <v>52</v>
      </c>
      <c r="E245" s="4">
        <f>INDEX(Positions!$D$2:$D$4694,MATCH($A245&amp;"|62",Positions!$A$2:$A$4694,0))</f>
        <v>62</v>
      </c>
      <c r="F245" s="4" t="str">
        <f>INDEX(Positions!$E$2:$E$4694,MATCH($A245&amp;"|52",Positions!$A$2:$A$4694,0))</f>
        <v>G</v>
      </c>
      <c r="G245" s="4" t="str">
        <f>INDEX(Positions!$E$2:$E$4694,MATCH($A245&amp;"|62",Positions!$A$2:$A$4694,0))</f>
        <v>C</v>
      </c>
      <c r="H245" s="3" t="str">
        <f t="shared" si="12"/>
        <v>G-C</v>
      </c>
      <c r="I245" s="4">
        <f t="shared" si="13"/>
        <v>1</v>
      </c>
      <c r="J245" s="4">
        <f t="shared" si="14"/>
        <v>1</v>
      </c>
      <c r="K245" s="3">
        <f t="shared" si="15"/>
        <v>2</v>
      </c>
    </row>
    <row r="246" spans="1:11">
      <c r="A246" s="4" t="s">
        <v>45</v>
      </c>
      <c r="B246" s="4" t="s">
        <v>169</v>
      </c>
      <c r="C246" s="4" t="s">
        <v>240</v>
      </c>
      <c r="D246" s="4">
        <f>INDEX(Positions!$D$2:$D$4694,MATCH($A246&amp;"|53",Positions!$A$2:$A$4694,0))</f>
        <v>53</v>
      </c>
      <c r="E246" s="4">
        <f>INDEX(Positions!$D$2:$D$4694,MATCH($A246&amp;"|61",Positions!$A$2:$A$4694,0))</f>
        <v>61</v>
      </c>
      <c r="F246" s="4" t="str">
        <f>INDEX(Positions!$E$2:$E$4694,MATCH($A246&amp;"|53",Positions!$A$2:$A$4694,0))</f>
        <v>G</v>
      </c>
      <c r="G246" s="4" t="str">
        <f>INDEX(Positions!$E$2:$E$4694,MATCH($A246&amp;"|61",Positions!$A$2:$A$4694,0))</f>
        <v>C</v>
      </c>
      <c r="H246" s="3" t="str">
        <f t="shared" si="12"/>
        <v>G-C</v>
      </c>
      <c r="I246" s="4">
        <f t="shared" si="13"/>
        <v>1</v>
      </c>
      <c r="J246" s="4">
        <f t="shared" si="14"/>
        <v>1</v>
      </c>
      <c r="K246" s="3">
        <f t="shared" si="15"/>
        <v>2</v>
      </c>
    </row>
    <row r="247" spans="1:11">
      <c r="A247" s="23" t="s">
        <v>45</v>
      </c>
      <c r="B247" s="23" t="s">
        <v>241</v>
      </c>
      <c r="C247" s="23" t="s">
        <v>242</v>
      </c>
      <c r="D247" s="23">
        <f>INDEX(Positions!$D$2:$D$4694,MATCH($A247&amp;"|8",Positions!$A$2:$A$4694,0))</f>
        <v>8</v>
      </c>
      <c r="E247" s="23">
        <f>INDEX(Positions!$D$2:$D$4694,MATCH($A247&amp;"|14",Positions!$A$2:$A$4694,0))</f>
        <v>14</v>
      </c>
      <c r="F247" s="23" t="str">
        <f>INDEX(Positions!$E$2:$E$4694,MATCH($A247&amp;"|8",Positions!$A$2:$A$4694,0))</f>
        <v>U</v>
      </c>
      <c r="G247" s="23" t="str">
        <f>INDEX(Positions!$E$2:$E$4694,MATCH($A247&amp;"|14",Positions!$A$2:$A$4694,0))</f>
        <v>A</v>
      </c>
      <c r="H247" s="24" t="str">
        <f t="shared" si="12"/>
        <v>U-A</v>
      </c>
      <c r="I247" s="23">
        <f t="shared" si="13"/>
        <v>0</v>
      </c>
      <c r="J247" s="23">
        <f t="shared" si="14"/>
        <v>0</v>
      </c>
      <c r="K247" s="24">
        <f t="shared" si="15"/>
        <v>0</v>
      </c>
    </row>
    <row r="248" spans="1:11">
      <c r="A248" s="23" t="s">
        <v>45</v>
      </c>
      <c r="B248" s="23" t="s">
        <v>241</v>
      </c>
      <c r="C248" s="23" t="s">
        <v>243</v>
      </c>
      <c r="D248" s="23">
        <f>INDEX(Positions!$D$2:$D$4694,MATCH($A248&amp;"|15",Positions!$A$2:$A$4694,0))</f>
        <v>15</v>
      </c>
      <c r="E248" s="23">
        <f>INDEX(Positions!$D$2:$D$4694,MATCH($A248&amp;"|48",Positions!$A$2:$A$4694,0))</f>
        <v>48</v>
      </c>
      <c r="F248" s="23" t="str">
        <f>INDEX(Positions!$E$2:$E$4694,MATCH($A248&amp;"|15",Positions!$A$2:$A$4694,0))</f>
        <v>G</v>
      </c>
      <c r="G248" s="23" t="str">
        <f>INDEX(Positions!$E$2:$E$4694,MATCH($A248&amp;"|48",Positions!$A$2:$A$4694,0))</f>
        <v>C</v>
      </c>
      <c r="H248" s="24" t="str">
        <f t="shared" si="12"/>
        <v>G-C</v>
      </c>
      <c r="I248" s="23">
        <f t="shared" si="13"/>
        <v>1</v>
      </c>
      <c r="J248" s="23">
        <f t="shared" si="14"/>
        <v>1</v>
      </c>
      <c r="K248" s="24">
        <f t="shared" si="15"/>
        <v>2</v>
      </c>
    </row>
    <row r="249" spans="1:11">
      <c r="A249" s="23" t="s">
        <v>45</v>
      </c>
      <c r="B249" s="23" t="s">
        <v>241</v>
      </c>
      <c r="C249" s="23" t="s">
        <v>244</v>
      </c>
      <c r="D249" s="23">
        <f>INDEX(Positions!$D$2:$D$4694,MATCH($A249&amp;"|18",Positions!$A$2:$A$4694,0))</f>
        <v>18</v>
      </c>
      <c r="E249" s="23">
        <f>INDEX(Positions!$D$2:$D$4694,MATCH($A249&amp;"|55",Positions!$A$2:$A$4694,0))</f>
        <v>55</v>
      </c>
      <c r="F249" s="23" t="str">
        <f>INDEX(Positions!$E$2:$E$4694,MATCH($A249&amp;"|18",Positions!$A$2:$A$4694,0))</f>
        <v>G</v>
      </c>
      <c r="G249" s="23" t="str">
        <f>INDEX(Positions!$E$2:$E$4694,MATCH($A249&amp;"|55",Positions!$A$2:$A$4694,0))</f>
        <v>U</v>
      </c>
      <c r="H249" s="24" t="str">
        <f t="shared" si="12"/>
        <v>G-U</v>
      </c>
      <c r="I249" s="23">
        <f t="shared" si="13"/>
        <v>1</v>
      </c>
      <c r="J249" s="23">
        <f t="shared" si="14"/>
        <v>0</v>
      </c>
      <c r="K249" s="24">
        <f t="shared" si="15"/>
        <v>1</v>
      </c>
    </row>
    <row r="250" spans="1:11">
      <c r="A250" s="23" t="s">
        <v>45</v>
      </c>
      <c r="B250" s="23" t="s">
        <v>241</v>
      </c>
      <c r="C250" s="23" t="s">
        <v>245</v>
      </c>
      <c r="D250" s="23">
        <f>INDEX(Positions!$D$2:$D$4694,MATCH($A250&amp;"|19",Positions!$A$2:$A$4694,0))</f>
        <v>19</v>
      </c>
      <c r="E250" s="23">
        <f>INDEX(Positions!$D$2:$D$4694,MATCH($A250&amp;"|56",Positions!$A$2:$A$4694,0))</f>
        <v>56</v>
      </c>
      <c r="F250" s="23" t="str">
        <f>INDEX(Positions!$E$2:$E$4694,MATCH($A250&amp;"|19",Positions!$A$2:$A$4694,0))</f>
        <v>G</v>
      </c>
      <c r="G250" s="23" t="str">
        <f>INDEX(Positions!$E$2:$E$4694,MATCH($A250&amp;"|56",Positions!$A$2:$A$4694,0))</f>
        <v>C</v>
      </c>
      <c r="H250" s="24" t="str">
        <f t="shared" si="12"/>
        <v>G-C</v>
      </c>
      <c r="I250" s="23">
        <f t="shared" si="13"/>
        <v>1</v>
      </c>
      <c r="J250" s="23">
        <f t="shared" si="14"/>
        <v>1</v>
      </c>
      <c r="K250" s="24">
        <f t="shared" si="15"/>
        <v>2</v>
      </c>
    </row>
    <row r="251" spans="1:11">
      <c r="A251" s="23" t="s">
        <v>45</v>
      </c>
      <c r="B251" s="23" t="s">
        <v>241</v>
      </c>
      <c r="C251" s="23" t="s">
        <v>246</v>
      </c>
      <c r="D251" s="23">
        <f>INDEX(Positions!$D$2:$D$4694,MATCH($A251&amp;"|26",Positions!$A$2:$A$4694,0))</f>
        <v>26</v>
      </c>
      <c r="E251" s="23">
        <f>INDEX(Positions!$D$2:$D$4694,MATCH($A251&amp;"|44",Positions!$A$2:$A$4694,0))</f>
        <v>44</v>
      </c>
      <c r="F251" s="23" t="str">
        <f>INDEX(Positions!$E$2:$E$4694,MATCH($A251&amp;"|26",Positions!$A$2:$A$4694,0))</f>
        <v>G</v>
      </c>
      <c r="G251" s="23" t="str">
        <f>INDEX(Positions!$E$2:$E$4694,MATCH($A251&amp;"|44",Positions!$A$2:$A$4694,0))</f>
        <v>A</v>
      </c>
      <c r="H251" s="24" t="str">
        <f t="shared" si="12"/>
        <v>G-A</v>
      </c>
      <c r="I251" s="23">
        <f t="shared" si="13"/>
        <v>1</v>
      </c>
      <c r="J251" s="23">
        <f t="shared" si="14"/>
        <v>0</v>
      </c>
      <c r="K251" s="24">
        <f t="shared" si="15"/>
        <v>1</v>
      </c>
    </row>
    <row r="252" spans="1:11">
      <c r="A252" s="23" t="s">
        <v>45</v>
      </c>
      <c r="B252" s="23" t="s">
        <v>241</v>
      </c>
      <c r="C252" s="23" t="s">
        <v>247</v>
      </c>
      <c r="D252" s="23">
        <f>INDEX(Positions!$D$2:$D$4694,MATCH($A252&amp;"|32",Positions!$A$2:$A$4694,0))</f>
        <v>32</v>
      </c>
      <c r="E252" s="23">
        <f>INDEX(Positions!$D$2:$D$4694,MATCH($A252&amp;"|38",Positions!$A$2:$A$4694,0))</f>
        <v>38</v>
      </c>
      <c r="F252" s="23" t="str">
        <f>INDEX(Positions!$E$2:$E$4694,MATCH($A252&amp;"|32",Positions!$A$2:$A$4694,0))</f>
        <v>C</v>
      </c>
      <c r="G252" s="23" t="str">
        <f>INDEX(Positions!$E$2:$E$4694,MATCH($A252&amp;"|38",Positions!$A$2:$A$4694,0))</f>
        <v>A</v>
      </c>
      <c r="H252" s="24" t="str">
        <f t="shared" si="12"/>
        <v>C-A</v>
      </c>
      <c r="I252" s="23">
        <f t="shared" si="13"/>
        <v>0</v>
      </c>
      <c r="J252" s="23">
        <f t="shared" si="14"/>
        <v>1</v>
      </c>
      <c r="K252" s="24">
        <f t="shared" si="15"/>
        <v>1</v>
      </c>
    </row>
    <row r="253" spans="1:11">
      <c r="A253" s="23" t="s">
        <v>45</v>
      </c>
      <c r="B253" s="23" t="s">
        <v>241</v>
      </c>
      <c r="C253" s="23" t="s">
        <v>248</v>
      </c>
      <c r="D253" s="23">
        <f>INDEX(Positions!$D$2:$D$4694,MATCH($A253&amp;"|54",Positions!$A$2:$A$4694,0))</f>
        <v>54</v>
      </c>
      <c r="E253" s="23">
        <f>INDEX(Positions!$D$2:$D$4694,MATCH($A253&amp;"|58",Positions!$A$2:$A$4694,0))</f>
        <v>58</v>
      </c>
      <c r="F253" s="23" t="str">
        <f>INDEX(Positions!$E$2:$E$4694,MATCH($A253&amp;"|54",Positions!$A$2:$A$4694,0))</f>
        <v>U</v>
      </c>
      <c r="G253" s="23" t="str">
        <f>INDEX(Positions!$E$2:$E$4694,MATCH($A253&amp;"|58",Positions!$A$2:$A$4694,0))</f>
        <v>A</v>
      </c>
      <c r="H253" s="24" t="str">
        <f t="shared" si="12"/>
        <v>U-A</v>
      </c>
      <c r="I253" s="23">
        <f t="shared" si="13"/>
        <v>0</v>
      </c>
      <c r="J253" s="23">
        <f t="shared" si="14"/>
        <v>0</v>
      </c>
      <c r="K253" s="24">
        <f t="shared" si="15"/>
        <v>0</v>
      </c>
    </row>
    <row r="254" spans="1:11">
      <c r="A254" s="4" t="s">
        <v>46</v>
      </c>
      <c r="B254" s="4" t="s">
        <v>110</v>
      </c>
      <c r="C254" s="4" t="s">
        <v>220</v>
      </c>
      <c r="D254" s="4">
        <f>INDEX(Positions!$D$2:$D$4694,MATCH($A254&amp;"|1",Positions!$A$2:$A$4694,0))</f>
        <v>1</v>
      </c>
      <c r="E254" s="4">
        <f>INDEX(Positions!$D$2:$D$4694,MATCH($A254&amp;"|72",Positions!$A$2:$A$4694,0))</f>
        <v>72</v>
      </c>
      <c r="F254" s="4" t="str">
        <f>INDEX(Positions!$E$2:$E$4694,MATCH($A254&amp;"|1",Positions!$A$2:$A$4694,0))</f>
        <v>G</v>
      </c>
      <c r="G254" s="4" t="str">
        <f>INDEX(Positions!$E$2:$E$4694,MATCH($A254&amp;"|72",Positions!$A$2:$A$4694,0))</f>
        <v>C</v>
      </c>
      <c r="H254" s="3" t="str">
        <f t="shared" si="12"/>
        <v>G-C</v>
      </c>
      <c r="I254" s="4">
        <f t="shared" si="13"/>
        <v>1</v>
      </c>
      <c r="J254" s="4">
        <f t="shared" si="14"/>
        <v>1</v>
      </c>
      <c r="K254" s="3">
        <f t="shared" si="15"/>
        <v>2</v>
      </c>
    </row>
    <row r="255" spans="1:11">
      <c r="A255" s="4" t="s">
        <v>46</v>
      </c>
      <c r="B255" s="4" t="s">
        <v>110</v>
      </c>
      <c r="C255" s="4" t="s">
        <v>221</v>
      </c>
      <c r="D255" s="4">
        <f>INDEX(Positions!$D$2:$D$4694,MATCH($A255&amp;"|2",Positions!$A$2:$A$4694,0))</f>
        <v>2</v>
      </c>
      <c r="E255" s="4">
        <f>INDEX(Positions!$D$2:$D$4694,MATCH($A255&amp;"|71",Positions!$A$2:$A$4694,0))</f>
        <v>71</v>
      </c>
      <c r="F255" s="4" t="str">
        <f>INDEX(Positions!$E$2:$E$4694,MATCH($A255&amp;"|2",Positions!$A$2:$A$4694,0))</f>
        <v>C</v>
      </c>
      <c r="G255" s="4" t="str">
        <f>INDEX(Positions!$E$2:$E$4694,MATCH($A255&amp;"|71",Positions!$A$2:$A$4694,0))</f>
        <v>G</v>
      </c>
      <c r="H255" s="3" t="str">
        <f t="shared" si="12"/>
        <v>C-G</v>
      </c>
      <c r="I255" s="4">
        <f t="shared" si="13"/>
        <v>1</v>
      </c>
      <c r="J255" s="4">
        <f t="shared" si="14"/>
        <v>1</v>
      </c>
      <c r="K255" s="3">
        <f t="shared" si="15"/>
        <v>2</v>
      </c>
    </row>
    <row r="256" spans="1:11">
      <c r="A256" s="4" t="s">
        <v>46</v>
      </c>
      <c r="B256" s="4" t="s">
        <v>110</v>
      </c>
      <c r="C256" s="4" t="s">
        <v>222</v>
      </c>
      <c r="D256" s="4">
        <f>INDEX(Positions!$D$2:$D$4694,MATCH($A256&amp;"|3",Positions!$A$2:$A$4694,0))</f>
        <v>3</v>
      </c>
      <c r="E256" s="4">
        <f>INDEX(Positions!$D$2:$D$4694,MATCH($A256&amp;"|70",Positions!$A$2:$A$4694,0))</f>
        <v>70</v>
      </c>
      <c r="F256" s="4" t="str">
        <f>INDEX(Positions!$E$2:$E$4694,MATCH($A256&amp;"|3",Positions!$A$2:$A$4694,0))</f>
        <v>C</v>
      </c>
      <c r="G256" s="4" t="str">
        <f>INDEX(Positions!$E$2:$E$4694,MATCH($A256&amp;"|70",Positions!$A$2:$A$4694,0))</f>
        <v>G</v>
      </c>
      <c r="H256" s="3" t="str">
        <f t="shared" si="12"/>
        <v>C-G</v>
      </c>
      <c r="I256" s="4">
        <f t="shared" si="13"/>
        <v>1</v>
      </c>
      <c r="J256" s="4">
        <f t="shared" si="14"/>
        <v>1</v>
      </c>
      <c r="K256" s="3">
        <f t="shared" si="15"/>
        <v>2</v>
      </c>
    </row>
    <row r="257" spans="1:11">
      <c r="A257" s="4" t="s">
        <v>46</v>
      </c>
      <c r="B257" s="4" t="s">
        <v>110</v>
      </c>
      <c r="C257" s="4" t="s">
        <v>223</v>
      </c>
      <c r="D257" s="4">
        <f>INDEX(Positions!$D$2:$D$4694,MATCH($A257&amp;"|4",Positions!$A$2:$A$4694,0))</f>
        <v>4</v>
      </c>
      <c r="E257" s="4">
        <f>INDEX(Positions!$D$2:$D$4694,MATCH($A257&amp;"|69",Positions!$A$2:$A$4694,0))</f>
        <v>69</v>
      </c>
      <c r="F257" s="4" t="str">
        <f>INDEX(Positions!$E$2:$E$4694,MATCH($A257&amp;"|4",Positions!$A$2:$A$4694,0))</f>
        <v>G</v>
      </c>
      <c r="G257" s="4" t="str">
        <f>INDEX(Positions!$E$2:$E$4694,MATCH($A257&amp;"|69",Positions!$A$2:$A$4694,0))</f>
        <v>C</v>
      </c>
      <c r="H257" s="3" t="str">
        <f t="shared" si="12"/>
        <v>G-C</v>
      </c>
      <c r="I257" s="4">
        <f t="shared" si="13"/>
        <v>1</v>
      </c>
      <c r="J257" s="4">
        <f t="shared" si="14"/>
        <v>1</v>
      </c>
      <c r="K257" s="3">
        <f t="shared" si="15"/>
        <v>2</v>
      </c>
    </row>
    <row r="258" spans="1:11">
      <c r="A258" s="4" t="s">
        <v>46</v>
      </c>
      <c r="B258" s="4" t="s">
        <v>110</v>
      </c>
      <c r="C258" s="4" t="s">
        <v>224</v>
      </c>
      <c r="D258" s="4">
        <f>INDEX(Positions!$D$2:$D$4694,MATCH($A258&amp;"|5",Positions!$A$2:$A$4694,0))</f>
        <v>5</v>
      </c>
      <c r="E258" s="4">
        <f>INDEX(Positions!$D$2:$D$4694,MATCH($A258&amp;"|68",Positions!$A$2:$A$4694,0))</f>
        <v>68</v>
      </c>
      <c r="F258" s="4" t="str">
        <f>INDEX(Positions!$E$2:$E$4694,MATCH($A258&amp;"|5",Positions!$A$2:$A$4694,0))</f>
        <v>C</v>
      </c>
      <c r="G258" s="4" t="str">
        <f>INDEX(Positions!$E$2:$E$4694,MATCH($A258&amp;"|68",Positions!$A$2:$A$4694,0))</f>
        <v>G</v>
      </c>
      <c r="H258" s="3" t="str">
        <f t="shared" ref="H258:H321" si="16">F258&amp;"-"&amp;G258</f>
        <v>C-G</v>
      </c>
      <c r="I258" s="4">
        <f t="shared" ref="I258:I321" si="17">(F258="G")+(G258="G")</f>
        <v>1</v>
      </c>
      <c r="J258" s="4">
        <f t="shared" ref="J258:J321" si="18">(F258="C")+(G258="C")</f>
        <v>1</v>
      </c>
      <c r="K258" s="3">
        <f t="shared" ref="K258:K321" si="19">I258+J258</f>
        <v>2</v>
      </c>
    </row>
    <row r="259" spans="1:11">
      <c r="A259" s="4" t="s">
        <v>46</v>
      </c>
      <c r="B259" s="4" t="s">
        <v>110</v>
      </c>
      <c r="C259" s="4" t="s">
        <v>225</v>
      </c>
      <c r="D259" s="4">
        <f>INDEX(Positions!$D$2:$D$4694,MATCH($A259&amp;"|6",Positions!$A$2:$A$4694,0))</f>
        <v>6</v>
      </c>
      <c r="E259" s="4">
        <f>INDEX(Positions!$D$2:$D$4694,MATCH($A259&amp;"|67",Positions!$A$2:$A$4694,0))</f>
        <v>67</v>
      </c>
      <c r="F259" s="4" t="str">
        <f>INDEX(Positions!$E$2:$E$4694,MATCH($A259&amp;"|6",Positions!$A$2:$A$4694,0))</f>
        <v>U</v>
      </c>
      <c r="G259" s="4" t="str">
        <f>INDEX(Positions!$E$2:$E$4694,MATCH($A259&amp;"|67",Positions!$A$2:$A$4694,0))</f>
        <v>A</v>
      </c>
      <c r="H259" s="3" t="str">
        <f t="shared" si="16"/>
        <v>U-A</v>
      </c>
      <c r="I259" s="4">
        <f t="shared" si="17"/>
        <v>0</v>
      </c>
      <c r="J259" s="4">
        <f t="shared" si="18"/>
        <v>0</v>
      </c>
      <c r="K259" s="3">
        <f t="shared" si="19"/>
        <v>0</v>
      </c>
    </row>
    <row r="260" spans="1:11">
      <c r="A260" s="4" t="s">
        <v>46</v>
      </c>
      <c r="B260" s="4" t="s">
        <v>110</v>
      </c>
      <c r="C260" s="4" t="s">
        <v>226</v>
      </c>
      <c r="D260" s="4">
        <f>INDEX(Positions!$D$2:$D$4694,MATCH($A260&amp;"|7",Positions!$A$2:$A$4694,0))</f>
        <v>7</v>
      </c>
      <c r="E260" s="4">
        <f>INDEX(Positions!$D$2:$D$4694,MATCH($A260&amp;"|66",Positions!$A$2:$A$4694,0))</f>
        <v>66</v>
      </c>
      <c r="F260" s="4" t="str">
        <f>INDEX(Positions!$E$2:$E$4694,MATCH($A260&amp;"|7",Positions!$A$2:$A$4694,0))</f>
        <v>U</v>
      </c>
      <c r="G260" s="4" t="str">
        <f>INDEX(Positions!$E$2:$E$4694,MATCH($A260&amp;"|66",Positions!$A$2:$A$4694,0))</f>
        <v>A</v>
      </c>
      <c r="H260" s="3" t="str">
        <f t="shared" si="16"/>
        <v>U-A</v>
      </c>
      <c r="I260" s="4">
        <f t="shared" si="17"/>
        <v>0</v>
      </c>
      <c r="J260" s="4">
        <f t="shared" si="18"/>
        <v>0</v>
      </c>
      <c r="K260" s="3">
        <f t="shared" si="19"/>
        <v>0</v>
      </c>
    </row>
    <row r="261" spans="1:11">
      <c r="A261" s="4" t="s">
        <v>46</v>
      </c>
      <c r="B261" s="4" t="s">
        <v>125</v>
      </c>
      <c r="C261" s="4" t="s">
        <v>227</v>
      </c>
      <c r="D261" s="4">
        <f>INDEX(Positions!$D$2:$D$4694,MATCH($A261&amp;"|10",Positions!$A$2:$A$4694,0))</f>
        <v>10</v>
      </c>
      <c r="E261" s="4">
        <f>INDEX(Positions!$D$2:$D$4694,MATCH($A261&amp;"|25",Positions!$A$2:$A$4694,0))</f>
        <v>25</v>
      </c>
      <c r="F261" s="4" t="str">
        <f>INDEX(Positions!$E$2:$E$4694,MATCH($A261&amp;"|10",Positions!$A$2:$A$4694,0))</f>
        <v>A</v>
      </c>
      <c r="G261" s="4" t="str">
        <f>INDEX(Positions!$E$2:$E$4694,MATCH($A261&amp;"|25",Positions!$A$2:$A$4694,0))</f>
        <v>U</v>
      </c>
      <c r="H261" s="3" t="str">
        <f t="shared" si="16"/>
        <v>A-U</v>
      </c>
      <c r="I261" s="4">
        <f t="shared" si="17"/>
        <v>0</v>
      </c>
      <c r="J261" s="4">
        <f t="shared" si="18"/>
        <v>0</v>
      </c>
      <c r="K261" s="3">
        <f t="shared" si="19"/>
        <v>0</v>
      </c>
    </row>
    <row r="262" spans="1:11">
      <c r="A262" s="4" t="s">
        <v>46</v>
      </c>
      <c r="B262" s="4" t="s">
        <v>125</v>
      </c>
      <c r="C262" s="4" t="s">
        <v>228</v>
      </c>
      <c r="D262" s="4">
        <f>INDEX(Positions!$D$2:$D$4694,MATCH($A262&amp;"|11",Positions!$A$2:$A$4694,0))</f>
        <v>11</v>
      </c>
      <c r="E262" s="4">
        <f>INDEX(Positions!$D$2:$D$4694,MATCH($A262&amp;"|24",Positions!$A$2:$A$4694,0))</f>
        <v>24</v>
      </c>
      <c r="F262" s="4" t="str">
        <f>INDEX(Positions!$E$2:$E$4694,MATCH($A262&amp;"|11",Positions!$A$2:$A$4694,0))</f>
        <v>C</v>
      </c>
      <c r="G262" s="4" t="str">
        <f>INDEX(Positions!$E$2:$E$4694,MATCH($A262&amp;"|24",Positions!$A$2:$A$4694,0))</f>
        <v>G</v>
      </c>
      <c r="H262" s="3" t="str">
        <f t="shared" si="16"/>
        <v>C-G</v>
      </c>
      <c r="I262" s="4">
        <f t="shared" si="17"/>
        <v>1</v>
      </c>
      <c r="J262" s="4">
        <f t="shared" si="18"/>
        <v>1</v>
      </c>
      <c r="K262" s="3">
        <f t="shared" si="19"/>
        <v>2</v>
      </c>
    </row>
    <row r="263" spans="1:11">
      <c r="A263" s="4" t="s">
        <v>46</v>
      </c>
      <c r="B263" s="4" t="s">
        <v>125</v>
      </c>
      <c r="C263" s="4" t="s">
        <v>229</v>
      </c>
      <c r="D263" s="4">
        <f>INDEX(Positions!$D$2:$D$4694,MATCH($A263&amp;"|12",Positions!$A$2:$A$4694,0))</f>
        <v>12</v>
      </c>
      <c r="E263" s="4">
        <f>INDEX(Positions!$D$2:$D$4694,MATCH($A263&amp;"|23",Positions!$A$2:$A$4694,0))</f>
        <v>23</v>
      </c>
      <c r="F263" s="4" t="str">
        <f>INDEX(Positions!$E$2:$E$4694,MATCH($A263&amp;"|12",Positions!$A$2:$A$4694,0))</f>
        <v>U</v>
      </c>
      <c r="G263" s="4" t="str">
        <f>INDEX(Positions!$E$2:$E$4694,MATCH($A263&amp;"|23",Positions!$A$2:$A$4694,0))</f>
        <v>A</v>
      </c>
      <c r="H263" s="3" t="str">
        <f t="shared" si="16"/>
        <v>U-A</v>
      </c>
      <c r="I263" s="4">
        <f t="shared" si="17"/>
        <v>0</v>
      </c>
      <c r="J263" s="4">
        <f t="shared" si="18"/>
        <v>0</v>
      </c>
      <c r="K263" s="3">
        <f t="shared" si="19"/>
        <v>0</v>
      </c>
    </row>
    <row r="264" spans="1:11">
      <c r="A264" s="4" t="s">
        <v>46</v>
      </c>
      <c r="B264" s="4" t="s">
        <v>125</v>
      </c>
      <c r="C264" s="4" t="s">
        <v>230</v>
      </c>
      <c r="D264" s="4">
        <f>INDEX(Positions!$D$2:$D$4694,MATCH($A264&amp;"|13",Positions!$A$2:$A$4694,0))</f>
        <v>13</v>
      </c>
      <c r="E264" s="4">
        <f>INDEX(Positions!$D$2:$D$4694,MATCH($A264&amp;"|22",Positions!$A$2:$A$4694,0))</f>
        <v>22</v>
      </c>
      <c r="F264" s="4" t="str">
        <f>INDEX(Positions!$E$2:$E$4694,MATCH($A264&amp;"|13",Positions!$A$2:$A$4694,0))</f>
        <v>C</v>
      </c>
      <c r="G264" s="4" t="str">
        <f>INDEX(Positions!$E$2:$E$4694,MATCH($A264&amp;"|22",Positions!$A$2:$A$4694,0))</f>
        <v>G</v>
      </c>
      <c r="H264" s="3" t="str">
        <f t="shared" si="16"/>
        <v>C-G</v>
      </c>
      <c r="I264" s="4">
        <f t="shared" si="17"/>
        <v>1</v>
      </c>
      <c r="J264" s="4">
        <f t="shared" si="18"/>
        <v>1</v>
      </c>
      <c r="K264" s="3">
        <f t="shared" si="19"/>
        <v>2</v>
      </c>
    </row>
    <row r="265" spans="1:11">
      <c r="A265" s="4" t="s">
        <v>46</v>
      </c>
      <c r="B265" s="4" t="s">
        <v>144</v>
      </c>
      <c r="C265" s="4" t="s">
        <v>231</v>
      </c>
      <c r="D265" s="4">
        <f>INDEX(Positions!$D$2:$D$4694,MATCH($A265&amp;"|27",Positions!$A$2:$A$4694,0))</f>
        <v>27</v>
      </c>
      <c r="E265" s="4">
        <f>INDEX(Positions!$D$2:$D$4694,MATCH($A265&amp;"|43",Positions!$A$2:$A$4694,0))</f>
        <v>43</v>
      </c>
      <c r="F265" s="4" t="str">
        <f>INDEX(Positions!$E$2:$E$4694,MATCH($A265&amp;"|27",Positions!$A$2:$A$4694,0))</f>
        <v>U</v>
      </c>
      <c r="G265" s="4" t="str">
        <f>INDEX(Positions!$E$2:$E$4694,MATCH($A265&amp;"|43",Positions!$A$2:$A$4694,0))</f>
        <v>A</v>
      </c>
      <c r="H265" s="3" t="str">
        <f t="shared" si="16"/>
        <v>U-A</v>
      </c>
      <c r="I265" s="4">
        <f t="shared" si="17"/>
        <v>0</v>
      </c>
      <c r="J265" s="4">
        <f t="shared" si="18"/>
        <v>0</v>
      </c>
      <c r="K265" s="3">
        <f t="shared" si="19"/>
        <v>0</v>
      </c>
    </row>
    <row r="266" spans="1:11">
      <c r="A266" s="4" t="s">
        <v>46</v>
      </c>
      <c r="B266" s="4" t="s">
        <v>144</v>
      </c>
      <c r="C266" s="4" t="s">
        <v>232</v>
      </c>
      <c r="D266" s="4">
        <f>INDEX(Positions!$D$2:$D$4694,MATCH($A266&amp;"|28",Positions!$A$2:$A$4694,0))</f>
        <v>28</v>
      </c>
      <c r="E266" s="4">
        <f>INDEX(Positions!$D$2:$D$4694,MATCH($A266&amp;"|42",Positions!$A$2:$A$4694,0))</f>
        <v>42</v>
      </c>
      <c r="F266" s="4" t="str">
        <f>INDEX(Positions!$E$2:$E$4694,MATCH($A266&amp;"|28",Positions!$A$2:$A$4694,0))</f>
        <v>C</v>
      </c>
      <c r="G266" s="4" t="str">
        <f>INDEX(Positions!$E$2:$E$4694,MATCH($A266&amp;"|42",Positions!$A$2:$A$4694,0))</f>
        <v>G</v>
      </c>
      <c r="H266" s="3" t="str">
        <f t="shared" si="16"/>
        <v>C-G</v>
      </c>
      <c r="I266" s="4">
        <f t="shared" si="17"/>
        <v>1</v>
      </c>
      <c r="J266" s="4">
        <f t="shared" si="18"/>
        <v>1</v>
      </c>
      <c r="K266" s="3">
        <f t="shared" si="19"/>
        <v>2</v>
      </c>
    </row>
    <row r="267" spans="1:11">
      <c r="A267" s="4" t="s">
        <v>46</v>
      </c>
      <c r="B267" s="4" t="s">
        <v>144</v>
      </c>
      <c r="C267" s="4" t="s">
        <v>233</v>
      </c>
      <c r="D267" s="4">
        <f>INDEX(Positions!$D$2:$D$4694,MATCH($A267&amp;"|29",Positions!$A$2:$A$4694,0))</f>
        <v>29</v>
      </c>
      <c r="E267" s="4">
        <f>INDEX(Positions!$D$2:$D$4694,MATCH($A267&amp;"|41",Positions!$A$2:$A$4694,0))</f>
        <v>41</v>
      </c>
      <c r="F267" s="4" t="str">
        <f>INDEX(Positions!$E$2:$E$4694,MATCH($A267&amp;"|29",Positions!$A$2:$A$4694,0))</f>
        <v>U</v>
      </c>
      <c r="G267" s="4" t="str">
        <f>INDEX(Positions!$E$2:$E$4694,MATCH($A267&amp;"|41",Positions!$A$2:$A$4694,0))</f>
        <v>A</v>
      </c>
      <c r="H267" s="3" t="str">
        <f t="shared" si="16"/>
        <v>U-A</v>
      </c>
      <c r="I267" s="4">
        <f t="shared" si="17"/>
        <v>0</v>
      </c>
      <c r="J267" s="4">
        <f t="shared" si="18"/>
        <v>0</v>
      </c>
      <c r="K267" s="3">
        <f t="shared" si="19"/>
        <v>0</v>
      </c>
    </row>
    <row r="268" spans="1:11">
      <c r="A268" s="4" t="s">
        <v>46</v>
      </c>
      <c r="B268" s="4" t="s">
        <v>144</v>
      </c>
      <c r="C268" s="4" t="s">
        <v>234</v>
      </c>
      <c r="D268" s="4">
        <f>INDEX(Positions!$D$2:$D$4694,MATCH($A268&amp;"|30",Positions!$A$2:$A$4694,0))</f>
        <v>30</v>
      </c>
      <c r="E268" s="4">
        <f>INDEX(Positions!$D$2:$D$4694,MATCH($A268&amp;"|40",Positions!$A$2:$A$4694,0))</f>
        <v>40</v>
      </c>
      <c r="F268" s="4" t="str">
        <f>INDEX(Positions!$E$2:$E$4694,MATCH($A268&amp;"|30",Positions!$A$2:$A$4694,0))</f>
        <v>G</v>
      </c>
      <c r="G268" s="4" t="str">
        <f>INDEX(Positions!$E$2:$E$4694,MATCH($A268&amp;"|40",Positions!$A$2:$A$4694,0))</f>
        <v>C</v>
      </c>
      <c r="H268" s="3" t="str">
        <f t="shared" si="16"/>
        <v>G-C</v>
      </c>
      <c r="I268" s="4">
        <f t="shared" si="17"/>
        <v>1</v>
      </c>
      <c r="J268" s="4">
        <f t="shared" si="18"/>
        <v>1</v>
      </c>
      <c r="K268" s="3">
        <f t="shared" si="19"/>
        <v>2</v>
      </c>
    </row>
    <row r="269" spans="1:11">
      <c r="A269" s="4" t="s">
        <v>46</v>
      </c>
      <c r="B269" s="4" t="s">
        <v>144</v>
      </c>
      <c r="C269" s="4" t="s">
        <v>235</v>
      </c>
      <c r="D269" s="4">
        <f>INDEX(Positions!$D$2:$D$4694,MATCH($A269&amp;"|31",Positions!$A$2:$A$4694,0))</f>
        <v>31</v>
      </c>
      <c r="E269" s="4">
        <f>INDEX(Positions!$D$2:$D$4694,MATCH($A269&amp;"|39",Positions!$A$2:$A$4694,0))</f>
        <v>39</v>
      </c>
      <c r="F269" s="4" t="str">
        <f>INDEX(Positions!$E$2:$E$4694,MATCH($A269&amp;"|31",Positions!$A$2:$A$4694,0))</f>
        <v>G</v>
      </c>
      <c r="G269" s="4" t="str">
        <f>INDEX(Positions!$E$2:$E$4694,MATCH($A269&amp;"|39",Positions!$A$2:$A$4694,0))</f>
        <v>C</v>
      </c>
      <c r="H269" s="3" t="str">
        <f t="shared" si="16"/>
        <v>G-C</v>
      </c>
      <c r="I269" s="4">
        <f t="shared" si="17"/>
        <v>1</v>
      </c>
      <c r="J269" s="4">
        <f t="shared" si="18"/>
        <v>1</v>
      </c>
      <c r="K269" s="3">
        <f t="shared" si="19"/>
        <v>2</v>
      </c>
    </row>
    <row r="270" spans="1:11">
      <c r="A270" s="4" t="s">
        <v>46</v>
      </c>
      <c r="B270" s="4" t="s">
        <v>169</v>
      </c>
      <c r="C270" s="4" t="s">
        <v>236</v>
      </c>
      <c r="D270" s="4">
        <f>INDEX(Positions!$D$2:$D$4694,MATCH($A270&amp;"|49",Positions!$A$2:$A$4694,0))</f>
        <v>49</v>
      </c>
      <c r="E270" s="4">
        <f>INDEX(Positions!$D$2:$D$4694,MATCH($A270&amp;"|65",Positions!$A$2:$A$4694,0))</f>
        <v>65</v>
      </c>
      <c r="F270" s="4" t="str">
        <f>INDEX(Positions!$E$2:$E$4694,MATCH($A270&amp;"|49",Positions!$A$2:$A$4694,0))</f>
        <v>G</v>
      </c>
      <c r="G270" s="4" t="str">
        <f>INDEX(Positions!$E$2:$E$4694,MATCH($A270&amp;"|65",Positions!$A$2:$A$4694,0))</f>
        <v>C</v>
      </c>
      <c r="H270" s="3" t="str">
        <f t="shared" si="16"/>
        <v>G-C</v>
      </c>
      <c r="I270" s="4">
        <f t="shared" si="17"/>
        <v>1</v>
      </c>
      <c r="J270" s="4">
        <f t="shared" si="18"/>
        <v>1</v>
      </c>
      <c r="K270" s="3">
        <f t="shared" si="19"/>
        <v>2</v>
      </c>
    </row>
    <row r="271" spans="1:11">
      <c r="A271" s="4" t="s">
        <v>46</v>
      </c>
      <c r="B271" s="4" t="s">
        <v>169</v>
      </c>
      <c r="C271" s="4" t="s">
        <v>237</v>
      </c>
      <c r="D271" s="4">
        <f>INDEX(Positions!$D$2:$D$4694,MATCH($A271&amp;"|50",Positions!$A$2:$A$4694,0))</f>
        <v>50</v>
      </c>
      <c r="E271" s="4">
        <f>INDEX(Positions!$D$2:$D$4694,MATCH($A271&amp;"|64",Positions!$A$2:$A$4694,0))</f>
        <v>64</v>
      </c>
      <c r="F271" s="4" t="str">
        <f>INDEX(Positions!$E$2:$E$4694,MATCH($A271&amp;"|50",Positions!$A$2:$A$4694,0))</f>
        <v>U</v>
      </c>
      <c r="G271" s="4" t="str">
        <f>INDEX(Positions!$E$2:$E$4694,MATCH($A271&amp;"|64",Positions!$A$2:$A$4694,0))</f>
        <v>G</v>
      </c>
      <c r="H271" s="3" t="str">
        <f t="shared" si="16"/>
        <v>U-G</v>
      </c>
      <c r="I271" s="4">
        <f t="shared" si="17"/>
        <v>1</v>
      </c>
      <c r="J271" s="4">
        <f t="shared" si="18"/>
        <v>0</v>
      </c>
      <c r="K271" s="3">
        <f t="shared" si="19"/>
        <v>1</v>
      </c>
    </row>
    <row r="272" spans="1:11">
      <c r="A272" s="4" t="s">
        <v>46</v>
      </c>
      <c r="B272" s="4" t="s">
        <v>169</v>
      </c>
      <c r="C272" s="4" t="s">
        <v>238</v>
      </c>
      <c r="D272" s="4">
        <f>INDEX(Positions!$D$2:$D$4694,MATCH($A272&amp;"|51",Positions!$A$2:$A$4694,0))</f>
        <v>51</v>
      </c>
      <c r="E272" s="4">
        <f>INDEX(Positions!$D$2:$D$4694,MATCH($A272&amp;"|63",Positions!$A$2:$A$4694,0))</f>
        <v>63</v>
      </c>
      <c r="F272" s="4" t="str">
        <f>INDEX(Positions!$E$2:$E$4694,MATCH($A272&amp;"|51",Positions!$A$2:$A$4694,0))</f>
        <v>A</v>
      </c>
      <c r="G272" s="4" t="str">
        <f>INDEX(Positions!$E$2:$E$4694,MATCH($A272&amp;"|63",Positions!$A$2:$A$4694,0))</f>
        <v>U</v>
      </c>
      <c r="H272" s="3" t="str">
        <f t="shared" si="16"/>
        <v>A-U</v>
      </c>
      <c r="I272" s="4">
        <f t="shared" si="17"/>
        <v>0</v>
      </c>
      <c r="J272" s="4">
        <f t="shared" si="18"/>
        <v>0</v>
      </c>
      <c r="K272" s="3">
        <f t="shared" si="19"/>
        <v>0</v>
      </c>
    </row>
    <row r="273" spans="1:11">
      <c r="A273" s="4" t="s">
        <v>46</v>
      </c>
      <c r="B273" s="4" t="s">
        <v>169</v>
      </c>
      <c r="C273" s="4" t="s">
        <v>239</v>
      </c>
      <c r="D273" s="4">
        <f>INDEX(Positions!$D$2:$D$4694,MATCH($A273&amp;"|52",Positions!$A$2:$A$4694,0))</f>
        <v>52</v>
      </c>
      <c r="E273" s="4">
        <f>INDEX(Positions!$D$2:$D$4694,MATCH($A273&amp;"|62",Positions!$A$2:$A$4694,0))</f>
        <v>62</v>
      </c>
      <c r="F273" s="4" t="str">
        <f>INDEX(Positions!$E$2:$E$4694,MATCH($A273&amp;"|52",Positions!$A$2:$A$4694,0))</f>
        <v>G</v>
      </c>
      <c r="G273" s="4" t="str">
        <f>INDEX(Positions!$E$2:$E$4694,MATCH($A273&amp;"|62",Positions!$A$2:$A$4694,0))</f>
        <v>C</v>
      </c>
      <c r="H273" s="3" t="str">
        <f t="shared" si="16"/>
        <v>G-C</v>
      </c>
      <c r="I273" s="4">
        <f t="shared" si="17"/>
        <v>1</v>
      </c>
      <c r="J273" s="4">
        <f t="shared" si="18"/>
        <v>1</v>
      </c>
      <c r="K273" s="3">
        <f t="shared" si="19"/>
        <v>2</v>
      </c>
    </row>
    <row r="274" spans="1:11">
      <c r="A274" s="4" t="s">
        <v>46</v>
      </c>
      <c r="B274" s="4" t="s">
        <v>169</v>
      </c>
      <c r="C274" s="4" t="s">
        <v>240</v>
      </c>
      <c r="D274" s="4">
        <f>INDEX(Positions!$D$2:$D$4694,MATCH($A274&amp;"|53",Positions!$A$2:$A$4694,0))</f>
        <v>53</v>
      </c>
      <c r="E274" s="4">
        <f>INDEX(Positions!$D$2:$D$4694,MATCH($A274&amp;"|61",Positions!$A$2:$A$4694,0))</f>
        <v>61</v>
      </c>
      <c r="F274" s="4" t="str">
        <f>INDEX(Positions!$E$2:$E$4694,MATCH($A274&amp;"|53",Positions!$A$2:$A$4694,0))</f>
        <v>G</v>
      </c>
      <c r="G274" s="4" t="str">
        <f>INDEX(Positions!$E$2:$E$4694,MATCH($A274&amp;"|61",Positions!$A$2:$A$4694,0))</f>
        <v>C</v>
      </c>
      <c r="H274" s="3" t="str">
        <f t="shared" si="16"/>
        <v>G-C</v>
      </c>
      <c r="I274" s="4">
        <f t="shared" si="17"/>
        <v>1</v>
      </c>
      <c r="J274" s="4">
        <f t="shared" si="18"/>
        <v>1</v>
      </c>
      <c r="K274" s="3">
        <f t="shared" si="19"/>
        <v>2</v>
      </c>
    </row>
    <row r="275" spans="1:11">
      <c r="A275" s="23" t="s">
        <v>46</v>
      </c>
      <c r="B275" s="23" t="s">
        <v>241</v>
      </c>
      <c r="C275" s="23" t="s">
        <v>242</v>
      </c>
      <c r="D275" s="23">
        <f>INDEX(Positions!$D$2:$D$4694,MATCH($A275&amp;"|8",Positions!$A$2:$A$4694,0))</f>
        <v>8</v>
      </c>
      <c r="E275" s="23">
        <f>INDEX(Positions!$D$2:$D$4694,MATCH($A275&amp;"|14",Positions!$A$2:$A$4694,0))</f>
        <v>14</v>
      </c>
      <c r="F275" s="23" t="str">
        <f>INDEX(Positions!$E$2:$E$4694,MATCH($A275&amp;"|8",Positions!$A$2:$A$4694,0))</f>
        <v>U</v>
      </c>
      <c r="G275" s="23" t="str">
        <f>INDEX(Positions!$E$2:$E$4694,MATCH($A275&amp;"|14",Positions!$A$2:$A$4694,0))</f>
        <v>A</v>
      </c>
      <c r="H275" s="24" t="str">
        <f t="shared" si="16"/>
        <v>U-A</v>
      </c>
      <c r="I275" s="23">
        <f t="shared" si="17"/>
        <v>0</v>
      </c>
      <c r="J275" s="23">
        <f t="shared" si="18"/>
        <v>0</v>
      </c>
      <c r="K275" s="24">
        <f t="shared" si="19"/>
        <v>0</v>
      </c>
    </row>
    <row r="276" spans="1:11">
      <c r="A276" s="23" t="s">
        <v>46</v>
      </c>
      <c r="B276" s="23" t="s">
        <v>241</v>
      </c>
      <c r="C276" s="23" t="s">
        <v>243</v>
      </c>
      <c r="D276" s="23">
        <f>INDEX(Positions!$D$2:$D$4694,MATCH($A276&amp;"|15",Positions!$A$2:$A$4694,0))</f>
        <v>15</v>
      </c>
      <c r="E276" s="23">
        <f>INDEX(Positions!$D$2:$D$4694,MATCH($A276&amp;"|48",Positions!$A$2:$A$4694,0))</f>
        <v>48</v>
      </c>
      <c r="F276" s="23" t="str">
        <f>INDEX(Positions!$E$2:$E$4694,MATCH($A276&amp;"|15",Positions!$A$2:$A$4694,0))</f>
        <v>G</v>
      </c>
      <c r="G276" s="23" t="str">
        <f>INDEX(Positions!$E$2:$E$4694,MATCH($A276&amp;"|48",Positions!$A$2:$A$4694,0))</f>
        <v>C</v>
      </c>
      <c r="H276" s="24" t="str">
        <f t="shared" si="16"/>
        <v>G-C</v>
      </c>
      <c r="I276" s="23">
        <f t="shared" si="17"/>
        <v>1</v>
      </c>
      <c r="J276" s="23">
        <f t="shared" si="18"/>
        <v>1</v>
      </c>
      <c r="K276" s="24">
        <f t="shared" si="19"/>
        <v>2</v>
      </c>
    </row>
    <row r="277" spans="1:11">
      <c r="A277" s="23" t="s">
        <v>46</v>
      </c>
      <c r="B277" s="23" t="s">
        <v>241</v>
      </c>
      <c r="C277" s="23" t="s">
        <v>244</v>
      </c>
      <c r="D277" s="23">
        <f>INDEX(Positions!$D$2:$D$4694,MATCH($A277&amp;"|18",Positions!$A$2:$A$4694,0))</f>
        <v>18</v>
      </c>
      <c r="E277" s="23">
        <f>INDEX(Positions!$D$2:$D$4694,MATCH($A277&amp;"|55",Positions!$A$2:$A$4694,0))</f>
        <v>55</v>
      </c>
      <c r="F277" s="23" t="str">
        <f>INDEX(Positions!$E$2:$E$4694,MATCH($A277&amp;"|18",Positions!$A$2:$A$4694,0))</f>
        <v>G</v>
      </c>
      <c r="G277" s="23" t="str">
        <f>INDEX(Positions!$E$2:$E$4694,MATCH($A277&amp;"|55",Positions!$A$2:$A$4694,0))</f>
        <v>U</v>
      </c>
      <c r="H277" s="24" t="str">
        <f t="shared" si="16"/>
        <v>G-U</v>
      </c>
      <c r="I277" s="23">
        <f t="shared" si="17"/>
        <v>1</v>
      </c>
      <c r="J277" s="23">
        <f t="shared" si="18"/>
        <v>0</v>
      </c>
      <c r="K277" s="24">
        <f t="shared" si="19"/>
        <v>1</v>
      </c>
    </row>
    <row r="278" spans="1:11">
      <c r="A278" s="23" t="s">
        <v>46</v>
      </c>
      <c r="B278" s="23" t="s">
        <v>241</v>
      </c>
      <c r="C278" s="23" t="s">
        <v>245</v>
      </c>
      <c r="D278" s="23">
        <f>INDEX(Positions!$D$2:$D$4694,MATCH($A278&amp;"|19",Positions!$A$2:$A$4694,0))</f>
        <v>19</v>
      </c>
      <c r="E278" s="23">
        <f>INDEX(Positions!$D$2:$D$4694,MATCH($A278&amp;"|56",Positions!$A$2:$A$4694,0))</f>
        <v>56</v>
      </c>
      <c r="F278" s="23" t="str">
        <f>INDEX(Positions!$E$2:$E$4694,MATCH($A278&amp;"|19",Positions!$A$2:$A$4694,0))</f>
        <v>G</v>
      </c>
      <c r="G278" s="23" t="str">
        <f>INDEX(Positions!$E$2:$E$4694,MATCH($A278&amp;"|56",Positions!$A$2:$A$4694,0))</f>
        <v>C</v>
      </c>
      <c r="H278" s="24" t="str">
        <f t="shared" si="16"/>
        <v>G-C</v>
      </c>
      <c r="I278" s="23">
        <f t="shared" si="17"/>
        <v>1</v>
      </c>
      <c r="J278" s="23">
        <f t="shared" si="18"/>
        <v>1</v>
      </c>
      <c r="K278" s="24">
        <f t="shared" si="19"/>
        <v>2</v>
      </c>
    </row>
    <row r="279" spans="1:11">
      <c r="A279" s="23" t="s">
        <v>46</v>
      </c>
      <c r="B279" s="23" t="s">
        <v>241</v>
      </c>
      <c r="C279" s="23" t="s">
        <v>246</v>
      </c>
      <c r="D279" s="23">
        <f>INDEX(Positions!$D$2:$D$4694,MATCH($A279&amp;"|26",Positions!$A$2:$A$4694,0))</f>
        <v>26</v>
      </c>
      <c r="E279" s="23">
        <f>INDEX(Positions!$D$2:$D$4694,MATCH($A279&amp;"|44",Positions!$A$2:$A$4694,0))</f>
        <v>44</v>
      </c>
      <c r="F279" s="23" t="str">
        <f>INDEX(Positions!$E$2:$E$4694,MATCH($A279&amp;"|26",Positions!$A$2:$A$4694,0))</f>
        <v>G</v>
      </c>
      <c r="G279" s="23" t="str">
        <f>INDEX(Positions!$E$2:$E$4694,MATCH($A279&amp;"|44",Positions!$A$2:$A$4694,0))</f>
        <v>A</v>
      </c>
      <c r="H279" s="24" t="str">
        <f t="shared" si="16"/>
        <v>G-A</v>
      </c>
      <c r="I279" s="23">
        <f t="shared" si="17"/>
        <v>1</v>
      </c>
      <c r="J279" s="23">
        <f t="shared" si="18"/>
        <v>0</v>
      </c>
      <c r="K279" s="24">
        <f t="shared" si="19"/>
        <v>1</v>
      </c>
    </row>
    <row r="280" spans="1:11">
      <c r="A280" s="23" t="s">
        <v>46</v>
      </c>
      <c r="B280" s="23" t="s">
        <v>241</v>
      </c>
      <c r="C280" s="23" t="s">
        <v>247</v>
      </c>
      <c r="D280" s="23">
        <f>INDEX(Positions!$D$2:$D$4694,MATCH($A280&amp;"|32",Positions!$A$2:$A$4694,0))</f>
        <v>32</v>
      </c>
      <c r="E280" s="23">
        <f>INDEX(Positions!$D$2:$D$4694,MATCH($A280&amp;"|38",Positions!$A$2:$A$4694,0))</f>
        <v>38</v>
      </c>
      <c r="F280" s="23" t="str">
        <f>INDEX(Positions!$E$2:$E$4694,MATCH($A280&amp;"|32",Positions!$A$2:$A$4694,0))</f>
        <v>C</v>
      </c>
      <c r="G280" s="23" t="str">
        <f>INDEX(Positions!$E$2:$E$4694,MATCH($A280&amp;"|38",Positions!$A$2:$A$4694,0))</f>
        <v>A</v>
      </c>
      <c r="H280" s="24" t="str">
        <f t="shared" si="16"/>
        <v>C-A</v>
      </c>
      <c r="I280" s="23">
        <f t="shared" si="17"/>
        <v>0</v>
      </c>
      <c r="J280" s="23">
        <f t="shared" si="18"/>
        <v>1</v>
      </c>
      <c r="K280" s="24">
        <f t="shared" si="19"/>
        <v>1</v>
      </c>
    </row>
    <row r="281" spans="1:11">
      <c r="A281" s="23" t="s">
        <v>46</v>
      </c>
      <c r="B281" s="23" t="s">
        <v>241</v>
      </c>
      <c r="C281" s="23" t="s">
        <v>248</v>
      </c>
      <c r="D281" s="23">
        <f>INDEX(Positions!$D$2:$D$4694,MATCH($A281&amp;"|54",Positions!$A$2:$A$4694,0))</f>
        <v>54</v>
      </c>
      <c r="E281" s="23">
        <f>INDEX(Positions!$D$2:$D$4694,MATCH($A281&amp;"|58",Positions!$A$2:$A$4694,0))</f>
        <v>58</v>
      </c>
      <c r="F281" s="23" t="str">
        <f>INDEX(Positions!$E$2:$E$4694,MATCH($A281&amp;"|54",Positions!$A$2:$A$4694,0))</f>
        <v>U</v>
      </c>
      <c r="G281" s="23" t="str">
        <f>INDEX(Positions!$E$2:$E$4694,MATCH($A281&amp;"|58",Positions!$A$2:$A$4694,0))</f>
        <v>A</v>
      </c>
      <c r="H281" s="24" t="str">
        <f t="shared" si="16"/>
        <v>U-A</v>
      </c>
      <c r="I281" s="23">
        <f t="shared" si="17"/>
        <v>0</v>
      </c>
      <c r="J281" s="23">
        <f t="shared" si="18"/>
        <v>0</v>
      </c>
      <c r="K281" s="24">
        <f t="shared" si="19"/>
        <v>0</v>
      </c>
    </row>
    <row r="282" spans="1:11">
      <c r="A282" s="4" t="s">
        <v>47</v>
      </c>
      <c r="B282" s="4" t="s">
        <v>110</v>
      </c>
      <c r="C282" s="4" t="s">
        <v>220</v>
      </c>
      <c r="D282" s="4">
        <f>INDEX(Positions!$D$2:$D$4694,MATCH($A282&amp;"|1",Positions!$A$2:$A$4694,0))</f>
        <v>1</v>
      </c>
      <c r="E282" s="4">
        <f>INDEX(Positions!$D$2:$D$4694,MATCH($A282&amp;"|72",Positions!$A$2:$A$4694,0))</f>
        <v>72</v>
      </c>
      <c r="F282" s="4" t="str">
        <f>INDEX(Positions!$E$2:$E$4694,MATCH($A282&amp;"|1",Positions!$A$2:$A$4694,0))</f>
        <v>G</v>
      </c>
      <c r="G282" s="4" t="str">
        <f>INDEX(Positions!$E$2:$E$4694,MATCH($A282&amp;"|72",Positions!$A$2:$A$4694,0))</f>
        <v>C</v>
      </c>
      <c r="H282" s="3" t="str">
        <f t="shared" si="16"/>
        <v>G-C</v>
      </c>
      <c r="I282" s="4">
        <f t="shared" si="17"/>
        <v>1</v>
      </c>
      <c r="J282" s="4">
        <f t="shared" si="18"/>
        <v>1</v>
      </c>
      <c r="K282" s="3">
        <f t="shared" si="19"/>
        <v>2</v>
      </c>
    </row>
    <row r="283" spans="1:11">
      <c r="A283" s="4" t="s">
        <v>47</v>
      </c>
      <c r="B283" s="4" t="s">
        <v>110</v>
      </c>
      <c r="C283" s="4" t="s">
        <v>221</v>
      </c>
      <c r="D283" s="4">
        <f>INDEX(Positions!$D$2:$D$4694,MATCH($A283&amp;"|2",Positions!$A$2:$A$4694,0))</f>
        <v>2</v>
      </c>
      <c r="E283" s="4">
        <f>INDEX(Positions!$D$2:$D$4694,MATCH($A283&amp;"|71",Positions!$A$2:$A$4694,0))</f>
        <v>71</v>
      </c>
      <c r="F283" s="4" t="str">
        <f>INDEX(Positions!$E$2:$E$4694,MATCH($A283&amp;"|2",Positions!$A$2:$A$4694,0))</f>
        <v>U</v>
      </c>
      <c r="G283" s="4" t="str">
        <f>INDEX(Positions!$E$2:$E$4694,MATCH($A283&amp;"|71",Positions!$A$2:$A$4694,0))</f>
        <v>G</v>
      </c>
      <c r="H283" s="3" t="str">
        <f t="shared" si="16"/>
        <v>U-G</v>
      </c>
      <c r="I283" s="4">
        <f t="shared" si="17"/>
        <v>1</v>
      </c>
      <c r="J283" s="4">
        <f t="shared" si="18"/>
        <v>0</v>
      </c>
      <c r="K283" s="3">
        <f t="shared" si="19"/>
        <v>1</v>
      </c>
    </row>
    <row r="284" spans="1:11">
      <c r="A284" s="4" t="s">
        <v>47</v>
      </c>
      <c r="B284" s="4" t="s">
        <v>110</v>
      </c>
      <c r="C284" s="4" t="s">
        <v>222</v>
      </c>
      <c r="D284" s="4">
        <f>INDEX(Positions!$D$2:$D$4694,MATCH($A284&amp;"|3",Positions!$A$2:$A$4694,0))</f>
        <v>3</v>
      </c>
      <c r="E284" s="4">
        <f>INDEX(Positions!$D$2:$D$4694,MATCH($A284&amp;"|70",Positions!$A$2:$A$4694,0))</f>
        <v>70</v>
      </c>
      <c r="F284" s="4" t="str">
        <f>INDEX(Positions!$E$2:$E$4694,MATCH($A284&amp;"|3",Positions!$A$2:$A$4694,0))</f>
        <v>C</v>
      </c>
      <c r="G284" s="4" t="str">
        <f>INDEX(Positions!$E$2:$E$4694,MATCH($A284&amp;"|70",Positions!$A$2:$A$4694,0))</f>
        <v>G</v>
      </c>
      <c r="H284" s="3" t="str">
        <f t="shared" si="16"/>
        <v>C-G</v>
      </c>
      <c r="I284" s="4">
        <f t="shared" si="17"/>
        <v>1</v>
      </c>
      <c r="J284" s="4">
        <f t="shared" si="18"/>
        <v>1</v>
      </c>
      <c r="K284" s="3">
        <f t="shared" si="19"/>
        <v>2</v>
      </c>
    </row>
    <row r="285" spans="1:11">
      <c r="A285" s="4" t="s">
        <v>47</v>
      </c>
      <c r="B285" s="4" t="s">
        <v>110</v>
      </c>
      <c r="C285" s="4" t="s">
        <v>223</v>
      </c>
      <c r="D285" s="4">
        <f>INDEX(Positions!$D$2:$D$4694,MATCH($A285&amp;"|4",Positions!$A$2:$A$4694,0))</f>
        <v>4</v>
      </c>
      <c r="E285" s="4">
        <f>INDEX(Positions!$D$2:$D$4694,MATCH($A285&amp;"|69",Positions!$A$2:$A$4694,0))</f>
        <v>69</v>
      </c>
      <c r="F285" s="4" t="str">
        <f>INDEX(Positions!$E$2:$E$4694,MATCH($A285&amp;"|4",Positions!$A$2:$A$4694,0))</f>
        <v>C</v>
      </c>
      <c r="G285" s="4" t="str">
        <f>INDEX(Positions!$E$2:$E$4694,MATCH($A285&amp;"|69",Positions!$A$2:$A$4694,0))</f>
        <v>G</v>
      </c>
      <c r="H285" s="3" t="str">
        <f t="shared" si="16"/>
        <v>C-G</v>
      </c>
      <c r="I285" s="4">
        <f t="shared" si="17"/>
        <v>1</v>
      </c>
      <c r="J285" s="4">
        <f t="shared" si="18"/>
        <v>1</v>
      </c>
      <c r="K285" s="3">
        <f t="shared" si="19"/>
        <v>2</v>
      </c>
    </row>
    <row r="286" spans="1:11">
      <c r="A286" s="4" t="s">
        <v>47</v>
      </c>
      <c r="B286" s="4" t="s">
        <v>110</v>
      </c>
      <c r="C286" s="4" t="s">
        <v>224</v>
      </c>
      <c r="D286" s="4">
        <f>INDEX(Positions!$D$2:$D$4694,MATCH($A286&amp;"|5",Positions!$A$2:$A$4694,0))</f>
        <v>5</v>
      </c>
      <c r="E286" s="4">
        <f>INDEX(Positions!$D$2:$D$4694,MATCH($A286&amp;"|68",Positions!$A$2:$A$4694,0))</f>
        <v>68</v>
      </c>
      <c r="F286" s="4" t="str">
        <f>INDEX(Positions!$E$2:$E$4694,MATCH($A286&amp;"|5",Positions!$A$2:$A$4694,0))</f>
        <v>G</v>
      </c>
      <c r="G286" s="4" t="str">
        <f>INDEX(Positions!$E$2:$E$4694,MATCH($A286&amp;"|68",Positions!$A$2:$A$4694,0))</f>
        <v>C</v>
      </c>
      <c r="H286" s="3" t="str">
        <f t="shared" si="16"/>
        <v>G-C</v>
      </c>
      <c r="I286" s="4">
        <f t="shared" si="17"/>
        <v>1</v>
      </c>
      <c r="J286" s="4">
        <f t="shared" si="18"/>
        <v>1</v>
      </c>
      <c r="K286" s="3">
        <f t="shared" si="19"/>
        <v>2</v>
      </c>
    </row>
    <row r="287" spans="1:11">
      <c r="A287" s="4" t="s">
        <v>47</v>
      </c>
      <c r="B287" s="4" t="s">
        <v>110</v>
      </c>
      <c r="C287" s="4" t="s">
        <v>225</v>
      </c>
      <c r="D287" s="4">
        <f>INDEX(Positions!$D$2:$D$4694,MATCH($A287&amp;"|6",Positions!$A$2:$A$4694,0))</f>
        <v>6</v>
      </c>
      <c r="E287" s="4">
        <f>INDEX(Positions!$D$2:$D$4694,MATCH($A287&amp;"|67",Positions!$A$2:$A$4694,0))</f>
        <v>67</v>
      </c>
      <c r="F287" s="4" t="str">
        <f>INDEX(Positions!$E$2:$E$4694,MATCH($A287&amp;"|6",Positions!$A$2:$A$4694,0))</f>
        <v>G</v>
      </c>
      <c r="G287" s="4" t="str">
        <f>INDEX(Positions!$E$2:$E$4694,MATCH($A287&amp;"|67",Positions!$A$2:$A$4694,0))</f>
        <v>C</v>
      </c>
      <c r="H287" s="3" t="str">
        <f t="shared" si="16"/>
        <v>G-C</v>
      </c>
      <c r="I287" s="4">
        <f t="shared" si="17"/>
        <v>1</v>
      </c>
      <c r="J287" s="4">
        <f t="shared" si="18"/>
        <v>1</v>
      </c>
      <c r="K287" s="3">
        <f t="shared" si="19"/>
        <v>2</v>
      </c>
    </row>
    <row r="288" spans="1:11">
      <c r="A288" s="4" t="s">
        <v>47</v>
      </c>
      <c r="B288" s="4" t="s">
        <v>110</v>
      </c>
      <c r="C288" s="4" t="s">
        <v>226</v>
      </c>
      <c r="D288" s="4">
        <f>INDEX(Positions!$D$2:$D$4694,MATCH($A288&amp;"|7",Positions!$A$2:$A$4694,0))</f>
        <v>7</v>
      </c>
      <c r="E288" s="4">
        <f>INDEX(Positions!$D$2:$D$4694,MATCH($A288&amp;"|66",Positions!$A$2:$A$4694,0))</f>
        <v>66</v>
      </c>
      <c r="F288" s="4" t="str">
        <f>INDEX(Positions!$E$2:$E$4694,MATCH($A288&amp;"|7",Positions!$A$2:$A$4694,0))</f>
        <v>A</v>
      </c>
      <c r="G288" s="4" t="str">
        <f>INDEX(Positions!$E$2:$E$4694,MATCH($A288&amp;"|66",Positions!$A$2:$A$4694,0))</f>
        <v>U</v>
      </c>
      <c r="H288" s="3" t="str">
        <f t="shared" si="16"/>
        <v>A-U</v>
      </c>
      <c r="I288" s="4">
        <f t="shared" si="17"/>
        <v>0</v>
      </c>
      <c r="J288" s="4">
        <f t="shared" si="18"/>
        <v>0</v>
      </c>
      <c r="K288" s="3">
        <f t="shared" si="19"/>
        <v>0</v>
      </c>
    </row>
    <row r="289" spans="1:11">
      <c r="A289" s="4" t="s">
        <v>47</v>
      </c>
      <c r="B289" s="4" t="s">
        <v>125</v>
      </c>
      <c r="C289" s="4" t="s">
        <v>227</v>
      </c>
      <c r="D289" s="4">
        <f>INDEX(Positions!$D$2:$D$4694,MATCH($A289&amp;"|10",Positions!$A$2:$A$4694,0))</f>
        <v>10</v>
      </c>
      <c r="E289" s="4">
        <f>INDEX(Positions!$D$2:$D$4694,MATCH($A289&amp;"|25",Positions!$A$2:$A$4694,0))</f>
        <v>26</v>
      </c>
      <c r="F289" s="4" t="str">
        <f>INDEX(Positions!$E$2:$E$4694,MATCH($A289&amp;"|10",Positions!$A$2:$A$4694,0))</f>
        <v>G</v>
      </c>
      <c r="G289" s="4" t="str">
        <f>INDEX(Positions!$E$2:$E$4694,MATCH($A289&amp;"|25",Positions!$A$2:$A$4694,0))</f>
        <v>U</v>
      </c>
      <c r="H289" s="3" t="str">
        <f t="shared" si="16"/>
        <v>G-U</v>
      </c>
      <c r="I289" s="4">
        <f t="shared" si="17"/>
        <v>1</v>
      </c>
      <c r="J289" s="4">
        <f t="shared" si="18"/>
        <v>0</v>
      </c>
      <c r="K289" s="3">
        <f t="shared" si="19"/>
        <v>1</v>
      </c>
    </row>
    <row r="290" spans="1:11">
      <c r="A290" s="4" t="s">
        <v>47</v>
      </c>
      <c r="B290" s="4" t="s">
        <v>125</v>
      </c>
      <c r="C290" s="4" t="s">
        <v>228</v>
      </c>
      <c r="D290" s="4">
        <f>INDEX(Positions!$D$2:$D$4694,MATCH($A290&amp;"|11",Positions!$A$2:$A$4694,0))</f>
        <v>11</v>
      </c>
      <c r="E290" s="4">
        <f>INDEX(Positions!$D$2:$D$4694,MATCH($A290&amp;"|24",Positions!$A$2:$A$4694,0))</f>
        <v>25</v>
      </c>
      <c r="F290" s="4" t="str">
        <f>INDEX(Positions!$E$2:$E$4694,MATCH($A290&amp;"|11",Positions!$A$2:$A$4694,0))</f>
        <v>U</v>
      </c>
      <c r="G290" s="4" t="str">
        <f>INDEX(Positions!$E$2:$E$4694,MATCH($A290&amp;"|24",Positions!$A$2:$A$4694,0))</f>
        <v>A</v>
      </c>
      <c r="H290" s="3" t="str">
        <f t="shared" si="16"/>
        <v>U-A</v>
      </c>
      <c r="I290" s="4">
        <f t="shared" si="17"/>
        <v>0</v>
      </c>
      <c r="J290" s="4">
        <f t="shared" si="18"/>
        <v>0</v>
      </c>
      <c r="K290" s="3">
        <f t="shared" si="19"/>
        <v>0</v>
      </c>
    </row>
    <row r="291" spans="1:11">
      <c r="A291" s="4" t="s">
        <v>47</v>
      </c>
      <c r="B291" s="4" t="s">
        <v>125</v>
      </c>
      <c r="C291" s="4" t="s">
        <v>229</v>
      </c>
      <c r="D291" s="4">
        <f>INDEX(Positions!$D$2:$D$4694,MATCH($A291&amp;"|12",Positions!$A$2:$A$4694,0))</f>
        <v>12</v>
      </c>
      <c r="E291" s="4">
        <f>INDEX(Positions!$D$2:$D$4694,MATCH($A291&amp;"|23",Positions!$A$2:$A$4694,0))</f>
        <v>24</v>
      </c>
      <c r="F291" s="4" t="str">
        <f>INDEX(Positions!$E$2:$E$4694,MATCH($A291&amp;"|12",Positions!$A$2:$A$4694,0))</f>
        <v>G</v>
      </c>
      <c r="G291" s="4" t="str">
        <f>INDEX(Positions!$E$2:$E$4694,MATCH($A291&amp;"|23",Positions!$A$2:$A$4694,0))</f>
        <v>C</v>
      </c>
      <c r="H291" s="3" t="str">
        <f t="shared" si="16"/>
        <v>G-C</v>
      </c>
      <c r="I291" s="4">
        <f t="shared" si="17"/>
        <v>1</v>
      </c>
      <c r="J291" s="4">
        <f t="shared" si="18"/>
        <v>1</v>
      </c>
      <c r="K291" s="3">
        <f t="shared" si="19"/>
        <v>2</v>
      </c>
    </row>
    <row r="292" spans="1:11">
      <c r="A292" s="4" t="s">
        <v>47</v>
      </c>
      <c r="B292" s="4" t="s">
        <v>125</v>
      </c>
      <c r="C292" s="4" t="s">
        <v>230</v>
      </c>
      <c r="D292" s="4">
        <f>INDEX(Positions!$D$2:$D$4694,MATCH($A292&amp;"|13",Positions!$A$2:$A$4694,0))</f>
        <v>13</v>
      </c>
      <c r="E292" s="4">
        <f>INDEX(Positions!$D$2:$D$4694,MATCH($A292&amp;"|22",Positions!$A$2:$A$4694,0))</f>
        <v>23</v>
      </c>
      <c r="F292" s="4" t="str">
        <f>INDEX(Positions!$E$2:$E$4694,MATCH($A292&amp;"|13",Positions!$A$2:$A$4694,0))</f>
        <v>U</v>
      </c>
      <c r="G292" s="4" t="str">
        <f>INDEX(Positions!$E$2:$E$4694,MATCH($A292&amp;"|22",Positions!$A$2:$A$4694,0))</f>
        <v>U</v>
      </c>
      <c r="H292" s="3" t="str">
        <f t="shared" si="16"/>
        <v>U-U</v>
      </c>
      <c r="I292" s="4">
        <f t="shared" si="17"/>
        <v>0</v>
      </c>
      <c r="J292" s="4">
        <f t="shared" si="18"/>
        <v>0</v>
      </c>
      <c r="K292" s="3">
        <f t="shared" si="19"/>
        <v>0</v>
      </c>
    </row>
    <row r="293" spans="1:11">
      <c r="A293" s="4" t="s">
        <v>47</v>
      </c>
      <c r="B293" s="4" t="s">
        <v>144</v>
      </c>
      <c r="C293" s="4" t="s">
        <v>231</v>
      </c>
      <c r="D293" s="4">
        <f>INDEX(Positions!$D$2:$D$4694,MATCH($A293&amp;"|27",Positions!$A$2:$A$4694,0))</f>
        <v>28</v>
      </c>
      <c r="E293" s="4">
        <f>INDEX(Positions!$D$2:$D$4694,MATCH($A293&amp;"|43",Positions!$A$2:$A$4694,0))</f>
        <v>44</v>
      </c>
      <c r="F293" s="4" t="str">
        <f>INDEX(Positions!$E$2:$E$4694,MATCH($A293&amp;"|27",Positions!$A$2:$A$4694,0))</f>
        <v>G</v>
      </c>
      <c r="G293" s="4" t="str">
        <f>INDEX(Positions!$E$2:$E$4694,MATCH($A293&amp;"|43",Positions!$A$2:$A$4694,0))</f>
        <v>C</v>
      </c>
      <c r="H293" s="3" t="str">
        <f t="shared" si="16"/>
        <v>G-C</v>
      </c>
      <c r="I293" s="4">
        <f t="shared" si="17"/>
        <v>1</v>
      </c>
      <c r="J293" s="4">
        <f t="shared" si="18"/>
        <v>1</v>
      </c>
      <c r="K293" s="3">
        <f t="shared" si="19"/>
        <v>2</v>
      </c>
    </row>
    <row r="294" spans="1:11">
      <c r="A294" s="4" t="s">
        <v>47</v>
      </c>
      <c r="B294" s="4" t="s">
        <v>144</v>
      </c>
      <c r="C294" s="4" t="s">
        <v>232</v>
      </c>
      <c r="D294" s="4">
        <f>INDEX(Positions!$D$2:$D$4694,MATCH($A294&amp;"|28",Positions!$A$2:$A$4694,0))</f>
        <v>29</v>
      </c>
      <c r="E294" s="4">
        <f>INDEX(Positions!$D$2:$D$4694,MATCH($A294&amp;"|42",Positions!$A$2:$A$4694,0))</f>
        <v>43</v>
      </c>
      <c r="F294" s="4" t="str">
        <f>INDEX(Positions!$E$2:$E$4694,MATCH($A294&amp;"|28",Positions!$A$2:$A$4694,0))</f>
        <v>A</v>
      </c>
      <c r="G294" s="4" t="str">
        <f>INDEX(Positions!$E$2:$E$4694,MATCH($A294&amp;"|42",Positions!$A$2:$A$4694,0))</f>
        <v>U</v>
      </c>
      <c r="H294" s="3" t="str">
        <f t="shared" si="16"/>
        <v>A-U</v>
      </c>
      <c r="I294" s="4">
        <f t="shared" si="17"/>
        <v>0</v>
      </c>
      <c r="J294" s="4">
        <f t="shared" si="18"/>
        <v>0</v>
      </c>
      <c r="K294" s="3">
        <f t="shared" si="19"/>
        <v>0</v>
      </c>
    </row>
    <row r="295" spans="1:11">
      <c r="A295" s="4" t="s">
        <v>47</v>
      </c>
      <c r="B295" s="4" t="s">
        <v>144</v>
      </c>
      <c r="C295" s="4" t="s">
        <v>233</v>
      </c>
      <c r="D295" s="4">
        <f>INDEX(Positions!$D$2:$D$4694,MATCH($A295&amp;"|29",Positions!$A$2:$A$4694,0))</f>
        <v>30</v>
      </c>
      <c r="E295" s="4">
        <f>INDEX(Positions!$D$2:$D$4694,MATCH($A295&amp;"|41",Positions!$A$2:$A$4694,0))</f>
        <v>42</v>
      </c>
      <c r="F295" s="4" t="str">
        <f>INDEX(Positions!$E$2:$E$4694,MATCH($A295&amp;"|29",Positions!$A$2:$A$4694,0))</f>
        <v>G</v>
      </c>
      <c r="G295" s="4" t="str">
        <f>INDEX(Positions!$E$2:$E$4694,MATCH($A295&amp;"|41",Positions!$A$2:$A$4694,0))</f>
        <v>C</v>
      </c>
      <c r="H295" s="3" t="str">
        <f t="shared" si="16"/>
        <v>G-C</v>
      </c>
      <c r="I295" s="4">
        <f t="shared" si="17"/>
        <v>1</v>
      </c>
      <c r="J295" s="4">
        <f t="shared" si="18"/>
        <v>1</v>
      </c>
      <c r="K295" s="3">
        <f t="shared" si="19"/>
        <v>2</v>
      </c>
    </row>
    <row r="296" spans="1:11">
      <c r="A296" s="4" t="s">
        <v>47</v>
      </c>
      <c r="B296" s="4" t="s">
        <v>144</v>
      </c>
      <c r="C296" s="4" t="s">
        <v>234</v>
      </c>
      <c r="D296" s="4">
        <f>INDEX(Positions!$D$2:$D$4694,MATCH($A296&amp;"|30",Positions!$A$2:$A$4694,0))</f>
        <v>31</v>
      </c>
      <c r="E296" s="4">
        <f>INDEX(Positions!$D$2:$D$4694,MATCH($A296&amp;"|40",Positions!$A$2:$A$4694,0))</f>
        <v>41</v>
      </c>
      <c r="F296" s="4" t="str">
        <f>INDEX(Positions!$E$2:$E$4694,MATCH($A296&amp;"|30",Positions!$A$2:$A$4694,0))</f>
        <v>C</v>
      </c>
      <c r="G296" s="4" t="str">
        <f>INDEX(Positions!$E$2:$E$4694,MATCH($A296&amp;"|40",Positions!$A$2:$A$4694,0))</f>
        <v>G</v>
      </c>
      <c r="H296" s="3" t="str">
        <f t="shared" si="16"/>
        <v>C-G</v>
      </c>
      <c r="I296" s="4">
        <f t="shared" si="17"/>
        <v>1</v>
      </c>
      <c r="J296" s="4">
        <f t="shared" si="18"/>
        <v>1</v>
      </c>
      <c r="K296" s="3">
        <f t="shared" si="19"/>
        <v>2</v>
      </c>
    </row>
    <row r="297" spans="1:11">
      <c r="A297" s="4" t="s">
        <v>47</v>
      </c>
      <c r="B297" s="4" t="s">
        <v>144</v>
      </c>
      <c r="C297" s="4" t="s">
        <v>235</v>
      </c>
      <c r="D297" s="4">
        <f>INDEX(Positions!$D$2:$D$4694,MATCH($A297&amp;"|31",Positions!$A$2:$A$4694,0))</f>
        <v>32</v>
      </c>
      <c r="E297" s="4">
        <f>INDEX(Positions!$D$2:$D$4694,MATCH($A297&amp;"|39",Positions!$A$2:$A$4694,0))</f>
        <v>40</v>
      </c>
      <c r="F297" s="4" t="str">
        <f>INDEX(Positions!$E$2:$E$4694,MATCH($A297&amp;"|31",Positions!$A$2:$A$4694,0))</f>
        <v>C</v>
      </c>
      <c r="G297" s="4" t="str">
        <f>INDEX(Positions!$E$2:$E$4694,MATCH($A297&amp;"|39",Positions!$A$2:$A$4694,0))</f>
        <v>G</v>
      </c>
      <c r="H297" s="3" t="str">
        <f t="shared" si="16"/>
        <v>C-G</v>
      </c>
      <c r="I297" s="4">
        <f t="shared" si="17"/>
        <v>1</v>
      </c>
      <c r="J297" s="4">
        <f t="shared" si="18"/>
        <v>1</v>
      </c>
      <c r="K297" s="3">
        <f t="shared" si="19"/>
        <v>2</v>
      </c>
    </row>
    <row r="298" spans="1:11">
      <c r="A298" s="4" t="s">
        <v>47</v>
      </c>
      <c r="B298" s="4" t="s">
        <v>169</v>
      </c>
      <c r="C298" s="4" t="s">
        <v>236</v>
      </c>
      <c r="D298" s="4">
        <f>INDEX(Positions!$D$2:$D$4694,MATCH($A298&amp;"|49",Positions!$A$2:$A$4694,0))</f>
        <v>49</v>
      </c>
      <c r="E298" s="4">
        <f>INDEX(Positions!$D$2:$D$4694,MATCH($A298&amp;"|65",Positions!$A$2:$A$4694,0))</f>
        <v>65</v>
      </c>
      <c r="F298" s="4" t="str">
        <f>INDEX(Positions!$E$2:$E$4694,MATCH($A298&amp;"|49",Positions!$A$2:$A$4694,0))</f>
        <v>U</v>
      </c>
      <c r="G298" s="4" t="str">
        <f>INDEX(Positions!$E$2:$E$4694,MATCH($A298&amp;"|65",Positions!$A$2:$A$4694,0))</f>
        <v>G</v>
      </c>
      <c r="H298" s="3" t="str">
        <f t="shared" si="16"/>
        <v>U-G</v>
      </c>
      <c r="I298" s="4">
        <f t="shared" si="17"/>
        <v>1</v>
      </c>
      <c r="J298" s="4">
        <f t="shared" si="18"/>
        <v>0</v>
      </c>
      <c r="K298" s="3">
        <f t="shared" si="19"/>
        <v>1</v>
      </c>
    </row>
    <row r="299" spans="1:11">
      <c r="A299" s="4" t="s">
        <v>47</v>
      </c>
      <c r="B299" s="4" t="s">
        <v>169</v>
      </c>
      <c r="C299" s="4" t="s">
        <v>237</v>
      </c>
      <c r="D299" s="4">
        <f>INDEX(Positions!$D$2:$D$4694,MATCH($A299&amp;"|50",Positions!$A$2:$A$4694,0))</f>
        <v>50</v>
      </c>
      <c r="E299" s="4">
        <f>INDEX(Positions!$D$2:$D$4694,MATCH($A299&amp;"|64",Positions!$A$2:$A$4694,0))</f>
        <v>64</v>
      </c>
      <c r="F299" s="4" t="str">
        <f>INDEX(Positions!$E$2:$E$4694,MATCH($A299&amp;"|50",Positions!$A$2:$A$4694,0))</f>
        <v>C</v>
      </c>
      <c r="G299" s="4" t="str">
        <f>INDEX(Positions!$E$2:$E$4694,MATCH($A299&amp;"|64",Positions!$A$2:$A$4694,0))</f>
        <v>G</v>
      </c>
      <c r="H299" s="3" t="str">
        <f t="shared" si="16"/>
        <v>C-G</v>
      </c>
      <c r="I299" s="4">
        <f t="shared" si="17"/>
        <v>1</v>
      </c>
      <c r="J299" s="4">
        <f t="shared" si="18"/>
        <v>1</v>
      </c>
      <c r="K299" s="3">
        <f t="shared" si="19"/>
        <v>2</v>
      </c>
    </row>
    <row r="300" spans="1:11">
      <c r="A300" s="4" t="s">
        <v>47</v>
      </c>
      <c r="B300" s="4" t="s">
        <v>169</v>
      </c>
      <c r="C300" s="4" t="s">
        <v>238</v>
      </c>
      <c r="D300" s="4">
        <f>INDEX(Positions!$D$2:$D$4694,MATCH($A300&amp;"|51",Positions!$A$2:$A$4694,0))</f>
        <v>51</v>
      </c>
      <c r="E300" s="4">
        <f>INDEX(Positions!$D$2:$D$4694,MATCH($A300&amp;"|63",Positions!$A$2:$A$4694,0))</f>
        <v>63</v>
      </c>
      <c r="F300" s="4" t="str">
        <f>INDEX(Positions!$E$2:$E$4694,MATCH($A300&amp;"|51",Positions!$A$2:$A$4694,0))</f>
        <v>G</v>
      </c>
      <c r="G300" s="4" t="str">
        <f>INDEX(Positions!$E$2:$E$4694,MATCH($A300&amp;"|63",Positions!$A$2:$A$4694,0))</f>
        <v>C</v>
      </c>
      <c r="H300" s="3" t="str">
        <f t="shared" si="16"/>
        <v>G-C</v>
      </c>
      <c r="I300" s="4">
        <f t="shared" si="17"/>
        <v>1</v>
      </c>
      <c r="J300" s="4">
        <f t="shared" si="18"/>
        <v>1</v>
      </c>
      <c r="K300" s="3">
        <f t="shared" si="19"/>
        <v>2</v>
      </c>
    </row>
    <row r="301" spans="1:11">
      <c r="A301" s="4" t="s">
        <v>47</v>
      </c>
      <c r="B301" s="4" t="s">
        <v>169</v>
      </c>
      <c r="C301" s="4" t="s">
        <v>239</v>
      </c>
      <c r="D301" s="4">
        <f>INDEX(Positions!$D$2:$D$4694,MATCH($A301&amp;"|52",Positions!$A$2:$A$4694,0))</f>
        <v>52</v>
      </c>
      <c r="E301" s="4">
        <f>INDEX(Positions!$D$2:$D$4694,MATCH($A301&amp;"|62",Positions!$A$2:$A$4694,0))</f>
        <v>62</v>
      </c>
      <c r="F301" s="4" t="str">
        <f>INDEX(Positions!$E$2:$E$4694,MATCH($A301&amp;"|52",Positions!$A$2:$A$4694,0))</f>
        <v>G</v>
      </c>
      <c r="G301" s="4" t="str">
        <f>INDEX(Positions!$E$2:$E$4694,MATCH($A301&amp;"|62",Positions!$A$2:$A$4694,0))</f>
        <v>C</v>
      </c>
      <c r="H301" s="3" t="str">
        <f t="shared" si="16"/>
        <v>G-C</v>
      </c>
      <c r="I301" s="4">
        <f t="shared" si="17"/>
        <v>1</v>
      </c>
      <c r="J301" s="4">
        <f t="shared" si="18"/>
        <v>1</v>
      </c>
      <c r="K301" s="3">
        <f t="shared" si="19"/>
        <v>2</v>
      </c>
    </row>
    <row r="302" spans="1:11">
      <c r="A302" s="4" t="s">
        <v>47</v>
      </c>
      <c r="B302" s="4" t="s">
        <v>169</v>
      </c>
      <c r="C302" s="4" t="s">
        <v>240</v>
      </c>
      <c r="D302" s="4">
        <f>INDEX(Positions!$D$2:$D$4694,MATCH($A302&amp;"|53",Positions!$A$2:$A$4694,0))</f>
        <v>53</v>
      </c>
      <c r="E302" s="4">
        <f>INDEX(Positions!$D$2:$D$4694,MATCH($A302&amp;"|61",Positions!$A$2:$A$4694,0))</f>
        <v>61</v>
      </c>
      <c r="F302" s="4" t="str">
        <f>INDEX(Positions!$E$2:$E$4694,MATCH($A302&amp;"|53",Positions!$A$2:$A$4694,0))</f>
        <v>G</v>
      </c>
      <c r="G302" s="4" t="str">
        <f>INDEX(Positions!$E$2:$E$4694,MATCH($A302&amp;"|61",Positions!$A$2:$A$4694,0))</f>
        <v>C</v>
      </c>
      <c r="H302" s="3" t="str">
        <f t="shared" si="16"/>
        <v>G-C</v>
      </c>
      <c r="I302" s="4">
        <f t="shared" si="17"/>
        <v>1</v>
      </c>
      <c r="J302" s="4">
        <f t="shared" si="18"/>
        <v>1</v>
      </c>
      <c r="K302" s="3">
        <f t="shared" si="19"/>
        <v>2</v>
      </c>
    </row>
    <row r="303" spans="1:11">
      <c r="A303" s="23" t="s">
        <v>47</v>
      </c>
      <c r="B303" s="23" t="s">
        <v>241</v>
      </c>
      <c r="C303" s="23" t="s">
        <v>242</v>
      </c>
      <c r="D303" s="23">
        <f>INDEX(Positions!$D$2:$D$4694,MATCH($A303&amp;"|8",Positions!$A$2:$A$4694,0))</f>
        <v>8</v>
      </c>
      <c r="E303" s="23">
        <f>INDEX(Positions!$D$2:$D$4694,MATCH($A303&amp;"|14",Positions!$A$2:$A$4694,0))</f>
        <v>14</v>
      </c>
      <c r="F303" s="23" t="str">
        <f>INDEX(Positions!$E$2:$E$4694,MATCH($A303&amp;"|8",Positions!$A$2:$A$4694,0))</f>
        <v>U</v>
      </c>
      <c r="G303" s="23" t="str">
        <f>INDEX(Positions!$E$2:$E$4694,MATCH($A303&amp;"|14",Positions!$A$2:$A$4694,0))</f>
        <v>A</v>
      </c>
      <c r="H303" s="24" t="str">
        <f t="shared" si="16"/>
        <v>U-A</v>
      </c>
      <c r="I303" s="23">
        <f t="shared" si="17"/>
        <v>0</v>
      </c>
      <c r="J303" s="23">
        <f t="shared" si="18"/>
        <v>0</v>
      </c>
      <c r="K303" s="24">
        <f t="shared" si="19"/>
        <v>0</v>
      </c>
    </row>
    <row r="304" spans="1:11">
      <c r="A304" s="23" t="s">
        <v>47</v>
      </c>
      <c r="B304" s="23" t="s">
        <v>241</v>
      </c>
      <c r="C304" s="23" t="s">
        <v>243</v>
      </c>
      <c r="D304" s="23">
        <f>INDEX(Positions!$D$2:$D$4694,MATCH($A304&amp;"|15",Positions!$A$2:$A$4694,0))</f>
        <v>15</v>
      </c>
      <c r="E304" s="23">
        <f>INDEX(Positions!$D$2:$D$4694,MATCH($A304&amp;"|48",Positions!$A$2:$A$4694,0))</f>
        <v>48</v>
      </c>
      <c r="F304" s="23" t="str">
        <f>INDEX(Positions!$E$2:$E$4694,MATCH($A304&amp;"|15",Positions!$A$2:$A$4694,0))</f>
        <v>G</v>
      </c>
      <c r="G304" s="23" t="str">
        <f>INDEX(Positions!$E$2:$E$4694,MATCH($A304&amp;"|48",Positions!$A$2:$A$4694,0))</f>
        <v>C</v>
      </c>
      <c r="H304" s="24" t="str">
        <f t="shared" si="16"/>
        <v>G-C</v>
      </c>
      <c r="I304" s="23">
        <f t="shared" si="17"/>
        <v>1</v>
      </c>
      <c r="J304" s="23">
        <f t="shared" si="18"/>
        <v>1</v>
      </c>
      <c r="K304" s="24">
        <f t="shared" si="19"/>
        <v>2</v>
      </c>
    </row>
    <row r="305" spans="1:11">
      <c r="A305" s="23" t="s">
        <v>47</v>
      </c>
      <c r="B305" s="23" t="s">
        <v>241</v>
      </c>
      <c r="C305" s="23" t="s">
        <v>244</v>
      </c>
      <c r="D305" s="23">
        <f>INDEX(Positions!$D$2:$D$4694,MATCH($A305&amp;"|18",Positions!$A$2:$A$4694,0))</f>
        <v>17</v>
      </c>
      <c r="E305" s="23">
        <f>INDEX(Positions!$D$2:$D$4694,MATCH($A305&amp;"|55",Positions!$A$2:$A$4694,0))</f>
        <v>55</v>
      </c>
      <c r="F305" s="23" t="str">
        <f>INDEX(Positions!$E$2:$E$4694,MATCH($A305&amp;"|18",Positions!$A$2:$A$4694,0))</f>
        <v>G</v>
      </c>
      <c r="G305" s="23" t="str">
        <f>INDEX(Positions!$E$2:$E$4694,MATCH($A305&amp;"|55",Positions!$A$2:$A$4694,0))</f>
        <v>U</v>
      </c>
      <c r="H305" s="24" t="str">
        <f t="shared" si="16"/>
        <v>G-U</v>
      </c>
      <c r="I305" s="23">
        <f t="shared" si="17"/>
        <v>1</v>
      </c>
      <c r="J305" s="23">
        <f t="shared" si="18"/>
        <v>0</v>
      </c>
      <c r="K305" s="24">
        <f t="shared" si="19"/>
        <v>1</v>
      </c>
    </row>
    <row r="306" spans="1:11">
      <c r="A306" s="23" t="s">
        <v>47</v>
      </c>
      <c r="B306" s="23" t="s">
        <v>241</v>
      </c>
      <c r="C306" s="23" t="s">
        <v>245</v>
      </c>
      <c r="D306" s="23">
        <f>INDEX(Positions!$D$2:$D$4694,MATCH($A306&amp;"|19",Positions!$A$2:$A$4694,0))</f>
        <v>18</v>
      </c>
      <c r="E306" s="23">
        <f>INDEX(Positions!$D$2:$D$4694,MATCH($A306&amp;"|56",Positions!$A$2:$A$4694,0))</f>
        <v>56</v>
      </c>
      <c r="F306" s="23" t="str">
        <f>INDEX(Positions!$E$2:$E$4694,MATCH($A306&amp;"|19",Positions!$A$2:$A$4694,0))</f>
        <v>G</v>
      </c>
      <c r="G306" s="23" t="str">
        <f>INDEX(Positions!$E$2:$E$4694,MATCH($A306&amp;"|56",Positions!$A$2:$A$4694,0))</f>
        <v>C</v>
      </c>
      <c r="H306" s="24" t="str">
        <f t="shared" si="16"/>
        <v>G-C</v>
      </c>
      <c r="I306" s="23">
        <f t="shared" si="17"/>
        <v>1</v>
      </c>
      <c r="J306" s="23">
        <f t="shared" si="18"/>
        <v>1</v>
      </c>
      <c r="K306" s="24">
        <f t="shared" si="19"/>
        <v>2</v>
      </c>
    </row>
    <row r="307" spans="1:11">
      <c r="A307" s="23" t="s">
        <v>47</v>
      </c>
      <c r="B307" s="23" t="s">
        <v>241</v>
      </c>
      <c r="C307" s="23" t="s">
        <v>246</v>
      </c>
      <c r="D307" s="23">
        <f>INDEX(Positions!$D$2:$D$4694,MATCH($A307&amp;"|26",Positions!$A$2:$A$4694,0))</f>
        <v>27</v>
      </c>
      <c r="E307" s="23">
        <f>INDEX(Positions!$D$2:$D$4694,MATCH($A307&amp;"|44",Positions!$A$2:$A$4694,0))</f>
        <v>45</v>
      </c>
      <c r="F307" s="23" t="str">
        <f>INDEX(Positions!$E$2:$E$4694,MATCH($A307&amp;"|26",Positions!$A$2:$A$4694,0))</f>
        <v>G</v>
      </c>
      <c r="G307" s="23" t="str">
        <f>INDEX(Positions!$E$2:$E$4694,MATCH($A307&amp;"|44",Positions!$A$2:$A$4694,0))</f>
        <v>C</v>
      </c>
      <c r="H307" s="24" t="str">
        <f t="shared" si="16"/>
        <v>G-C</v>
      </c>
      <c r="I307" s="23">
        <f t="shared" si="17"/>
        <v>1</v>
      </c>
      <c r="J307" s="23">
        <f t="shared" si="18"/>
        <v>1</v>
      </c>
      <c r="K307" s="24">
        <f t="shared" si="19"/>
        <v>2</v>
      </c>
    </row>
    <row r="308" spans="1:11">
      <c r="A308" s="23" t="s">
        <v>47</v>
      </c>
      <c r="B308" s="23" t="s">
        <v>241</v>
      </c>
      <c r="C308" s="23" t="s">
        <v>247</v>
      </c>
      <c r="D308" s="23">
        <f>INDEX(Positions!$D$2:$D$4694,MATCH($A308&amp;"|32",Positions!$A$2:$A$4694,0))</f>
        <v>33</v>
      </c>
      <c r="E308" s="23">
        <f>INDEX(Positions!$D$2:$D$4694,MATCH($A308&amp;"|38",Positions!$A$2:$A$4694,0))</f>
        <v>39</v>
      </c>
      <c r="F308" s="23" t="str">
        <f>INDEX(Positions!$E$2:$E$4694,MATCH($A308&amp;"|32",Positions!$A$2:$A$4694,0))</f>
        <v>C</v>
      </c>
      <c r="G308" s="23" t="str">
        <f>INDEX(Positions!$E$2:$E$4694,MATCH($A308&amp;"|38",Positions!$A$2:$A$4694,0))</f>
        <v>A</v>
      </c>
      <c r="H308" s="24" t="str">
        <f t="shared" si="16"/>
        <v>C-A</v>
      </c>
      <c r="I308" s="23">
        <f t="shared" si="17"/>
        <v>0</v>
      </c>
      <c r="J308" s="23">
        <f t="shared" si="18"/>
        <v>1</v>
      </c>
      <c r="K308" s="24">
        <f t="shared" si="19"/>
        <v>1</v>
      </c>
    </row>
    <row r="309" spans="1:11">
      <c r="A309" s="23" t="s">
        <v>47</v>
      </c>
      <c r="B309" s="23" t="s">
        <v>241</v>
      </c>
      <c r="C309" s="23" t="s">
        <v>248</v>
      </c>
      <c r="D309" s="23">
        <f>INDEX(Positions!$D$2:$D$4694,MATCH($A309&amp;"|54",Positions!$A$2:$A$4694,0))</f>
        <v>54</v>
      </c>
      <c r="E309" s="23">
        <f>INDEX(Positions!$D$2:$D$4694,MATCH($A309&amp;"|58",Positions!$A$2:$A$4694,0))</f>
        <v>58</v>
      </c>
      <c r="F309" s="23" t="str">
        <f>INDEX(Positions!$E$2:$E$4694,MATCH($A309&amp;"|54",Positions!$A$2:$A$4694,0))</f>
        <v>U</v>
      </c>
      <c r="G309" s="23" t="str">
        <f>INDEX(Positions!$E$2:$E$4694,MATCH($A309&amp;"|58",Positions!$A$2:$A$4694,0))</f>
        <v>A</v>
      </c>
      <c r="H309" s="24" t="str">
        <f t="shared" si="16"/>
        <v>U-A</v>
      </c>
      <c r="I309" s="23">
        <f t="shared" si="17"/>
        <v>0</v>
      </c>
      <c r="J309" s="23">
        <f t="shared" si="18"/>
        <v>0</v>
      </c>
      <c r="K309" s="24">
        <f t="shared" si="19"/>
        <v>0</v>
      </c>
    </row>
    <row r="310" spans="1:11">
      <c r="A310" s="4" t="s">
        <v>48</v>
      </c>
      <c r="B310" s="4" t="s">
        <v>110</v>
      </c>
      <c r="C310" s="4" t="s">
        <v>220</v>
      </c>
      <c r="D310" s="4">
        <f>INDEX(Positions!$D$2:$D$4694,MATCH($A310&amp;"|1",Positions!$A$2:$A$4694,0))</f>
        <v>1</v>
      </c>
      <c r="E310" s="4">
        <f>INDEX(Positions!$D$2:$D$4694,MATCH($A310&amp;"|72",Positions!$A$2:$A$4694,0))</f>
        <v>71</v>
      </c>
      <c r="F310" s="4" t="str">
        <f>INDEX(Positions!$E$2:$E$4694,MATCH($A310&amp;"|1",Positions!$A$2:$A$4694,0))</f>
        <v>G</v>
      </c>
      <c r="G310" s="4" t="str">
        <f>INDEX(Positions!$E$2:$E$4694,MATCH($A310&amp;"|72",Positions!$A$2:$A$4694,0))</f>
        <v>C</v>
      </c>
      <c r="H310" s="3" t="str">
        <f t="shared" si="16"/>
        <v>G-C</v>
      </c>
      <c r="I310" s="4">
        <f t="shared" si="17"/>
        <v>1</v>
      </c>
      <c r="J310" s="4">
        <f t="shared" si="18"/>
        <v>1</v>
      </c>
      <c r="K310" s="3">
        <f t="shared" si="19"/>
        <v>2</v>
      </c>
    </row>
    <row r="311" spans="1:11">
      <c r="A311" s="4" t="s">
        <v>48</v>
      </c>
      <c r="B311" s="4" t="s">
        <v>110</v>
      </c>
      <c r="C311" s="4" t="s">
        <v>221</v>
      </c>
      <c r="D311" s="4">
        <f>INDEX(Positions!$D$2:$D$4694,MATCH($A311&amp;"|2",Positions!$A$2:$A$4694,0))</f>
        <v>2</v>
      </c>
      <c r="E311" s="4">
        <f>INDEX(Positions!$D$2:$D$4694,MATCH($A311&amp;"|71",Positions!$A$2:$A$4694,0))</f>
        <v>70</v>
      </c>
      <c r="F311" s="4" t="str">
        <f>INDEX(Positions!$E$2:$E$4694,MATCH($A311&amp;"|2",Positions!$A$2:$A$4694,0))</f>
        <v>C</v>
      </c>
      <c r="G311" s="4" t="str">
        <f>INDEX(Positions!$E$2:$E$4694,MATCH($A311&amp;"|71",Positions!$A$2:$A$4694,0))</f>
        <v>G</v>
      </c>
      <c r="H311" s="3" t="str">
        <f t="shared" si="16"/>
        <v>C-G</v>
      </c>
      <c r="I311" s="4">
        <f t="shared" si="17"/>
        <v>1</v>
      </c>
      <c r="J311" s="4">
        <f t="shared" si="18"/>
        <v>1</v>
      </c>
      <c r="K311" s="3">
        <f t="shared" si="19"/>
        <v>2</v>
      </c>
    </row>
    <row r="312" spans="1:11">
      <c r="A312" s="4" t="s">
        <v>48</v>
      </c>
      <c r="B312" s="4" t="s">
        <v>110</v>
      </c>
      <c r="C312" s="4" t="s">
        <v>222</v>
      </c>
      <c r="D312" s="4">
        <f>INDEX(Positions!$D$2:$D$4694,MATCH($A312&amp;"|3",Positions!$A$2:$A$4694,0))</f>
        <v>3</v>
      </c>
      <c r="E312" s="4">
        <f>INDEX(Positions!$D$2:$D$4694,MATCH($A312&amp;"|70",Positions!$A$2:$A$4694,0))</f>
        <v>69</v>
      </c>
      <c r="F312" s="4" t="str">
        <f>INDEX(Positions!$E$2:$E$4694,MATCH($A312&amp;"|3",Positions!$A$2:$A$4694,0))</f>
        <v>C</v>
      </c>
      <c r="G312" s="4" t="str">
        <f>INDEX(Positions!$E$2:$E$4694,MATCH($A312&amp;"|70",Positions!$A$2:$A$4694,0))</f>
        <v>G</v>
      </c>
      <c r="H312" s="3" t="str">
        <f t="shared" si="16"/>
        <v>C-G</v>
      </c>
      <c r="I312" s="4">
        <f t="shared" si="17"/>
        <v>1</v>
      </c>
      <c r="J312" s="4">
        <f t="shared" si="18"/>
        <v>1</v>
      </c>
      <c r="K312" s="3">
        <f t="shared" si="19"/>
        <v>2</v>
      </c>
    </row>
    <row r="313" spans="1:11">
      <c r="A313" s="4" t="s">
        <v>48</v>
      </c>
      <c r="B313" s="4" t="s">
        <v>110</v>
      </c>
      <c r="C313" s="4" t="s">
        <v>223</v>
      </c>
      <c r="D313" s="4">
        <f>INDEX(Positions!$D$2:$D$4694,MATCH($A313&amp;"|4",Positions!$A$2:$A$4694,0))</f>
        <v>4</v>
      </c>
      <c r="E313" s="4">
        <f>INDEX(Positions!$D$2:$D$4694,MATCH($A313&amp;"|69",Positions!$A$2:$A$4694,0))</f>
        <v>68</v>
      </c>
      <c r="F313" s="4" t="str">
        <f>INDEX(Positions!$E$2:$E$4694,MATCH($A313&amp;"|4",Positions!$A$2:$A$4694,0))</f>
        <v>A</v>
      </c>
      <c r="G313" s="4" t="str">
        <f>INDEX(Positions!$E$2:$E$4694,MATCH($A313&amp;"|69",Positions!$A$2:$A$4694,0))</f>
        <v>U</v>
      </c>
      <c r="H313" s="3" t="str">
        <f t="shared" si="16"/>
        <v>A-U</v>
      </c>
      <c r="I313" s="4">
        <f t="shared" si="17"/>
        <v>0</v>
      </c>
      <c r="J313" s="4">
        <f t="shared" si="18"/>
        <v>0</v>
      </c>
      <c r="K313" s="3">
        <f t="shared" si="19"/>
        <v>0</v>
      </c>
    </row>
    <row r="314" spans="1:11">
      <c r="A314" s="4" t="s">
        <v>48</v>
      </c>
      <c r="B314" s="4" t="s">
        <v>110</v>
      </c>
      <c r="C314" s="4" t="s">
        <v>224</v>
      </c>
      <c r="D314" s="4">
        <f>INDEX(Positions!$D$2:$D$4694,MATCH($A314&amp;"|5",Positions!$A$2:$A$4694,0))</f>
        <v>5</v>
      </c>
      <c r="E314" s="4">
        <f>INDEX(Positions!$D$2:$D$4694,MATCH($A314&amp;"|68",Positions!$A$2:$A$4694,0))</f>
        <v>67</v>
      </c>
      <c r="F314" s="4" t="str">
        <f>INDEX(Positions!$E$2:$E$4694,MATCH($A314&amp;"|5",Positions!$A$2:$A$4694,0))</f>
        <v>A</v>
      </c>
      <c r="G314" s="4" t="str">
        <f>INDEX(Positions!$E$2:$E$4694,MATCH($A314&amp;"|68",Positions!$A$2:$A$4694,0))</f>
        <v>U</v>
      </c>
      <c r="H314" s="3" t="str">
        <f t="shared" si="16"/>
        <v>A-U</v>
      </c>
      <c r="I314" s="4">
        <f t="shared" si="17"/>
        <v>0</v>
      </c>
      <c r="J314" s="4">
        <f t="shared" si="18"/>
        <v>0</v>
      </c>
      <c r="K314" s="3">
        <f t="shared" si="19"/>
        <v>0</v>
      </c>
    </row>
    <row r="315" spans="1:11">
      <c r="A315" s="4" t="s">
        <v>48</v>
      </c>
      <c r="B315" s="4" t="s">
        <v>110</v>
      </c>
      <c r="C315" s="4" t="s">
        <v>225</v>
      </c>
      <c r="D315" s="4">
        <f>INDEX(Positions!$D$2:$D$4694,MATCH($A315&amp;"|6",Positions!$A$2:$A$4694,0))</f>
        <v>6</v>
      </c>
      <c r="E315" s="4">
        <f>INDEX(Positions!$D$2:$D$4694,MATCH($A315&amp;"|67",Positions!$A$2:$A$4694,0))</f>
        <v>66</v>
      </c>
      <c r="F315" s="4" t="str">
        <f>INDEX(Positions!$E$2:$E$4694,MATCH($A315&amp;"|6",Positions!$A$2:$A$4694,0))</f>
        <v>G</v>
      </c>
      <c r="G315" s="4" t="str">
        <f>INDEX(Positions!$E$2:$E$4694,MATCH($A315&amp;"|67",Positions!$A$2:$A$4694,0))</f>
        <v>C</v>
      </c>
      <c r="H315" s="3" t="str">
        <f t="shared" si="16"/>
        <v>G-C</v>
      </c>
      <c r="I315" s="4">
        <f t="shared" si="17"/>
        <v>1</v>
      </c>
      <c r="J315" s="4">
        <f t="shared" si="18"/>
        <v>1</v>
      </c>
      <c r="K315" s="3">
        <f t="shared" si="19"/>
        <v>2</v>
      </c>
    </row>
    <row r="316" spans="1:11">
      <c r="A316" s="4" t="s">
        <v>48</v>
      </c>
      <c r="B316" s="4" t="s">
        <v>110</v>
      </c>
      <c r="C316" s="4" t="s">
        <v>226</v>
      </c>
      <c r="D316" s="4">
        <f>INDEX(Positions!$D$2:$D$4694,MATCH($A316&amp;"|7",Positions!$A$2:$A$4694,0))</f>
        <v>7</v>
      </c>
      <c r="E316" s="4">
        <f>INDEX(Positions!$D$2:$D$4694,MATCH($A316&amp;"|66",Positions!$A$2:$A$4694,0))</f>
        <v>65</v>
      </c>
      <c r="F316" s="4" t="str">
        <f>INDEX(Positions!$E$2:$E$4694,MATCH($A316&amp;"|7",Positions!$A$2:$A$4694,0))</f>
        <v>A</v>
      </c>
      <c r="G316" s="4" t="str">
        <f>INDEX(Positions!$E$2:$E$4694,MATCH($A316&amp;"|66",Positions!$A$2:$A$4694,0))</f>
        <v>U</v>
      </c>
      <c r="H316" s="3" t="str">
        <f t="shared" si="16"/>
        <v>A-U</v>
      </c>
      <c r="I316" s="4">
        <f t="shared" si="17"/>
        <v>0</v>
      </c>
      <c r="J316" s="4">
        <f t="shared" si="18"/>
        <v>0</v>
      </c>
      <c r="K316" s="3">
        <f t="shared" si="19"/>
        <v>0</v>
      </c>
    </row>
    <row r="317" spans="1:11">
      <c r="A317" s="4" t="s">
        <v>48</v>
      </c>
      <c r="B317" s="4" t="s">
        <v>125</v>
      </c>
      <c r="C317" s="4" t="s">
        <v>227</v>
      </c>
      <c r="D317" s="4">
        <f>INDEX(Positions!$D$2:$D$4694,MATCH($A317&amp;"|10",Positions!$A$2:$A$4694,0))</f>
        <v>10</v>
      </c>
      <c r="E317" s="4">
        <f>INDEX(Positions!$D$2:$D$4694,MATCH($A317&amp;"|25",Positions!$A$2:$A$4694,0))</f>
        <v>24</v>
      </c>
      <c r="F317" s="4" t="str">
        <f>INDEX(Positions!$E$2:$E$4694,MATCH($A317&amp;"|10",Positions!$A$2:$A$4694,0))</f>
        <v>G</v>
      </c>
      <c r="G317" s="4" t="str">
        <f>INDEX(Positions!$E$2:$E$4694,MATCH($A317&amp;"|25",Positions!$A$2:$A$4694,0))</f>
        <v>C</v>
      </c>
      <c r="H317" s="3" t="str">
        <f t="shared" si="16"/>
        <v>G-C</v>
      </c>
      <c r="I317" s="4">
        <f t="shared" si="17"/>
        <v>1</v>
      </c>
      <c r="J317" s="4">
        <f t="shared" si="18"/>
        <v>1</v>
      </c>
      <c r="K317" s="3">
        <f t="shared" si="19"/>
        <v>2</v>
      </c>
    </row>
    <row r="318" spans="1:11">
      <c r="A318" s="4" t="s">
        <v>48</v>
      </c>
      <c r="B318" s="4" t="s">
        <v>125</v>
      </c>
      <c r="C318" s="4" t="s">
        <v>228</v>
      </c>
      <c r="D318" s="4">
        <f>INDEX(Positions!$D$2:$D$4694,MATCH($A318&amp;"|11",Positions!$A$2:$A$4694,0))</f>
        <v>11</v>
      </c>
      <c r="E318" s="4">
        <f>INDEX(Positions!$D$2:$D$4694,MATCH($A318&amp;"|24",Positions!$A$2:$A$4694,0))</f>
        <v>23</v>
      </c>
      <c r="F318" s="4" t="str">
        <f>INDEX(Positions!$E$2:$E$4694,MATCH($A318&amp;"|11",Positions!$A$2:$A$4694,0))</f>
        <v>C</v>
      </c>
      <c r="G318" s="4" t="str">
        <f>INDEX(Positions!$E$2:$E$4694,MATCH($A318&amp;"|24",Positions!$A$2:$A$4694,0))</f>
        <v>G</v>
      </c>
      <c r="H318" s="3" t="str">
        <f t="shared" si="16"/>
        <v>C-G</v>
      </c>
      <c r="I318" s="4">
        <f t="shared" si="17"/>
        <v>1</v>
      </c>
      <c r="J318" s="4">
        <f t="shared" si="18"/>
        <v>1</v>
      </c>
      <c r="K318" s="3">
        <f t="shared" si="19"/>
        <v>2</v>
      </c>
    </row>
    <row r="319" spans="1:11">
      <c r="A319" s="4" t="s">
        <v>48</v>
      </c>
      <c r="B319" s="4" t="s">
        <v>125</v>
      </c>
      <c r="C319" s="4" t="s">
        <v>229</v>
      </c>
      <c r="D319" s="4">
        <f>INDEX(Positions!$D$2:$D$4694,MATCH($A319&amp;"|12",Positions!$A$2:$A$4694,0))</f>
        <v>12</v>
      </c>
      <c r="E319" s="4">
        <f>INDEX(Positions!$D$2:$D$4694,MATCH($A319&amp;"|23",Positions!$A$2:$A$4694,0))</f>
        <v>22</v>
      </c>
      <c r="F319" s="4" t="str">
        <f>INDEX(Positions!$E$2:$E$4694,MATCH($A319&amp;"|12",Positions!$A$2:$A$4694,0))</f>
        <v>G</v>
      </c>
      <c r="G319" s="4" t="str">
        <f>INDEX(Positions!$E$2:$E$4694,MATCH($A319&amp;"|23",Positions!$A$2:$A$4694,0))</f>
        <v>C</v>
      </c>
      <c r="H319" s="3" t="str">
        <f t="shared" si="16"/>
        <v>G-C</v>
      </c>
      <c r="I319" s="4">
        <f t="shared" si="17"/>
        <v>1</v>
      </c>
      <c r="J319" s="4">
        <f t="shared" si="18"/>
        <v>1</v>
      </c>
      <c r="K319" s="3">
        <f t="shared" si="19"/>
        <v>2</v>
      </c>
    </row>
    <row r="320" spans="1:11">
      <c r="A320" s="4" t="s">
        <v>48</v>
      </c>
      <c r="B320" s="4" t="s">
        <v>125</v>
      </c>
      <c r="C320" s="4" t="s">
        <v>230</v>
      </c>
      <c r="D320" s="4">
        <f>INDEX(Positions!$D$2:$D$4694,MATCH($A320&amp;"|13",Positions!$A$2:$A$4694,0))</f>
        <v>13</v>
      </c>
      <c r="E320" s="4">
        <f>INDEX(Positions!$D$2:$D$4694,MATCH($A320&amp;"|22",Positions!$A$2:$A$4694,0))</f>
        <v>21</v>
      </c>
      <c r="F320" s="4" t="str">
        <f>INDEX(Positions!$E$2:$E$4694,MATCH($A320&amp;"|13",Positions!$A$2:$A$4694,0))</f>
        <v>G</v>
      </c>
      <c r="G320" s="4" t="str">
        <f>INDEX(Positions!$E$2:$E$4694,MATCH($A320&amp;"|22",Positions!$A$2:$A$4694,0))</f>
        <v>A</v>
      </c>
      <c r="H320" s="3" t="str">
        <f t="shared" si="16"/>
        <v>G-A</v>
      </c>
      <c r="I320" s="4">
        <f t="shared" si="17"/>
        <v>1</v>
      </c>
      <c r="J320" s="4">
        <f t="shared" si="18"/>
        <v>0</v>
      </c>
      <c r="K320" s="3">
        <f t="shared" si="19"/>
        <v>1</v>
      </c>
    </row>
    <row r="321" spans="1:11">
      <c r="A321" s="4" t="s">
        <v>48</v>
      </c>
      <c r="B321" s="4" t="s">
        <v>144</v>
      </c>
      <c r="C321" s="4" t="s">
        <v>231</v>
      </c>
      <c r="D321" s="4">
        <f>INDEX(Positions!$D$2:$D$4694,MATCH($A321&amp;"|27",Positions!$A$2:$A$4694,0))</f>
        <v>26</v>
      </c>
      <c r="E321" s="4">
        <f>INDEX(Positions!$D$2:$D$4694,MATCH($A321&amp;"|43",Positions!$A$2:$A$4694,0))</f>
        <v>42</v>
      </c>
      <c r="F321" s="4" t="str">
        <f>INDEX(Positions!$E$2:$E$4694,MATCH($A321&amp;"|27",Positions!$A$2:$A$4694,0))</f>
        <v>A</v>
      </c>
      <c r="G321" s="4" t="str">
        <f>INDEX(Positions!$E$2:$E$4694,MATCH($A321&amp;"|43",Positions!$A$2:$A$4694,0))</f>
        <v>U</v>
      </c>
      <c r="H321" s="3" t="str">
        <f t="shared" si="16"/>
        <v>A-U</v>
      </c>
      <c r="I321" s="4">
        <f t="shared" si="17"/>
        <v>0</v>
      </c>
      <c r="J321" s="4">
        <f t="shared" si="18"/>
        <v>0</v>
      </c>
      <c r="K321" s="3">
        <f t="shared" si="19"/>
        <v>0</v>
      </c>
    </row>
    <row r="322" spans="1:11">
      <c r="A322" s="4" t="s">
        <v>48</v>
      </c>
      <c r="B322" s="4" t="s">
        <v>144</v>
      </c>
      <c r="C322" s="4" t="s">
        <v>232</v>
      </c>
      <c r="D322" s="4">
        <f>INDEX(Positions!$D$2:$D$4694,MATCH($A322&amp;"|28",Positions!$A$2:$A$4694,0))</f>
        <v>27</v>
      </c>
      <c r="E322" s="4">
        <f>INDEX(Positions!$D$2:$D$4694,MATCH($A322&amp;"|42",Positions!$A$2:$A$4694,0))</f>
        <v>41</v>
      </c>
      <c r="F322" s="4" t="str">
        <f>INDEX(Positions!$E$2:$E$4694,MATCH($A322&amp;"|28",Positions!$A$2:$A$4694,0))</f>
        <v>U</v>
      </c>
      <c r="G322" s="4" t="str">
        <f>INDEX(Positions!$E$2:$E$4694,MATCH($A322&amp;"|42",Positions!$A$2:$A$4694,0))</f>
        <v>A</v>
      </c>
      <c r="H322" s="3" t="str">
        <f t="shared" ref="H322:H385" si="20">F322&amp;"-"&amp;G322</f>
        <v>U-A</v>
      </c>
      <c r="I322" s="4">
        <f t="shared" ref="I322:I385" si="21">(F322="G")+(G322="G")</f>
        <v>0</v>
      </c>
      <c r="J322" s="4">
        <f t="shared" ref="J322:J385" si="22">(F322="C")+(G322="C")</f>
        <v>0</v>
      </c>
      <c r="K322" s="3">
        <f t="shared" ref="K322:K385" si="23">I322+J322</f>
        <v>0</v>
      </c>
    </row>
    <row r="323" spans="1:11">
      <c r="A323" s="4" t="s">
        <v>48</v>
      </c>
      <c r="B323" s="4" t="s">
        <v>144</v>
      </c>
      <c r="C323" s="4" t="s">
        <v>233</v>
      </c>
      <c r="D323" s="4">
        <f>INDEX(Positions!$D$2:$D$4694,MATCH($A323&amp;"|29",Positions!$A$2:$A$4694,0))</f>
        <v>28</v>
      </c>
      <c r="E323" s="4">
        <f>INDEX(Positions!$D$2:$D$4694,MATCH($A323&amp;"|41",Positions!$A$2:$A$4694,0))</f>
        <v>40</v>
      </c>
      <c r="F323" s="4" t="str">
        <f>INDEX(Positions!$E$2:$E$4694,MATCH($A323&amp;"|29",Positions!$A$2:$A$4694,0))</f>
        <v>C</v>
      </c>
      <c r="G323" s="4" t="str">
        <f>INDEX(Positions!$E$2:$E$4694,MATCH($A323&amp;"|41",Positions!$A$2:$A$4694,0))</f>
        <v>G</v>
      </c>
      <c r="H323" s="3" t="str">
        <f t="shared" si="20"/>
        <v>C-G</v>
      </c>
      <c r="I323" s="4">
        <f t="shared" si="21"/>
        <v>1</v>
      </c>
      <c r="J323" s="4">
        <f t="shared" si="22"/>
        <v>1</v>
      </c>
      <c r="K323" s="3">
        <f t="shared" si="23"/>
        <v>2</v>
      </c>
    </row>
    <row r="324" spans="1:11">
      <c r="A324" s="4" t="s">
        <v>48</v>
      </c>
      <c r="B324" s="4" t="s">
        <v>144</v>
      </c>
      <c r="C324" s="4" t="s">
        <v>234</v>
      </c>
      <c r="D324" s="4">
        <f>INDEX(Positions!$D$2:$D$4694,MATCH($A324&amp;"|30",Positions!$A$2:$A$4694,0))</f>
        <v>29</v>
      </c>
      <c r="E324" s="4">
        <f>INDEX(Positions!$D$2:$D$4694,MATCH($A324&amp;"|40",Positions!$A$2:$A$4694,0))</f>
        <v>39</v>
      </c>
      <c r="F324" s="4" t="str">
        <f>INDEX(Positions!$E$2:$E$4694,MATCH($A324&amp;"|30",Positions!$A$2:$A$4694,0))</f>
        <v>G</v>
      </c>
      <c r="G324" s="4" t="str">
        <f>INDEX(Positions!$E$2:$E$4694,MATCH($A324&amp;"|40",Positions!$A$2:$A$4694,0))</f>
        <v>C</v>
      </c>
      <c r="H324" s="3" t="str">
        <f t="shared" si="20"/>
        <v>G-C</v>
      </c>
      <c r="I324" s="4">
        <f t="shared" si="21"/>
        <v>1</v>
      </c>
      <c r="J324" s="4">
        <f t="shared" si="22"/>
        <v>1</v>
      </c>
      <c r="K324" s="3">
        <f t="shared" si="23"/>
        <v>2</v>
      </c>
    </row>
    <row r="325" spans="1:11">
      <c r="A325" s="4" t="s">
        <v>48</v>
      </c>
      <c r="B325" s="4" t="s">
        <v>144</v>
      </c>
      <c r="C325" s="4" t="s">
        <v>235</v>
      </c>
      <c r="D325" s="4">
        <f>INDEX(Positions!$D$2:$D$4694,MATCH($A325&amp;"|31",Positions!$A$2:$A$4694,0))</f>
        <v>30</v>
      </c>
      <c r="E325" s="4">
        <f>INDEX(Positions!$D$2:$D$4694,MATCH($A325&amp;"|39",Positions!$A$2:$A$4694,0))</f>
        <v>38</v>
      </c>
      <c r="F325" s="4" t="str">
        <f>INDEX(Positions!$E$2:$E$4694,MATCH($A325&amp;"|31",Positions!$A$2:$A$4694,0))</f>
        <v>C</v>
      </c>
      <c r="G325" s="4" t="str">
        <f>INDEX(Positions!$E$2:$E$4694,MATCH($A325&amp;"|39",Positions!$A$2:$A$4694,0))</f>
        <v>G</v>
      </c>
      <c r="H325" s="3" t="str">
        <f t="shared" si="20"/>
        <v>C-G</v>
      </c>
      <c r="I325" s="4">
        <f t="shared" si="21"/>
        <v>1</v>
      </c>
      <c r="J325" s="4">
        <f t="shared" si="22"/>
        <v>1</v>
      </c>
      <c r="K325" s="3">
        <f t="shared" si="23"/>
        <v>2</v>
      </c>
    </row>
    <row r="326" spans="1:11">
      <c r="A326" s="4" t="s">
        <v>48</v>
      </c>
      <c r="B326" s="4" t="s">
        <v>169</v>
      </c>
      <c r="C326" s="4" t="s">
        <v>236</v>
      </c>
      <c r="D326" s="4">
        <f>INDEX(Positions!$D$2:$D$4694,MATCH($A326&amp;"|49",Positions!$A$2:$A$4694,0))</f>
        <v>48</v>
      </c>
      <c r="E326" s="4">
        <f>INDEX(Positions!$D$2:$D$4694,MATCH($A326&amp;"|65",Positions!$A$2:$A$4694,0))</f>
        <v>64</v>
      </c>
      <c r="F326" s="4" t="str">
        <f>INDEX(Positions!$E$2:$E$4694,MATCH($A326&amp;"|49",Positions!$A$2:$A$4694,0))</f>
        <v>U</v>
      </c>
      <c r="G326" s="4" t="str">
        <f>INDEX(Positions!$E$2:$E$4694,MATCH($A326&amp;"|65",Positions!$A$2:$A$4694,0))</f>
        <v>A</v>
      </c>
      <c r="H326" s="3" t="str">
        <f t="shared" si="20"/>
        <v>U-A</v>
      </c>
      <c r="I326" s="4">
        <f t="shared" si="21"/>
        <v>0</v>
      </c>
      <c r="J326" s="4">
        <f t="shared" si="22"/>
        <v>0</v>
      </c>
      <c r="K326" s="3">
        <f t="shared" si="23"/>
        <v>0</v>
      </c>
    </row>
    <row r="327" spans="1:11">
      <c r="A327" s="4" t="s">
        <v>48</v>
      </c>
      <c r="B327" s="4" t="s">
        <v>169</v>
      </c>
      <c r="C327" s="4" t="s">
        <v>237</v>
      </c>
      <c r="D327" s="4">
        <f>INDEX(Positions!$D$2:$D$4694,MATCH($A327&amp;"|50",Positions!$A$2:$A$4694,0))</f>
        <v>49</v>
      </c>
      <c r="E327" s="4">
        <f>INDEX(Positions!$D$2:$D$4694,MATCH($A327&amp;"|64",Positions!$A$2:$A$4694,0))</f>
        <v>63</v>
      </c>
      <c r="F327" s="4" t="str">
        <f>INDEX(Positions!$E$2:$E$4694,MATCH($A327&amp;"|50",Positions!$A$2:$A$4694,0))</f>
        <v>C</v>
      </c>
      <c r="G327" s="4" t="str">
        <f>INDEX(Positions!$E$2:$E$4694,MATCH($A327&amp;"|64",Positions!$A$2:$A$4694,0))</f>
        <v>G</v>
      </c>
      <c r="H327" s="3" t="str">
        <f t="shared" si="20"/>
        <v>C-G</v>
      </c>
      <c r="I327" s="4">
        <f t="shared" si="21"/>
        <v>1</v>
      </c>
      <c r="J327" s="4">
        <f t="shared" si="22"/>
        <v>1</v>
      </c>
      <c r="K327" s="3">
        <f t="shared" si="23"/>
        <v>2</v>
      </c>
    </row>
    <row r="328" spans="1:11">
      <c r="A328" s="4" t="s">
        <v>48</v>
      </c>
      <c r="B328" s="4" t="s">
        <v>169</v>
      </c>
      <c r="C328" s="4" t="s">
        <v>238</v>
      </c>
      <c r="D328" s="4">
        <f>INDEX(Positions!$D$2:$D$4694,MATCH($A328&amp;"|51",Positions!$A$2:$A$4694,0))</f>
        <v>50</v>
      </c>
      <c r="E328" s="4">
        <f>INDEX(Positions!$D$2:$D$4694,MATCH($A328&amp;"|63",Positions!$A$2:$A$4694,0))</f>
        <v>62</v>
      </c>
      <c r="F328" s="4" t="str">
        <f>INDEX(Positions!$E$2:$E$4694,MATCH($A328&amp;"|51",Positions!$A$2:$A$4694,0))</f>
        <v>C</v>
      </c>
      <c r="G328" s="4" t="str">
        <f>INDEX(Positions!$E$2:$E$4694,MATCH($A328&amp;"|63",Positions!$A$2:$A$4694,0))</f>
        <v>G</v>
      </c>
      <c r="H328" s="3" t="str">
        <f t="shared" si="20"/>
        <v>C-G</v>
      </c>
      <c r="I328" s="4">
        <f t="shared" si="21"/>
        <v>1</v>
      </c>
      <c r="J328" s="4">
        <f t="shared" si="22"/>
        <v>1</v>
      </c>
      <c r="K328" s="3">
        <f t="shared" si="23"/>
        <v>2</v>
      </c>
    </row>
    <row r="329" spans="1:11">
      <c r="A329" s="4" t="s">
        <v>48</v>
      </c>
      <c r="B329" s="4" t="s">
        <v>169</v>
      </c>
      <c r="C329" s="4" t="s">
        <v>239</v>
      </c>
      <c r="D329" s="4">
        <f>INDEX(Positions!$D$2:$D$4694,MATCH($A329&amp;"|52",Positions!$A$2:$A$4694,0))</f>
        <v>51</v>
      </c>
      <c r="E329" s="4">
        <f>INDEX(Positions!$D$2:$D$4694,MATCH($A329&amp;"|62",Positions!$A$2:$A$4694,0))</f>
        <v>61</v>
      </c>
      <c r="F329" s="4" t="str">
        <f>INDEX(Positions!$E$2:$E$4694,MATCH($A329&amp;"|52",Positions!$A$2:$A$4694,0))</f>
        <v>G</v>
      </c>
      <c r="G329" s="4" t="str">
        <f>INDEX(Positions!$E$2:$E$4694,MATCH($A329&amp;"|62",Positions!$A$2:$A$4694,0))</f>
        <v>C</v>
      </c>
      <c r="H329" s="3" t="str">
        <f t="shared" si="20"/>
        <v>G-C</v>
      </c>
      <c r="I329" s="4">
        <f t="shared" si="21"/>
        <v>1</v>
      </c>
      <c r="J329" s="4">
        <f t="shared" si="22"/>
        <v>1</v>
      </c>
      <c r="K329" s="3">
        <f t="shared" si="23"/>
        <v>2</v>
      </c>
    </row>
    <row r="330" spans="1:11">
      <c r="A330" s="4" t="s">
        <v>48</v>
      </c>
      <c r="B330" s="4" t="s">
        <v>169</v>
      </c>
      <c r="C330" s="4" t="s">
        <v>240</v>
      </c>
      <c r="D330" s="4">
        <f>INDEX(Positions!$D$2:$D$4694,MATCH($A330&amp;"|53",Positions!$A$2:$A$4694,0))</f>
        <v>52</v>
      </c>
      <c r="E330" s="4">
        <f>INDEX(Positions!$D$2:$D$4694,MATCH($A330&amp;"|61",Positions!$A$2:$A$4694,0))</f>
        <v>60</v>
      </c>
      <c r="F330" s="4" t="str">
        <f>INDEX(Positions!$E$2:$E$4694,MATCH($A330&amp;"|53",Positions!$A$2:$A$4694,0))</f>
        <v>G</v>
      </c>
      <c r="G330" s="4" t="str">
        <f>INDEX(Positions!$E$2:$E$4694,MATCH($A330&amp;"|61",Positions!$A$2:$A$4694,0))</f>
        <v>C</v>
      </c>
      <c r="H330" s="3" t="str">
        <f t="shared" si="20"/>
        <v>G-C</v>
      </c>
      <c r="I330" s="4">
        <f t="shared" si="21"/>
        <v>1</v>
      </c>
      <c r="J330" s="4">
        <f t="shared" si="22"/>
        <v>1</v>
      </c>
      <c r="K330" s="3">
        <f t="shared" si="23"/>
        <v>2</v>
      </c>
    </row>
    <row r="331" spans="1:11">
      <c r="A331" s="23" t="s">
        <v>48</v>
      </c>
      <c r="B331" s="23" t="s">
        <v>241</v>
      </c>
      <c r="C331" s="23" t="s">
        <v>242</v>
      </c>
      <c r="D331" s="23">
        <f>INDEX(Positions!$D$2:$D$4694,MATCH($A331&amp;"|8",Positions!$A$2:$A$4694,0))</f>
        <v>8</v>
      </c>
      <c r="E331" s="23">
        <f>INDEX(Positions!$D$2:$D$4694,MATCH($A331&amp;"|14",Positions!$A$2:$A$4694,0))</f>
        <v>14</v>
      </c>
      <c r="F331" s="23" t="str">
        <f>INDEX(Positions!$E$2:$E$4694,MATCH($A331&amp;"|8",Positions!$A$2:$A$4694,0))</f>
        <v>U</v>
      </c>
      <c r="G331" s="23" t="str">
        <f>INDEX(Positions!$E$2:$E$4694,MATCH($A331&amp;"|14",Positions!$A$2:$A$4694,0))</f>
        <v>A</v>
      </c>
      <c r="H331" s="24" t="str">
        <f t="shared" si="20"/>
        <v>U-A</v>
      </c>
      <c r="I331" s="23">
        <f t="shared" si="21"/>
        <v>0</v>
      </c>
      <c r="J331" s="23">
        <f t="shared" si="22"/>
        <v>0</v>
      </c>
      <c r="K331" s="24">
        <f t="shared" si="23"/>
        <v>0</v>
      </c>
    </row>
    <row r="332" spans="1:11">
      <c r="A332" s="23" t="s">
        <v>48</v>
      </c>
      <c r="B332" s="23" t="s">
        <v>241</v>
      </c>
      <c r="C332" s="23" t="s">
        <v>243</v>
      </c>
      <c r="D332" s="23">
        <f>INDEX(Positions!$D$2:$D$4694,MATCH($A332&amp;"|15",Positions!$A$2:$A$4694,0))</f>
        <v>15</v>
      </c>
      <c r="E332" s="23">
        <f>INDEX(Positions!$D$2:$D$4694,MATCH($A332&amp;"|48",Positions!$A$2:$A$4694,0))</f>
        <v>47</v>
      </c>
      <c r="F332" s="23" t="str">
        <f>INDEX(Positions!$E$2:$E$4694,MATCH($A332&amp;"|15",Positions!$A$2:$A$4694,0))</f>
        <v>G</v>
      </c>
      <c r="G332" s="23" t="str">
        <f>INDEX(Positions!$E$2:$E$4694,MATCH($A332&amp;"|48",Positions!$A$2:$A$4694,0))</f>
        <v>U</v>
      </c>
      <c r="H332" s="24" t="str">
        <f t="shared" si="20"/>
        <v>G-U</v>
      </c>
      <c r="I332" s="23">
        <f t="shared" si="21"/>
        <v>1</v>
      </c>
      <c r="J332" s="23">
        <f t="shared" si="22"/>
        <v>0</v>
      </c>
      <c r="K332" s="24">
        <f t="shared" si="23"/>
        <v>1</v>
      </c>
    </row>
    <row r="333" spans="1:11">
      <c r="A333" s="23" t="s">
        <v>48</v>
      </c>
      <c r="B333" s="23" t="s">
        <v>241</v>
      </c>
      <c r="C333" s="23" t="s">
        <v>244</v>
      </c>
      <c r="D333" s="23">
        <f>INDEX(Positions!$D$2:$D$4694,MATCH($A333&amp;"|18",Positions!$A$2:$A$4694,0))</f>
        <v>17</v>
      </c>
      <c r="E333" s="23">
        <f>INDEX(Positions!$D$2:$D$4694,MATCH($A333&amp;"|55",Positions!$A$2:$A$4694,0))</f>
        <v>54</v>
      </c>
      <c r="F333" s="23" t="str">
        <f>INDEX(Positions!$E$2:$E$4694,MATCH($A333&amp;"|18",Positions!$A$2:$A$4694,0))</f>
        <v>G</v>
      </c>
      <c r="G333" s="23" t="str">
        <f>INDEX(Positions!$E$2:$E$4694,MATCH($A333&amp;"|55",Positions!$A$2:$A$4694,0))</f>
        <v>U</v>
      </c>
      <c r="H333" s="24" t="str">
        <f t="shared" si="20"/>
        <v>G-U</v>
      </c>
      <c r="I333" s="23">
        <f t="shared" si="21"/>
        <v>1</v>
      </c>
      <c r="J333" s="23">
        <f t="shared" si="22"/>
        <v>0</v>
      </c>
      <c r="K333" s="24">
        <f t="shared" si="23"/>
        <v>1</v>
      </c>
    </row>
    <row r="334" spans="1:11">
      <c r="A334" s="23" t="s">
        <v>48</v>
      </c>
      <c r="B334" s="23" t="s">
        <v>241</v>
      </c>
      <c r="C334" s="23" t="s">
        <v>245</v>
      </c>
      <c r="D334" s="23">
        <f>INDEX(Positions!$D$2:$D$4694,MATCH($A334&amp;"|19",Positions!$A$2:$A$4694,0))</f>
        <v>18</v>
      </c>
      <c r="E334" s="23">
        <f>INDEX(Positions!$D$2:$D$4694,MATCH($A334&amp;"|56",Positions!$A$2:$A$4694,0))</f>
        <v>55</v>
      </c>
      <c r="F334" s="23" t="str">
        <f>INDEX(Positions!$E$2:$E$4694,MATCH($A334&amp;"|19",Positions!$A$2:$A$4694,0))</f>
        <v>G</v>
      </c>
      <c r="G334" s="23" t="str">
        <f>INDEX(Positions!$E$2:$E$4694,MATCH($A334&amp;"|56",Positions!$A$2:$A$4694,0))</f>
        <v>C</v>
      </c>
      <c r="H334" s="24" t="str">
        <f t="shared" si="20"/>
        <v>G-C</v>
      </c>
      <c r="I334" s="23">
        <f t="shared" si="21"/>
        <v>1</v>
      </c>
      <c r="J334" s="23">
        <f t="shared" si="22"/>
        <v>1</v>
      </c>
      <c r="K334" s="24">
        <f t="shared" si="23"/>
        <v>2</v>
      </c>
    </row>
    <row r="335" spans="1:11">
      <c r="A335" s="23" t="s">
        <v>48</v>
      </c>
      <c r="B335" s="23" t="s">
        <v>241</v>
      </c>
      <c r="C335" s="23" t="s">
        <v>246</v>
      </c>
      <c r="D335" s="23">
        <f>INDEX(Positions!$D$2:$D$4694,MATCH($A335&amp;"|26",Positions!$A$2:$A$4694,0))</f>
        <v>25</v>
      </c>
      <c r="E335" s="23">
        <f>INDEX(Positions!$D$2:$D$4694,MATCH($A335&amp;"|44",Positions!$A$2:$A$4694,0))</f>
        <v>43</v>
      </c>
      <c r="F335" s="23" t="str">
        <f>INDEX(Positions!$E$2:$E$4694,MATCH($A335&amp;"|26",Positions!$A$2:$A$4694,0))</f>
        <v>A</v>
      </c>
      <c r="G335" s="23" t="str">
        <f>INDEX(Positions!$E$2:$E$4694,MATCH($A335&amp;"|44",Positions!$A$2:$A$4694,0))</f>
        <v>U</v>
      </c>
      <c r="H335" s="24" t="str">
        <f t="shared" si="20"/>
        <v>A-U</v>
      </c>
      <c r="I335" s="23">
        <f t="shared" si="21"/>
        <v>0</v>
      </c>
      <c r="J335" s="23">
        <f t="shared" si="22"/>
        <v>0</v>
      </c>
      <c r="K335" s="24">
        <f t="shared" si="23"/>
        <v>0</v>
      </c>
    </row>
    <row r="336" spans="1:11">
      <c r="A336" s="23" t="s">
        <v>48</v>
      </c>
      <c r="B336" s="23" t="s">
        <v>241</v>
      </c>
      <c r="C336" s="23" t="s">
        <v>247</v>
      </c>
      <c r="D336" s="23">
        <f>INDEX(Positions!$D$2:$D$4694,MATCH($A336&amp;"|32",Positions!$A$2:$A$4694,0))</f>
        <v>31</v>
      </c>
      <c r="E336" s="23">
        <f>INDEX(Positions!$D$2:$D$4694,MATCH($A336&amp;"|38",Positions!$A$2:$A$4694,0))</f>
        <v>37</v>
      </c>
      <c r="F336" s="23" t="str">
        <f>INDEX(Positions!$E$2:$E$4694,MATCH($A336&amp;"|32",Positions!$A$2:$A$4694,0))</f>
        <v>C</v>
      </c>
      <c r="G336" s="23" t="str">
        <f>INDEX(Positions!$E$2:$E$4694,MATCH($A336&amp;"|38",Positions!$A$2:$A$4694,0))</f>
        <v>A</v>
      </c>
      <c r="H336" s="24" t="str">
        <f t="shared" si="20"/>
        <v>C-A</v>
      </c>
      <c r="I336" s="23">
        <f t="shared" si="21"/>
        <v>0</v>
      </c>
      <c r="J336" s="23">
        <f t="shared" si="22"/>
        <v>1</v>
      </c>
      <c r="K336" s="24">
        <f t="shared" si="23"/>
        <v>1</v>
      </c>
    </row>
    <row r="337" spans="1:11">
      <c r="A337" s="23" t="s">
        <v>48</v>
      </c>
      <c r="B337" s="23" t="s">
        <v>241</v>
      </c>
      <c r="C337" s="23" t="s">
        <v>248</v>
      </c>
      <c r="D337" s="23">
        <f>INDEX(Positions!$D$2:$D$4694,MATCH($A337&amp;"|54",Positions!$A$2:$A$4694,0))</f>
        <v>53</v>
      </c>
      <c r="E337" s="23">
        <f>INDEX(Positions!$D$2:$D$4694,MATCH($A337&amp;"|58",Positions!$A$2:$A$4694,0))</f>
        <v>57</v>
      </c>
      <c r="F337" s="23" t="str">
        <f>INDEX(Positions!$E$2:$E$4694,MATCH($A337&amp;"|54",Positions!$A$2:$A$4694,0))</f>
        <v>U</v>
      </c>
      <c r="G337" s="23" t="str">
        <f>INDEX(Positions!$E$2:$E$4694,MATCH($A337&amp;"|58",Positions!$A$2:$A$4694,0))</f>
        <v>A</v>
      </c>
      <c r="H337" s="24" t="str">
        <f t="shared" si="20"/>
        <v>U-A</v>
      </c>
      <c r="I337" s="23">
        <f t="shared" si="21"/>
        <v>0</v>
      </c>
      <c r="J337" s="23">
        <f t="shared" si="22"/>
        <v>0</v>
      </c>
      <c r="K337" s="24">
        <f t="shared" si="23"/>
        <v>0</v>
      </c>
    </row>
    <row r="338" spans="1:11">
      <c r="A338" s="4" t="s">
        <v>49</v>
      </c>
      <c r="B338" s="4" t="s">
        <v>110</v>
      </c>
      <c r="C338" s="4" t="s">
        <v>220</v>
      </c>
      <c r="D338" s="4">
        <f>INDEX(Positions!$D$2:$D$4694,MATCH($A338&amp;"|1",Positions!$A$2:$A$4694,0))</f>
        <v>1</v>
      </c>
      <c r="E338" s="4">
        <f>INDEX(Positions!$D$2:$D$4694,MATCH($A338&amp;"|72",Positions!$A$2:$A$4694,0))</f>
        <v>71</v>
      </c>
      <c r="F338" s="4" t="str">
        <f>INDEX(Positions!$E$2:$E$4694,MATCH($A338&amp;"|1",Positions!$A$2:$A$4694,0))</f>
        <v>G</v>
      </c>
      <c r="G338" s="4" t="str">
        <f>INDEX(Positions!$E$2:$E$4694,MATCH($A338&amp;"|72",Positions!$A$2:$A$4694,0))</f>
        <v>C</v>
      </c>
      <c r="H338" s="3" t="str">
        <f t="shared" si="20"/>
        <v>G-C</v>
      </c>
      <c r="I338" s="4">
        <f t="shared" si="21"/>
        <v>1</v>
      </c>
      <c r="J338" s="4">
        <f t="shared" si="22"/>
        <v>1</v>
      </c>
      <c r="K338" s="3">
        <f t="shared" si="23"/>
        <v>2</v>
      </c>
    </row>
    <row r="339" spans="1:11">
      <c r="A339" s="4" t="s">
        <v>49</v>
      </c>
      <c r="B339" s="4" t="s">
        <v>110</v>
      </c>
      <c r="C339" s="4" t="s">
        <v>221</v>
      </c>
      <c r="D339" s="4">
        <f>INDEX(Positions!$D$2:$D$4694,MATCH($A339&amp;"|2",Positions!$A$2:$A$4694,0))</f>
        <v>2</v>
      </c>
      <c r="E339" s="4">
        <f>INDEX(Positions!$D$2:$D$4694,MATCH($A339&amp;"|71",Positions!$A$2:$A$4694,0))</f>
        <v>70</v>
      </c>
      <c r="F339" s="4" t="str">
        <f>INDEX(Positions!$E$2:$E$4694,MATCH($A339&amp;"|2",Positions!$A$2:$A$4694,0))</f>
        <v>C</v>
      </c>
      <c r="G339" s="4" t="str">
        <f>INDEX(Positions!$E$2:$E$4694,MATCH($A339&amp;"|71",Positions!$A$2:$A$4694,0))</f>
        <v>G</v>
      </c>
      <c r="H339" s="3" t="str">
        <f t="shared" si="20"/>
        <v>C-G</v>
      </c>
      <c r="I339" s="4">
        <f t="shared" si="21"/>
        <v>1</v>
      </c>
      <c r="J339" s="4">
        <f t="shared" si="22"/>
        <v>1</v>
      </c>
      <c r="K339" s="3">
        <f t="shared" si="23"/>
        <v>2</v>
      </c>
    </row>
    <row r="340" spans="1:11">
      <c r="A340" s="4" t="s">
        <v>49</v>
      </c>
      <c r="B340" s="4" t="s">
        <v>110</v>
      </c>
      <c r="C340" s="4" t="s">
        <v>222</v>
      </c>
      <c r="D340" s="4">
        <f>INDEX(Positions!$D$2:$D$4694,MATCH($A340&amp;"|3",Positions!$A$2:$A$4694,0))</f>
        <v>3</v>
      </c>
      <c r="E340" s="4">
        <f>INDEX(Positions!$D$2:$D$4694,MATCH($A340&amp;"|70",Positions!$A$2:$A$4694,0))</f>
        <v>69</v>
      </c>
      <c r="F340" s="4" t="str">
        <f>INDEX(Positions!$E$2:$E$4694,MATCH($A340&amp;"|3",Positions!$A$2:$A$4694,0))</f>
        <v>C</v>
      </c>
      <c r="G340" s="4" t="str">
        <f>INDEX(Positions!$E$2:$E$4694,MATCH($A340&amp;"|70",Positions!$A$2:$A$4694,0))</f>
        <v>G</v>
      </c>
      <c r="H340" s="3" t="str">
        <f t="shared" si="20"/>
        <v>C-G</v>
      </c>
      <c r="I340" s="4">
        <f t="shared" si="21"/>
        <v>1</v>
      </c>
      <c r="J340" s="4">
        <f t="shared" si="22"/>
        <v>1</v>
      </c>
      <c r="K340" s="3">
        <f t="shared" si="23"/>
        <v>2</v>
      </c>
    </row>
    <row r="341" spans="1:11">
      <c r="A341" s="4" t="s">
        <v>49</v>
      </c>
      <c r="B341" s="4" t="s">
        <v>110</v>
      </c>
      <c r="C341" s="4" t="s">
        <v>223</v>
      </c>
      <c r="D341" s="4">
        <f>INDEX(Positions!$D$2:$D$4694,MATCH($A341&amp;"|4",Positions!$A$2:$A$4694,0))</f>
        <v>4</v>
      </c>
      <c r="E341" s="4">
        <f>INDEX(Positions!$D$2:$D$4694,MATCH($A341&amp;"|69",Positions!$A$2:$A$4694,0))</f>
        <v>68</v>
      </c>
      <c r="F341" s="4" t="str">
        <f>INDEX(Positions!$E$2:$E$4694,MATCH($A341&amp;"|4",Positions!$A$2:$A$4694,0))</f>
        <v>A</v>
      </c>
      <c r="G341" s="4" t="str">
        <f>INDEX(Positions!$E$2:$E$4694,MATCH($A341&amp;"|69",Positions!$A$2:$A$4694,0))</f>
        <v>U</v>
      </c>
      <c r="H341" s="3" t="str">
        <f t="shared" si="20"/>
        <v>A-U</v>
      </c>
      <c r="I341" s="4">
        <f t="shared" si="21"/>
        <v>0</v>
      </c>
      <c r="J341" s="4">
        <f t="shared" si="22"/>
        <v>0</v>
      </c>
      <c r="K341" s="3">
        <f t="shared" si="23"/>
        <v>0</v>
      </c>
    </row>
    <row r="342" spans="1:11">
      <c r="A342" s="4" t="s">
        <v>49</v>
      </c>
      <c r="B342" s="4" t="s">
        <v>110</v>
      </c>
      <c r="C342" s="4" t="s">
        <v>224</v>
      </c>
      <c r="D342" s="4">
        <f>INDEX(Positions!$D$2:$D$4694,MATCH($A342&amp;"|5",Positions!$A$2:$A$4694,0))</f>
        <v>5</v>
      </c>
      <c r="E342" s="4">
        <f>INDEX(Positions!$D$2:$D$4694,MATCH($A342&amp;"|68",Positions!$A$2:$A$4694,0))</f>
        <v>67</v>
      </c>
      <c r="F342" s="4" t="str">
        <f>INDEX(Positions!$E$2:$E$4694,MATCH($A342&amp;"|5",Positions!$A$2:$A$4694,0))</f>
        <v>A</v>
      </c>
      <c r="G342" s="4" t="str">
        <f>INDEX(Positions!$E$2:$E$4694,MATCH($A342&amp;"|68",Positions!$A$2:$A$4694,0))</f>
        <v>U</v>
      </c>
      <c r="H342" s="3" t="str">
        <f t="shared" si="20"/>
        <v>A-U</v>
      </c>
      <c r="I342" s="4">
        <f t="shared" si="21"/>
        <v>0</v>
      </c>
      <c r="J342" s="4">
        <f t="shared" si="22"/>
        <v>0</v>
      </c>
      <c r="K342" s="3">
        <f t="shared" si="23"/>
        <v>0</v>
      </c>
    </row>
    <row r="343" spans="1:11">
      <c r="A343" s="4" t="s">
        <v>49</v>
      </c>
      <c r="B343" s="4" t="s">
        <v>110</v>
      </c>
      <c r="C343" s="4" t="s">
        <v>225</v>
      </c>
      <c r="D343" s="4">
        <f>INDEX(Positions!$D$2:$D$4694,MATCH($A343&amp;"|6",Positions!$A$2:$A$4694,0))</f>
        <v>6</v>
      </c>
      <c r="E343" s="4">
        <f>INDEX(Positions!$D$2:$D$4694,MATCH($A343&amp;"|67",Positions!$A$2:$A$4694,0))</f>
        <v>66</v>
      </c>
      <c r="F343" s="4" t="str">
        <f>INDEX(Positions!$E$2:$E$4694,MATCH($A343&amp;"|6",Positions!$A$2:$A$4694,0))</f>
        <v>G</v>
      </c>
      <c r="G343" s="4" t="str">
        <f>INDEX(Positions!$E$2:$E$4694,MATCH($A343&amp;"|67",Positions!$A$2:$A$4694,0))</f>
        <v>C</v>
      </c>
      <c r="H343" s="3" t="str">
        <f t="shared" si="20"/>
        <v>G-C</v>
      </c>
      <c r="I343" s="4">
        <f t="shared" si="21"/>
        <v>1</v>
      </c>
      <c r="J343" s="4">
        <f t="shared" si="22"/>
        <v>1</v>
      </c>
      <c r="K343" s="3">
        <f t="shared" si="23"/>
        <v>2</v>
      </c>
    </row>
    <row r="344" spans="1:11">
      <c r="A344" s="4" t="s">
        <v>49</v>
      </c>
      <c r="B344" s="4" t="s">
        <v>110</v>
      </c>
      <c r="C344" s="4" t="s">
        <v>226</v>
      </c>
      <c r="D344" s="4">
        <f>INDEX(Positions!$D$2:$D$4694,MATCH($A344&amp;"|7",Positions!$A$2:$A$4694,0))</f>
        <v>7</v>
      </c>
      <c r="E344" s="4">
        <f>INDEX(Positions!$D$2:$D$4694,MATCH($A344&amp;"|66",Positions!$A$2:$A$4694,0))</f>
        <v>65</v>
      </c>
      <c r="F344" s="4" t="str">
        <f>INDEX(Positions!$E$2:$E$4694,MATCH($A344&amp;"|7",Positions!$A$2:$A$4694,0))</f>
        <v>A</v>
      </c>
      <c r="G344" s="4" t="str">
        <f>INDEX(Positions!$E$2:$E$4694,MATCH($A344&amp;"|66",Positions!$A$2:$A$4694,0))</f>
        <v>U</v>
      </c>
      <c r="H344" s="3" t="str">
        <f t="shared" si="20"/>
        <v>A-U</v>
      </c>
      <c r="I344" s="4">
        <f t="shared" si="21"/>
        <v>0</v>
      </c>
      <c r="J344" s="4">
        <f t="shared" si="22"/>
        <v>0</v>
      </c>
      <c r="K344" s="3">
        <f t="shared" si="23"/>
        <v>0</v>
      </c>
    </row>
    <row r="345" spans="1:11">
      <c r="A345" s="4" t="s">
        <v>49</v>
      </c>
      <c r="B345" s="4" t="s">
        <v>125</v>
      </c>
      <c r="C345" s="4" t="s">
        <v>227</v>
      </c>
      <c r="D345" s="4">
        <f>INDEX(Positions!$D$2:$D$4694,MATCH($A345&amp;"|10",Positions!$A$2:$A$4694,0))</f>
        <v>10</v>
      </c>
      <c r="E345" s="4">
        <f>INDEX(Positions!$D$2:$D$4694,MATCH($A345&amp;"|25",Positions!$A$2:$A$4694,0))</f>
        <v>24</v>
      </c>
      <c r="F345" s="4" t="str">
        <f>INDEX(Positions!$E$2:$E$4694,MATCH($A345&amp;"|10",Positions!$A$2:$A$4694,0))</f>
        <v>G</v>
      </c>
      <c r="G345" s="4" t="str">
        <f>INDEX(Positions!$E$2:$E$4694,MATCH($A345&amp;"|25",Positions!$A$2:$A$4694,0))</f>
        <v>C</v>
      </c>
      <c r="H345" s="3" t="str">
        <f t="shared" si="20"/>
        <v>G-C</v>
      </c>
      <c r="I345" s="4">
        <f t="shared" si="21"/>
        <v>1</v>
      </c>
      <c r="J345" s="4">
        <f t="shared" si="22"/>
        <v>1</v>
      </c>
      <c r="K345" s="3">
        <f t="shared" si="23"/>
        <v>2</v>
      </c>
    </row>
    <row r="346" spans="1:11">
      <c r="A346" s="4" t="s">
        <v>49</v>
      </c>
      <c r="B346" s="4" t="s">
        <v>125</v>
      </c>
      <c r="C346" s="4" t="s">
        <v>228</v>
      </c>
      <c r="D346" s="4">
        <f>INDEX(Positions!$D$2:$D$4694,MATCH($A346&amp;"|11",Positions!$A$2:$A$4694,0))</f>
        <v>11</v>
      </c>
      <c r="E346" s="4">
        <f>INDEX(Positions!$D$2:$D$4694,MATCH($A346&amp;"|24",Positions!$A$2:$A$4694,0))</f>
        <v>23</v>
      </c>
      <c r="F346" s="4" t="str">
        <f>INDEX(Positions!$E$2:$E$4694,MATCH($A346&amp;"|11",Positions!$A$2:$A$4694,0))</f>
        <v>C</v>
      </c>
      <c r="G346" s="4" t="str">
        <f>INDEX(Positions!$E$2:$E$4694,MATCH($A346&amp;"|24",Positions!$A$2:$A$4694,0))</f>
        <v>G</v>
      </c>
      <c r="H346" s="3" t="str">
        <f t="shared" si="20"/>
        <v>C-G</v>
      </c>
      <c r="I346" s="4">
        <f t="shared" si="21"/>
        <v>1</v>
      </c>
      <c r="J346" s="4">
        <f t="shared" si="22"/>
        <v>1</v>
      </c>
      <c r="K346" s="3">
        <f t="shared" si="23"/>
        <v>2</v>
      </c>
    </row>
    <row r="347" spans="1:11">
      <c r="A347" s="4" t="s">
        <v>49</v>
      </c>
      <c r="B347" s="4" t="s">
        <v>125</v>
      </c>
      <c r="C347" s="4" t="s">
        <v>229</v>
      </c>
      <c r="D347" s="4">
        <f>INDEX(Positions!$D$2:$D$4694,MATCH($A347&amp;"|12",Positions!$A$2:$A$4694,0))</f>
        <v>12</v>
      </c>
      <c r="E347" s="4">
        <f>INDEX(Positions!$D$2:$D$4694,MATCH($A347&amp;"|23",Positions!$A$2:$A$4694,0))</f>
        <v>22</v>
      </c>
      <c r="F347" s="4" t="str">
        <f>INDEX(Positions!$E$2:$E$4694,MATCH($A347&amp;"|12",Positions!$A$2:$A$4694,0))</f>
        <v>G</v>
      </c>
      <c r="G347" s="4" t="str">
        <f>INDEX(Positions!$E$2:$E$4694,MATCH($A347&amp;"|23",Positions!$A$2:$A$4694,0))</f>
        <v>C</v>
      </c>
      <c r="H347" s="3" t="str">
        <f t="shared" si="20"/>
        <v>G-C</v>
      </c>
      <c r="I347" s="4">
        <f t="shared" si="21"/>
        <v>1</v>
      </c>
      <c r="J347" s="4">
        <f t="shared" si="22"/>
        <v>1</v>
      </c>
      <c r="K347" s="3">
        <f t="shared" si="23"/>
        <v>2</v>
      </c>
    </row>
    <row r="348" spans="1:11">
      <c r="A348" s="4" t="s">
        <v>49</v>
      </c>
      <c r="B348" s="4" t="s">
        <v>125</v>
      </c>
      <c r="C348" s="4" t="s">
        <v>230</v>
      </c>
      <c r="D348" s="4">
        <f>INDEX(Positions!$D$2:$D$4694,MATCH($A348&amp;"|13",Positions!$A$2:$A$4694,0))</f>
        <v>13</v>
      </c>
      <c r="E348" s="4">
        <f>INDEX(Positions!$D$2:$D$4694,MATCH($A348&amp;"|22",Positions!$A$2:$A$4694,0))</f>
        <v>21</v>
      </c>
      <c r="F348" s="4" t="str">
        <f>INDEX(Positions!$E$2:$E$4694,MATCH($A348&amp;"|13",Positions!$A$2:$A$4694,0))</f>
        <v>G</v>
      </c>
      <c r="G348" s="4" t="str">
        <f>INDEX(Positions!$E$2:$E$4694,MATCH($A348&amp;"|22",Positions!$A$2:$A$4694,0))</f>
        <v>A</v>
      </c>
      <c r="H348" s="3" t="str">
        <f t="shared" si="20"/>
        <v>G-A</v>
      </c>
      <c r="I348" s="4">
        <f t="shared" si="21"/>
        <v>1</v>
      </c>
      <c r="J348" s="4">
        <f t="shared" si="22"/>
        <v>0</v>
      </c>
      <c r="K348" s="3">
        <f t="shared" si="23"/>
        <v>1</v>
      </c>
    </row>
    <row r="349" spans="1:11">
      <c r="A349" s="4" t="s">
        <v>49</v>
      </c>
      <c r="B349" s="4" t="s">
        <v>144</v>
      </c>
      <c r="C349" s="4" t="s">
        <v>231</v>
      </c>
      <c r="D349" s="4">
        <f>INDEX(Positions!$D$2:$D$4694,MATCH($A349&amp;"|27",Positions!$A$2:$A$4694,0))</f>
        <v>26</v>
      </c>
      <c r="E349" s="4">
        <f>INDEX(Positions!$D$2:$D$4694,MATCH($A349&amp;"|43",Positions!$A$2:$A$4694,0))</f>
        <v>42</v>
      </c>
      <c r="F349" s="4" t="str">
        <f>INDEX(Positions!$E$2:$E$4694,MATCH($A349&amp;"|27",Positions!$A$2:$A$4694,0))</f>
        <v>A</v>
      </c>
      <c r="G349" s="4" t="str">
        <f>INDEX(Positions!$E$2:$E$4694,MATCH($A349&amp;"|43",Positions!$A$2:$A$4694,0))</f>
        <v>U</v>
      </c>
      <c r="H349" s="3" t="str">
        <f t="shared" si="20"/>
        <v>A-U</v>
      </c>
      <c r="I349" s="4">
        <f t="shared" si="21"/>
        <v>0</v>
      </c>
      <c r="J349" s="4">
        <f t="shared" si="22"/>
        <v>0</v>
      </c>
      <c r="K349" s="3">
        <f t="shared" si="23"/>
        <v>0</v>
      </c>
    </row>
    <row r="350" spans="1:11">
      <c r="A350" s="4" t="s">
        <v>49</v>
      </c>
      <c r="B350" s="4" t="s">
        <v>144</v>
      </c>
      <c r="C350" s="4" t="s">
        <v>232</v>
      </c>
      <c r="D350" s="4">
        <f>INDEX(Positions!$D$2:$D$4694,MATCH($A350&amp;"|28",Positions!$A$2:$A$4694,0))</f>
        <v>27</v>
      </c>
      <c r="E350" s="4">
        <f>INDEX(Positions!$D$2:$D$4694,MATCH($A350&amp;"|42",Positions!$A$2:$A$4694,0))</f>
        <v>41</v>
      </c>
      <c r="F350" s="4" t="str">
        <f>INDEX(Positions!$E$2:$E$4694,MATCH($A350&amp;"|28",Positions!$A$2:$A$4694,0))</f>
        <v>U</v>
      </c>
      <c r="G350" s="4" t="str">
        <f>INDEX(Positions!$E$2:$E$4694,MATCH($A350&amp;"|42",Positions!$A$2:$A$4694,0))</f>
        <v>A</v>
      </c>
      <c r="H350" s="3" t="str">
        <f t="shared" si="20"/>
        <v>U-A</v>
      </c>
      <c r="I350" s="4">
        <f t="shared" si="21"/>
        <v>0</v>
      </c>
      <c r="J350" s="4">
        <f t="shared" si="22"/>
        <v>0</v>
      </c>
      <c r="K350" s="3">
        <f t="shared" si="23"/>
        <v>0</v>
      </c>
    </row>
    <row r="351" spans="1:11">
      <c r="A351" s="4" t="s">
        <v>49</v>
      </c>
      <c r="B351" s="4" t="s">
        <v>144</v>
      </c>
      <c r="C351" s="4" t="s">
        <v>233</v>
      </c>
      <c r="D351" s="4">
        <f>INDEX(Positions!$D$2:$D$4694,MATCH($A351&amp;"|29",Positions!$A$2:$A$4694,0))</f>
        <v>28</v>
      </c>
      <c r="E351" s="4">
        <f>INDEX(Positions!$D$2:$D$4694,MATCH($A351&amp;"|41",Positions!$A$2:$A$4694,0))</f>
        <v>40</v>
      </c>
      <c r="F351" s="4" t="str">
        <f>INDEX(Positions!$E$2:$E$4694,MATCH($A351&amp;"|29",Positions!$A$2:$A$4694,0))</f>
        <v>C</v>
      </c>
      <c r="G351" s="4" t="str">
        <f>INDEX(Positions!$E$2:$E$4694,MATCH($A351&amp;"|41",Positions!$A$2:$A$4694,0))</f>
        <v>G</v>
      </c>
      <c r="H351" s="3" t="str">
        <f t="shared" si="20"/>
        <v>C-G</v>
      </c>
      <c r="I351" s="4">
        <f t="shared" si="21"/>
        <v>1</v>
      </c>
      <c r="J351" s="4">
        <f t="shared" si="22"/>
        <v>1</v>
      </c>
      <c r="K351" s="3">
        <f t="shared" si="23"/>
        <v>2</v>
      </c>
    </row>
    <row r="352" spans="1:11">
      <c r="A352" s="4" t="s">
        <v>49</v>
      </c>
      <c r="B352" s="4" t="s">
        <v>144</v>
      </c>
      <c r="C352" s="4" t="s">
        <v>234</v>
      </c>
      <c r="D352" s="4">
        <f>INDEX(Positions!$D$2:$D$4694,MATCH($A352&amp;"|30",Positions!$A$2:$A$4694,0))</f>
        <v>29</v>
      </c>
      <c r="E352" s="4">
        <f>INDEX(Positions!$D$2:$D$4694,MATCH($A352&amp;"|40",Positions!$A$2:$A$4694,0))</f>
        <v>39</v>
      </c>
      <c r="F352" s="4" t="str">
        <f>INDEX(Positions!$E$2:$E$4694,MATCH($A352&amp;"|30",Positions!$A$2:$A$4694,0))</f>
        <v>G</v>
      </c>
      <c r="G352" s="4" t="str">
        <f>INDEX(Positions!$E$2:$E$4694,MATCH($A352&amp;"|40",Positions!$A$2:$A$4694,0))</f>
        <v>C</v>
      </c>
      <c r="H352" s="3" t="str">
        <f t="shared" si="20"/>
        <v>G-C</v>
      </c>
      <c r="I352" s="4">
        <f t="shared" si="21"/>
        <v>1</v>
      </c>
      <c r="J352" s="4">
        <f t="shared" si="22"/>
        <v>1</v>
      </c>
      <c r="K352" s="3">
        <f t="shared" si="23"/>
        <v>2</v>
      </c>
    </row>
    <row r="353" spans="1:11">
      <c r="A353" s="4" t="s">
        <v>49</v>
      </c>
      <c r="B353" s="4" t="s">
        <v>144</v>
      </c>
      <c r="C353" s="4" t="s">
        <v>235</v>
      </c>
      <c r="D353" s="4">
        <f>INDEX(Positions!$D$2:$D$4694,MATCH($A353&amp;"|31",Positions!$A$2:$A$4694,0))</f>
        <v>30</v>
      </c>
      <c r="E353" s="4">
        <f>INDEX(Positions!$D$2:$D$4694,MATCH($A353&amp;"|39",Positions!$A$2:$A$4694,0))</f>
        <v>38</v>
      </c>
      <c r="F353" s="4" t="str">
        <f>INDEX(Positions!$E$2:$E$4694,MATCH($A353&amp;"|31",Positions!$A$2:$A$4694,0))</f>
        <v>C</v>
      </c>
      <c r="G353" s="4" t="str">
        <f>INDEX(Positions!$E$2:$E$4694,MATCH($A353&amp;"|39",Positions!$A$2:$A$4694,0))</f>
        <v>G</v>
      </c>
      <c r="H353" s="3" t="str">
        <f t="shared" si="20"/>
        <v>C-G</v>
      </c>
      <c r="I353" s="4">
        <f t="shared" si="21"/>
        <v>1</v>
      </c>
      <c r="J353" s="4">
        <f t="shared" si="22"/>
        <v>1</v>
      </c>
      <c r="K353" s="3">
        <f t="shared" si="23"/>
        <v>2</v>
      </c>
    </row>
    <row r="354" spans="1:11">
      <c r="A354" s="4" t="s">
        <v>49</v>
      </c>
      <c r="B354" s="4" t="s">
        <v>169</v>
      </c>
      <c r="C354" s="4" t="s">
        <v>236</v>
      </c>
      <c r="D354" s="4">
        <f>INDEX(Positions!$D$2:$D$4694,MATCH($A354&amp;"|49",Positions!$A$2:$A$4694,0))</f>
        <v>48</v>
      </c>
      <c r="E354" s="4">
        <f>INDEX(Positions!$D$2:$D$4694,MATCH($A354&amp;"|65",Positions!$A$2:$A$4694,0))</f>
        <v>64</v>
      </c>
      <c r="F354" s="4" t="str">
        <f>INDEX(Positions!$E$2:$E$4694,MATCH($A354&amp;"|49",Positions!$A$2:$A$4694,0))</f>
        <v>U</v>
      </c>
      <c r="G354" s="4" t="str">
        <f>INDEX(Positions!$E$2:$E$4694,MATCH($A354&amp;"|65",Positions!$A$2:$A$4694,0))</f>
        <v>A</v>
      </c>
      <c r="H354" s="3" t="str">
        <f t="shared" si="20"/>
        <v>U-A</v>
      </c>
      <c r="I354" s="4">
        <f t="shared" si="21"/>
        <v>0</v>
      </c>
      <c r="J354" s="4">
        <f t="shared" si="22"/>
        <v>0</v>
      </c>
      <c r="K354" s="3">
        <f t="shared" si="23"/>
        <v>0</v>
      </c>
    </row>
    <row r="355" spans="1:11">
      <c r="A355" s="4" t="s">
        <v>49</v>
      </c>
      <c r="B355" s="4" t="s">
        <v>169</v>
      </c>
      <c r="C355" s="4" t="s">
        <v>237</v>
      </c>
      <c r="D355" s="4">
        <f>INDEX(Positions!$D$2:$D$4694,MATCH($A355&amp;"|50",Positions!$A$2:$A$4694,0))</f>
        <v>49</v>
      </c>
      <c r="E355" s="4">
        <f>INDEX(Positions!$D$2:$D$4694,MATCH($A355&amp;"|64",Positions!$A$2:$A$4694,0))</f>
        <v>63</v>
      </c>
      <c r="F355" s="4" t="str">
        <f>INDEX(Positions!$E$2:$E$4694,MATCH($A355&amp;"|50",Positions!$A$2:$A$4694,0))</f>
        <v>C</v>
      </c>
      <c r="G355" s="4" t="str">
        <f>INDEX(Positions!$E$2:$E$4694,MATCH($A355&amp;"|64",Positions!$A$2:$A$4694,0))</f>
        <v>G</v>
      </c>
      <c r="H355" s="3" t="str">
        <f t="shared" si="20"/>
        <v>C-G</v>
      </c>
      <c r="I355" s="4">
        <f t="shared" si="21"/>
        <v>1</v>
      </c>
      <c r="J355" s="4">
        <f t="shared" si="22"/>
        <v>1</v>
      </c>
      <c r="K355" s="3">
        <f t="shared" si="23"/>
        <v>2</v>
      </c>
    </row>
    <row r="356" spans="1:11">
      <c r="A356" s="4" t="s">
        <v>49</v>
      </c>
      <c r="B356" s="4" t="s">
        <v>169</v>
      </c>
      <c r="C356" s="4" t="s">
        <v>238</v>
      </c>
      <c r="D356" s="4">
        <f>INDEX(Positions!$D$2:$D$4694,MATCH($A356&amp;"|51",Positions!$A$2:$A$4694,0))</f>
        <v>50</v>
      </c>
      <c r="E356" s="4">
        <f>INDEX(Positions!$D$2:$D$4694,MATCH($A356&amp;"|63",Positions!$A$2:$A$4694,0))</f>
        <v>62</v>
      </c>
      <c r="F356" s="4" t="str">
        <f>INDEX(Positions!$E$2:$E$4694,MATCH($A356&amp;"|51",Positions!$A$2:$A$4694,0))</f>
        <v>C</v>
      </c>
      <c r="G356" s="4" t="str">
        <f>INDEX(Positions!$E$2:$E$4694,MATCH($A356&amp;"|63",Positions!$A$2:$A$4694,0))</f>
        <v>G</v>
      </c>
      <c r="H356" s="3" t="str">
        <f t="shared" si="20"/>
        <v>C-G</v>
      </c>
      <c r="I356" s="4">
        <f t="shared" si="21"/>
        <v>1</v>
      </c>
      <c r="J356" s="4">
        <f t="shared" si="22"/>
        <v>1</v>
      </c>
      <c r="K356" s="3">
        <f t="shared" si="23"/>
        <v>2</v>
      </c>
    </row>
    <row r="357" spans="1:11">
      <c r="A357" s="4" t="s">
        <v>49</v>
      </c>
      <c r="B357" s="4" t="s">
        <v>169</v>
      </c>
      <c r="C357" s="4" t="s">
        <v>239</v>
      </c>
      <c r="D357" s="4">
        <f>INDEX(Positions!$D$2:$D$4694,MATCH($A357&amp;"|52",Positions!$A$2:$A$4694,0))</f>
        <v>51</v>
      </c>
      <c r="E357" s="4">
        <f>INDEX(Positions!$D$2:$D$4694,MATCH($A357&amp;"|62",Positions!$A$2:$A$4694,0))</f>
        <v>61</v>
      </c>
      <c r="F357" s="4" t="str">
        <f>INDEX(Positions!$E$2:$E$4694,MATCH($A357&amp;"|52",Positions!$A$2:$A$4694,0))</f>
        <v>G</v>
      </c>
      <c r="G357" s="4" t="str">
        <f>INDEX(Positions!$E$2:$E$4694,MATCH($A357&amp;"|62",Positions!$A$2:$A$4694,0))</f>
        <v>C</v>
      </c>
      <c r="H357" s="3" t="str">
        <f t="shared" si="20"/>
        <v>G-C</v>
      </c>
      <c r="I357" s="4">
        <f t="shared" si="21"/>
        <v>1</v>
      </c>
      <c r="J357" s="4">
        <f t="shared" si="22"/>
        <v>1</v>
      </c>
      <c r="K357" s="3">
        <f t="shared" si="23"/>
        <v>2</v>
      </c>
    </row>
    <row r="358" spans="1:11">
      <c r="A358" s="4" t="s">
        <v>49</v>
      </c>
      <c r="B358" s="4" t="s">
        <v>169</v>
      </c>
      <c r="C358" s="4" t="s">
        <v>240</v>
      </c>
      <c r="D358" s="4">
        <f>INDEX(Positions!$D$2:$D$4694,MATCH($A358&amp;"|53",Positions!$A$2:$A$4694,0))</f>
        <v>52</v>
      </c>
      <c r="E358" s="4">
        <f>INDEX(Positions!$D$2:$D$4694,MATCH($A358&amp;"|61",Positions!$A$2:$A$4694,0))</f>
        <v>60</v>
      </c>
      <c r="F358" s="4" t="str">
        <f>INDEX(Positions!$E$2:$E$4694,MATCH($A358&amp;"|53",Positions!$A$2:$A$4694,0))</f>
        <v>G</v>
      </c>
      <c r="G358" s="4" t="str">
        <f>INDEX(Positions!$E$2:$E$4694,MATCH($A358&amp;"|61",Positions!$A$2:$A$4694,0))</f>
        <v>C</v>
      </c>
      <c r="H358" s="3" t="str">
        <f t="shared" si="20"/>
        <v>G-C</v>
      </c>
      <c r="I358" s="4">
        <f t="shared" si="21"/>
        <v>1</v>
      </c>
      <c r="J358" s="4">
        <f t="shared" si="22"/>
        <v>1</v>
      </c>
      <c r="K358" s="3">
        <f t="shared" si="23"/>
        <v>2</v>
      </c>
    </row>
    <row r="359" spans="1:11">
      <c r="A359" s="23" t="s">
        <v>49</v>
      </c>
      <c r="B359" s="23" t="s">
        <v>241</v>
      </c>
      <c r="C359" s="23" t="s">
        <v>242</v>
      </c>
      <c r="D359" s="23">
        <f>INDEX(Positions!$D$2:$D$4694,MATCH($A359&amp;"|8",Positions!$A$2:$A$4694,0))</f>
        <v>8</v>
      </c>
      <c r="E359" s="23">
        <f>INDEX(Positions!$D$2:$D$4694,MATCH($A359&amp;"|14",Positions!$A$2:$A$4694,0))</f>
        <v>14</v>
      </c>
      <c r="F359" s="23" t="str">
        <f>INDEX(Positions!$E$2:$E$4694,MATCH($A359&amp;"|8",Positions!$A$2:$A$4694,0))</f>
        <v>U</v>
      </c>
      <c r="G359" s="23" t="str">
        <f>INDEX(Positions!$E$2:$E$4694,MATCH($A359&amp;"|14",Positions!$A$2:$A$4694,0))</f>
        <v>A</v>
      </c>
      <c r="H359" s="24" t="str">
        <f t="shared" si="20"/>
        <v>U-A</v>
      </c>
      <c r="I359" s="23">
        <f t="shared" si="21"/>
        <v>0</v>
      </c>
      <c r="J359" s="23">
        <f t="shared" si="22"/>
        <v>0</v>
      </c>
      <c r="K359" s="24">
        <f t="shared" si="23"/>
        <v>0</v>
      </c>
    </row>
    <row r="360" spans="1:11">
      <c r="A360" s="23" t="s">
        <v>49</v>
      </c>
      <c r="B360" s="23" t="s">
        <v>241</v>
      </c>
      <c r="C360" s="23" t="s">
        <v>243</v>
      </c>
      <c r="D360" s="23">
        <f>INDEX(Positions!$D$2:$D$4694,MATCH($A360&amp;"|15",Positions!$A$2:$A$4694,0))</f>
        <v>15</v>
      </c>
      <c r="E360" s="23">
        <f>INDEX(Positions!$D$2:$D$4694,MATCH($A360&amp;"|48",Positions!$A$2:$A$4694,0))</f>
        <v>47</v>
      </c>
      <c r="F360" s="23" t="str">
        <f>INDEX(Positions!$E$2:$E$4694,MATCH($A360&amp;"|15",Positions!$A$2:$A$4694,0))</f>
        <v>G</v>
      </c>
      <c r="G360" s="23" t="str">
        <f>INDEX(Positions!$E$2:$E$4694,MATCH($A360&amp;"|48",Positions!$A$2:$A$4694,0))</f>
        <v>U</v>
      </c>
      <c r="H360" s="24" t="str">
        <f t="shared" si="20"/>
        <v>G-U</v>
      </c>
      <c r="I360" s="23">
        <f t="shared" si="21"/>
        <v>1</v>
      </c>
      <c r="J360" s="23">
        <f t="shared" si="22"/>
        <v>0</v>
      </c>
      <c r="K360" s="24">
        <f t="shared" si="23"/>
        <v>1</v>
      </c>
    </row>
    <row r="361" spans="1:11">
      <c r="A361" s="23" t="s">
        <v>49</v>
      </c>
      <c r="B361" s="23" t="s">
        <v>241</v>
      </c>
      <c r="C361" s="23" t="s">
        <v>244</v>
      </c>
      <c r="D361" s="23">
        <f>INDEX(Positions!$D$2:$D$4694,MATCH($A361&amp;"|18",Positions!$A$2:$A$4694,0))</f>
        <v>17</v>
      </c>
      <c r="E361" s="23">
        <f>INDEX(Positions!$D$2:$D$4694,MATCH($A361&amp;"|55",Positions!$A$2:$A$4694,0))</f>
        <v>54</v>
      </c>
      <c r="F361" s="23" t="str">
        <f>INDEX(Positions!$E$2:$E$4694,MATCH($A361&amp;"|18",Positions!$A$2:$A$4694,0))</f>
        <v>G</v>
      </c>
      <c r="G361" s="23" t="str">
        <f>INDEX(Positions!$E$2:$E$4694,MATCH($A361&amp;"|55",Positions!$A$2:$A$4694,0))</f>
        <v>U</v>
      </c>
      <c r="H361" s="24" t="str">
        <f t="shared" si="20"/>
        <v>G-U</v>
      </c>
      <c r="I361" s="23">
        <f t="shared" si="21"/>
        <v>1</v>
      </c>
      <c r="J361" s="23">
        <f t="shared" si="22"/>
        <v>0</v>
      </c>
      <c r="K361" s="24">
        <f t="shared" si="23"/>
        <v>1</v>
      </c>
    </row>
    <row r="362" spans="1:11">
      <c r="A362" s="23" t="s">
        <v>49</v>
      </c>
      <c r="B362" s="23" t="s">
        <v>241</v>
      </c>
      <c r="C362" s="23" t="s">
        <v>245</v>
      </c>
      <c r="D362" s="23">
        <f>INDEX(Positions!$D$2:$D$4694,MATCH($A362&amp;"|19",Positions!$A$2:$A$4694,0))</f>
        <v>18</v>
      </c>
      <c r="E362" s="23">
        <f>INDEX(Positions!$D$2:$D$4694,MATCH($A362&amp;"|56",Positions!$A$2:$A$4694,0))</f>
        <v>55</v>
      </c>
      <c r="F362" s="23" t="str">
        <f>INDEX(Positions!$E$2:$E$4694,MATCH($A362&amp;"|19",Positions!$A$2:$A$4694,0))</f>
        <v>G</v>
      </c>
      <c r="G362" s="23" t="str">
        <f>INDEX(Positions!$E$2:$E$4694,MATCH($A362&amp;"|56",Positions!$A$2:$A$4694,0))</f>
        <v>C</v>
      </c>
      <c r="H362" s="24" t="str">
        <f t="shared" si="20"/>
        <v>G-C</v>
      </c>
      <c r="I362" s="23">
        <f t="shared" si="21"/>
        <v>1</v>
      </c>
      <c r="J362" s="23">
        <f t="shared" si="22"/>
        <v>1</v>
      </c>
      <c r="K362" s="24">
        <f t="shared" si="23"/>
        <v>2</v>
      </c>
    </row>
    <row r="363" spans="1:11">
      <c r="A363" s="23" t="s">
        <v>49</v>
      </c>
      <c r="B363" s="23" t="s">
        <v>241</v>
      </c>
      <c r="C363" s="23" t="s">
        <v>246</v>
      </c>
      <c r="D363" s="23">
        <f>INDEX(Positions!$D$2:$D$4694,MATCH($A363&amp;"|26",Positions!$A$2:$A$4694,0))</f>
        <v>25</v>
      </c>
      <c r="E363" s="23">
        <f>INDEX(Positions!$D$2:$D$4694,MATCH($A363&amp;"|44",Positions!$A$2:$A$4694,0))</f>
        <v>43</v>
      </c>
      <c r="F363" s="23" t="str">
        <f>INDEX(Positions!$E$2:$E$4694,MATCH($A363&amp;"|26",Positions!$A$2:$A$4694,0))</f>
        <v>A</v>
      </c>
      <c r="G363" s="23" t="str">
        <f>INDEX(Positions!$E$2:$E$4694,MATCH($A363&amp;"|44",Positions!$A$2:$A$4694,0))</f>
        <v>U</v>
      </c>
      <c r="H363" s="24" t="str">
        <f t="shared" si="20"/>
        <v>A-U</v>
      </c>
      <c r="I363" s="23">
        <f t="shared" si="21"/>
        <v>0</v>
      </c>
      <c r="J363" s="23">
        <f t="shared" si="22"/>
        <v>0</v>
      </c>
      <c r="K363" s="24">
        <f t="shared" si="23"/>
        <v>0</v>
      </c>
    </row>
    <row r="364" spans="1:11">
      <c r="A364" s="23" t="s">
        <v>49</v>
      </c>
      <c r="B364" s="23" t="s">
        <v>241</v>
      </c>
      <c r="C364" s="23" t="s">
        <v>247</v>
      </c>
      <c r="D364" s="23">
        <f>INDEX(Positions!$D$2:$D$4694,MATCH($A364&amp;"|32",Positions!$A$2:$A$4694,0))</f>
        <v>31</v>
      </c>
      <c r="E364" s="23">
        <f>INDEX(Positions!$D$2:$D$4694,MATCH($A364&amp;"|38",Positions!$A$2:$A$4694,0))</f>
        <v>37</v>
      </c>
      <c r="F364" s="23" t="str">
        <f>INDEX(Positions!$E$2:$E$4694,MATCH($A364&amp;"|32",Positions!$A$2:$A$4694,0))</f>
        <v>C</v>
      </c>
      <c r="G364" s="23" t="str">
        <f>INDEX(Positions!$E$2:$E$4694,MATCH($A364&amp;"|38",Positions!$A$2:$A$4694,0))</f>
        <v>A</v>
      </c>
      <c r="H364" s="24" t="str">
        <f t="shared" si="20"/>
        <v>C-A</v>
      </c>
      <c r="I364" s="23">
        <f t="shared" si="21"/>
        <v>0</v>
      </c>
      <c r="J364" s="23">
        <f t="shared" si="22"/>
        <v>1</v>
      </c>
      <c r="K364" s="24">
        <f t="shared" si="23"/>
        <v>1</v>
      </c>
    </row>
    <row r="365" spans="1:11">
      <c r="A365" s="23" t="s">
        <v>49</v>
      </c>
      <c r="B365" s="23" t="s">
        <v>241</v>
      </c>
      <c r="C365" s="23" t="s">
        <v>248</v>
      </c>
      <c r="D365" s="23">
        <f>INDEX(Positions!$D$2:$D$4694,MATCH($A365&amp;"|54",Positions!$A$2:$A$4694,0))</f>
        <v>53</v>
      </c>
      <c r="E365" s="23">
        <f>INDEX(Positions!$D$2:$D$4694,MATCH($A365&amp;"|58",Positions!$A$2:$A$4694,0))</f>
        <v>57</v>
      </c>
      <c r="F365" s="23" t="str">
        <f>INDEX(Positions!$E$2:$E$4694,MATCH($A365&amp;"|54",Positions!$A$2:$A$4694,0))</f>
        <v>U</v>
      </c>
      <c r="G365" s="23" t="str">
        <f>INDEX(Positions!$E$2:$E$4694,MATCH($A365&amp;"|58",Positions!$A$2:$A$4694,0))</f>
        <v>A</v>
      </c>
      <c r="H365" s="24" t="str">
        <f t="shared" si="20"/>
        <v>U-A</v>
      </c>
      <c r="I365" s="23">
        <f t="shared" si="21"/>
        <v>0</v>
      </c>
      <c r="J365" s="23">
        <f t="shared" si="22"/>
        <v>0</v>
      </c>
      <c r="K365" s="24">
        <f t="shared" si="23"/>
        <v>0</v>
      </c>
    </row>
    <row r="366" spans="1:11">
      <c r="A366" s="4" t="s">
        <v>50</v>
      </c>
      <c r="B366" s="4" t="s">
        <v>110</v>
      </c>
      <c r="C366" s="4" t="s">
        <v>220</v>
      </c>
      <c r="D366" s="4">
        <f>INDEX(Positions!$D$2:$D$4694,MATCH($A366&amp;"|1",Positions!$A$2:$A$4694,0))</f>
        <v>1</v>
      </c>
      <c r="E366" s="4">
        <f>INDEX(Positions!$D$2:$D$4694,MATCH($A366&amp;"|72",Positions!$A$2:$A$4694,0))</f>
        <v>71</v>
      </c>
      <c r="F366" s="4" t="str">
        <f>INDEX(Positions!$E$2:$E$4694,MATCH($A366&amp;"|1",Positions!$A$2:$A$4694,0))</f>
        <v>G</v>
      </c>
      <c r="G366" s="4" t="str">
        <f>INDEX(Positions!$E$2:$E$4694,MATCH($A366&amp;"|72",Positions!$A$2:$A$4694,0))</f>
        <v>C</v>
      </c>
      <c r="H366" s="3" t="str">
        <f t="shared" si="20"/>
        <v>G-C</v>
      </c>
      <c r="I366" s="4">
        <f t="shared" si="21"/>
        <v>1</v>
      </c>
      <c r="J366" s="4">
        <f t="shared" si="22"/>
        <v>1</v>
      </c>
      <c r="K366" s="3">
        <f t="shared" si="23"/>
        <v>2</v>
      </c>
    </row>
    <row r="367" spans="1:11">
      <c r="A367" s="4" t="s">
        <v>50</v>
      </c>
      <c r="B367" s="4" t="s">
        <v>110</v>
      </c>
      <c r="C367" s="4" t="s">
        <v>221</v>
      </c>
      <c r="D367" s="4">
        <f>INDEX(Positions!$D$2:$D$4694,MATCH($A367&amp;"|2",Positions!$A$2:$A$4694,0))</f>
        <v>2</v>
      </c>
      <c r="E367" s="4">
        <f>INDEX(Positions!$D$2:$D$4694,MATCH($A367&amp;"|71",Positions!$A$2:$A$4694,0))</f>
        <v>70</v>
      </c>
      <c r="F367" s="4" t="str">
        <f>INDEX(Positions!$E$2:$E$4694,MATCH($A367&amp;"|2",Positions!$A$2:$A$4694,0))</f>
        <v>C</v>
      </c>
      <c r="G367" s="4" t="str">
        <f>INDEX(Positions!$E$2:$E$4694,MATCH($A367&amp;"|71",Positions!$A$2:$A$4694,0))</f>
        <v>G</v>
      </c>
      <c r="H367" s="3" t="str">
        <f t="shared" si="20"/>
        <v>C-G</v>
      </c>
      <c r="I367" s="4">
        <f t="shared" si="21"/>
        <v>1</v>
      </c>
      <c r="J367" s="4">
        <f t="shared" si="22"/>
        <v>1</v>
      </c>
      <c r="K367" s="3">
        <f t="shared" si="23"/>
        <v>2</v>
      </c>
    </row>
    <row r="368" spans="1:11">
      <c r="A368" s="4" t="s">
        <v>50</v>
      </c>
      <c r="B368" s="4" t="s">
        <v>110</v>
      </c>
      <c r="C368" s="4" t="s">
        <v>222</v>
      </c>
      <c r="D368" s="4">
        <f>INDEX(Positions!$D$2:$D$4694,MATCH($A368&amp;"|3",Positions!$A$2:$A$4694,0))</f>
        <v>3</v>
      </c>
      <c r="E368" s="4">
        <f>INDEX(Positions!$D$2:$D$4694,MATCH($A368&amp;"|70",Positions!$A$2:$A$4694,0))</f>
        <v>69</v>
      </c>
      <c r="F368" s="4" t="str">
        <f>INDEX(Positions!$E$2:$E$4694,MATCH($A368&amp;"|3",Positions!$A$2:$A$4694,0))</f>
        <v>C</v>
      </c>
      <c r="G368" s="4" t="str">
        <f>INDEX(Positions!$E$2:$E$4694,MATCH($A368&amp;"|70",Positions!$A$2:$A$4694,0))</f>
        <v>G</v>
      </c>
      <c r="H368" s="3" t="str">
        <f t="shared" si="20"/>
        <v>C-G</v>
      </c>
      <c r="I368" s="4">
        <f t="shared" si="21"/>
        <v>1</v>
      </c>
      <c r="J368" s="4">
        <f t="shared" si="22"/>
        <v>1</v>
      </c>
      <c r="K368" s="3">
        <f t="shared" si="23"/>
        <v>2</v>
      </c>
    </row>
    <row r="369" spans="1:11">
      <c r="A369" s="4" t="s">
        <v>50</v>
      </c>
      <c r="B369" s="4" t="s">
        <v>110</v>
      </c>
      <c r="C369" s="4" t="s">
        <v>223</v>
      </c>
      <c r="D369" s="4">
        <f>INDEX(Positions!$D$2:$D$4694,MATCH($A369&amp;"|4",Positions!$A$2:$A$4694,0))</f>
        <v>4</v>
      </c>
      <c r="E369" s="4">
        <f>INDEX(Positions!$D$2:$D$4694,MATCH($A369&amp;"|69",Positions!$A$2:$A$4694,0))</f>
        <v>68</v>
      </c>
      <c r="F369" s="4" t="str">
        <f>INDEX(Positions!$E$2:$E$4694,MATCH($A369&amp;"|4",Positions!$A$2:$A$4694,0))</f>
        <v>A</v>
      </c>
      <c r="G369" s="4" t="str">
        <f>INDEX(Positions!$E$2:$E$4694,MATCH($A369&amp;"|69",Positions!$A$2:$A$4694,0))</f>
        <v>U</v>
      </c>
      <c r="H369" s="3" t="str">
        <f t="shared" si="20"/>
        <v>A-U</v>
      </c>
      <c r="I369" s="4">
        <f t="shared" si="21"/>
        <v>0</v>
      </c>
      <c r="J369" s="4">
        <f t="shared" si="22"/>
        <v>0</v>
      </c>
      <c r="K369" s="3">
        <f t="shared" si="23"/>
        <v>0</v>
      </c>
    </row>
    <row r="370" spans="1:11">
      <c r="A370" s="4" t="s">
        <v>50</v>
      </c>
      <c r="B370" s="4" t="s">
        <v>110</v>
      </c>
      <c r="C370" s="4" t="s">
        <v>224</v>
      </c>
      <c r="D370" s="4">
        <f>INDEX(Positions!$D$2:$D$4694,MATCH($A370&amp;"|5",Positions!$A$2:$A$4694,0))</f>
        <v>5</v>
      </c>
      <c r="E370" s="4">
        <f>INDEX(Positions!$D$2:$D$4694,MATCH($A370&amp;"|68",Positions!$A$2:$A$4694,0))</f>
        <v>67</v>
      </c>
      <c r="F370" s="4" t="str">
        <f>INDEX(Positions!$E$2:$E$4694,MATCH($A370&amp;"|5",Positions!$A$2:$A$4694,0))</f>
        <v>A</v>
      </c>
      <c r="G370" s="4" t="str">
        <f>INDEX(Positions!$E$2:$E$4694,MATCH($A370&amp;"|68",Positions!$A$2:$A$4694,0))</f>
        <v>U</v>
      </c>
      <c r="H370" s="3" t="str">
        <f t="shared" si="20"/>
        <v>A-U</v>
      </c>
      <c r="I370" s="4">
        <f t="shared" si="21"/>
        <v>0</v>
      </c>
      <c r="J370" s="4">
        <f t="shared" si="22"/>
        <v>0</v>
      </c>
      <c r="K370" s="3">
        <f t="shared" si="23"/>
        <v>0</v>
      </c>
    </row>
    <row r="371" spans="1:11">
      <c r="A371" s="4" t="s">
        <v>50</v>
      </c>
      <c r="B371" s="4" t="s">
        <v>110</v>
      </c>
      <c r="C371" s="4" t="s">
        <v>225</v>
      </c>
      <c r="D371" s="4">
        <f>INDEX(Positions!$D$2:$D$4694,MATCH($A371&amp;"|6",Positions!$A$2:$A$4694,0))</f>
        <v>6</v>
      </c>
      <c r="E371" s="4">
        <f>INDEX(Positions!$D$2:$D$4694,MATCH($A371&amp;"|67",Positions!$A$2:$A$4694,0))</f>
        <v>66</v>
      </c>
      <c r="F371" s="4" t="str">
        <f>INDEX(Positions!$E$2:$E$4694,MATCH($A371&amp;"|6",Positions!$A$2:$A$4694,0))</f>
        <v>G</v>
      </c>
      <c r="G371" s="4" t="str">
        <f>INDEX(Positions!$E$2:$E$4694,MATCH($A371&amp;"|67",Positions!$A$2:$A$4694,0))</f>
        <v>C</v>
      </c>
      <c r="H371" s="3" t="str">
        <f t="shared" si="20"/>
        <v>G-C</v>
      </c>
      <c r="I371" s="4">
        <f t="shared" si="21"/>
        <v>1</v>
      </c>
      <c r="J371" s="4">
        <f t="shared" si="22"/>
        <v>1</v>
      </c>
      <c r="K371" s="3">
        <f t="shared" si="23"/>
        <v>2</v>
      </c>
    </row>
    <row r="372" spans="1:11">
      <c r="A372" s="4" t="s">
        <v>50</v>
      </c>
      <c r="B372" s="4" t="s">
        <v>110</v>
      </c>
      <c r="C372" s="4" t="s">
        <v>226</v>
      </c>
      <c r="D372" s="4">
        <f>INDEX(Positions!$D$2:$D$4694,MATCH($A372&amp;"|7",Positions!$A$2:$A$4694,0))</f>
        <v>7</v>
      </c>
      <c r="E372" s="4">
        <f>INDEX(Positions!$D$2:$D$4694,MATCH($A372&amp;"|66",Positions!$A$2:$A$4694,0))</f>
        <v>65</v>
      </c>
      <c r="F372" s="4" t="str">
        <f>INDEX(Positions!$E$2:$E$4694,MATCH($A372&amp;"|7",Positions!$A$2:$A$4694,0))</f>
        <v>G</v>
      </c>
      <c r="G372" s="4" t="str">
        <f>INDEX(Positions!$E$2:$E$4694,MATCH($A372&amp;"|66",Positions!$A$2:$A$4694,0))</f>
        <v>C</v>
      </c>
      <c r="H372" s="3" t="str">
        <f t="shared" si="20"/>
        <v>G-C</v>
      </c>
      <c r="I372" s="4">
        <f t="shared" si="21"/>
        <v>1</v>
      </c>
      <c r="J372" s="4">
        <f t="shared" si="22"/>
        <v>1</v>
      </c>
      <c r="K372" s="3">
        <f t="shared" si="23"/>
        <v>2</v>
      </c>
    </row>
    <row r="373" spans="1:11">
      <c r="A373" s="4" t="s">
        <v>50</v>
      </c>
      <c r="B373" s="4" t="s">
        <v>125</v>
      </c>
      <c r="C373" s="4" t="s">
        <v>227</v>
      </c>
      <c r="D373" s="4">
        <f>INDEX(Positions!$D$2:$D$4694,MATCH($A373&amp;"|10",Positions!$A$2:$A$4694,0))</f>
        <v>10</v>
      </c>
      <c r="E373" s="4">
        <f>INDEX(Positions!$D$2:$D$4694,MATCH($A373&amp;"|25",Positions!$A$2:$A$4694,0))</f>
        <v>24</v>
      </c>
      <c r="F373" s="4" t="str">
        <f>INDEX(Positions!$E$2:$E$4694,MATCH($A373&amp;"|10",Positions!$A$2:$A$4694,0))</f>
        <v>G</v>
      </c>
      <c r="G373" s="4" t="str">
        <f>INDEX(Positions!$E$2:$E$4694,MATCH($A373&amp;"|25",Positions!$A$2:$A$4694,0))</f>
        <v>C</v>
      </c>
      <c r="H373" s="3" t="str">
        <f t="shared" si="20"/>
        <v>G-C</v>
      </c>
      <c r="I373" s="4">
        <f t="shared" si="21"/>
        <v>1</v>
      </c>
      <c r="J373" s="4">
        <f t="shared" si="22"/>
        <v>1</v>
      </c>
      <c r="K373" s="3">
        <f t="shared" si="23"/>
        <v>2</v>
      </c>
    </row>
    <row r="374" spans="1:11">
      <c r="A374" s="4" t="s">
        <v>50</v>
      </c>
      <c r="B374" s="4" t="s">
        <v>125</v>
      </c>
      <c r="C374" s="4" t="s">
        <v>228</v>
      </c>
      <c r="D374" s="4">
        <f>INDEX(Positions!$D$2:$D$4694,MATCH($A374&amp;"|11",Positions!$A$2:$A$4694,0))</f>
        <v>11</v>
      </c>
      <c r="E374" s="4">
        <f>INDEX(Positions!$D$2:$D$4694,MATCH($A374&amp;"|24",Positions!$A$2:$A$4694,0))</f>
        <v>23</v>
      </c>
      <c r="F374" s="4" t="str">
        <f>INDEX(Positions!$E$2:$E$4694,MATCH($A374&amp;"|11",Positions!$A$2:$A$4694,0))</f>
        <v>C</v>
      </c>
      <c r="G374" s="4" t="str">
        <f>INDEX(Positions!$E$2:$E$4694,MATCH($A374&amp;"|24",Positions!$A$2:$A$4694,0))</f>
        <v>G</v>
      </c>
      <c r="H374" s="3" t="str">
        <f t="shared" si="20"/>
        <v>C-G</v>
      </c>
      <c r="I374" s="4">
        <f t="shared" si="21"/>
        <v>1</v>
      </c>
      <c r="J374" s="4">
        <f t="shared" si="22"/>
        <v>1</v>
      </c>
      <c r="K374" s="3">
        <f t="shared" si="23"/>
        <v>2</v>
      </c>
    </row>
    <row r="375" spans="1:11">
      <c r="A375" s="4" t="s">
        <v>50</v>
      </c>
      <c r="B375" s="4" t="s">
        <v>125</v>
      </c>
      <c r="C375" s="4" t="s">
        <v>229</v>
      </c>
      <c r="D375" s="4">
        <f>INDEX(Positions!$D$2:$D$4694,MATCH($A375&amp;"|12",Positions!$A$2:$A$4694,0))</f>
        <v>12</v>
      </c>
      <c r="E375" s="4">
        <f>INDEX(Positions!$D$2:$D$4694,MATCH($A375&amp;"|23",Positions!$A$2:$A$4694,0))</f>
        <v>22</v>
      </c>
      <c r="F375" s="4" t="str">
        <f>INDEX(Positions!$E$2:$E$4694,MATCH($A375&amp;"|12",Positions!$A$2:$A$4694,0))</f>
        <v>A</v>
      </c>
      <c r="G375" s="4" t="str">
        <f>INDEX(Positions!$E$2:$E$4694,MATCH($A375&amp;"|23",Positions!$A$2:$A$4694,0))</f>
        <v>C</v>
      </c>
      <c r="H375" s="3" t="str">
        <f t="shared" si="20"/>
        <v>A-C</v>
      </c>
      <c r="I375" s="4">
        <f t="shared" si="21"/>
        <v>0</v>
      </c>
      <c r="J375" s="4">
        <f t="shared" si="22"/>
        <v>1</v>
      </c>
      <c r="K375" s="3">
        <f t="shared" si="23"/>
        <v>1</v>
      </c>
    </row>
    <row r="376" spans="1:11">
      <c r="A376" s="4" t="s">
        <v>50</v>
      </c>
      <c r="B376" s="4" t="s">
        <v>125</v>
      </c>
      <c r="C376" s="4" t="s">
        <v>230</v>
      </c>
      <c r="D376" s="4">
        <f>INDEX(Positions!$D$2:$D$4694,MATCH($A376&amp;"|13",Positions!$A$2:$A$4694,0))</f>
        <v>13</v>
      </c>
      <c r="E376" s="4">
        <f>INDEX(Positions!$D$2:$D$4694,MATCH($A376&amp;"|22",Positions!$A$2:$A$4694,0))</f>
        <v>21</v>
      </c>
      <c r="F376" s="4" t="str">
        <f>INDEX(Positions!$E$2:$E$4694,MATCH($A376&amp;"|13",Positions!$A$2:$A$4694,0))</f>
        <v>G</v>
      </c>
      <c r="G376" s="4" t="str">
        <f>INDEX(Positions!$E$2:$E$4694,MATCH($A376&amp;"|22",Positions!$A$2:$A$4694,0))</f>
        <v>A</v>
      </c>
      <c r="H376" s="3" t="str">
        <f t="shared" si="20"/>
        <v>G-A</v>
      </c>
      <c r="I376" s="4">
        <f t="shared" si="21"/>
        <v>1</v>
      </c>
      <c r="J376" s="4">
        <f t="shared" si="22"/>
        <v>0</v>
      </c>
      <c r="K376" s="3">
        <f t="shared" si="23"/>
        <v>1</v>
      </c>
    </row>
    <row r="377" spans="1:11">
      <c r="A377" s="4" t="s">
        <v>50</v>
      </c>
      <c r="B377" s="4" t="s">
        <v>144</v>
      </c>
      <c r="C377" s="4" t="s">
        <v>231</v>
      </c>
      <c r="D377" s="4">
        <f>INDEX(Positions!$D$2:$D$4694,MATCH($A377&amp;"|27",Positions!$A$2:$A$4694,0))</f>
        <v>26</v>
      </c>
      <c r="E377" s="4">
        <f>INDEX(Positions!$D$2:$D$4694,MATCH($A377&amp;"|43",Positions!$A$2:$A$4694,0))</f>
        <v>42</v>
      </c>
      <c r="F377" s="4" t="str">
        <f>INDEX(Positions!$E$2:$E$4694,MATCH($A377&amp;"|27",Positions!$A$2:$A$4694,0))</f>
        <v>A</v>
      </c>
      <c r="G377" s="4" t="str">
        <f>INDEX(Positions!$E$2:$E$4694,MATCH($A377&amp;"|43",Positions!$A$2:$A$4694,0))</f>
        <v>U</v>
      </c>
      <c r="H377" s="3" t="str">
        <f t="shared" si="20"/>
        <v>A-U</v>
      </c>
      <c r="I377" s="4">
        <f t="shared" si="21"/>
        <v>0</v>
      </c>
      <c r="J377" s="4">
        <f t="shared" si="22"/>
        <v>0</v>
      </c>
      <c r="K377" s="3">
        <f t="shared" si="23"/>
        <v>0</v>
      </c>
    </row>
    <row r="378" spans="1:11">
      <c r="A378" s="4" t="s">
        <v>50</v>
      </c>
      <c r="B378" s="4" t="s">
        <v>144</v>
      </c>
      <c r="C378" s="4" t="s">
        <v>232</v>
      </c>
      <c r="D378" s="4">
        <f>INDEX(Positions!$D$2:$D$4694,MATCH($A378&amp;"|28",Positions!$A$2:$A$4694,0))</f>
        <v>27</v>
      </c>
      <c r="E378" s="4">
        <f>INDEX(Positions!$D$2:$D$4694,MATCH($A378&amp;"|42",Positions!$A$2:$A$4694,0))</f>
        <v>41</v>
      </c>
      <c r="F378" s="4" t="str">
        <f>INDEX(Positions!$E$2:$E$4694,MATCH($A378&amp;"|28",Positions!$A$2:$A$4694,0))</f>
        <v>U</v>
      </c>
      <c r="G378" s="4" t="str">
        <f>INDEX(Positions!$E$2:$E$4694,MATCH($A378&amp;"|42",Positions!$A$2:$A$4694,0))</f>
        <v>A</v>
      </c>
      <c r="H378" s="3" t="str">
        <f t="shared" si="20"/>
        <v>U-A</v>
      </c>
      <c r="I378" s="4">
        <f t="shared" si="21"/>
        <v>0</v>
      </c>
      <c r="J378" s="4">
        <f t="shared" si="22"/>
        <v>0</v>
      </c>
      <c r="K378" s="3">
        <f t="shared" si="23"/>
        <v>0</v>
      </c>
    </row>
    <row r="379" spans="1:11">
      <c r="A379" s="4" t="s">
        <v>50</v>
      </c>
      <c r="B379" s="4" t="s">
        <v>144</v>
      </c>
      <c r="C379" s="4" t="s">
        <v>233</v>
      </c>
      <c r="D379" s="4">
        <f>INDEX(Positions!$D$2:$D$4694,MATCH($A379&amp;"|29",Positions!$A$2:$A$4694,0))</f>
        <v>28</v>
      </c>
      <c r="E379" s="4">
        <f>INDEX(Positions!$D$2:$D$4694,MATCH($A379&amp;"|41",Positions!$A$2:$A$4694,0))</f>
        <v>40</v>
      </c>
      <c r="F379" s="4" t="str">
        <f>INDEX(Positions!$E$2:$E$4694,MATCH($A379&amp;"|29",Positions!$A$2:$A$4694,0))</f>
        <v>C</v>
      </c>
      <c r="G379" s="4" t="str">
        <f>INDEX(Positions!$E$2:$E$4694,MATCH($A379&amp;"|41",Positions!$A$2:$A$4694,0))</f>
        <v>G</v>
      </c>
      <c r="H379" s="3" t="str">
        <f t="shared" si="20"/>
        <v>C-G</v>
      </c>
      <c r="I379" s="4">
        <f t="shared" si="21"/>
        <v>1</v>
      </c>
      <c r="J379" s="4">
        <f t="shared" si="22"/>
        <v>1</v>
      </c>
      <c r="K379" s="3">
        <f t="shared" si="23"/>
        <v>2</v>
      </c>
    </row>
    <row r="380" spans="1:11">
      <c r="A380" s="4" t="s">
        <v>50</v>
      </c>
      <c r="B380" s="4" t="s">
        <v>144</v>
      </c>
      <c r="C380" s="4" t="s">
        <v>234</v>
      </c>
      <c r="D380" s="4">
        <f>INDEX(Positions!$D$2:$D$4694,MATCH($A380&amp;"|30",Positions!$A$2:$A$4694,0))</f>
        <v>29</v>
      </c>
      <c r="E380" s="4">
        <f>INDEX(Positions!$D$2:$D$4694,MATCH($A380&amp;"|40",Positions!$A$2:$A$4694,0))</f>
        <v>39</v>
      </c>
      <c r="F380" s="4" t="str">
        <f>INDEX(Positions!$E$2:$E$4694,MATCH($A380&amp;"|30",Positions!$A$2:$A$4694,0))</f>
        <v>G</v>
      </c>
      <c r="G380" s="4" t="str">
        <f>INDEX(Positions!$E$2:$E$4694,MATCH($A380&amp;"|40",Positions!$A$2:$A$4694,0))</f>
        <v>C</v>
      </c>
      <c r="H380" s="3" t="str">
        <f t="shared" si="20"/>
        <v>G-C</v>
      </c>
      <c r="I380" s="4">
        <f t="shared" si="21"/>
        <v>1</v>
      </c>
      <c r="J380" s="4">
        <f t="shared" si="22"/>
        <v>1</v>
      </c>
      <c r="K380" s="3">
        <f t="shared" si="23"/>
        <v>2</v>
      </c>
    </row>
    <row r="381" spans="1:11">
      <c r="A381" s="4" t="s">
        <v>50</v>
      </c>
      <c r="B381" s="4" t="s">
        <v>144</v>
      </c>
      <c r="C381" s="4" t="s">
        <v>235</v>
      </c>
      <c r="D381" s="4">
        <f>INDEX(Positions!$D$2:$D$4694,MATCH($A381&amp;"|31",Positions!$A$2:$A$4694,0))</f>
        <v>30</v>
      </c>
      <c r="E381" s="4">
        <f>INDEX(Positions!$D$2:$D$4694,MATCH($A381&amp;"|39",Positions!$A$2:$A$4694,0))</f>
        <v>38</v>
      </c>
      <c r="F381" s="4" t="str">
        <f>INDEX(Positions!$E$2:$E$4694,MATCH($A381&amp;"|31",Positions!$A$2:$A$4694,0))</f>
        <v>C</v>
      </c>
      <c r="G381" s="4" t="str">
        <f>INDEX(Positions!$E$2:$E$4694,MATCH($A381&amp;"|39",Positions!$A$2:$A$4694,0))</f>
        <v>G</v>
      </c>
      <c r="H381" s="3" t="str">
        <f t="shared" si="20"/>
        <v>C-G</v>
      </c>
      <c r="I381" s="4">
        <f t="shared" si="21"/>
        <v>1</v>
      </c>
      <c r="J381" s="4">
        <f t="shared" si="22"/>
        <v>1</v>
      </c>
      <c r="K381" s="3">
        <f t="shared" si="23"/>
        <v>2</v>
      </c>
    </row>
    <row r="382" spans="1:11">
      <c r="A382" s="4" t="s">
        <v>50</v>
      </c>
      <c r="B382" s="4" t="s">
        <v>169</v>
      </c>
      <c r="C382" s="4" t="s">
        <v>236</v>
      </c>
      <c r="D382" s="4">
        <f>INDEX(Positions!$D$2:$D$4694,MATCH($A382&amp;"|49",Positions!$A$2:$A$4694,0))</f>
        <v>48</v>
      </c>
      <c r="E382" s="4">
        <f>INDEX(Positions!$D$2:$D$4694,MATCH($A382&amp;"|65",Positions!$A$2:$A$4694,0))</f>
        <v>64</v>
      </c>
      <c r="F382" s="4" t="str">
        <f>INDEX(Positions!$E$2:$E$4694,MATCH($A382&amp;"|49",Positions!$A$2:$A$4694,0))</f>
        <v>C</v>
      </c>
      <c r="G382" s="4" t="str">
        <f>INDEX(Positions!$E$2:$E$4694,MATCH($A382&amp;"|65",Positions!$A$2:$A$4694,0))</f>
        <v>A</v>
      </c>
      <c r="H382" s="3" t="str">
        <f t="shared" si="20"/>
        <v>C-A</v>
      </c>
      <c r="I382" s="4">
        <f t="shared" si="21"/>
        <v>0</v>
      </c>
      <c r="J382" s="4">
        <f t="shared" si="22"/>
        <v>1</v>
      </c>
      <c r="K382" s="3">
        <f t="shared" si="23"/>
        <v>1</v>
      </c>
    </row>
    <row r="383" spans="1:11">
      <c r="A383" s="4" t="s">
        <v>50</v>
      </c>
      <c r="B383" s="4" t="s">
        <v>169</v>
      </c>
      <c r="C383" s="4" t="s">
        <v>237</v>
      </c>
      <c r="D383" s="4">
        <f>INDEX(Positions!$D$2:$D$4694,MATCH($A383&amp;"|50",Positions!$A$2:$A$4694,0))</f>
        <v>49</v>
      </c>
      <c r="E383" s="4">
        <f>INDEX(Positions!$D$2:$D$4694,MATCH($A383&amp;"|64",Positions!$A$2:$A$4694,0))</f>
        <v>63</v>
      </c>
      <c r="F383" s="4" t="str">
        <f>INDEX(Positions!$E$2:$E$4694,MATCH($A383&amp;"|50",Positions!$A$2:$A$4694,0))</f>
        <v>C</v>
      </c>
      <c r="G383" s="4" t="str">
        <f>INDEX(Positions!$E$2:$E$4694,MATCH($A383&amp;"|64",Positions!$A$2:$A$4694,0))</f>
        <v>G</v>
      </c>
      <c r="H383" s="3" t="str">
        <f t="shared" si="20"/>
        <v>C-G</v>
      </c>
      <c r="I383" s="4">
        <f t="shared" si="21"/>
        <v>1</v>
      </c>
      <c r="J383" s="4">
        <f t="shared" si="22"/>
        <v>1</v>
      </c>
      <c r="K383" s="3">
        <f t="shared" si="23"/>
        <v>2</v>
      </c>
    </row>
    <row r="384" spans="1:11">
      <c r="A384" s="4" t="s">
        <v>50</v>
      </c>
      <c r="B384" s="4" t="s">
        <v>169</v>
      </c>
      <c r="C384" s="4" t="s">
        <v>238</v>
      </c>
      <c r="D384" s="4">
        <f>INDEX(Positions!$D$2:$D$4694,MATCH($A384&amp;"|51",Positions!$A$2:$A$4694,0))</f>
        <v>50</v>
      </c>
      <c r="E384" s="4">
        <f>INDEX(Positions!$D$2:$D$4694,MATCH($A384&amp;"|63",Positions!$A$2:$A$4694,0))</f>
        <v>62</v>
      </c>
      <c r="F384" s="4" t="str">
        <f>INDEX(Positions!$E$2:$E$4694,MATCH($A384&amp;"|51",Positions!$A$2:$A$4694,0))</f>
        <v>U</v>
      </c>
      <c r="G384" s="4" t="str">
        <f>INDEX(Positions!$E$2:$E$4694,MATCH($A384&amp;"|63",Positions!$A$2:$A$4694,0))</f>
        <v>G</v>
      </c>
      <c r="H384" s="3" t="str">
        <f t="shared" si="20"/>
        <v>U-G</v>
      </c>
      <c r="I384" s="4">
        <f t="shared" si="21"/>
        <v>1</v>
      </c>
      <c r="J384" s="4">
        <f t="shared" si="22"/>
        <v>0</v>
      </c>
      <c r="K384" s="3">
        <f t="shared" si="23"/>
        <v>1</v>
      </c>
    </row>
    <row r="385" spans="1:11">
      <c r="A385" s="4" t="s">
        <v>50</v>
      </c>
      <c r="B385" s="4" t="s">
        <v>169</v>
      </c>
      <c r="C385" s="4" t="s">
        <v>239</v>
      </c>
      <c r="D385" s="4">
        <f>INDEX(Positions!$D$2:$D$4694,MATCH($A385&amp;"|52",Positions!$A$2:$A$4694,0))</f>
        <v>51</v>
      </c>
      <c r="E385" s="4">
        <f>INDEX(Positions!$D$2:$D$4694,MATCH($A385&amp;"|62",Positions!$A$2:$A$4694,0))</f>
        <v>61</v>
      </c>
      <c r="F385" s="4" t="str">
        <f>INDEX(Positions!$E$2:$E$4694,MATCH($A385&amp;"|52",Positions!$A$2:$A$4694,0))</f>
        <v>G</v>
      </c>
      <c r="G385" s="4" t="str">
        <f>INDEX(Positions!$E$2:$E$4694,MATCH($A385&amp;"|62",Positions!$A$2:$A$4694,0))</f>
        <v>C</v>
      </c>
      <c r="H385" s="3" t="str">
        <f t="shared" si="20"/>
        <v>G-C</v>
      </c>
      <c r="I385" s="4">
        <f t="shared" si="21"/>
        <v>1</v>
      </c>
      <c r="J385" s="4">
        <f t="shared" si="22"/>
        <v>1</v>
      </c>
      <c r="K385" s="3">
        <f t="shared" si="23"/>
        <v>2</v>
      </c>
    </row>
    <row r="386" spans="1:11">
      <c r="A386" s="4" t="s">
        <v>50</v>
      </c>
      <c r="B386" s="4" t="s">
        <v>169</v>
      </c>
      <c r="C386" s="4" t="s">
        <v>240</v>
      </c>
      <c r="D386" s="4">
        <f>INDEX(Positions!$D$2:$D$4694,MATCH($A386&amp;"|53",Positions!$A$2:$A$4694,0))</f>
        <v>52</v>
      </c>
      <c r="E386" s="4">
        <f>INDEX(Positions!$D$2:$D$4694,MATCH($A386&amp;"|61",Positions!$A$2:$A$4694,0))</f>
        <v>60</v>
      </c>
      <c r="F386" s="4" t="str">
        <f>INDEX(Positions!$E$2:$E$4694,MATCH($A386&amp;"|53",Positions!$A$2:$A$4694,0))</f>
        <v>G</v>
      </c>
      <c r="G386" s="4" t="str">
        <f>INDEX(Positions!$E$2:$E$4694,MATCH($A386&amp;"|61",Positions!$A$2:$A$4694,0))</f>
        <v>C</v>
      </c>
      <c r="H386" s="3" t="str">
        <f t="shared" ref="H386:H449" si="24">F386&amp;"-"&amp;G386</f>
        <v>G-C</v>
      </c>
      <c r="I386" s="4">
        <f t="shared" ref="I386:I449" si="25">(F386="G")+(G386="G")</f>
        <v>1</v>
      </c>
      <c r="J386" s="4">
        <f t="shared" ref="J386:J449" si="26">(F386="C")+(G386="C")</f>
        <v>1</v>
      </c>
      <c r="K386" s="3">
        <f t="shared" ref="K386:K449" si="27">I386+J386</f>
        <v>2</v>
      </c>
    </row>
    <row r="387" spans="1:11">
      <c r="A387" s="23" t="s">
        <v>50</v>
      </c>
      <c r="B387" s="23" t="s">
        <v>241</v>
      </c>
      <c r="C387" s="23" t="s">
        <v>242</v>
      </c>
      <c r="D387" s="23">
        <f>INDEX(Positions!$D$2:$D$4694,MATCH($A387&amp;"|8",Positions!$A$2:$A$4694,0))</f>
        <v>8</v>
      </c>
      <c r="E387" s="23">
        <f>INDEX(Positions!$D$2:$D$4694,MATCH($A387&amp;"|14",Positions!$A$2:$A$4694,0))</f>
        <v>14</v>
      </c>
      <c r="F387" s="23" t="str">
        <f>INDEX(Positions!$E$2:$E$4694,MATCH($A387&amp;"|8",Positions!$A$2:$A$4694,0))</f>
        <v>U</v>
      </c>
      <c r="G387" s="23" t="str">
        <f>INDEX(Positions!$E$2:$E$4694,MATCH($A387&amp;"|14",Positions!$A$2:$A$4694,0))</f>
        <v>A</v>
      </c>
      <c r="H387" s="24" t="str">
        <f t="shared" si="24"/>
        <v>U-A</v>
      </c>
      <c r="I387" s="23">
        <f t="shared" si="25"/>
        <v>0</v>
      </c>
      <c r="J387" s="23">
        <f t="shared" si="26"/>
        <v>0</v>
      </c>
      <c r="K387" s="24">
        <f t="shared" si="27"/>
        <v>0</v>
      </c>
    </row>
    <row r="388" spans="1:11">
      <c r="A388" s="23" t="s">
        <v>50</v>
      </c>
      <c r="B388" s="23" t="s">
        <v>241</v>
      </c>
      <c r="C388" s="23" t="s">
        <v>243</v>
      </c>
      <c r="D388" s="23">
        <f>INDEX(Positions!$D$2:$D$4694,MATCH($A388&amp;"|15",Positions!$A$2:$A$4694,0))</f>
        <v>15</v>
      </c>
      <c r="E388" s="23">
        <f>INDEX(Positions!$D$2:$D$4694,MATCH($A388&amp;"|48",Positions!$A$2:$A$4694,0))</f>
        <v>47</v>
      </c>
      <c r="F388" s="23" t="str">
        <f>INDEX(Positions!$E$2:$E$4694,MATCH($A388&amp;"|15",Positions!$A$2:$A$4694,0))</f>
        <v>G</v>
      </c>
      <c r="G388" s="23" t="str">
        <f>INDEX(Positions!$E$2:$E$4694,MATCH($A388&amp;"|48",Positions!$A$2:$A$4694,0))</f>
        <v>U</v>
      </c>
      <c r="H388" s="24" t="str">
        <f t="shared" si="24"/>
        <v>G-U</v>
      </c>
      <c r="I388" s="23">
        <f t="shared" si="25"/>
        <v>1</v>
      </c>
      <c r="J388" s="23">
        <f t="shared" si="26"/>
        <v>0</v>
      </c>
      <c r="K388" s="24">
        <f t="shared" si="27"/>
        <v>1</v>
      </c>
    </row>
    <row r="389" spans="1:11">
      <c r="A389" s="23" t="s">
        <v>50</v>
      </c>
      <c r="B389" s="23" t="s">
        <v>241</v>
      </c>
      <c r="C389" s="23" t="s">
        <v>244</v>
      </c>
      <c r="D389" s="23">
        <f>INDEX(Positions!$D$2:$D$4694,MATCH($A389&amp;"|18",Positions!$A$2:$A$4694,0))</f>
        <v>17</v>
      </c>
      <c r="E389" s="23">
        <f>INDEX(Positions!$D$2:$D$4694,MATCH($A389&amp;"|55",Positions!$A$2:$A$4694,0))</f>
        <v>54</v>
      </c>
      <c r="F389" s="23" t="str">
        <f>INDEX(Positions!$E$2:$E$4694,MATCH($A389&amp;"|18",Positions!$A$2:$A$4694,0))</f>
        <v>G</v>
      </c>
      <c r="G389" s="23" t="str">
        <f>INDEX(Positions!$E$2:$E$4694,MATCH($A389&amp;"|55",Positions!$A$2:$A$4694,0))</f>
        <v>U</v>
      </c>
      <c r="H389" s="24" t="str">
        <f t="shared" si="24"/>
        <v>G-U</v>
      </c>
      <c r="I389" s="23">
        <f t="shared" si="25"/>
        <v>1</v>
      </c>
      <c r="J389" s="23">
        <f t="shared" si="26"/>
        <v>0</v>
      </c>
      <c r="K389" s="24">
        <f t="shared" si="27"/>
        <v>1</v>
      </c>
    </row>
    <row r="390" spans="1:11">
      <c r="A390" s="23" t="s">
        <v>50</v>
      </c>
      <c r="B390" s="23" t="s">
        <v>241</v>
      </c>
      <c r="C390" s="23" t="s">
        <v>245</v>
      </c>
      <c r="D390" s="23">
        <f>INDEX(Positions!$D$2:$D$4694,MATCH($A390&amp;"|19",Positions!$A$2:$A$4694,0))</f>
        <v>18</v>
      </c>
      <c r="E390" s="23">
        <f>INDEX(Positions!$D$2:$D$4694,MATCH($A390&amp;"|56",Positions!$A$2:$A$4694,0))</f>
        <v>55</v>
      </c>
      <c r="F390" s="23" t="str">
        <f>INDEX(Positions!$E$2:$E$4694,MATCH($A390&amp;"|19",Positions!$A$2:$A$4694,0))</f>
        <v>G</v>
      </c>
      <c r="G390" s="23" t="str">
        <f>INDEX(Positions!$E$2:$E$4694,MATCH($A390&amp;"|56",Positions!$A$2:$A$4694,0))</f>
        <v>C</v>
      </c>
      <c r="H390" s="24" t="str">
        <f t="shared" si="24"/>
        <v>G-C</v>
      </c>
      <c r="I390" s="23">
        <f t="shared" si="25"/>
        <v>1</v>
      </c>
      <c r="J390" s="23">
        <f t="shared" si="26"/>
        <v>1</v>
      </c>
      <c r="K390" s="24">
        <f t="shared" si="27"/>
        <v>2</v>
      </c>
    </row>
    <row r="391" spans="1:11">
      <c r="A391" s="23" t="s">
        <v>50</v>
      </c>
      <c r="B391" s="23" t="s">
        <v>241</v>
      </c>
      <c r="C391" s="23" t="s">
        <v>246</v>
      </c>
      <c r="D391" s="23">
        <f>INDEX(Positions!$D$2:$D$4694,MATCH($A391&amp;"|26",Positions!$A$2:$A$4694,0))</f>
        <v>25</v>
      </c>
      <c r="E391" s="23">
        <f>INDEX(Positions!$D$2:$D$4694,MATCH($A391&amp;"|44",Positions!$A$2:$A$4694,0))</f>
        <v>43</v>
      </c>
      <c r="F391" s="23" t="str">
        <f>INDEX(Positions!$E$2:$E$4694,MATCH($A391&amp;"|26",Positions!$A$2:$A$4694,0))</f>
        <v>A</v>
      </c>
      <c r="G391" s="23" t="str">
        <f>INDEX(Positions!$E$2:$E$4694,MATCH($A391&amp;"|44",Positions!$A$2:$A$4694,0))</f>
        <v>U</v>
      </c>
      <c r="H391" s="24" t="str">
        <f t="shared" si="24"/>
        <v>A-U</v>
      </c>
      <c r="I391" s="23">
        <f t="shared" si="25"/>
        <v>0</v>
      </c>
      <c r="J391" s="23">
        <f t="shared" si="26"/>
        <v>0</v>
      </c>
      <c r="K391" s="24">
        <f t="shared" si="27"/>
        <v>0</v>
      </c>
    </row>
    <row r="392" spans="1:11">
      <c r="A392" s="23" t="s">
        <v>50</v>
      </c>
      <c r="B392" s="23" t="s">
        <v>241</v>
      </c>
      <c r="C392" s="23" t="s">
        <v>247</v>
      </c>
      <c r="D392" s="23">
        <f>INDEX(Positions!$D$2:$D$4694,MATCH($A392&amp;"|32",Positions!$A$2:$A$4694,0))</f>
        <v>31</v>
      </c>
      <c r="E392" s="23">
        <f>INDEX(Positions!$D$2:$D$4694,MATCH($A392&amp;"|38",Positions!$A$2:$A$4694,0))</f>
        <v>37</v>
      </c>
      <c r="F392" s="23" t="str">
        <f>INDEX(Positions!$E$2:$E$4694,MATCH($A392&amp;"|32",Positions!$A$2:$A$4694,0))</f>
        <v>C</v>
      </c>
      <c r="G392" s="23" t="str">
        <f>INDEX(Positions!$E$2:$E$4694,MATCH($A392&amp;"|38",Positions!$A$2:$A$4694,0))</f>
        <v>A</v>
      </c>
      <c r="H392" s="24" t="str">
        <f t="shared" si="24"/>
        <v>C-A</v>
      </c>
      <c r="I392" s="23">
        <f t="shared" si="25"/>
        <v>0</v>
      </c>
      <c r="J392" s="23">
        <f t="shared" si="26"/>
        <v>1</v>
      </c>
      <c r="K392" s="24">
        <f t="shared" si="27"/>
        <v>1</v>
      </c>
    </row>
    <row r="393" spans="1:11">
      <c r="A393" s="23" t="s">
        <v>50</v>
      </c>
      <c r="B393" s="23" t="s">
        <v>241</v>
      </c>
      <c r="C393" s="23" t="s">
        <v>248</v>
      </c>
      <c r="D393" s="23">
        <f>INDEX(Positions!$D$2:$D$4694,MATCH($A393&amp;"|54",Positions!$A$2:$A$4694,0))</f>
        <v>53</v>
      </c>
      <c r="E393" s="23">
        <f>INDEX(Positions!$D$2:$D$4694,MATCH($A393&amp;"|58",Positions!$A$2:$A$4694,0))</f>
        <v>57</v>
      </c>
      <c r="F393" s="23" t="str">
        <f>INDEX(Positions!$E$2:$E$4694,MATCH($A393&amp;"|54",Positions!$A$2:$A$4694,0))</f>
        <v>U</v>
      </c>
      <c r="G393" s="23" t="str">
        <f>INDEX(Positions!$E$2:$E$4694,MATCH($A393&amp;"|58",Positions!$A$2:$A$4694,0))</f>
        <v>A</v>
      </c>
      <c r="H393" s="24" t="str">
        <f t="shared" si="24"/>
        <v>U-A</v>
      </c>
      <c r="I393" s="23">
        <f t="shared" si="25"/>
        <v>0</v>
      </c>
      <c r="J393" s="23">
        <f t="shared" si="26"/>
        <v>0</v>
      </c>
      <c r="K393" s="24">
        <f t="shared" si="27"/>
        <v>0</v>
      </c>
    </row>
    <row r="394" spans="1:11">
      <c r="A394" s="4" t="s">
        <v>51</v>
      </c>
      <c r="B394" s="4" t="s">
        <v>110</v>
      </c>
      <c r="C394" s="4" t="s">
        <v>220</v>
      </c>
      <c r="D394" s="4">
        <f>INDEX(Positions!$D$2:$D$4694,MATCH($A394&amp;"|1",Positions!$A$2:$A$4694,0))</f>
        <v>1</v>
      </c>
      <c r="E394" s="4">
        <f>INDEX(Positions!$D$2:$D$4694,MATCH($A394&amp;"|72",Positions!$A$2:$A$4694,0))</f>
        <v>71</v>
      </c>
      <c r="F394" s="4" t="str">
        <f>INDEX(Positions!$E$2:$E$4694,MATCH($A394&amp;"|1",Positions!$A$2:$A$4694,0))</f>
        <v>G</v>
      </c>
      <c r="G394" s="4" t="str">
        <f>INDEX(Positions!$E$2:$E$4694,MATCH($A394&amp;"|72",Positions!$A$2:$A$4694,0))</f>
        <v>C</v>
      </c>
      <c r="H394" s="3" t="str">
        <f t="shared" si="24"/>
        <v>G-C</v>
      </c>
      <c r="I394" s="4">
        <f t="shared" si="25"/>
        <v>1</v>
      </c>
      <c r="J394" s="4">
        <f t="shared" si="26"/>
        <v>1</v>
      </c>
      <c r="K394" s="3">
        <f t="shared" si="27"/>
        <v>2</v>
      </c>
    </row>
    <row r="395" spans="1:11">
      <c r="A395" s="4" t="s">
        <v>51</v>
      </c>
      <c r="B395" s="4" t="s">
        <v>110</v>
      </c>
      <c r="C395" s="4" t="s">
        <v>221</v>
      </c>
      <c r="D395" s="4">
        <f>INDEX(Positions!$D$2:$D$4694,MATCH($A395&amp;"|2",Positions!$A$2:$A$4694,0))</f>
        <v>2</v>
      </c>
      <c r="E395" s="4">
        <f>INDEX(Positions!$D$2:$D$4694,MATCH($A395&amp;"|71",Positions!$A$2:$A$4694,0))</f>
        <v>70</v>
      </c>
      <c r="F395" s="4" t="str">
        <f>INDEX(Positions!$E$2:$E$4694,MATCH($A395&amp;"|2",Positions!$A$2:$A$4694,0))</f>
        <v>U</v>
      </c>
      <c r="G395" s="4" t="str">
        <f>INDEX(Positions!$E$2:$E$4694,MATCH($A395&amp;"|71",Positions!$A$2:$A$4694,0))</f>
        <v>A</v>
      </c>
      <c r="H395" s="3" t="str">
        <f t="shared" si="24"/>
        <v>U-A</v>
      </c>
      <c r="I395" s="4">
        <f t="shared" si="25"/>
        <v>0</v>
      </c>
      <c r="J395" s="4">
        <f t="shared" si="26"/>
        <v>0</v>
      </c>
      <c r="K395" s="3">
        <f t="shared" si="27"/>
        <v>0</v>
      </c>
    </row>
    <row r="396" spans="1:11">
      <c r="A396" s="4" t="s">
        <v>51</v>
      </c>
      <c r="B396" s="4" t="s">
        <v>110</v>
      </c>
      <c r="C396" s="4" t="s">
        <v>222</v>
      </c>
      <c r="D396" s="4">
        <f>INDEX(Positions!$D$2:$D$4694,MATCH($A396&amp;"|3",Positions!$A$2:$A$4694,0))</f>
        <v>3</v>
      </c>
      <c r="E396" s="4">
        <f>INDEX(Positions!$D$2:$D$4694,MATCH($A396&amp;"|70",Positions!$A$2:$A$4694,0))</f>
        <v>69</v>
      </c>
      <c r="F396" s="4" t="str">
        <f>INDEX(Positions!$E$2:$E$4694,MATCH($A396&amp;"|3",Positions!$A$2:$A$4694,0))</f>
        <v>C</v>
      </c>
      <c r="G396" s="4" t="str">
        <f>INDEX(Positions!$E$2:$E$4694,MATCH($A396&amp;"|70",Positions!$A$2:$A$4694,0))</f>
        <v>G</v>
      </c>
      <c r="H396" s="3" t="str">
        <f t="shared" si="24"/>
        <v>C-G</v>
      </c>
      <c r="I396" s="4">
        <f t="shared" si="25"/>
        <v>1</v>
      </c>
      <c r="J396" s="4">
        <f t="shared" si="26"/>
        <v>1</v>
      </c>
      <c r="K396" s="3">
        <f t="shared" si="27"/>
        <v>2</v>
      </c>
    </row>
    <row r="397" spans="1:11">
      <c r="A397" s="4" t="s">
        <v>51</v>
      </c>
      <c r="B397" s="4" t="s">
        <v>110</v>
      </c>
      <c r="C397" s="4" t="s">
        <v>223</v>
      </c>
      <c r="D397" s="4">
        <f>INDEX(Positions!$D$2:$D$4694,MATCH($A397&amp;"|4",Positions!$A$2:$A$4694,0))</f>
        <v>4</v>
      </c>
      <c r="E397" s="4">
        <f>INDEX(Positions!$D$2:$D$4694,MATCH($A397&amp;"|69",Positions!$A$2:$A$4694,0))</f>
        <v>68</v>
      </c>
      <c r="F397" s="4" t="str">
        <f>INDEX(Positions!$E$2:$E$4694,MATCH($A397&amp;"|4",Positions!$A$2:$A$4694,0))</f>
        <v>A</v>
      </c>
      <c r="G397" s="4" t="str">
        <f>INDEX(Positions!$E$2:$E$4694,MATCH($A397&amp;"|69",Positions!$A$2:$A$4694,0))</f>
        <v>U</v>
      </c>
      <c r="H397" s="3" t="str">
        <f t="shared" si="24"/>
        <v>A-U</v>
      </c>
      <c r="I397" s="4">
        <f t="shared" si="25"/>
        <v>0</v>
      </c>
      <c r="J397" s="4">
        <f t="shared" si="26"/>
        <v>0</v>
      </c>
      <c r="K397" s="3">
        <f t="shared" si="27"/>
        <v>0</v>
      </c>
    </row>
    <row r="398" spans="1:11">
      <c r="A398" s="4" t="s">
        <v>51</v>
      </c>
      <c r="B398" s="4" t="s">
        <v>110</v>
      </c>
      <c r="C398" s="4" t="s">
        <v>224</v>
      </c>
      <c r="D398" s="4">
        <f>INDEX(Positions!$D$2:$D$4694,MATCH($A398&amp;"|5",Positions!$A$2:$A$4694,0))</f>
        <v>5</v>
      </c>
      <c r="E398" s="4">
        <f>INDEX(Positions!$D$2:$D$4694,MATCH($A398&amp;"|68",Positions!$A$2:$A$4694,0))</f>
        <v>67</v>
      </c>
      <c r="F398" s="4" t="str">
        <f>INDEX(Positions!$E$2:$E$4694,MATCH($A398&amp;"|5",Positions!$A$2:$A$4694,0))</f>
        <v>G</v>
      </c>
      <c r="G398" s="4" t="str">
        <f>INDEX(Positions!$E$2:$E$4694,MATCH($A398&amp;"|68",Positions!$A$2:$A$4694,0))</f>
        <v>C</v>
      </c>
      <c r="H398" s="3" t="str">
        <f t="shared" si="24"/>
        <v>G-C</v>
      </c>
      <c r="I398" s="4">
        <f t="shared" si="25"/>
        <v>1</v>
      </c>
      <c r="J398" s="4">
        <f t="shared" si="26"/>
        <v>1</v>
      </c>
      <c r="K398" s="3">
        <f t="shared" si="27"/>
        <v>2</v>
      </c>
    </row>
    <row r="399" spans="1:11">
      <c r="A399" s="4" t="s">
        <v>51</v>
      </c>
      <c r="B399" s="4" t="s">
        <v>110</v>
      </c>
      <c r="C399" s="4" t="s">
        <v>225</v>
      </c>
      <c r="D399" s="4">
        <f>INDEX(Positions!$D$2:$D$4694,MATCH($A399&amp;"|6",Positions!$A$2:$A$4694,0))</f>
        <v>6</v>
      </c>
      <c r="E399" s="4">
        <f>INDEX(Positions!$D$2:$D$4694,MATCH($A399&amp;"|67",Positions!$A$2:$A$4694,0))</f>
        <v>66</v>
      </c>
      <c r="F399" s="4" t="str">
        <f>INDEX(Positions!$E$2:$E$4694,MATCH($A399&amp;"|6",Positions!$A$2:$A$4694,0))</f>
        <v>G</v>
      </c>
      <c r="G399" s="4" t="str">
        <f>INDEX(Positions!$E$2:$E$4694,MATCH($A399&amp;"|67",Positions!$A$2:$A$4694,0))</f>
        <v>C</v>
      </c>
      <c r="H399" s="3" t="str">
        <f t="shared" si="24"/>
        <v>G-C</v>
      </c>
      <c r="I399" s="4">
        <f t="shared" si="25"/>
        <v>1</v>
      </c>
      <c r="J399" s="4">
        <f t="shared" si="26"/>
        <v>1</v>
      </c>
      <c r="K399" s="3">
        <f t="shared" si="27"/>
        <v>2</v>
      </c>
    </row>
    <row r="400" spans="1:11">
      <c r="A400" s="4" t="s">
        <v>51</v>
      </c>
      <c r="B400" s="4" t="s">
        <v>110</v>
      </c>
      <c r="C400" s="4" t="s">
        <v>226</v>
      </c>
      <c r="D400" s="4">
        <f>INDEX(Positions!$D$2:$D$4694,MATCH($A400&amp;"|7",Positions!$A$2:$A$4694,0))</f>
        <v>7</v>
      </c>
      <c r="E400" s="4">
        <f>INDEX(Positions!$D$2:$D$4694,MATCH($A400&amp;"|66",Positions!$A$2:$A$4694,0))</f>
        <v>65</v>
      </c>
      <c r="F400" s="4" t="str">
        <f>INDEX(Positions!$E$2:$E$4694,MATCH($A400&amp;"|7",Positions!$A$2:$A$4694,0))</f>
        <v>A</v>
      </c>
      <c r="G400" s="4" t="str">
        <f>INDEX(Positions!$E$2:$E$4694,MATCH($A400&amp;"|66",Positions!$A$2:$A$4694,0))</f>
        <v>U</v>
      </c>
      <c r="H400" s="3" t="str">
        <f t="shared" si="24"/>
        <v>A-U</v>
      </c>
      <c r="I400" s="4">
        <f t="shared" si="25"/>
        <v>0</v>
      </c>
      <c r="J400" s="4">
        <f t="shared" si="26"/>
        <v>0</v>
      </c>
      <c r="K400" s="3">
        <f t="shared" si="27"/>
        <v>0</v>
      </c>
    </row>
    <row r="401" spans="1:11">
      <c r="A401" s="4" t="s">
        <v>51</v>
      </c>
      <c r="B401" s="4" t="s">
        <v>125</v>
      </c>
      <c r="C401" s="4" t="s">
        <v>227</v>
      </c>
      <c r="D401" s="4">
        <f>INDEX(Positions!$D$2:$D$4694,MATCH($A401&amp;"|10",Positions!$A$2:$A$4694,0))</f>
        <v>10</v>
      </c>
      <c r="E401" s="4">
        <f>INDEX(Positions!$D$2:$D$4694,MATCH($A401&amp;"|25",Positions!$A$2:$A$4694,0))</f>
        <v>24</v>
      </c>
      <c r="F401" s="4" t="str">
        <f>INDEX(Positions!$E$2:$E$4694,MATCH($A401&amp;"|10",Positions!$A$2:$A$4694,0))</f>
        <v>G</v>
      </c>
      <c r="G401" s="4" t="str">
        <f>INDEX(Positions!$E$2:$E$4694,MATCH($A401&amp;"|25",Positions!$A$2:$A$4694,0))</f>
        <v>C</v>
      </c>
      <c r="H401" s="3" t="str">
        <f t="shared" si="24"/>
        <v>G-C</v>
      </c>
      <c r="I401" s="4">
        <f t="shared" si="25"/>
        <v>1</v>
      </c>
      <c r="J401" s="4">
        <f t="shared" si="26"/>
        <v>1</v>
      </c>
      <c r="K401" s="3">
        <f t="shared" si="27"/>
        <v>2</v>
      </c>
    </row>
    <row r="402" spans="1:11">
      <c r="A402" s="4" t="s">
        <v>51</v>
      </c>
      <c r="B402" s="4" t="s">
        <v>125</v>
      </c>
      <c r="C402" s="4" t="s">
        <v>228</v>
      </c>
      <c r="D402" s="4">
        <f>INDEX(Positions!$D$2:$D$4694,MATCH($A402&amp;"|11",Positions!$A$2:$A$4694,0))</f>
        <v>11</v>
      </c>
      <c r="E402" s="4">
        <f>INDEX(Positions!$D$2:$D$4694,MATCH($A402&amp;"|24",Positions!$A$2:$A$4694,0))</f>
        <v>23</v>
      </c>
      <c r="F402" s="4" t="str">
        <f>INDEX(Positions!$E$2:$E$4694,MATCH($A402&amp;"|11",Positions!$A$2:$A$4694,0))</f>
        <v>C</v>
      </c>
      <c r="G402" s="4" t="str">
        <f>INDEX(Positions!$E$2:$E$4694,MATCH($A402&amp;"|24",Positions!$A$2:$A$4694,0))</f>
        <v>G</v>
      </c>
      <c r="H402" s="3" t="str">
        <f t="shared" si="24"/>
        <v>C-G</v>
      </c>
      <c r="I402" s="4">
        <f t="shared" si="25"/>
        <v>1</v>
      </c>
      <c r="J402" s="4">
        <f t="shared" si="26"/>
        <v>1</v>
      </c>
      <c r="K402" s="3">
        <f t="shared" si="27"/>
        <v>2</v>
      </c>
    </row>
    <row r="403" spans="1:11">
      <c r="A403" s="4" t="s">
        <v>51</v>
      </c>
      <c r="B403" s="4" t="s">
        <v>125</v>
      </c>
      <c r="C403" s="4" t="s">
        <v>229</v>
      </c>
      <c r="D403" s="4">
        <f>INDEX(Positions!$D$2:$D$4694,MATCH($A403&amp;"|12",Positions!$A$2:$A$4694,0))</f>
        <v>12</v>
      </c>
      <c r="E403" s="4">
        <f>INDEX(Positions!$D$2:$D$4694,MATCH($A403&amp;"|23",Positions!$A$2:$A$4694,0))</f>
        <v>22</v>
      </c>
      <c r="F403" s="4" t="str">
        <f>INDEX(Positions!$E$2:$E$4694,MATCH($A403&amp;"|12",Positions!$A$2:$A$4694,0))</f>
        <v>A</v>
      </c>
      <c r="G403" s="4" t="str">
        <f>INDEX(Positions!$E$2:$E$4694,MATCH($A403&amp;"|23",Positions!$A$2:$A$4694,0))</f>
        <v>U</v>
      </c>
      <c r="H403" s="3" t="str">
        <f t="shared" si="24"/>
        <v>A-U</v>
      </c>
      <c r="I403" s="4">
        <f t="shared" si="25"/>
        <v>0</v>
      </c>
      <c r="J403" s="4">
        <f t="shared" si="26"/>
        <v>0</v>
      </c>
      <c r="K403" s="3">
        <f t="shared" si="27"/>
        <v>0</v>
      </c>
    </row>
    <row r="404" spans="1:11">
      <c r="A404" s="4" t="s">
        <v>51</v>
      </c>
      <c r="B404" s="4" t="s">
        <v>125</v>
      </c>
      <c r="C404" s="4" t="s">
        <v>230</v>
      </c>
      <c r="D404" s="4">
        <f>INDEX(Positions!$D$2:$D$4694,MATCH($A404&amp;"|13",Positions!$A$2:$A$4694,0))</f>
        <v>13</v>
      </c>
      <c r="E404" s="4">
        <f>INDEX(Positions!$D$2:$D$4694,MATCH($A404&amp;"|22",Positions!$A$2:$A$4694,0))</f>
        <v>21</v>
      </c>
      <c r="F404" s="4" t="str">
        <f>INDEX(Positions!$E$2:$E$4694,MATCH($A404&amp;"|13",Positions!$A$2:$A$4694,0))</f>
        <v>G</v>
      </c>
      <c r="G404" s="4" t="str">
        <f>INDEX(Positions!$E$2:$E$4694,MATCH($A404&amp;"|22",Positions!$A$2:$A$4694,0))</f>
        <v>A</v>
      </c>
      <c r="H404" s="3" t="str">
        <f t="shared" si="24"/>
        <v>G-A</v>
      </c>
      <c r="I404" s="4">
        <f t="shared" si="25"/>
        <v>1</v>
      </c>
      <c r="J404" s="4">
        <f t="shared" si="26"/>
        <v>0</v>
      </c>
      <c r="K404" s="3">
        <f t="shared" si="27"/>
        <v>1</v>
      </c>
    </row>
    <row r="405" spans="1:11">
      <c r="A405" s="4" t="s">
        <v>51</v>
      </c>
      <c r="B405" s="4" t="s">
        <v>144</v>
      </c>
      <c r="C405" s="4" t="s">
        <v>231</v>
      </c>
      <c r="D405" s="4">
        <f>INDEX(Positions!$D$2:$D$4694,MATCH($A405&amp;"|27",Positions!$A$2:$A$4694,0))</f>
        <v>26</v>
      </c>
      <c r="E405" s="4">
        <f>INDEX(Positions!$D$2:$D$4694,MATCH($A405&amp;"|43",Positions!$A$2:$A$4694,0))</f>
        <v>42</v>
      </c>
      <c r="F405" s="4" t="str">
        <f>INDEX(Positions!$E$2:$E$4694,MATCH($A405&amp;"|27",Positions!$A$2:$A$4694,0))</f>
        <v>U</v>
      </c>
      <c r="G405" s="4" t="str">
        <f>INDEX(Positions!$E$2:$E$4694,MATCH($A405&amp;"|43",Positions!$A$2:$A$4694,0))</f>
        <v>A</v>
      </c>
      <c r="H405" s="3" t="str">
        <f t="shared" si="24"/>
        <v>U-A</v>
      </c>
      <c r="I405" s="4">
        <f t="shared" si="25"/>
        <v>0</v>
      </c>
      <c r="J405" s="4">
        <f t="shared" si="26"/>
        <v>0</v>
      </c>
      <c r="K405" s="3">
        <f t="shared" si="27"/>
        <v>0</v>
      </c>
    </row>
    <row r="406" spans="1:11">
      <c r="A406" s="4" t="s">
        <v>51</v>
      </c>
      <c r="B406" s="4" t="s">
        <v>144</v>
      </c>
      <c r="C406" s="4" t="s">
        <v>232</v>
      </c>
      <c r="D406" s="4">
        <f>INDEX(Positions!$D$2:$D$4694,MATCH($A406&amp;"|28",Positions!$A$2:$A$4694,0))</f>
        <v>27</v>
      </c>
      <c r="E406" s="4">
        <f>INDEX(Positions!$D$2:$D$4694,MATCH($A406&amp;"|42",Positions!$A$2:$A$4694,0))</f>
        <v>41</v>
      </c>
      <c r="F406" s="4" t="str">
        <f>INDEX(Positions!$E$2:$E$4694,MATCH($A406&amp;"|28",Positions!$A$2:$A$4694,0))</f>
        <v>C</v>
      </c>
      <c r="G406" s="4" t="str">
        <f>INDEX(Positions!$E$2:$E$4694,MATCH($A406&amp;"|42",Positions!$A$2:$A$4694,0))</f>
        <v>G</v>
      </c>
      <c r="H406" s="3" t="str">
        <f t="shared" si="24"/>
        <v>C-G</v>
      </c>
      <c r="I406" s="4">
        <f t="shared" si="25"/>
        <v>1</v>
      </c>
      <c r="J406" s="4">
        <f t="shared" si="26"/>
        <v>1</v>
      </c>
      <c r="K406" s="3">
        <f t="shared" si="27"/>
        <v>2</v>
      </c>
    </row>
    <row r="407" spans="1:11">
      <c r="A407" s="4" t="s">
        <v>51</v>
      </c>
      <c r="B407" s="4" t="s">
        <v>144</v>
      </c>
      <c r="C407" s="4" t="s">
        <v>233</v>
      </c>
      <c r="D407" s="4">
        <f>INDEX(Positions!$D$2:$D$4694,MATCH($A407&amp;"|29",Positions!$A$2:$A$4694,0))</f>
        <v>28</v>
      </c>
      <c r="E407" s="4">
        <f>INDEX(Positions!$D$2:$D$4694,MATCH($A407&amp;"|41",Positions!$A$2:$A$4694,0))</f>
        <v>40</v>
      </c>
      <c r="F407" s="4" t="str">
        <f>INDEX(Positions!$E$2:$E$4694,MATCH($A407&amp;"|29",Positions!$A$2:$A$4694,0))</f>
        <v>C</v>
      </c>
      <c r="G407" s="4" t="str">
        <f>INDEX(Positions!$E$2:$E$4694,MATCH($A407&amp;"|41",Positions!$A$2:$A$4694,0))</f>
        <v>G</v>
      </c>
      <c r="H407" s="3" t="str">
        <f t="shared" si="24"/>
        <v>C-G</v>
      </c>
      <c r="I407" s="4">
        <f t="shared" si="25"/>
        <v>1</v>
      </c>
      <c r="J407" s="4">
        <f t="shared" si="26"/>
        <v>1</v>
      </c>
      <c r="K407" s="3">
        <f t="shared" si="27"/>
        <v>2</v>
      </c>
    </row>
    <row r="408" spans="1:11">
      <c r="A408" s="4" t="s">
        <v>51</v>
      </c>
      <c r="B408" s="4" t="s">
        <v>144</v>
      </c>
      <c r="C408" s="4" t="s">
        <v>234</v>
      </c>
      <c r="D408" s="4">
        <f>INDEX(Positions!$D$2:$D$4694,MATCH($A408&amp;"|30",Positions!$A$2:$A$4694,0))</f>
        <v>29</v>
      </c>
      <c r="E408" s="4">
        <f>INDEX(Positions!$D$2:$D$4694,MATCH($A408&amp;"|40",Positions!$A$2:$A$4694,0))</f>
        <v>39</v>
      </c>
      <c r="F408" s="4" t="str">
        <f>INDEX(Positions!$E$2:$E$4694,MATCH($A408&amp;"|30",Positions!$A$2:$A$4694,0))</f>
        <v>G</v>
      </c>
      <c r="G408" s="4" t="str">
        <f>INDEX(Positions!$E$2:$E$4694,MATCH($A408&amp;"|40",Positions!$A$2:$A$4694,0))</f>
        <v>C</v>
      </c>
      <c r="H408" s="3" t="str">
        <f t="shared" si="24"/>
        <v>G-C</v>
      </c>
      <c r="I408" s="4">
        <f t="shared" si="25"/>
        <v>1</v>
      </c>
      <c r="J408" s="4">
        <f t="shared" si="26"/>
        <v>1</v>
      </c>
      <c r="K408" s="3">
        <f t="shared" si="27"/>
        <v>2</v>
      </c>
    </row>
    <row r="409" spans="1:11">
      <c r="A409" s="4" t="s">
        <v>51</v>
      </c>
      <c r="B409" s="4" t="s">
        <v>144</v>
      </c>
      <c r="C409" s="4" t="s">
        <v>235</v>
      </c>
      <c r="D409" s="4">
        <f>INDEX(Positions!$D$2:$D$4694,MATCH($A409&amp;"|31",Positions!$A$2:$A$4694,0))</f>
        <v>30</v>
      </c>
      <c r="E409" s="4">
        <f>INDEX(Positions!$D$2:$D$4694,MATCH($A409&amp;"|39",Positions!$A$2:$A$4694,0))</f>
        <v>38</v>
      </c>
      <c r="F409" s="4" t="str">
        <f>INDEX(Positions!$E$2:$E$4694,MATCH($A409&amp;"|31",Positions!$A$2:$A$4694,0))</f>
        <v>G</v>
      </c>
      <c r="G409" s="4" t="str">
        <f>INDEX(Positions!$E$2:$E$4694,MATCH($A409&amp;"|39",Positions!$A$2:$A$4694,0))</f>
        <v>C</v>
      </c>
      <c r="H409" s="3" t="str">
        <f t="shared" si="24"/>
        <v>G-C</v>
      </c>
      <c r="I409" s="4">
        <f t="shared" si="25"/>
        <v>1</v>
      </c>
      <c r="J409" s="4">
        <f t="shared" si="26"/>
        <v>1</v>
      </c>
      <c r="K409" s="3">
        <f t="shared" si="27"/>
        <v>2</v>
      </c>
    </row>
    <row r="410" spans="1:11">
      <c r="A410" s="4" t="s">
        <v>51</v>
      </c>
      <c r="B410" s="4" t="s">
        <v>169</v>
      </c>
      <c r="C410" s="4" t="s">
        <v>236</v>
      </c>
      <c r="D410" s="4">
        <f>INDEX(Positions!$D$2:$D$4694,MATCH($A410&amp;"|49",Positions!$A$2:$A$4694,0))</f>
        <v>48</v>
      </c>
      <c r="E410" s="4">
        <f>INDEX(Positions!$D$2:$D$4694,MATCH($A410&amp;"|65",Positions!$A$2:$A$4694,0))</f>
        <v>64</v>
      </c>
      <c r="F410" s="4" t="str">
        <f>INDEX(Positions!$E$2:$E$4694,MATCH($A410&amp;"|49",Positions!$A$2:$A$4694,0))</f>
        <v>G</v>
      </c>
      <c r="G410" s="4" t="str">
        <f>INDEX(Positions!$E$2:$E$4694,MATCH($A410&amp;"|65",Positions!$A$2:$A$4694,0))</f>
        <v>C</v>
      </c>
      <c r="H410" s="3" t="str">
        <f t="shared" si="24"/>
        <v>G-C</v>
      </c>
      <c r="I410" s="4">
        <f t="shared" si="25"/>
        <v>1</v>
      </c>
      <c r="J410" s="4">
        <f t="shared" si="26"/>
        <v>1</v>
      </c>
      <c r="K410" s="3">
        <f t="shared" si="27"/>
        <v>2</v>
      </c>
    </row>
    <row r="411" spans="1:11">
      <c r="A411" s="4" t="s">
        <v>51</v>
      </c>
      <c r="B411" s="4" t="s">
        <v>169</v>
      </c>
      <c r="C411" s="4" t="s">
        <v>237</v>
      </c>
      <c r="D411" s="4">
        <f>INDEX(Positions!$D$2:$D$4694,MATCH($A411&amp;"|50",Positions!$A$2:$A$4694,0))</f>
        <v>49</v>
      </c>
      <c r="E411" s="4">
        <f>INDEX(Positions!$D$2:$D$4694,MATCH($A411&amp;"|64",Positions!$A$2:$A$4694,0))</f>
        <v>63</v>
      </c>
      <c r="F411" s="4" t="str">
        <f>INDEX(Positions!$E$2:$E$4694,MATCH($A411&amp;"|50",Positions!$A$2:$A$4694,0))</f>
        <v>U</v>
      </c>
      <c r="G411" s="4" t="str">
        <f>INDEX(Positions!$E$2:$E$4694,MATCH($A411&amp;"|64",Positions!$A$2:$A$4694,0))</f>
        <v>A</v>
      </c>
      <c r="H411" s="3" t="str">
        <f t="shared" si="24"/>
        <v>U-A</v>
      </c>
      <c r="I411" s="4">
        <f t="shared" si="25"/>
        <v>0</v>
      </c>
      <c r="J411" s="4">
        <f t="shared" si="26"/>
        <v>0</v>
      </c>
      <c r="K411" s="3">
        <f t="shared" si="27"/>
        <v>0</v>
      </c>
    </row>
    <row r="412" spans="1:11">
      <c r="A412" s="4" t="s">
        <v>51</v>
      </c>
      <c r="B412" s="4" t="s">
        <v>169</v>
      </c>
      <c r="C412" s="4" t="s">
        <v>238</v>
      </c>
      <c r="D412" s="4">
        <f>INDEX(Positions!$D$2:$D$4694,MATCH($A412&amp;"|51",Positions!$A$2:$A$4694,0))</f>
        <v>50</v>
      </c>
      <c r="E412" s="4">
        <f>INDEX(Positions!$D$2:$D$4694,MATCH($A412&amp;"|63",Positions!$A$2:$A$4694,0))</f>
        <v>62</v>
      </c>
      <c r="F412" s="4" t="str">
        <f>INDEX(Positions!$E$2:$E$4694,MATCH($A412&amp;"|51",Positions!$A$2:$A$4694,0))</f>
        <v>G</v>
      </c>
      <c r="G412" s="4" t="str">
        <f>INDEX(Positions!$E$2:$E$4694,MATCH($A412&amp;"|63",Positions!$A$2:$A$4694,0))</f>
        <v>C</v>
      </c>
      <c r="H412" s="3" t="str">
        <f t="shared" si="24"/>
        <v>G-C</v>
      </c>
      <c r="I412" s="4">
        <f t="shared" si="25"/>
        <v>1</v>
      </c>
      <c r="J412" s="4">
        <f t="shared" si="26"/>
        <v>1</v>
      </c>
      <c r="K412" s="3">
        <f t="shared" si="27"/>
        <v>2</v>
      </c>
    </row>
    <row r="413" spans="1:11">
      <c r="A413" s="4" t="s">
        <v>51</v>
      </c>
      <c r="B413" s="4" t="s">
        <v>169</v>
      </c>
      <c r="C413" s="4" t="s">
        <v>239</v>
      </c>
      <c r="D413" s="4">
        <f>INDEX(Positions!$D$2:$D$4694,MATCH($A413&amp;"|52",Positions!$A$2:$A$4694,0))</f>
        <v>51</v>
      </c>
      <c r="E413" s="4">
        <f>INDEX(Positions!$D$2:$D$4694,MATCH($A413&amp;"|62",Positions!$A$2:$A$4694,0))</f>
        <v>61</v>
      </c>
      <c r="F413" s="4" t="str">
        <f>INDEX(Positions!$E$2:$E$4694,MATCH($A413&amp;"|52",Positions!$A$2:$A$4694,0))</f>
        <v>A</v>
      </c>
      <c r="G413" s="4" t="str">
        <f>INDEX(Positions!$E$2:$E$4694,MATCH($A413&amp;"|62",Positions!$A$2:$A$4694,0))</f>
        <v>U</v>
      </c>
      <c r="H413" s="3" t="str">
        <f t="shared" si="24"/>
        <v>A-U</v>
      </c>
      <c r="I413" s="4">
        <f t="shared" si="25"/>
        <v>0</v>
      </c>
      <c r="J413" s="4">
        <f t="shared" si="26"/>
        <v>0</v>
      </c>
      <c r="K413" s="3">
        <f t="shared" si="27"/>
        <v>0</v>
      </c>
    </row>
    <row r="414" spans="1:11">
      <c r="A414" s="4" t="s">
        <v>51</v>
      </c>
      <c r="B414" s="4" t="s">
        <v>169</v>
      </c>
      <c r="C414" s="4" t="s">
        <v>240</v>
      </c>
      <c r="D414" s="4">
        <f>INDEX(Positions!$D$2:$D$4694,MATCH($A414&amp;"|53",Positions!$A$2:$A$4694,0))</f>
        <v>52</v>
      </c>
      <c r="E414" s="4">
        <f>INDEX(Positions!$D$2:$D$4694,MATCH($A414&amp;"|61",Positions!$A$2:$A$4694,0))</f>
        <v>60</v>
      </c>
      <c r="F414" s="4" t="str">
        <f>INDEX(Positions!$E$2:$E$4694,MATCH($A414&amp;"|53",Positions!$A$2:$A$4694,0))</f>
        <v>G</v>
      </c>
      <c r="G414" s="4" t="str">
        <f>INDEX(Positions!$E$2:$E$4694,MATCH($A414&amp;"|61",Positions!$A$2:$A$4694,0))</f>
        <v>C</v>
      </c>
      <c r="H414" s="3" t="str">
        <f t="shared" si="24"/>
        <v>G-C</v>
      </c>
      <c r="I414" s="4">
        <f t="shared" si="25"/>
        <v>1</v>
      </c>
      <c r="J414" s="4">
        <f t="shared" si="26"/>
        <v>1</v>
      </c>
      <c r="K414" s="3">
        <f t="shared" si="27"/>
        <v>2</v>
      </c>
    </row>
    <row r="415" spans="1:11">
      <c r="A415" s="23" t="s">
        <v>51</v>
      </c>
      <c r="B415" s="23" t="s">
        <v>241</v>
      </c>
      <c r="C415" s="23" t="s">
        <v>242</v>
      </c>
      <c r="D415" s="23">
        <f>INDEX(Positions!$D$2:$D$4694,MATCH($A415&amp;"|8",Positions!$A$2:$A$4694,0))</f>
        <v>8</v>
      </c>
      <c r="E415" s="23">
        <f>INDEX(Positions!$D$2:$D$4694,MATCH($A415&amp;"|14",Positions!$A$2:$A$4694,0))</f>
        <v>14</v>
      </c>
      <c r="F415" s="23" t="str">
        <f>INDEX(Positions!$E$2:$E$4694,MATCH($A415&amp;"|8",Positions!$A$2:$A$4694,0))</f>
        <v>U</v>
      </c>
      <c r="G415" s="23" t="str">
        <f>INDEX(Positions!$E$2:$E$4694,MATCH($A415&amp;"|14",Positions!$A$2:$A$4694,0))</f>
        <v>A</v>
      </c>
      <c r="H415" s="24" t="str">
        <f t="shared" si="24"/>
        <v>U-A</v>
      </c>
      <c r="I415" s="23">
        <f t="shared" si="25"/>
        <v>0</v>
      </c>
      <c r="J415" s="23">
        <f t="shared" si="26"/>
        <v>0</v>
      </c>
      <c r="K415" s="24">
        <f t="shared" si="27"/>
        <v>0</v>
      </c>
    </row>
    <row r="416" spans="1:11">
      <c r="A416" s="23" t="s">
        <v>51</v>
      </c>
      <c r="B416" s="23" t="s">
        <v>241</v>
      </c>
      <c r="C416" s="23" t="s">
        <v>243</v>
      </c>
      <c r="D416" s="23">
        <f>INDEX(Positions!$D$2:$D$4694,MATCH($A416&amp;"|15",Positions!$A$2:$A$4694,0))</f>
        <v>15</v>
      </c>
      <c r="E416" s="23">
        <f>INDEX(Positions!$D$2:$D$4694,MATCH($A416&amp;"|48",Positions!$A$2:$A$4694,0))</f>
        <v>47</v>
      </c>
      <c r="F416" s="23" t="str">
        <f>INDEX(Positions!$E$2:$E$4694,MATCH($A416&amp;"|15",Positions!$A$2:$A$4694,0))</f>
        <v>G</v>
      </c>
      <c r="G416" s="23" t="str">
        <f>INDEX(Positions!$E$2:$E$4694,MATCH($A416&amp;"|48",Positions!$A$2:$A$4694,0))</f>
        <v>U</v>
      </c>
      <c r="H416" s="24" t="str">
        <f t="shared" si="24"/>
        <v>G-U</v>
      </c>
      <c r="I416" s="23">
        <f t="shared" si="25"/>
        <v>1</v>
      </c>
      <c r="J416" s="23">
        <f t="shared" si="26"/>
        <v>0</v>
      </c>
      <c r="K416" s="24">
        <f t="shared" si="27"/>
        <v>1</v>
      </c>
    </row>
    <row r="417" spans="1:11">
      <c r="A417" s="23" t="s">
        <v>51</v>
      </c>
      <c r="B417" s="23" t="s">
        <v>241</v>
      </c>
      <c r="C417" s="23" t="s">
        <v>244</v>
      </c>
      <c r="D417" s="23">
        <f>INDEX(Positions!$D$2:$D$4694,MATCH($A417&amp;"|18",Positions!$A$2:$A$4694,0))</f>
        <v>17</v>
      </c>
      <c r="E417" s="23">
        <f>INDEX(Positions!$D$2:$D$4694,MATCH($A417&amp;"|55",Positions!$A$2:$A$4694,0))</f>
        <v>54</v>
      </c>
      <c r="F417" s="23" t="str">
        <f>INDEX(Positions!$E$2:$E$4694,MATCH($A417&amp;"|18",Positions!$A$2:$A$4694,0))</f>
        <v>G</v>
      </c>
      <c r="G417" s="23" t="str">
        <f>INDEX(Positions!$E$2:$E$4694,MATCH($A417&amp;"|55",Positions!$A$2:$A$4694,0))</f>
        <v>U</v>
      </c>
      <c r="H417" s="24" t="str">
        <f t="shared" si="24"/>
        <v>G-U</v>
      </c>
      <c r="I417" s="23">
        <f t="shared" si="25"/>
        <v>1</v>
      </c>
      <c r="J417" s="23">
        <f t="shared" si="26"/>
        <v>0</v>
      </c>
      <c r="K417" s="24">
        <f t="shared" si="27"/>
        <v>1</v>
      </c>
    </row>
    <row r="418" spans="1:11">
      <c r="A418" s="23" t="s">
        <v>51</v>
      </c>
      <c r="B418" s="23" t="s">
        <v>241</v>
      </c>
      <c r="C418" s="23" t="s">
        <v>245</v>
      </c>
      <c r="D418" s="23">
        <f>INDEX(Positions!$D$2:$D$4694,MATCH($A418&amp;"|19",Positions!$A$2:$A$4694,0))</f>
        <v>18</v>
      </c>
      <c r="E418" s="23">
        <f>INDEX(Positions!$D$2:$D$4694,MATCH($A418&amp;"|56",Positions!$A$2:$A$4694,0))</f>
        <v>55</v>
      </c>
      <c r="F418" s="23" t="str">
        <f>INDEX(Positions!$E$2:$E$4694,MATCH($A418&amp;"|19",Positions!$A$2:$A$4694,0))</f>
        <v>G</v>
      </c>
      <c r="G418" s="23" t="str">
        <f>INDEX(Positions!$E$2:$E$4694,MATCH($A418&amp;"|56",Positions!$A$2:$A$4694,0))</f>
        <v>C</v>
      </c>
      <c r="H418" s="24" t="str">
        <f t="shared" si="24"/>
        <v>G-C</v>
      </c>
      <c r="I418" s="23">
        <f t="shared" si="25"/>
        <v>1</v>
      </c>
      <c r="J418" s="23">
        <f t="shared" si="26"/>
        <v>1</v>
      </c>
      <c r="K418" s="24">
        <f t="shared" si="27"/>
        <v>2</v>
      </c>
    </row>
    <row r="419" spans="1:11">
      <c r="A419" s="23" t="s">
        <v>51</v>
      </c>
      <c r="B419" s="23" t="s">
        <v>241</v>
      </c>
      <c r="C419" s="23" t="s">
        <v>246</v>
      </c>
      <c r="D419" s="23">
        <f>INDEX(Positions!$D$2:$D$4694,MATCH($A419&amp;"|26",Positions!$A$2:$A$4694,0))</f>
        <v>25</v>
      </c>
      <c r="E419" s="23">
        <f>INDEX(Positions!$D$2:$D$4694,MATCH($A419&amp;"|44",Positions!$A$2:$A$4694,0))</f>
        <v>43</v>
      </c>
      <c r="F419" s="23" t="str">
        <f>INDEX(Positions!$E$2:$E$4694,MATCH($A419&amp;"|26",Positions!$A$2:$A$4694,0))</f>
        <v>U</v>
      </c>
      <c r="G419" s="23" t="str">
        <f>INDEX(Positions!$E$2:$E$4694,MATCH($A419&amp;"|44",Positions!$A$2:$A$4694,0))</f>
        <v>A</v>
      </c>
      <c r="H419" s="24" t="str">
        <f t="shared" si="24"/>
        <v>U-A</v>
      </c>
      <c r="I419" s="23">
        <f t="shared" si="25"/>
        <v>0</v>
      </c>
      <c r="J419" s="23">
        <f t="shared" si="26"/>
        <v>0</v>
      </c>
      <c r="K419" s="24">
        <f t="shared" si="27"/>
        <v>0</v>
      </c>
    </row>
    <row r="420" spans="1:11">
      <c r="A420" s="23" t="s">
        <v>51</v>
      </c>
      <c r="B420" s="23" t="s">
        <v>241</v>
      </c>
      <c r="C420" s="23" t="s">
        <v>247</v>
      </c>
      <c r="D420" s="23">
        <f>INDEX(Positions!$D$2:$D$4694,MATCH($A420&amp;"|32",Positions!$A$2:$A$4694,0))</f>
        <v>31</v>
      </c>
      <c r="E420" s="23">
        <f>INDEX(Positions!$D$2:$D$4694,MATCH($A420&amp;"|38",Positions!$A$2:$A$4694,0))</f>
        <v>37</v>
      </c>
      <c r="F420" s="23" t="str">
        <f>INDEX(Positions!$E$2:$E$4694,MATCH($A420&amp;"|32",Positions!$A$2:$A$4694,0))</f>
        <v>C</v>
      </c>
      <c r="G420" s="23" t="str">
        <f>INDEX(Positions!$E$2:$E$4694,MATCH($A420&amp;"|38",Positions!$A$2:$A$4694,0))</f>
        <v>C</v>
      </c>
      <c r="H420" s="24" t="str">
        <f t="shared" si="24"/>
        <v>C-C</v>
      </c>
      <c r="I420" s="23">
        <f t="shared" si="25"/>
        <v>0</v>
      </c>
      <c r="J420" s="23">
        <f t="shared" si="26"/>
        <v>2</v>
      </c>
      <c r="K420" s="24">
        <f t="shared" si="27"/>
        <v>2</v>
      </c>
    </row>
    <row r="421" spans="1:11">
      <c r="A421" s="23" t="s">
        <v>51</v>
      </c>
      <c r="B421" s="23" t="s">
        <v>241</v>
      </c>
      <c r="C421" s="23" t="s">
        <v>248</v>
      </c>
      <c r="D421" s="23">
        <f>INDEX(Positions!$D$2:$D$4694,MATCH($A421&amp;"|54",Positions!$A$2:$A$4694,0))</f>
        <v>53</v>
      </c>
      <c r="E421" s="23">
        <f>INDEX(Positions!$D$2:$D$4694,MATCH($A421&amp;"|58",Positions!$A$2:$A$4694,0))</f>
        <v>57</v>
      </c>
      <c r="F421" s="23" t="str">
        <f>INDEX(Positions!$E$2:$E$4694,MATCH($A421&amp;"|54",Positions!$A$2:$A$4694,0))</f>
        <v>U</v>
      </c>
      <c r="G421" s="23" t="str">
        <f>INDEX(Positions!$E$2:$E$4694,MATCH($A421&amp;"|58",Positions!$A$2:$A$4694,0))</f>
        <v>A</v>
      </c>
      <c r="H421" s="24" t="str">
        <f t="shared" si="24"/>
        <v>U-A</v>
      </c>
      <c r="I421" s="23">
        <f t="shared" si="25"/>
        <v>0</v>
      </c>
      <c r="J421" s="23">
        <f t="shared" si="26"/>
        <v>0</v>
      </c>
      <c r="K421" s="24">
        <f t="shared" si="27"/>
        <v>0</v>
      </c>
    </row>
    <row r="422" spans="1:11">
      <c r="A422" s="4" t="s">
        <v>52</v>
      </c>
      <c r="B422" s="4" t="s">
        <v>110</v>
      </c>
      <c r="C422" s="4" t="s">
        <v>220</v>
      </c>
      <c r="D422" s="4">
        <f>INDEX(Positions!$D$2:$D$4694,MATCH($A422&amp;"|1",Positions!$A$2:$A$4694,0))</f>
        <v>1</v>
      </c>
      <c r="E422" s="4">
        <f>INDEX(Positions!$D$2:$D$4694,MATCH($A422&amp;"|72",Positions!$A$2:$A$4694,0))</f>
        <v>72</v>
      </c>
      <c r="F422" s="4" t="str">
        <f>INDEX(Positions!$E$2:$E$4694,MATCH($A422&amp;"|1",Positions!$A$2:$A$4694,0))</f>
        <v>A</v>
      </c>
      <c r="G422" s="4" t="str">
        <f>INDEX(Positions!$E$2:$E$4694,MATCH($A422&amp;"|72",Positions!$A$2:$A$4694,0))</f>
        <v>U</v>
      </c>
      <c r="H422" s="3" t="str">
        <f t="shared" si="24"/>
        <v>A-U</v>
      </c>
      <c r="I422" s="4">
        <f t="shared" si="25"/>
        <v>0</v>
      </c>
      <c r="J422" s="4">
        <f t="shared" si="26"/>
        <v>0</v>
      </c>
      <c r="K422" s="3">
        <f t="shared" si="27"/>
        <v>0</v>
      </c>
    </row>
    <row r="423" spans="1:11">
      <c r="A423" s="4" t="s">
        <v>52</v>
      </c>
      <c r="B423" s="4" t="s">
        <v>110</v>
      </c>
      <c r="C423" s="4" t="s">
        <v>221</v>
      </c>
      <c r="D423" s="4">
        <f>INDEX(Positions!$D$2:$D$4694,MATCH($A423&amp;"|2",Positions!$A$2:$A$4694,0))</f>
        <v>2</v>
      </c>
      <c r="E423" s="4">
        <f>INDEX(Positions!$D$2:$D$4694,MATCH($A423&amp;"|71",Positions!$A$2:$A$4694,0))</f>
        <v>71</v>
      </c>
      <c r="F423" s="4" t="str">
        <f>INDEX(Positions!$E$2:$E$4694,MATCH($A423&amp;"|2",Positions!$A$2:$A$4694,0))</f>
        <v>G</v>
      </c>
      <c r="G423" s="4" t="str">
        <f>INDEX(Positions!$E$2:$E$4694,MATCH($A423&amp;"|71",Positions!$A$2:$A$4694,0))</f>
        <v>C</v>
      </c>
      <c r="H423" s="3" t="str">
        <f t="shared" si="24"/>
        <v>G-C</v>
      </c>
      <c r="I423" s="4">
        <f t="shared" si="25"/>
        <v>1</v>
      </c>
      <c r="J423" s="4">
        <f t="shared" si="26"/>
        <v>1</v>
      </c>
      <c r="K423" s="3">
        <f t="shared" si="27"/>
        <v>2</v>
      </c>
    </row>
    <row r="424" spans="1:11">
      <c r="A424" s="4" t="s">
        <v>52</v>
      </c>
      <c r="B424" s="4" t="s">
        <v>110</v>
      </c>
      <c r="C424" s="4" t="s">
        <v>222</v>
      </c>
      <c r="D424" s="4">
        <f>INDEX(Positions!$D$2:$D$4694,MATCH($A424&amp;"|3",Positions!$A$2:$A$4694,0))</f>
        <v>3</v>
      </c>
      <c r="E424" s="4">
        <f>INDEX(Positions!$D$2:$D$4694,MATCH($A424&amp;"|70",Positions!$A$2:$A$4694,0))</f>
        <v>70</v>
      </c>
      <c r="F424" s="4" t="str">
        <f>INDEX(Positions!$E$2:$E$4694,MATCH($A424&amp;"|3",Positions!$A$2:$A$4694,0))</f>
        <v>C</v>
      </c>
      <c r="G424" s="4" t="str">
        <f>INDEX(Positions!$E$2:$E$4694,MATCH($A424&amp;"|70",Positions!$A$2:$A$4694,0))</f>
        <v>G</v>
      </c>
      <c r="H424" s="3" t="str">
        <f t="shared" si="24"/>
        <v>C-G</v>
      </c>
      <c r="I424" s="4">
        <f t="shared" si="25"/>
        <v>1</v>
      </c>
      <c r="J424" s="4">
        <f t="shared" si="26"/>
        <v>1</v>
      </c>
      <c r="K424" s="3">
        <f t="shared" si="27"/>
        <v>2</v>
      </c>
    </row>
    <row r="425" spans="1:11">
      <c r="A425" s="4" t="s">
        <v>52</v>
      </c>
      <c r="B425" s="4" t="s">
        <v>110</v>
      </c>
      <c r="C425" s="4" t="s">
        <v>223</v>
      </c>
      <c r="D425" s="4">
        <f>INDEX(Positions!$D$2:$D$4694,MATCH($A425&amp;"|4",Positions!$A$2:$A$4694,0))</f>
        <v>4</v>
      </c>
      <c r="E425" s="4">
        <f>INDEX(Positions!$D$2:$D$4694,MATCH($A425&amp;"|69",Positions!$A$2:$A$4694,0))</f>
        <v>69</v>
      </c>
      <c r="F425" s="4" t="str">
        <f>INDEX(Positions!$E$2:$E$4694,MATCH($A425&amp;"|4",Positions!$A$2:$A$4694,0))</f>
        <v>C</v>
      </c>
      <c r="G425" s="4" t="str">
        <f>INDEX(Positions!$E$2:$E$4694,MATCH($A425&amp;"|69",Positions!$A$2:$A$4694,0))</f>
        <v>G</v>
      </c>
      <c r="H425" s="3" t="str">
        <f t="shared" si="24"/>
        <v>C-G</v>
      </c>
      <c r="I425" s="4">
        <f t="shared" si="25"/>
        <v>1</v>
      </c>
      <c r="J425" s="4">
        <f t="shared" si="26"/>
        <v>1</v>
      </c>
      <c r="K425" s="3">
        <f t="shared" si="27"/>
        <v>2</v>
      </c>
    </row>
    <row r="426" spans="1:11">
      <c r="A426" s="4" t="s">
        <v>52</v>
      </c>
      <c r="B426" s="4" t="s">
        <v>110</v>
      </c>
      <c r="C426" s="4" t="s">
        <v>224</v>
      </c>
      <c r="D426" s="4">
        <f>INDEX(Positions!$D$2:$D$4694,MATCH($A426&amp;"|5",Positions!$A$2:$A$4694,0))</f>
        <v>5</v>
      </c>
      <c r="E426" s="4">
        <f>INDEX(Positions!$D$2:$D$4694,MATCH($A426&amp;"|68",Positions!$A$2:$A$4694,0))</f>
        <v>68</v>
      </c>
      <c r="F426" s="4" t="str">
        <f>INDEX(Positions!$E$2:$E$4694,MATCH($A426&amp;"|5",Positions!$A$2:$A$4694,0))</f>
        <v>C</v>
      </c>
      <c r="G426" s="4" t="str">
        <f>INDEX(Positions!$E$2:$E$4694,MATCH($A426&amp;"|68",Positions!$A$2:$A$4694,0))</f>
        <v>G</v>
      </c>
      <c r="H426" s="3" t="str">
        <f t="shared" si="24"/>
        <v>C-G</v>
      </c>
      <c r="I426" s="4">
        <f t="shared" si="25"/>
        <v>1</v>
      </c>
      <c r="J426" s="4">
        <f t="shared" si="26"/>
        <v>1</v>
      </c>
      <c r="K426" s="3">
        <f t="shared" si="27"/>
        <v>2</v>
      </c>
    </row>
    <row r="427" spans="1:11">
      <c r="A427" s="4" t="s">
        <v>52</v>
      </c>
      <c r="B427" s="4" t="s">
        <v>110</v>
      </c>
      <c r="C427" s="4" t="s">
        <v>225</v>
      </c>
      <c r="D427" s="4">
        <f>INDEX(Positions!$D$2:$D$4694,MATCH($A427&amp;"|6",Positions!$A$2:$A$4694,0))</f>
        <v>6</v>
      </c>
      <c r="E427" s="4">
        <f>INDEX(Positions!$D$2:$D$4694,MATCH($A427&amp;"|67",Positions!$A$2:$A$4694,0))</f>
        <v>67</v>
      </c>
      <c r="F427" s="4" t="str">
        <f>INDEX(Positions!$E$2:$E$4694,MATCH($A427&amp;"|6",Positions!$A$2:$A$4694,0))</f>
        <v>G</v>
      </c>
      <c r="G427" s="4" t="str">
        <f>INDEX(Positions!$E$2:$E$4694,MATCH($A427&amp;"|67",Positions!$A$2:$A$4694,0))</f>
        <v>C</v>
      </c>
      <c r="H427" s="3" t="str">
        <f t="shared" si="24"/>
        <v>G-C</v>
      </c>
      <c r="I427" s="4">
        <f t="shared" si="25"/>
        <v>1</v>
      </c>
      <c r="J427" s="4">
        <f t="shared" si="26"/>
        <v>1</v>
      </c>
      <c r="K427" s="3">
        <f t="shared" si="27"/>
        <v>2</v>
      </c>
    </row>
    <row r="428" spans="1:11">
      <c r="A428" s="4" t="s">
        <v>52</v>
      </c>
      <c r="B428" s="4" t="s">
        <v>110</v>
      </c>
      <c r="C428" s="4" t="s">
        <v>226</v>
      </c>
      <c r="D428" s="4">
        <f>INDEX(Positions!$D$2:$D$4694,MATCH($A428&amp;"|7",Positions!$A$2:$A$4694,0))</f>
        <v>7</v>
      </c>
      <c r="E428" s="4">
        <f>INDEX(Positions!$D$2:$D$4694,MATCH($A428&amp;"|66",Positions!$A$2:$A$4694,0))</f>
        <v>66</v>
      </c>
      <c r="F428" s="4" t="str">
        <f>INDEX(Positions!$E$2:$E$4694,MATCH($A428&amp;"|7",Positions!$A$2:$A$4694,0))</f>
        <v>G</v>
      </c>
      <c r="G428" s="4" t="str">
        <f>INDEX(Positions!$E$2:$E$4694,MATCH($A428&amp;"|66",Positions!$A$2:$A$4694,0))</f>
        <v>C</v>
      </c>
      <c r="H428" s="3" t="str">
        <f t="shared" si="24"/>
        <v>G-C</v>
      </c>
      <c r="I428" s="4">
        <f t="shared" si="25"/>
        <v>1</v>
      </c>
      <c r="J428" s="4">
        <f t="shared" si="26"/>
        <v>1</v>
      </c>
      <c r="K428" s="3">
        <f t="shared" si="27"/>
        <v>2</v>
      </c>
    </row>
    <row r="429" spans="1:11">
      <c r="A429" s="4" t="s">
        <v>52</v>
      </c>
      <c r="B429" s="4" t="s">
        <v>125</v>
      </c>
      <c r="C429" s="4" t="s">
        <v>227</v>
      </c>
      <c r="D429" s="4">
        <f>INDEX(Positions!$D$2:$D$4694,MATCH($A429&amp;"|10",Positions!$A$2:$A$4694,0))</f>
        <v>10</v>
      </c>
      <c r="E429" s="4">
        <f>INDEX(Positions!$D$2:$D$4694,MATCH($A429&amp;"|25",Positions!$A$2:$A$4694,0))</f>
        <v>26</v>
      </c>
      <c r="F429" s="4" t="str">
        <f>INDEX(Positions!$E$2:$E$4694,MATCH($A429&amp;"|10",Positions!$A$2:$A$4694,0))</f>
        <v>G</v>
      </c>
      <c r="G429" s="4" t="str">
        <f>INDEX(Positions!$E$2:$E$4694,MATCH($A429&amp;"|25",Positions!$A$2:$A$4694,0))</f>
        <v>U</v>
      </c>
      <c r="H429" s="3" t="str">
        <f t="shared" si="24"/>
        <v>G-U</v>
      </c>
      <c r="I429" s="4">
        <f t="shared" si="25"/>
        <v>1</v>
      </c>
      <c r="J429" s="4">
        <f t="shared" si="26"/>
        <v>0</v>
      </c>
      <c r="K429" s="3">
        <f t="shared" si="27"/>
        <v>1</v>
      </c>
    </row>
    <row r="430" spans="1:11">
      <c r="A430" s="4" t="s">
        <v>52</v>
      </c>
      <c r="B430" s="4" t="s">
        <v>125</v>
      </c>
      <c r="C430" s="4" t="s">
        <v>228</v>
      </c>
      <c r="D430" s="4">
        <f>INDEX(Positions!$D$2:$D$4694,MATCH($A430&amp;"|11",Positions!$A$2:$A$4694,0))</f>
        <v>11</v>
      </c>
      <c r="E430" s="4">
        <f>INDEX(Positions!$D$2:$D$4694,MATCH($A430&amp;"|24",Positions!$A$2:$A$4694,0))</f>
        <v>25</v>
      </c>
      <c r="F430" s="4" t="str">
        <f>INDEX(Positions!$E$2:$E$4694,MATCH($A430&amp;"|11",Positions!$A$2:$A$4694,0))</f>
        <v>U</v>
      </c>
      <c r="G430" s="4" t="str">
        <f>INDEX(Positions!$E$2:$E$4694,MATCH($A430&amp;"|24",Positions!$A$2:$A$4694,0))</f>
        <v>A</v>
      </c>
      <c r="H430" s="3" t="str">
        <f t="shared" si="24"/>
        <v>U-A</v>
      </c>
      <c r="I430" s="4">
        <f t="shared" si="25"/>
        <v>0</v>
      </c>
      <c r="J430" s="4">
        <f t="shared" si="26"/>
        <v>0</v>
      </c>
      <c r="K430" s="3">
        <f t="shared" si="27"/>
        <v>0</v>
      </c>
    </row>
    <row r="431" spans="1:11">
      <c r="A431" s="4" t="s">
        <v>52</v>
      </c>
      <c r="B431" s="4" t="s">
        <v>125</v>
      </c>
      <c r="C431" s="4" t="s">
        <v>229</v>
      </c>
      <c r="D431" s="4">
        <f>INDEX(Positions!$D$2:$D$4694,MATCH($A431&amp;"|12",Positions!$A$2:$A$4694,0))</f>
        <v>12</v>
      </c>
      <c r="E431" s="4">
        <f>INDEX(Positions!$D$2:$D$4694,MATCH($A431&amp;"|23",Positions!$A$2:$A$4694,0))</f>
        <v>24</v>
      </c>
      <c r="F431" s="4" t="str">
        <f>INDEX(Positions!$E$2:$E$4694,MATCH($A431&amp;"|12",Positions!$A$2:$A$4694,0))</f>
        <v>G</v>
      </c>
      <c r="G431" s="4" t="str">
        <f>INDEX(Positions!$E$2:$E$4694,MATCH($A431&amp;"|23",Positions!$A$2:$A$4694,0))</f>
        <v>C</v>
      </c>
      <c r="H431" s="3" t="str">
        <f t="shared" si="24"/>
        <v>G-C</v>
      </c>
      <c r="I431" s="4">
        <f t="shared" si="25"/>
        <v>1</v>
      </c>
      <c r="J431" s="4">
        <f t="shared" si="26"/>
        <v>1</v>
      </c>
      <c r="K431" s="3">
        <f t="shared" si="27"/>
        <v>2</v>
      </c>
    </row>
    <row r="432" spans="1:11">
      <c r="A432" s="4" t="s">
        <v>52</v>
      </c>
      <c r="B432" s="4" t="s">
        <v>125</v>
      </c>
      <c r="C432" s="4" t="s">
        <v>230</v>
      </c>
      <c r="D432" s="4">
        <f>INDEX(Positions!$D$2:$D$4694,MATCH($A432&amp;"|13",Positions!$A$2:$A$4694,0))</f>
        <v>13</v>
      </c>
      <c r="E432" s="4">
        <f>INDEX(Positions!$D$2:$D$4694,MATCH($A432&amp;"|22",Positions!$A$2:$A$4694,0))</f>
        <v>23</v>
      </c>
      <c r="F432" s="4" t="str">
        <f>INDEX(Positions!$E$2:$E$4694,MATCH($A432&amp;"|13",Positions!$A$2:$A$4694,0))</f>
        <v>U</v>
      </c>
      <c r="G432" s="4" t="str">
        <f>INDEX(Positions!$E$2:$E$4694,MATCH($A432&amp;"|22",Positions!$A$2:$A$4694,0))</f>
        <v>U</v>
      </c>
      <c r="H432" s="3" t="str">
        <f t="shared" si="24"/>
        <v>U-U</v>
      </c>
      <c r="I432" s="4">
        <f t="shared" si="25"/>
        <v>0</v>
      </c>
      <c r="J432" s="4">
        <f t="shared" si="26"/>
        <v>0</v>
      </c>
      <c r="K432" s="3">
        <f t="shared" si="27"/>
        <v>0</v>
      </c>
    </row>
    <row r="433" spans="1:11">
      <c r="A433" s="4" t="s">
        <v>52</v>
      </c>
      <c r="B433" s="4" t="s">
        <v>144</v>
      </c>
      <c r="C433" s="4" t="s">
        <v>231</v>
      </c>
      <c r="D433" s="4">
        <f>INDEX(Positions!$D$2:$D$4694,MATCH($A433&amp;"|27",Positions!$A$2:$A$4694,0))</f>
        <v>28</v>
      </c>
      <c r="E433" s="4">
        <f>INDEX(Positions!$D$2:$D$4694,MATCH($A433&amp;"|43",Positions!$A$2:$A$4694,0))</f>
        <v>44</v>
      </c>
      <c r="F433" s="4" t="str">
        <f>INDEX(Positions!$E$2:$E$4694,MATCH($A433&amp;"|27",Positions!$A$2:$A$4694,0))</f>
        <v>C</v>
      </c>
      <c r="G433" s="4" t="str">
        <f>INDEX(Positions!$E$2:$E$4694,MATCH($A433&amp;"|43",Positions!$A$2:$A$4694,0))</f>
        <v>G</v>
      </c>
      <c r="H433" s="3" t="str">
        <f t="shared" si="24"/>
        <v>C-G</v>
      </c>
      <c r="I433" s="4">
        <f t="shared" si="25"/>
        <v>1</v>
      </c>
      <c r="J433" s="4">
        <f t="shared" si="26"/>
        <v>1</v>
      </c>
      <c r="K433" s="3">
        <f t="shared" si="27"/>
        <v>2</v>
      </c>
    </row>
    <row r="434" spans="1:11">
      <c r="A434" s="4" t="s">
        <v>52</v>
      </c>
      <c r="B434" s="4" t="s">
        <v>144</v>
      </c>
      <c r="C434" s="4" t="s">
        <v>232</v>
      </c>
      <c r="D434" s="4">
        <f>INDEX(Positions!$D$2:$D$4694,MATCH($A434&amp;"|28",Positions!$A$2:$A$4694,0))</f>
        <v>29</v>
      </c>
      <c r="E434" s="4">
        <f>INDEX(Positions!$D$2:$D$4694,MATCH($A434&amp;"|42",Positions!$A$2:$A$4694,0))</f>
        <v>43</v>
      </c>
      <c r="F434" s="4" t="str">
        <f>INDEX(Positions!$E$2:$E$4694,MATCH($A434&amp;"|28",Positions!$A$2:$A$4694,0))</f>
        <v>G</v>
      </c>
      <c r="G434" s="4" t="str">
        <f>INDEX(Positions!$E$2:$E$4694,MATCH($A434&amp;"|42",Positions!$A$2:$A$4694,0))</f>
        <v>U</v>
      </c>
      <c r="H434" s="3" t="str">
        <f t="shared" si="24"/>
        <v>G-U</v>
      </c>
      <c r="I434" s="4">
        <f t="shared" si="25"/>
        <v>1</v>
      </c>
      <c r="J434" s="4">
        <f t="shared" si="26"/>
        <v>0</v>
      </c>
      <c r="K434" s="3">
        <f t="shared" si="27"/>
        <v>1</v>
      </c>
    </row>
    <row r="435" spans="1:11">
      <c r="A435" s="4" t="s">
        <v>52</v>
      </c>
      <c r="B435" s="4" t="s">
        <v>144</v>
      </c>
      <c r="C435" s="4" t="s">
        <v>233</v>
      </c>
      <c r="D435" s="4">
        <f>INDEX(Positions!$D$2:$D$4694,MATCH($A435&amp;"|29",Positions!$A$2:$A$4694,0))</f>
        <v>30</v>
      </c>
      <c r="E435" s="4">
        <f>INDEX(Positions!$D$2:$D$4694,MATCH($A435&amp;"|41",Positions!$A$2:$A$4694,0))</f>
        <v>42</v>
      </c>
      <c r="F435" s="4" t="str">
        <f>INDEX(Positions!$E$2:$E$4694,MATCH($A435&amp;"|29",Positions!$A$2:$A$4694,0))</f>
        <v>G</v>
      </c>
      <c r="G435" s="4" t="str">
        <f>INDEX(Positions!$E$2:$E$4694,MATCH($A435&amp;"|41",Positions!$A$2:$A$4694,0))</f>
        <v>C</v>
      </c>
      <c r="H435" s="3" t="str">
        <f t="shared" si="24"/>
        <v>G-C</v>
      </c>
      <c r="I435" s="4">
        <f t="shared" si="25"/>
        <v>1</v>
      </c>
      <c r="J435" s="4">
        <f t="shared" si="26"/>
        <v>1</v>
      </c>
      <c r="K435" s="3">
        <f t="shared" si="27"/>
        <v>2</v>
      </c>
    </row>
    <row r="436" spans="1:11">
      <c r="A436" s="4" t="s">
        <v>52</v>
      </c>
      <c r="B436" s="4" t="s">
        <v>144</v>
      </c>
      <c r="C436" s="4" t="s">
        <v>234</v>
      </c>
      <c r="D436" s="4">
        <f>INDEX(Positions!$D$2:$D$4694,MATCH($A436&amp;"|30",Positions!$A$2:$A$4694,0))</f>
        <v>31</v>
      </c>
      <c r="E436" s="4">
        <f>INDEX(Positions!$D$2:$D$4694,MATCH($A436&amp;"|40",Positions!$A$2:$A$4694,0))</f>
        <v>41</v>
      </c>
      <c r="F436" s="4" t="str">
        <f>INDEX(Positions!$E$2:$E$4694,MATCH($A436&amp;"|30",Positions!$A$2:$A$4694,0))</f>
        <v>G</v>
      </c>
      <c r="G436" s="4" t="str">
        <f>INDEX(Positions!$E$2:$E$4694,MATCH($A436&amp;"|40",Positions!$A$2:$A$4694,0))</f>
        <v>C</v>
      </c>
      <c r="H436" s="3" t="str">
        <f t="shared" si="24"/>
        <v>G-C</v>
      </c>
      <c r="I436" s="4">
        <f t="shared" si="25"/>
        <v>1</v>
      </c>
      <c r="J436" s="4">
        <f t="shared" si="26"/>
        <v>1</v>
      </c>
      <c r="K436" s="3">
        <f t="shared" si="27"/>
        <v>2</v>
      </c>
    </row>
    <row r="437" spans="1:11">
      <c r="A437" s="4" t="s">
        <v>52</v>
      </c>
      <c r="B437" s="4" t="s">
        <v>144</v>
      </c>
      <c r="C437" s="4" t="s">
        <v>235</v>
      </c>
      <c r="D437" s="4">
        <f>INDEX(Positions!$D$2:$D$4694,MATCH($A437&amp;"|31",Positions!$A$2:$A$4694,0))</f>
        <v>32</v>
      </c>
      <c r="E437" s="4">
        <f>INDEX(Positions!$D$2:$D$4694,MATCH($A437&amp;"|39",Positions!$A$2:$A$4694,0))</f>
        <v>40</v>
      </c>
      <c r="F437" s="4" t="str">
        <f>INDEX(Positions!$E$2:$E$4694,MATCH($A437&amp;"|31",Positions!$A$2:$A$4694,0))</f>
        <v>A</v>
      </c>
      <c r="G437" s="4" t="str">
        <f>INDEX(Positions!$E$2:$E$4694,MATCH($A437&amp;"|39",Positions!$A$2:$A$4694,0))</f>
        <v>U</v>
      </c>
      <c r="H437" s="3" t="str">
        <f t="shared" si="24"/>
        <v>A-U</v>
      </c>
      <c r="I437" s="4">
        <f t="shared" si="25"/>
        <v>0</v>
      </c>
      <c r="J437" s="4">
        <f t="shared" si="26"/>
        <v>0</v>
      </c>
      <c r="K437" s="3">
        <f t="shared" si="27"/>
        <v>0</v>
      </c>
    </row>
    <row r="438" spans="1:11">
      <c r="A438" s="4" t="s">
        <v>52</v>
      </c>
      <c r="B438" s="4" t="s">
        <v>169</v>
      </c>
      <c r="C438" s="4" t="s">
        <v>236</v>
      </c>
      <c r="D438" s="4">
        <f>INDEX(Positions!$D$2:$D$4694,MATCH($A438&amp;"|49",Positions!$A$2:$A$4694,0))</f>
        <v>49</v>
      </c>
      <c r="E438" s="4">
        <f>INDEX(Positions!$D$2:$D$4694,MATCH($A438&amp;"|65",Positions!$A$2:$A$4694,0))</f>
        <v>65</v>
      </c>
      <c r="F438" s="4" t="str">
        <f>INDEX(Positions!$E$2:$E$4694,MATCH($A438&amp;"|49",Positions!$A$2:$A$4694,0))</f>
        <v>C</v>
      </c>
      <c r="G438" s="4" t="str">
        <f>INDEX(Positions!$E$2:$E$4694,MATCH($A438&amp;"|65",Positions!$A$2:$A$4694,0))</f>
        <v>G</v>
      </c>
      <c r="H438" s="3" t="str">
        <f t="shared" si="24"/>
        <v>C-G</v>
      </c>
      <c r="I438" s="4">
        <f t="shared" si="25"/>
        <v>1</v>
      </c>
      <c r="J438" s="4">
        <f t="shared" si="26"/>
        <v>1</v>
      </c>
      <c r="K438" s="3">
        <f t="shared" si="27"/>
        <v>2</v>
      </c>
    </row>
    <row r="439" spans="1:11">
      <c r="A439" s="4" t="s">
        <v>52</v>
      </c>
      <c r="B439" s="4" t="s">
        <v>169</v>
      </c>
      <c r="C439" s="4" t="s">
        <v>237</v>
      </c>
      <c r="D439" s="4">
        <f>INDEX(Positions!$D$2:$D$4694,MATCH($A439&amp;"|50",Positions!$A$2:$A$4694,0))</f>
        <v>50</v>
      </c>
      <c r="E439" s="4">
        <f>INDEX(Positions!$D$2:$D$4694,MATCH($A439&amp;"|64",Positions!$A$2:$A$4694,0))</f>
        <v>64</v>
      </c>
      <c r="F439" s="4" t="str">
        <f>INDEX(Positions!$E$2:$E$4694,MATCH($A439&amp;"|50",Positions!$A$2:$A$4694,0))</f>
        <v>U</v>
      </c>
      <c r="G439" s="4" t="str">
        <f>INDEX(Positions!$E$2:$E$4694,MATCH($A439&amp;"|64",Positions!$A$2:$A$4694,0))</f>
        <v>U</v>
      </c>
      <c r="H439" s="3" t="str">
        <f t="shared" si="24"/>
        <v>U-U</v>
      </c>
      <c r="I439" s="4">
        <f t="shared" si="25"/>
        <v>0</v>
      </c>
      <c r="J439" s="4">
        <f t="shared" si="26"/>
        <v>0</v>
      </c>
      <c r="K439" s="3">
        <f t="shared" si="27"/>
        <v>0</v>
      </c>
    </row>
    <row r="440" spans="1:11">
      <c r="A440" s="4" t="s">
        <v>52</v>
      </c>
      <c r="B440" s="4" t="s">
        <v>169</v>
      </c>
      <c r="C440" s="4" t="s">
        <v>238</v>
      </c>
      <c r="D440" s="4">
        <f>INDEX(Positions!$D$2:$D$4694,MATCH($A440&amp;"|51",Positions!$A$2:$A$4694,0))</f>
        <v>51</v>
      </c>
      <c r="E440" s="4">
        <f>INDEX(Positions!$D$2:$D$4694,MATCH($A440&amp;"|63",Positions!$A$2:$A$4694,0))</f>
        <v>63</v>
      </c>
      <c r="F440" s="4" t="str">
        <f>INDEX(Positions!$E$2:$E$4694,MATCH($A440&amp;"|51",Positions!$A$2:$A$4694,0))</f>
        <v>C</v>
      </c>
      <c r="G440" s="4" t="str">
        <f>INDEX(Positions!$E$2:$E$4694,MATCH($A440&amp;"|63",Positions!$A$2:$A$4694,0))</f>
        <v>G</v>
      </c>
      <c r="H440" s="3" t="str">
        <f t="shared" si="24"/>
        <v>C-G</v>
      </c>
      <c r="I440" s="4">
        <f t="shared" si="25"/>
        <v>1</v>
      </c>
      <c r="J440" s="4">
        <f t="shared" si="26"/>
        <v>1</v>
      </c>
      <c r="K440" s="3">
        <f t="shared" si="27"/>
        <v>2</v>
      </c>
    </row>
    <row r="441" spans="1:11">
      <c r="A441" s="4" t="s">
        <v>52</v>
      </c>
      <c r="B441" s="4" t="s">
        <v>169</v>
      </c>
      <c r="C441" s="4" t="s">
        <v>239</v>
      </c>
      <c r="D441" s="4">
        <f>INDEX(Positions!$D$2:$D$4694,MATCH($A441&amp;"|52",Positions!$A$2:$A$4694,0))</f>
        <v>52</v>
      </c>
      <c r="E441" s="4">
        <f>INDEX(Positions!$D$2:$D$4694,MATCH($A441&amp;"|62",Positions!$A$2:$A$4694,0))</f>
        <v>62</v>
      </c>
      <c r="F441" s="4" t="str">
        <f>INDEX(Positions!$E$2:$E$4694,MATCH($A441&amp;"|52",Positions!$A$2:$A$4694,0))</f>
        <v>G</v>
      </c>
      <c r="G441" s="4" t="str">
        <f>INDEX(Positions!$E$2:$E$4694,MATCH($A441&amp;"|62",Positions!$A$2:$A$4694,0))</f>
        <v>C</v>
      </c>
      <c r="H441" s="3" t="str">
        <f t="shared" si="24"/>
        <v>G-C</v>
      </c>
      <c r="I441" s="4">
        <f t="shared" si="25"/>
        <v>1</v>
      </c>
      <c r="J441" s="4">
        <f t="shared" si="26"/>
        <v>1</v>
      </c>
      <c r="K441" s="3">
        <f t="shared" si="27"/>
        <v>2</v>
      </c>
    </row>
    <row r="442" spans="1:11">
      <c r="A442" s="4" t="s">
        <v>52</v>
      </c>
      <c r="B442" s="4" t="s">
        <v>169</v>
      </c>
      <c r="C442" s="4" t="s">
        <v>240</v>
      </c>
      <c r="D442" s="4">
        <f>INDEX(Positions!$D$2:$D$4694,MATCH($A442&amp;"|53",Positions!$A$2:$A$4694,0))</f>
        <v>53</v>
      </c>
      <c r="E442" s="4">
        <f>INDEX(Positions!$D$2:$D$4694,MATCH($A442&amp;"|61",Positions!$A$2:$A$4694,0))</f>
        <v>61</v>
      </c>
      <c r="F442" s="4" t="str">
        <f>INDEX(Positions!$E$2:$E$4694,MATCH($A442&amp;"|53",Positions!$A$2:$A$4694,0))</f>
        <v>G</v>
      </c>
      <c r="G442" s="4" t="str">
        <f>INDEX(Positions!$E$2:$E$4694,MATCH($A442&amp;"|61",Positions!$A$2:$A$4694,0))</f>
        <v>C</v>
      </c>
      <c r="H442" s="3" t="str">
        <f t="shared" si="24"/>
        <v>G-C</v>
      </c>
      <c r="I442" s="4">
        <f t="shared" si="25"/>
        <v>1</v>
      </c>
      <c r="J442" s="4">
        <f t="shared" si="26"/>
        <v>1</v>
      </c>
      <c r="K442" s="3">
        <f t="shared" si="27"/>
        <v>2</v>
      </c>
    </row>
    <row r="443" spans="1:11">
      <c r="A443" s="23" t="s">
        <v>52</v>
      </c>
      <c r="B443" s="23" t="s">
        <v>241</v>
      </c>
      <c r="C443" s="23" t="s">
        <v>242</v>
      </c>
      <c r="D443" s="23">
        <f>INDEX(Positions!$D$2:$D$4694,MATCH($A443&amp;"|8",Positions!$A$2:$A$4694,0))</f>
        <v>8</v>
      </c>
      <c r="E443" s="23">
        <f>INDEX(Positions!$D$2:$D$4694,MATCH($A443&amp;"|14",Positions!$A$2:$A$4694,0))</f>
        <v>14</v>
      </c>
      <c r="F443" s="23" t="str">
        <f>INDEX(Positions!$E$2:$E$4694,MATCH($A443&amp;"|8",Positions!$A$2:$A$4694,0))</f>
        <v>U</v>
      </c>
      <c r="G443" s="23" t="str">
        <f>INDEX(Positions!$E$2:$E$4694,MATCH($A443&amp;"|14",Positions!$A$2:$A$4694,0))</f>
        <v>A</v>
      </c>
      <c r="H443" s="24" t="str">
        <f t="shared" si="24"/>
        <v>U-A</v>
      </c>
      <c r="I443" s="23">
        <f t="shared" si="25"/>
        <v>0</v>
      </c>
      <c r="J443" s="23">
        <f t="shared" si="26"/>
        <v>0</v>
      </c>
      <c r="K443" s="24">
        <f t="shared" si="27"/>
        <v>0</v>
      </c>
    </row>
    <row r="444" spans="1:11">
      <c r="A444" s="23" t="s">
        <v>52</v>
      </c>
      <c r="B444" s="23" t="s">
        <v>241</v>
      </c>
      <c r="C444" s="23" t="s">
        <v>243</v>
      </c>
      <c r="D444" s="23">
        <f>INDEX(Positions!$D$2:$D$4694,MATCH($A444&amp;"|15",Positions!$A$2:$A$4694,0))</f>
        <v>15</v>
      </c>
      <c r="E444" s="23">
        <f>INDEX(Positions!$D$2:$D$4694,MATCH($A444&amp;"|48",Positions!$A$2:$A$4694,0))</f>
        <v>48</v>
      </c>
      <c r="F444" s="23" t="str">
        <f>INDEX(Positions!$E$2:$E$4694,MATCH($A444&amp;"|15",Positions!$A$2:$A$4694,0))</f>
        <v>G</v>
      </c>
      <c r="G444" s="23" t="str">
        <f>INDEX(Positions!$E$2:$E$4694,MATCH($A444&amp;"|48",Positions!$A$2:$A$4694,0))</f>
        <v>C</v>
      </c>
      <c r="H444" s="24" t="str">
        <f t="shared" si="24"/>
        <v>G-C</v>
      </c>
      <c r="I444" s="23">
        <f t="shared" si="25"/>
        <v>1</v>
      </c>
      <c r="J444" s="23">
        <f t="shared" si="26"/>
        <v>1</v>
      </c>
      <c r="K444" s="24">
        <f t="shared" si="27"/>
        <v>2</v>
      </c>
    </row>
    <row r="445" spans="1:11">
      <c r="A445" s="23" t="s">
        <v>52</v>
      </c>
      <c r="B445" s="23" t="s">
        <v>241</v>
      </c>
      <c r="C445" s="23" t="s">
        <v>244</v>
      </c>
      <c r="D445" s="23">
        <f>INDEX(Positions!$D$2:$D$4694,MATCH($A445&amp;"|18",Positions!$A$2:$A$4694,0))</f>
        <v>17</v>
      </c>
      <c r="E445" s="23">
        <f>INDEX(Positions!$D$2:$D$4694,MATCH($A445&amp;"|55",Positions!$A$2:$A$4694,0))</f>
        <v>55</v>
      </c>
      <c r="F445" s="23" t="str">
        <f>INDEX(Positions!$E$2:$E$4694,MATCH($A445&amp;"|18",Positions!$A$2:$A$4694,0))</f>
        <v>G</v>
      </c>
      <c r="G445" s="23" t="str">
        <f>INDEX(Positions!$E$2:$E$4694,MATCH($A445&amp;"|55",Positions!$A$2:$A$4694,0))</f>
        <v>U</v>
      </c>
      <c r="H445" s="24" t="str">
        <f t="shared" si="24"/>
        <v>G-U</v>
      </c>
      <c r="I445" s="23">
        <f t="shared" si="25"/>
        <v>1</v>
      </c>
      <c r="J445" s="23">
        <f t="shared" si="26"/>
        <v>0</v>
      </c>
      <c r="K445" s="24">
        <f t="shared" si="27"/>
        <v>1</v>
      </c>
    </row>
    <row r="446" spans="1:11">
      <c r="A446" s="23" t="s">
        <v>52</v>
      </c>
      <c r="B446" s="23" t="s">
        <v>241</v>
      </c>
      <c r="C446" s="23" t="s">
        <v>245</v>
      </c>
      <c r="D446" s="23">
        <f>INDEX(Positions!$D$2:$D$4694,MATCH($A446&amp;"|19",Positions!$A$2:$A$4694,0))</f>
        <v>18</v>
      </c>
      <c r="E446" s="23">
        <f>INDEX(Positions!$D$2:$D$4694,MATCH($A446&amp;"|56",Positions!$A$2:$A$4694,0))</f>
        <v>56</v>
      </c>
      <c r="F446" s="23" t="str">
        <f>INDEX(Positions!$E$2:$E$4694,MATCH($A446&amp;"|19",Positions!$A$2:$A$4694,0))</f>
        <v>G</v>
      </c>
      <c r="G446" s="23" t="str">
        <f>INDEX(Positions!$E$2:$E$4694,MATCH($A446&amp;"|56",Positions!$A$2:$A$4694,0))</f>
        <v>C</v>
      </c>
      <c r="H446" s="24" t="str">
        <f t="shared" si="24"/>
        <v>G-C</v>
      </c>
      <c r="I446" s="23">
        <f t="shared" si="25"/>
        <v>1</v>
      </c>
      <c r="J446" s="23">
        <f t="shared" si="26"/>
        <v>1</v>
      </c>
      <c r="K446" s="24">
        <f t="shared" si="27"/>
        <v>2</v>
      </c>
    </row>
    <row r="447" spans="1:11">
      <c r="A447" s="23" t="s">
        <v>52</v>
      </c>
      <c r="B447" s="23" t="s">
        <v>241</v>
      </c>
      <c r="C447" s="23" t="s">
        <v>246</v>
      </c>
      <c r="D447" s="23">
        <f>INDEX(Positions!$D$2:$D$4694,MATCH($A447&amp;"|26",Positions!$A$2:$A$4694,0))</f>
        <v>27</v>
      </c>
      <c r="E447" s="23">
        <f>INDEX(Positions!$D$2:$D$4694,MATCH($A447&amp;"|44",Positions!$A$2:$A$4694,0))</f>
        <v>45</v>
      </c>
      <c r="F447" s="23" t="str">
        <f>INDEX(Positions!$E$2:$E$4694,MATCH($A447&amp;"|26",Positions!$A$2:$A$4694,0))</f>
        <v>G</v>
      </c>
      <c r="G447" s="23" t="str">
        <f>INDEX(Positions!$E$2:$E$4694,MATCH($A447&amp;"|44",Positions!$A$2:$A$4694,0))</f>
        <v>C</v>
      </c>
      <c r="H447" s="24" t="str">
        <f t="shared" si="24"/>
        <v>G-C</v>
      </c>
      <c r="I447" s="23">
        <f t="shared" si="25"/>
        <v>1</v>
      </c>
      <c r="J447" s="23">
        <f t="shared" si="26"/>
        <v>1</v>
      </c>
      <c r="K447" s="24">
        <f t="shared" si="27"/>
        <v>2</v>
      </c>
    </row>
    <row r="448" spans="1:11">
      <c r="A448" s="23" t="s">
        <v>52</v>
      </c>
      <c r="B448" s="23" t="s">
        <v>241</v>
      </c>
      <c r="C448" s="23" t="s">
        <v>247</v>
      </c>
      <c r="D448" s="23">
        <f>INDEX(Positions!$D$2:$D$4694,MATCH($A448&amp;"|32",Positions!$A$2:$A$4694,0))</f>
        <v>33</v>
      </c>
      <c r="E448" s="23">
        <f>INDEX(Positions!$D$2:$D$4694,MATCH($A448&amp;"|38",Positions!$A$2:$A$4694,0))</f>
        <v>39</v>
      </c>
      <c r="F448" s="23" t="str">
        <f>INDEX(Positions!$E$2:$E$4694,MATCH($A448&amp;"|32",Positions!$A$2:$A$4694,0))</f>
        <v>C</v>
      </c>
      <c r="G448" s="23" t="str">
        <f>INDEX(Positions!$E$2:$E$4694,MATCH($A448&amp;"|38",Positions!$A$2:$A$4694,0))</f>
        <v>A</v>
      </c>
      <c r="H448" s="24" t="str">
        <f t="shared" si="24"/>
        <v>C-A</v>
      </c>
      <c r="I448" s="23">
        <f t="shared" si="25"/>
        <v>0</v>
      </c>
      <c r="J448" s="23">
        <f t="shared" si="26"/>
        <v>1</v>
      </c>
      <c r="K448" s="24">
        <f t="shared" si="27"/>
        <v>1</v>
      </c>
    </row>
    <row r="449" spans="1:11">
      <c r="A449" s="23" t="s">
        <v>52</v>
      </c>
      <c r="B449" s="23" t="s">
        <v>241</v>
      </c>
      <c r="C449" s="23" t="s">
        <v>248</v>
      </c>
      <c r="D449" s="23">
        <f>INDEX(Positions!$D$2:$D$4694,MATCH($A449&amp;"|54",Positions!$A$2:$A$4694,0))</f>
        <v>54</v>
      </c>
      <c r="E449" s="23">
        <f>INDEX(Positions!$D$2:$D$4694,MATCH($A449&amp;"|58",Positions!$A$2:$A$4694,0))</f>
        <v>58</v>
      </c>
      <c r="F449" s="23" t="str">
        <f>INDEX(Positions!$E$2:$E$4694,MATCH($A449&amp;"|54",Positions!$A$2:$A$4694,0))</f>
        <v>U</v>
      </c>
      <c r="G449" s="23" t="str">
        <f>INDEX(Positions!$E$2:$E$4694,MATCH($A449&amp;"|58",Positions!$A$2:$A$4694,0))</f>
        <v>A</v>
      </c>
      <c r="H449" s="24" t="str">
        <f t="shared" si="24"/>
        <v>U-A</v>
      </c>
      <c r="I449" s="23">
        <f t="shared" si="25"/>
        <v>0</v>
      </c>
      <c r="J449" s="23">
        <f t="shared" si="26"/>
        <v>0</v>
      </c>
      <c r="K449" s="24">
        <f t="shared" si="27"/>
        <v>0</v>
      </c>
    </row>
    <row r="450" spans="1:11">
      <c r="A450" s="4" t="s">
        <v>53</v>
      </c>
      <c r="B450" s="4" t="s">
        <v>110</v>
      </c>
      <c r="C450" s="4" t="s">
        <v>220</v>
      </c>
      <c r="D450" s="4">
        <f>INDEX(Positions!$D$2:$D$4694,MATCH($A450&amp;"|1",Positions!$A$2:$A$4694,0))</f>
        <v>1</v>
      </c>
      <c r="E450" s="4">
        <f>INDEX(Positions!$D$2:$D$4694,MATCH($A450&amp;"|72",Positions!$A$2:$A$4694,0))</f>
        <v>72</v>
      </c>
      <c r="F450" s="4" t="str">
        <f>INDEX(Positions!$E$2:$E$4694,MATCH($A450&amp;"|1",Positions!$A$2:$A$4694,0))</f>
        <v>A</v>
      </c>
      <c r="G450" s="4" t="str">
        <f>INDEX(Positions!$E$2:$E$4694,MATCH($A450&amp;"|72",Positions!$A$2:$A$4694,0))</f>
        <v>U</v>
      </c>
      <c r="H450" s="3" t="str">
        <f t="shared" ref="H450:H513" si="28">F450&amp;"-"&amp;G450</f>
        <v>A-U</v>
      </c>
      <c r="I450" s="4">
        <f t="shared" ref="I450:I513" si="29">(F450="G")+(G450="G")</f>
        <v>0</v>
      </c>
      <c r="J450" s="4">
        <f t="shared" ref="J450:J513" si="30">(F450="C")+(G450="C")</f>
        <v>0</v>
      </c>
      <c r="K450" s="3">
        <f t="shared" ref="K450:K513" si="31">I450+J450</f>
        <v>0</v>
      </c>
    </row>
    <row r="451" spans="1:11">
      <c r="A451" s="4" t="s">
        <v>53</v>
      </c>
      <c r="B451" s="4" t="s">
        <v>110</v>
      </c>
      <c r="C451" s="4" t="s">
        <v>221</v>
      </c>
      <c r="D451" s="4">
        <f>INDEX(Positions!$D$2:$D$4694,MATCH($A451&amp;"|2",Positions!$A$2:$A$4694,0))</f>
        <v>2</v>
      </c>
      <c r="E451" s="4">
        <f>INDEX(Positions!$D$2:$D$4694,MATCH($A451&amp;"|71",Positions!$A$2:$A$4694,0))</f>
        <v>71</v>
      </c>
      <c r="F451" s="4" t="str">
        <f>INDEX(Positions!$E$2:$E$4694,MATCH($A451&amp;"|2",Positions!$A$2:$A$4694,0))</f>
        <v>G</v>
      </c>
      <c r="G451" s="4" t="str">
        <f>INDEX(Positions!$E$2:$E$4694,MATCH($A451&amp;"|71",Positions!$A$2:$A$4694,0))</f>
        <v>C</v>
      </c>
      <c r="H451" s="3" t="str">
        <f t="shared" si="28"/>
        <v>G-C</v>
      </c>
      <c r="I451" s="4">
        <f t="shared" si="29"/>
        <v>1</v>
      </c>
      <c r="J451" s="4">
        <f t="shared" si="30"/>
        <v>1</v>
      </c>
      <c r="K451" s="3">
        <f t="shared" si="31"/>
        <v>2</v>
      </c>
    </row>
    <row r="452" spans="1:11">
      <c r="A452" s="4" t="s">
        <v>53</v>
      </c>
      <c r="B452" s="4" t="s">
        <v>110</v>
      </c>
      <c r="C452" s="4" t="s">
        <v>222</v>
      </c>
      <c r="D452" s="4">
        <f>INDEX(Positions!$D$2:$D$4694,MATCH($A452&amp;"|3",Positions!$A$2:$A$4694,0))</f>
        <v>3</v>
      </c>
      <c r="E452" s="4">
        <f>INDEX(Positions!$D$2:$D$4694,MATCH($A452&amp;"|70",Positions!$A$2:$A$4694,0))</f>
        <v>70</v>
      </c>
      <c r="F452" s="4" t="str">
        <f>INDEX(Positions!$E$2:$E$4694,MATCH($A452&amp;"|3",Positions!$A$2:$A$4694,0))</f>
        <v>U</v>
      </c>
      <c r="G452" s="4" t="str">
        <f>INDEX(Positions!$E$2:$E$4694,MATCH($A452&amp;"|70",Positions!$A$2:$A$4694,0))</f>
        <v>A</v>
      </c>
      <c r="H452" s="3" t="str">
        <f t="shared" si="28"/>
        <v>U-A</v>
      </c>
      <c r="I452" s="4">
        <f t="shared" si="29"/>
        <v>0</v>
      </c>
      <c r="J452" s="4">
        <f t="shared" si="30"/>
        <v>0</v>
      </c>
      <c r="K452" s="3">
        <f t="shared" si="31"/>
        <v>0</v>
      </c>
    </row>
    <row r="453" spans="1:11">
      <c r="A453" s="4" t="s">
        <v>53</v>
      </c>
      <c r="B453" s="4" t="s">
        <v>110</v>
      </c>
      <c r="C453" s="4" t="s">
        <v>223</v>
      </c>
      <c r="D453" s="4">
        <f>INDEX(Positions!$D$2:$D$4694,MATCH($A453&amp;"|4",Positions!$A$2:$A$4694,0))</f>
        <v>4</v>
      </c>
      <c r="E453" s="4">
        <f>INDEX(Positions!$D$2:$D$4694,MATCH($A453&amp;"|69",Positions!$A$2:$A$4694,0))</f>
        <v>69</v>
      </c>
      <c r="F453" s="4" t="str">
        <f>INDEX(Positions!$E$2:$E$4694,MATCH($A453&amp;"|4",Positions!$A$2:$A$4694,0))</f>
        <v>C</v>
      </c>
      <c r="G453" s="4" t="str">
        <f>INDEX(Positions!$E$2:$E$4694,MATCH($A453&amp;"|69",Positions!$A$2:$A$4694,0))</f>
        <v>G</v>
      </c>
      <c r="H453" s="3" t="str">
        <f t="shared" si="28"/>
        <v>C-G</v>
      </c>
      <c r="I453" s="4">
        <f t="shared" si="29"/>
        <v>1</v>
      </c>
      <c r="J453" s="4">
        <f t="shared" si="30"/>
        <v>1</v>
      </c>
      <c r="K453" s="3">
        <f t="shared" si="31"/>
        <v>2</v>
      </c>
    </row>
    <row r="454" spans="1:11">
      <c r="A454" s="4" t="s">
        <v>53</v>
      </c>
      <c r="B454" s="4" t="s">
        <v>110</v>
      </c>
      <c r="C454" s="4" t="s">
        <v>224</v>
      </c>
      <c r="D454" s="4">
        <f>INDEX(Positions!$D$2:$D$4694,MATCH($A454&amp;"|5",Positions!$A$2:$A$4694,0))</f>
        <v>5</v>
      </c>
      <c r="E454" s="4">
        <f>INDEX(Positions!$D$2:$D$4694,MATCH($A454&amp;"|68",Positions!$A$2:$A$4694,0))</f>
        <v>68</v>
      </c>
      <c r="F454" s="4" t="str">
        <f>INDEX(Positions!$E$2:$E$4694,MATCH($A454&amp;"|5",Positions!$A$2:$A$4694,0))</f>
        <v>C</v>
      </c>
      <c r="G454" s="4" t="str">
        <f>INDEX(Positions!$E$2:$E$4694,MATCH($A454&amp;"|68",Positions!$A$2:$A$4694,0))</f>
        <v>G</v>
      </c>
      <c r="H454" s="3" t="str">
        <f t="shared" si="28"/>
        <v>C-G</v>
      </c>
      <c r="I454" s="4">
        <f t="shared" si="29"/>
        <v>1</v>
      </c>
      <c r="J454" s="4">
        <f t="shared" si="30"/>
        <v>1</v>
      </c>
      <c r="K454" s="3">
        <f t="shared" si="31"/>
        <v>2</v>
      </c>
    </row>
    <row r="455" spans="1:11">
      <c r="A455" s="4" t="s">
        <v>53</v>
      </c>
      <c r="B455" s="4" t="s">
        <v>110</v>
      </c>
      <c r="C455" s="4" t="s">
        <v>225</v>
      </c>
      <c r="D455" s="4">
        <f>INDEX(Positions!$D$2:$D$4694,MATCH($A455&amp;"|6",Positions!$A$2:$A$4694,0))</f>
        <v>6</v>
      </c>
      <c r="E455" s="4">
        <f>INDEX(Positions!$D$2:$D$4694,MATCH($A455&amp;"|67",Positions!$A$2:$A$4694,0))</f>
        <v>67</v>
      </c>
      <c r="F455" s="4" t="str">
        <f>INDEX(Positions!$E$2:$E$4694,MATCH($A455&amp;"|6",Positions!$A$2:$A$4694,0))</f>
        <v>U</v>
      </c>
      <c r="G455" s="4" t="str">
        <f>INDEX(Positions!$E$2:$E$4694,MATCH($A455&amp;"|67",Positions!$A$2:$A$4694,0))</f>
        <v>A</v>
      </c>
      <c r="H455" s="3" t="str">
        <f t="shared" si="28"/>
        <v>U-A</v>
      </c>
      <c r="I455" s="4">
        <f t="shared" si="29"/>
        <v>0</v>
      </c>
      <c r="J455" s="4">
        <f t="shared" si="30"/>
        <v>0</v>
      </c>
      <c r="K455" s="3">
        <f t="shared" si="31"/>
        <v>0</v>
      </c>
    </row>
    <row r="456" spans="1:11">
      <c r="A456" s="4" t="s">
        <v>53</v>
      </c>
      <c r="B456" s="4" t="s">
        <v>110</v>
      </c>
      <c r="C456" s="4" t="s">
        <v>226</v>
      </c>
      <c r="D456" s="4">
        <f>INDEX(Positions!$D$2:$D$4694,MATCH($A456&amp;"|7",Positions!$A$2:$A$4694,0))</f>
        <v>7</v>
      </c>
      <c r="E456" s="4">
        <f>INDEX(Positions!$D$2:$D$4694,MATCH($A456&amp;"|66",Positions!$A$2:$A$4694,0))</f>
        <v>66</v>
      </c>
      <c r="F456" s="4" t="str">
        <f>INDEX(Positions!$E$2:$E$4694,MATCH($A456&amp;"|7",Positions!$A$2:$A$4694,0))</f>
        <v>G</v>
      </c>
      <c r="G456" s="4" t="str">
        <f>INDEX(Positions!$E$2:$E$4694,MATCH($A456&amp;"|66",Positions!$A$2:$A$4694,0))</f>
        <v>C</v>
      </c>
      <c r="H456" s="3" t="str">
        <f t="shared" si="28"/>
        <v>G-C</v>
      </c>
      <c r="I456" s="4">
        <f t="shared" si="29"/>
        <v>1</v>
      </c>
      <c r="J456" s="4">
        <f t="shared" si="30"/>
        <v>1</v>
      </c>
      <c r="K456" s="3">
        <f t="shared" si="31"/>
        <v>2</v>
      </c>
    </row>
    <row r="457" spans="1:11">
      <c r="A457" s="4" t="s">
        <v>53</v>
      </c>
      <c r="B457" s="4" t="s">
        <v>125</v>
      </c>
      <c r="C457" s="4" t="s">
        <v>227</v>
      </c>
      <c r="D457" s="4">
        <f>INDEX(Positions!$D$2:$D$4694,MATCH($A457&amp;"|10",Positions!$A$2:$A$4694,0))</f>
        <v>10</v>
      </c>
      <c r="E457" s="4">
        <f>INDEX(Positions!$D$2:$D$4694,MATCH($A457&amp;"|25",Positions!$A$2:$A$4694,0))</f>
        <v>26</v>
      </c>
      <c r="F457" s="4" t="str">
        <f>INDEX(Positions!$E$2:$E$4694,MATCH($A457&amp;"|10",Positions!$A$2:$A$4694,0))</f>
        <v>G</v>
      </c>
      <c r="G457" s="4" t="str">
        <f>INDEX(Positions!$E$2:$E$4694,MATCH($A457&amp;"|25",Positions!$A$2:$A$4694,0))</f>
        <v>U</v>
      </c>
      <c r="H457" s="3" t="str">
        <f t="shared" si="28"/>
        <v>G-U</v>
      </c>
      <c r="I457" s="4">
        <f t="shared" si="29"/>
        <v>1</v>
      </c>
      <c r="J457" s="4">
        <f t="shared" si="30"/>
        <v>0</v>
      </c>
      <c r="K457" s="3">
        <f t="shared" si="31"/>
        <v>1</v>
      </c>
    </row>
    <row r="458" spans="1:11">
      <c r="A458" s="4" t="s">
        <v>53</v>
      </c>
      <c r="B458" s="4" t="s">
        <v>125</v>
      </c>
      <c r="C458" s="4" t="s">
        <v>228</v>
      </c>
      <c r="D458" s="4">
        <f>INDEX(Positions!$D$2:$D$4694,MATCH($A458&amp;"|11",Positions!$A$2:$A$4694,0))</f>
        <v>11</v>
      </c>
      <c r="E458" s="4">
        <f>INDEX(Positions!$D$2:$D$4694,MATCH($A458&amp;"|24",Positions!$A$2:$A$4694,0))</f>
        <v>25</v>
      </c>
      <c r="F458" s="4" t="str">
        <f>INDEX(Positions!$E$2:$E$4694,MATCH($A458&amp;"|11",Positions!$A$2:$A$4694,0))</f>
        <v>G</v>
      </c>
      <c r="G458" s="4" t="str">
        <f>INDEX(Positions!$E$2:$E$4694,MATCH($A458&amp;"|24",Positions!$A$2:$A$4694,0))</f>
        <v>C</v>
      </c>
      <c r="H458" s="3" t="str">
        <f t="shared" si="28"/>
        <v>G-C</v>
      </c>
      <c r="I458" s="4">
        <f t="shared" si="29"/>
        <v>1</v>
      </c>
      <c r="J458" s="4">
        <f t="shared" si="30"/>
        <v>1</v>
      </c>
      <c r="K458" s="3">
        <f t="shared" si="31"/>
        <v>2</v>
      </c>
    </row>
    <row r="459" spans="1:11">
      <c r="A459" s="4" t="s">
        <v>53</v>
      </c>
      <c r="B459" s="4" t="s">
        <v>125</v>
      </c>
      <c r="C459" s="4" t="s">
        <v>229</v>
      </c>
      <c r="D459" s="4">
        <f>INDEX(Positions!$D$2:$D$4694,MATCH($A459&amp;"|12",Positions!$A$2:$A$4694,0))</f>
        <v>12</v>
      </c>
      <c r="E459" s="4">
        <f>INDEX(Positions!$D$2:$D$4694,MATCH($A459&amp;"|23",Positions!$A$2:$A$4694,0))</f>
        <v>24</v>
      </c>
      <c r="F459" s="4" t="str">
        <f>INDEX(Positions!$E$2:$E$4694,MATCH($A459&amp;"|12",Positions!$A$2:$A$4694,0))</f>
        <v>G</v>
      </c>
      <c r="G459" s="4" t="str">
        <f>INDEX(Positions!$E$2:$E$4694,MATCH($A459&amp;"|23",Positions!$A$2:$A$4694,0))</f>
        <v>C</v>
      </c>
      <c r="H459" s="3" t="str">
        <f t="shared" si="28"/>
        <v>G-C</v>
      </c>
      <c r="I459" s="4">
        <f t="shared" si="29"/>
        <v>1</v>
      </c>
      <c r="J459" s="4">
        <f t="shared" si="30"/>
        <v>1</v>
      </c>
      <c r="K459" s="3">
        <f t="shared" si="31"/>
        <v>2</v>
      </c>
    </row>
    <row r="460" spans="1:11">
      <c r="A460" s="4" t="s">
        <v>53</v>
      </c>
      <c r="B460" s="4" t="s">
        <v>125</v>
      </c>
      <c r="C460" s="4" t="s">
        <v>230</v>
      </c>
      <c r="D460" s="4">
        <f>INDEX(Positions!$D$2:$D$4694,MATCH($A460&amp;"|13",Positions!$A$2:$A$4694,0))</f>
        <v>13</v>
      </c>
      <c r="E460" s="4">
        <f>INDEX(Positions!$D$2:$D$4694,MATCH($A460&amp;"|22",Positions!$A$2:$A$4694,0))</f>
        <v>23</v>
      </c>
      <c r="F460" s="4" t="str">
        <f>INDEX(Positions!$E$2:$E$4694,MATCH($A460&amp;"|13",Positions!$A$2:$A$4694,0))</f>
        <v>U</v>
      </c>
      <c r="G460" s="4" t="str">
        <f>INDEX(Positions!$E$2:$E$4694,MATCH($A460&amp;"|22",Positions!$A$2:$A$4694,0))</f>
        <v>U</v>
      </c>
      <c r="H460" s="3" t="str">
        <f t="shared" si="28"/>
        <v>U-U</v>
      </c>
      <c r="I460" s="4">
        <f t="shared" si="29"/>
        <v>0</v>
      </c>
      <c r="J460" s="4">
        <f t="shared" si="30"/>
        <v>0</v>
      </c>
      <c r="K460" s="3">
        <f t="shared" si="31"/>
        <v>0</v>
      </c>
    </row>
    <row r="461" spans="1:11">
      <c r="A461" s="4" t="s">
        <v>53</v>
      </c>
      <c r="B461" s="4" t="s">
        <v>144</v>
      </c>
      <c r="C461" s="4" t="s">
        <v>231</v>
      </c>
      <c r="D461" s="4">
        <f>INDEX(Positions!$D$2:$D$4694,MATCH($A461&amp;"|27",Positions!$A$2:$A$4694,0))</f>
        <v>28</v>
      </c>
      <c r="E461" s="4">
        <f>INDEX(Positions!$D$2:$D$4694,MATCH($A461&amp;"|43",Positions!$A$2:$A$4694,0))</f>
        <v>44</v>
      </c>
      <c r="F461" s="4" t="str">
        <f>INDEX(Positions!$E$2:$E$4694,MATCH($A461&amp;"|27",Positions!$A$2:$A$4694,0))</f>
        <v>C</v>
      </c>
      <c r="G461" s="4" t="str">
        <f>INDEX(Positions!$E$2:$E$4694,MATCH($A461&amp;"|43",Positions!$A$2:$A$4694,0))</f>
        <v>G</v>
      </c>
      <c r="H461" s="3" t="str">
        <f t="shared" si="28"/>
        <v>C-G</v>
      </c>
      <c r="I461" s="4">
        <f t="shared" si="29"/>
        <v>1</v>
      </c>
      <c r="J461" s="4">
        <f t="shared" si="30"/>
        <v>1</v>
      </c>
      <c r="K461" s="3">
        <f t="shared" si="31"/>
        <v>2</v>
      </c>
    </row>
    <row r="462" spans="1:11">
      <c r="A462" s="4" t="s">
        <v>53</v>
      </c>
      <c r="B462" s="4" t="s">
        <v>144</v>
      </c>
      <c r="C462" s="4" t="s">
        <v>232</v>
      </c>
      <c r="D462" s="4">
        <f>INDEX(Positions!$D$2:$D$4694,MATCH($A462&amp;"|28",Positions!$A$2:$A$4694,0))</f>
        <v>29</v>
      </c>
      <c r="E462" s="4">
        <f>INDEX(Positions!$D$2:$D$4694,MATCH($A462&amp;"|42",Positions!$A$2:$A$4694,0))</f>
        <v>43</v>
      </c>
      <c r="F462" s="4" t="str">
        <f>INDEX(Positions!$E$2:$E$4694,MATCH($A462&amp;"|28",Positions!$A$2:$A$4694,0))</f>
        <v>G</v>
      </c>
      <c r="G462" s="4" t="str">
        <f>INDEX(Positions!$E$2:$E$4694,MATCH($A462&amp;"|42",Positions!$A$2:$A$4694,0))</f>
        <v>C</v>
      </c>
      <c r="H462" s="3" t="str">
        <f t="shared" si="28"/>
        <v>G-C</v>
      </c>
      <c r="I462" s="4">
        <f t="shared" si="29"/>
        <v>1</v>
      </c>
      <c r="J462" s="4">
        <f t="shared" si="30"/>
        <v>1</v>
      </c>
      <c r="K462" s="3">
        <f t="shared" si="31"/>
        <v>2</v>
      </c>
    </row>
    <row r="463" spans="1:11">
      <c r="A463" s="4" t="s">
        <v>53</v>
      </c>
      <c r="B463" s="4" t="s">
        <v>144</v>
      </c>
      <c r="C463" s="4" t="s">
        <v>233</v>
      </c>
      <c r="D463" s="4">
        <f>INDEX(Positions!$D$2:$D$4694,MATCH($A463&amp;"|29",Positions!$A$2:$A$4694,0))</f>
        <v>30</v>
      </c>
      <c r="E463" s="4">
        <f>INDEX(Positions!$D$2:$D$4694,MATCH($A463&amp;"|41",Positions!$A$2:$A$4694,0))</f>
        <v>42</v>
      </c>
      <c r="F463" s="4" t="str">
        <f>INDEX(Positions!$E$2:$E$4694,MATCH($A463&amp;"|29",Positions!$A$2:$A$4694,0))</f>
        <v>G</v>
      </c>
      <c r="G463" s="4" t="str">
        <f>INDEX(Positions!$E$2:$E$4694,MATCH($A463&amp;"|41",Positions!$A$2:$A$4694,0))</f>
        <v>C</v>
      </c>
      <c r="H463" s="3" t="str">
        <f t="shared" si="28"/>
        <v>G-C</v>
      </c>
      <c r="I463" s="4">
        <f t="shared" si="29"/>
        <v>1</v>
      </c>
      <c r="J463" s="4">
        <f t="shared" si="30"/>
        <v>1</v>
      </c>
      <c r="K463" s="3">
        <f t="shared" si="31"/>
        <v>2</v>
      </c>
    </row>
    <row r="464" spans="1:11">
      <c r="A464" s="4" t="s">
        <v>53</v>
      </c>
      <c r="B464" s="4" t="s">
        <v>144</v>
      </c>
      <c r="C464" s="4" t="s">
        <v>234</v>
      </c>
      <c r="D464" s="4">
        <f>INDEX(Positions!$D$2:$D$4694,MATCH($A464&amp;"|30",Positions!$A$2:$A$4694,0))</f>
        <v>31</v>
      </c>
      <c r="E464" s="4">
        <f>INDEX(Positions!$D$2:$D$4694,MATCH($A464&amp;"|40",Positions!$A$2:$A$4694,0))</f>
        <v>41</v>
      </c>
      <c r="F464" s="4" t="str">
        <f>INDEX(Positions!$E$2:$E$4694,MATCH($A464&amp;"|30",Positions!$A$2:$A$4694,0))</f>
        <v>G</v>
      </c>
      <c r="G464" s="4" t="str">
        <f>INDEX(Positions!$E$2:$E$4694,MATCH($A464&amp;"|40",Positions!$A$2:$A$4694,0))</f>
        <v>C</v>
      </c>
      <c r="H464" s="3" t="str">
        <f t="shared" si="28"/>
        <v>G-C</v>
      </c>
      <c r="I464" s="4">
        <f t="shared" si="29"/>
        <v>1</v>
      </c>
      <c r="J464" s="4">
        <f t="shared" si="30"/>
        <v>1</v>
      </c>
      <c r="K464" s="3">
        <f t="shared" si="31"/>
        <v>2</v>
      </c>
    </row>
    <row r="465" spans="1:11">
      <c r="A465" s="4" t="s">
        <v>53</v>
      </c>
      <c r="B465" s="4" t="s">
        <v>144</v>
      </c>
      <c r="C465" s="4" t="s">
        <v>235</v>
      </c>
      <c r="D465" s="4">
        <f>INDEX(Positions!$D$2:$D$4694,MATCH($A465&amp;"|31",Positions!$A$2:$A$4694,0))</f>
        <v>32</v>
      </c>
      <c r="E465" s="4">
        <f>INDEX(Positions!$D$2:$D$4694,MATCH($A465&amp;"|39",Positions!$A$2:$A$4694,0))</f>
        <v>40</v>
      </c>
      <c r="F465" s="4" t="str">
        <f>INDEX(Positions!$E$2:$E$4694,MATCH($A465&amp;"|31",Positions!$A$2:$A$4694,0))</f>
        <v>C</v>
      </c>
      <c r="G465" s="4" t="str">
        <f>INDEX(Positions!$E$2:$E$4694,MATCH($A465&amp;"|39",Positions!$A$2:$A$4694,0))</f>
        <v>G</v>
      </c>
      <c r="H465" s="3" t="str">
        <f t="shared" si="28"/>
        <v>C-G</v>
      </c>
      <c r="I465" s="4">
        <f t="shared" si="29"/>
        <v>1</v>
      </c>
      <c r="J465" s="4">
        <f t="shared" si="30"/>
        <v>1</v>
      </c>
      <c r="K465" s="3">
        <f t="shared" si="31"/>
        <v>2</v>
      </c>
    </row>
    <row r="466" spans="1:11">
      <c r="A466" s="4" t="s">
        <v>53</v>
      </c>
      <c r="B466" s="4" t="s">
        <v>169</v>
      </c>
      <c r="C466" s="4" t="s">
        <v>236</v>
      </c>
      <c r="D466" s="4">
        <f>INDEX(Positions!$D$2:$D$4694,MATCH($A466&amp;"|49",Positions!$A$2:$A$4694,0))</f>
        <v>49</v>
      </c>
      <c r="E466" s="4">
        <f>INDEX(Positions!$D$2:$D$4694,MATCH($A466&amp;"|65",Positions!$A$2:$A$4694,0))</f>
        <v>65</v>
      </c>
      <c r="F466" s="4" t="str">
        <f>INDEX(Positions!$E$2:$E$4694,MATCH($A466&amp;"|49",Positions!$A$2:$A$4694,0))</f>
        <v>A</v>
      </c>
      <c r="G466" s="4" t="str">
        <f>INDEX(Positions!$E$2:$E$4694,MATCH($A466&amp;"|65",Positions!$A$2:$A$4694,0))</f>
        <v>U</v>
      </c>
      <c r="H466" s="3" t="str">
        <f t="shared" si="28"/>
        <v>A-U</v>
      </c>
      <c r="I466" s="4">
        <f t="shared" si="29"/>
        <v>0</v>
      </c>
      <c r="J466" s="4">
        <f t="shared" si="30"/>
        <v>0</v>
      </c>
      <c r="K466" s="3">
        <f t="shared" si="31"/>
        <v>0</v>
      </c>
    </row>
    <row r="467" spans="1:11">
      <c r="A467" s="4" t="s">
        <v>53</v>
      </c>
      <c r="B467" s="4" t="s">
        <v>169</v>
      </c>
      <c r="C467" s="4" t="s">
        <v>237</v>
      </c>
      <c r="D467" s="4">
        <f>INDEX(Positions!$D$2:$D$4694,MATCH($A467&amp;"|50",Positions!$A$2:$A$4694,0))</f>
        <v>50</v>
      </c>
      <c r="E467" s="4">
        <f>INDEX(Positions!$D$2:$D$4694,MATCH($A467&amp;"|64",Positions!$A$2:$A$4694,0))</f>
        <v>64</v>
      </c>
      <c r="F467" s="4" t="str">
        <f>INDEX(Positions!$E$2:$E$4694,MATCH($A467&amp;"|50",Positions!$A$2:$A$4694,0))</f>
        <v>G</v>
      </c>
      <c r="G467" s="4" t="str">
        <f>INDEX(Positions!$E$2:$E$4694,MATCH($A467&amp;"|64",Positions!$A$2:$A$4694,0))</f>
        <v>C</v>
      </c>
      <c r="H467" s="3" t="str">
        <f t="shared" si="28"/>
        <v>G-C</v>
      </c>
      <c r="I467" s="4">
        <f t="shared" si="29"/>
        <v>1</v>
      </c>
      <c r="J467" s="4">
        <f t="shared" si="30"/>
        <v>1</v>
      </c>
      <c r="K467" s="3">
        <f t="shared" si="31"/>
        <v>2</v>
      </c>
    </row>
    <row r="468" spans="1:11">
      <c r="A468" s="4" t="s">
        <v>53</v>
      </c>
      <c r="B468" s="4" t="s">
        <v>169</v>
      </c>
      <c r="C468" s="4" t="s">
        <v>238</v>
      </c>
      <c r="D468" s="4">
        <f>INDEX(Positions!$D$2:$D$4694,MATCH($A468&amp;"|51",Positions!$A$2:$A$4694,0))</f>
        <v>51</v>
      </c>
      <c r="E468" s="4">
        <f>INDEX(Positions!$D$2:$D$4694,MATCH($A468&amp;"|63",Positions!$A$2:$A$4694,0))</f>
        <v>63</v>
      </c>
      <c r="F468" s="4" t="str">
        <f>INDEX(Positions!$E$2:$E$4694,MATCH($A468&amp;"|51",Positions!$A$2:$A$4694,0))</f>
        <v>C</v>
      </c>
      <c r="G468" s="4" t="str">
        <f>INDEX(Positions!$E$2:$E$4694,MATCH($A468&amp;"|63",Positions!$A$2:$A$4694,0))</f>
        <v>G</v>
      </c>
      <c r="H468" s="3" t="str">
        <f t="shared" si="28"/>
        <v>C-G</v>
      </c>
      <c r="I468" s="4">
        <f t="shared" si="29"/>
        <v>1</v>
      </c>
      <c r="J468" s="4">
        <f t="shared" si="30"/>
        <v>1</v>
      </c>
      <c r="K468" s="3">
        <f t="shared" si="31"/>
        <v>2</v>
      </c>
    </row>
    <row r="469" spans="1:11">
      <c r="A469" s="4" t="s">
        <v>53</v>
      </c>
      <c r="B469" s="4" t="s">
        <v>169</v>
      </c>
      <c r="C469" s="4" t="s">
        <v>239</v>
      </c>
      <c r="D469" s="4">
        <f>INDEX(Positions!$D$2:$D$4694,MATCH($A469&amp;"|52",Positions!$A$2:$A$4694,0))</f>
        <v>52</v>
      </c>
      <c r="E469" s="4">
        <f>INDEX(Positions!$D$2:$D$4694,MATCH($A469&amp;"|62",Positions!$A$2:$A$4694,0))</f>
        <v>62</v>
      </c>
      <c r="F469" s="4" t="str">
        <f>INDEX(Positions!$E$2:$E$4694,MATCH($A469&amp;"|52",Positions!$A$2:$A$4694,0))</f>
        <v>G</v>
      </c>
      <c r="G469" s="4" t="str">
        <f>INDEX(Positions!$E$2:$E$4694,MATCH($A469&amp;"|62",Positions!$A$2:$A$4694,0))</f>
        <v>C</v>
      </c>
      <c r="H469" s="3" t="str">
        <f t="shared" si="28"/>
        <v>G-C</v>
      </c>
      <c r="I469" s="4">
        <f t="shared" si="29"/>
        <v>1</v>
      </c>
      <c r="J469" s="4">
        <f t="shared" si="30"/>
        <v>1</v>
      </c>
      <c r="K469" s="3">
        <f t="shared" si="31"/>
        <v>2</v>
      </c>
    </row>
    <row r="470" spans="1:11">
      <c r="A470" s="4" t="s">
        <v>53</v>
      </c>
      <c r="B470" s="4" t="s">
        <v>169</v>
      </c>
      <c r="C470" s="4" t="s">
        <v>240</v>
      </c>
      <c r="D470" s="4">
        <f>INDEX(Positions!$D$2:$D$4694,MATCH($A470&amp;"|53",Positions!$A$2:$A$4694,0))</f>
        <v>53</v>
      </c>
      <c r="E470" s="4">
        <f>INDEX(Positions!$D$2:$D$4694,MATCH($A470&amp;"|61",Positions!$A$2:$A$4694,0))</f>
        <v>61</v>
      </c>
      <c r="F470" s="4" t="str">
        <f>INDEX(Positions!$E$2:$E$4694,MATCH($A470&amp;"|53",Positions!$A$2:$A$4694,0))</f>
        <v>G</v>
      </c>
      <c r="G470" s="4" t="str">
        <f>INDEX(Positions!$E$2:$E$4694,MATCH($A470&amp;"|61",Positions!$A$2:$A$4694,0))</f>
        <v>C</v>
      </c>
      <c r="H470" s="3" t="str">
        <f t="shared" si="28"/>
        <v>G-C</v>
      </c>
      <c r="I470" s="4">
        <f t="shared" si="29"/>
        <v>1</v>
      </c>
      <c r="J470" s="4">
        <f t="shared" si="30"/>
        <v>1</v>
      </c>
      <c r="K470" s="3">
        <f t="shared" si="31"/>
        <v>2</v>
      </c>
    </row>
    <row r="471" spans="1:11">
      <c r="A471" s="23" t="s">
        <v>53</v>
      </c>
      <c r="B471" s="23" t="s">
        <v>241</v>
      </c>
      <c r="C471" s="23" t="s">
        <v>242</v>
      </c>
      <c r="D471" s="23">
        <f>INDEX(Positions!$D$2:$D$4694,MATCH($A471&amp;"|8",Positions!$A$2:$A$4694,0))</f>
        <v>8</v>
      </c>
      <c r="E471" s="23">
        <f>INDEX(Positions!$D$2:$D$4694,MATCH($A471&amp;"|14",Positions!$A$2:$A$4694,0))</f>
        <v>14</v>
      </c>
      <c r="F471" s="23" t="str">
        <f>INDEX(Positions!$E$2:$E$4694,MATCH($A471&amp;"|8",Positions!$A$2:$A$4694,0))</f>
        <v>U</v>
      </c>
      <c r="G471" s="23" t="str">
        <f>INDEX(Positions!$E$2:$E$4694,MATCH($A471&amp;"|14",Positions!$A$2:$A$4694,0))</f>
        <v>A</v>
      </c>
      <c r="H471" s="24" t="str">
        <f t="shared" si="28"/>
        <v>U-A</v>
      </c>
      <c r="I471" s="23">
        <f t="shared" si="29"/>
        <v>0</v>
      </c>
      <c r="J471" s="23">
        <f t="shared" si="30"/>
        <v>0</v>
      </c>
      <c r="K471" s="24">
        <f t="shared" si="31"/>
        <v>0</v>
      </c>
    </row>
    <row r="472" spans="1:11">
      <c r="A472" s="23" t="s">
        <v>53</v>
      </c>
      <c r="B472" s="23" t="s">
        <v>241</v>
      </c>
      <c r="C472" s="23" t="s">
        <v>243</v>
      </c>
      <c r="D472" s="23">
        <f>INDEX(Positions!$D$2:$D$4694,MATCH($A472&amp;"|15",Positions!$A$2:$A$4694,0))</f>
        <v>15</v>
      </c>
      <c r="E472" s="23">
        <f>INDEX(Positions!$D$2:$D$4694,MATCH($A472&amp;"|48",Positions!$A$2:$A$4694,0))</f>
        <v>48</v>
      </c>
      <c r="F472" s="23" t="str">
        <f>INDEX(Positions!$E$2:$E$4694,MATCH($A472&amp;"|15",Positions!$A$2:$A$4694,0))</f>
        <v>G</v>
      </c>
      <c r="G472" s="23" t="str">
        <f>INDEX(Positions!$E$2:$E$4694,MATCH($A472&amp;"|48",Positions!$A$2:$A$4694,0))</f>
        <v>C</v>
      </c>
      <c r="H472" s="24" t="str">
        <f t="shared" si="28"/>
        <v>G-C</v>
      </c>
      <c r="I472" s="23">
        <f t="shared" si="29"/>
        <v>1</v>
      </c>
      <c r="J472" s="23">
        <f t="shared" si="30"/>
        <v>1</v>
      </c>
      <c r="K472" s="24">
        <f t="shared" si="31"/>
        <v>2</v>
      </c>
    </row>
    <row r="473" spans="1:11">
      <c r="A473" s="23" t="s">
        <v>53</v>
      </c>
      <c r="B473" s="23" t="s">
        <v>241</v>
      </c>
      <c r="C473" s="23" t="s">
        <v>244</v>
      </c>
      <c r="D473" s="23">
        <f>INDEX(Positions!$D$2:$D$4694,MATCH($A473&amp;"|18",Positions!$A$2:$A$4694,0))</f>
        <v>17</v>
      </c>
      <c r="E473" s="23">
        <f>INDEX(Positions!$D$2:$D$4694,MATCH($A473&amp;"|55",Positions!$A$2:$A$4694,0))</f>
        <v>55</v>
      </c>
      <c r="F473" s="23" t="str">
        <f>INDEX(Positions!$E$2:$E$4694,MATCH($A473&amp;"|18",Positions!$A$2:$A$4694,0))</f>
        <v>G</v>
      </c>
      <c r="G473" s="23" t="str">
        <f>INDEX(Positions!$E$2:$E$4694,MATCH($A473&amp;"|55",Positions!$A$2:$A$4694,0))</f>
        <v>U</v>
      </c>
      <c r="H473" s="24" t="str">
        <f t="shared" si="28"/>
        <v>G-U</v>
      </c>
      <c r="I473" s="23">
        <f t="shared" si="29"/>
        <v>1</v>
      </c>
      <c r="J473" s="23">
        <f t="shared" si="30"/>
        <v>0</v>
      </c>
      <c r="K473" s="24">
        <f t="shared" si="31"/>
        <v>1</v>
      </c>
    </row>
    <row r="474" spans="1:11">
      <c r="A474" s="23" t="s">
        <v>53</v>
      </c>
      <c r="B474" s="23" t="s">
        <v>241</v>
      </c>
      <c r="C474" s="23" t="s">
        <v>245</v>
      </c>
      <c r="D474" s="23">
        <f>INDEX(Positions!$D$2:$D$4694,MATCH($A474&amp;"|19",Positions!$A$2:$A$4694,0))</f>
        <v>18</v>
      </c>
      <c r="E474" s="23">
        <f>INDEX(Positions!$D$2:$D$4694,MATCH($A474&amp;"|56",Positions!$A$2:$A$4694,0))</f>
        <v>56</v>
      </c>
      <c r="F474" s="23" t="str">
        <f>INDEX(Positions!$E$2:$E$4694,MATCH($A474&amp;"|19",Positions!$A$2:$A$4694,0))</f>
        <v>G</v>
      </c>
      <c r="G474" s="23" t="str">
        <f>INDEX(Positions!$E$2:$E$4694,MATCH($A474&amp;"|56",Positions!$A$2:$A$4694,0))</f>
        <v>C</v>
      </c>
      <c r="H474" s="24" t="str">
        <f t="shared" si="28"/>
        <v>G-C</v>
      </c>
      <c r="I474" s="23">
        <f t="shared" si="29"/>
        <v>1</v>
      </c>
      <c r="J474" s="23">
        <f t="shared" si="30"/>
        <v>1</v>
      </c>
      <c r="K474" s="24">
        <f t="shared" si="31"/>
        <v>2</v>
      </c>
    </row>
    <row r="475" spans="1:11">
      <c r="A475" s="23" t="s">
        <v>53</v>
      </c>
      <c r="B475" s="23" t="s">
        <v>241</v>
      </c>
      <c r="C475" s="23" t="s">
        <v>246</v>
      </c>
      <c r="D475" s="23">
        <f>INDEX(Positions!$D$2:$D$4694,MATCH($A475&amp;"|26",Positions!$A$2:$A$4694,0))</f>
        <v>27</v>
      </c>
      <c r="E475" s="23">
        <f>INDEX(Positions!$D$2:$D$4694,MATCH($A475&amp;"|44",Positions!$A$2:$A$4694,0))</f>
        <v>45</v>
      </c>
      <c r="F475" s="23" t="str">
        <f>INDEX(Positions!$E$2:$E$4694,MATCH($A475&amp;"|26",Positions!$A$2:$A$4694,0))</f>
        <v>U</v>
      </c>
      <c r="G475" s="23" t="str">
        <f>INDEX(Positions!$E$2:$E$4694,MATCH($A475&amp;"|44",Positions!$A$2:$A$4694,0))</f>
        <v>G</v>
      </c>
      <c r="H475" s="24" t="str">
        <f t="shared" si="28"/>
        <v>U-G</v>
      </c>
      <c r="I475" s="23">
        <f t="shared" si="29"/>
        <v>1</v>
      </c>
      <c r="J475" s="23">
        <f t="shared" si="30"/>
        <v>0</v>
      </c>
      <c r="K475" s="24">
        <f t="shared" si="31"/>
        <v>1</v>
      </c>
    </row>
    <row r="476" spans="1:11">
      <c r="A476" s="23" t="s">
        <v>53</v>
      </c>
      <c r="B476" s="23" t="s">
        <v>241</v>
      </c>
      <c r="C476" s="23" t="s">
        <v>247</v>
      </c>
      <c r="D476" s="23">
        <f>INDEX(Positions!$D$2:$D$4694,MATCH($A476&amp;"|32",Positions!$A$2:$A$4694,0))</f>
        <v>33</v>
      </c>
      <c r="E476" s="23">
        <f>INDEX(Positions!$D$2:$D$4694,MATCH($A476&amp;"|38",Positions!$A$2:$A$4694,0))</f>
        <v>39</v>
      </c>
      <c r="F476" s="23" t="str">
        <f>INDEX(Positions!$E$2:$E$4694,MATCH($A476&amp;"|32",Positions!$A$2:$A$4694,0))</f>
        <v>C</v>
      </c>
      <c r="G476" s="23" t="str">
        <f>INDEX(Positions!$E$2:$E$4694,MATCH($A476&amp;"|38",Positions!$A$2:$A$4694,0))</f>
        <v>A</v>
      </c>
      <c r="H476" s="24" t="str">
        <f t="shared" si="28"/>
        <v>C-A</v>
      </c>
      <c r="I476" s="23">
        <f t="shared" si="29"/>
        <v>0</v>
      </c>
      <c r="J476" s="23">
        <f t="shared" si="30"/>
        <v>1</v>
      </c>
      <c r="K476" s="24">
        <f t="shared" si="31"/>
        <v>1</v>
      </c>
    </row>
    <row r="477" spans="1:11">
      <c r="A477" s="23" t="s">
        <v>53</v>
      </c>
      <c r="B477" s="23" t="s">
        <v>241</v>
      </c>
      <c r="C477" s="23" t="s">
        <v>248</v>
      </c>
      <c r="D477" s="23">
        <f>INDEX(Positions!$D$2:$D$4694,MATCH($A477&amp;"|54",Positions!$A$2:$A$4694,0))</f>
        <v>54</v>
      </c>
      <c r="E477" s="23">
        <f>INDEX(Positions!$D$2:$D$4694,MATCH($A477&amp;"|58",Positions!$A$2:$A$4694,0))</f>
        <v>58</v>
      </c>
      <c r="F477" s="23" t="str">
        <f>INDEX(Positions!$E$2:$E$4694,MATCH($A477&amp;"|54",Positions!$A$2:$A$4694,0))</f>
        <v>U</v>
      </c>
      <c r="G477" s="23" t="str">
        <f>INDEX(Positions!$E$2:$E$4694,MATCH($A477&amp;"|58",Positions!$A$2:$A$4694,0))</f>
        <v>A</v>
      </c>
      <c r="H477" s="24" t="str">
        <f t="shared" si="28"/>
        <v>U-A</v>
      </c>
      <c r="I477" s="23">
        <f t="shared" si="29"/>
        <v>0</v>
      </c>
      <c r="J477" s="23">
        <f t="shared" si="30"/>
        <v>0</v>
      </c>
      <c r="K477" s="24">
        <f t="shared" si="31"/>
        <v>0</v>
      </c>
    </row>
    <row r="478" spans="1:11">
      <c r="A478" s="4" t="s">
        <v>54</v>
      </c>
      <c r="B478" s="4" t="s">
        <v>110</v>
      </c>
      <c r="C478" s="4" t="s">
        <v>220</v>
      </c>
      <c r="D478" s="4">
        <f>INDEX(Positions!$D$2:$D$4694,MATCH($A478&amp;"|1",Positions!$A$2:$A$4694,0))</f>
        <v>1</v>
      </c>
      <c r="E478" s="4">
        <f>INDEX(Positions!$D$2:$D$4694,MATCH($A478&amp;"|72",Positions!$A$2:$A$4694,0))</f>
        <v>74</v>
      </c>
      <c r="F478" s="4" t="str">
        <f>INDEX(Positions!$E$2:$E$4694,MATCH($A478&amp;"|1",Positions!$A$2:$A$4694,0))</f>
        <v>G</v>
      </c>
      <c r="G478" s="4" t="str">
        <f>INDEX(Positions!$E$2:$E$4694,MATCH($A478&amp;"|72",Positions!$A$2:$A$4694,0))</f>
        <v>C</v>
      </c>
      <c r="H478" s="3" t="str">
        <f t="shared" si="28"/>
        <v>G-C</v>
      </c>
      <c r="I478" s="4">
        <f t="shared" si="29"/>
        <v>1</v>
      </c>
      <c r="J478" s="4">
        <f t="shared" si="30"/>
        <v>1</v>
      </c>
      <c r="K478" s="3">
        <f t="shared" si="31"/>
        <v>2</v>
      </c>
    </row>
    <row r="479" spans="1:11">
      <c r="A479" s="4" t="s">
        <v>54</v>
      </c>
      <c r="B479" s="4" t="s">
        <v>110</v>
      </c>
      <c r="C479" s="4" t="s">
        <v>221</v>
      </c>
      <c r="D479" s="4">
        <f>INDEX(Positions!$D$2:$D$4694,MATCH($A479&amp;"|2",Positions!$A$2:$A$4694,0))</f>
        <v>2</v>
      </c>
      <c r="E479" s="4">
        <f>INDEX(Positions!$D$2:$D$4694,MATCH($A479&amp;"|71",Positions!$A$2:$A$4694,0))</f>
        <v>73</v>
      </c>
      <c r="F479" s="4" t="str">
        <f>INDEX(Positions!$E$2:$E$4694,MATCH($A479&amp;"|2",Positions!$A$2:$A$4694,0))</f>
        <v>C</v>
      </c>
      <c r="G479" s="4" t="str">
        <f>INDEX(Positions!$E$2:$E$4694,MATCH($A479&amp;"|71",Positions!$A$2:$A$4694,0))</f>
        <v>G</v>
      </c>
      <c r="H479" s="3" t="str">
        <f t="shared" si="28"/>
        <v>C-G</v>
      </c>
      <c r="I479" s="4">
        <f t="shared" si="29"/>
        <v>1</v>
      </c>
      <c r="J479" s="4">
        <f t="shared" si="30"/>
        <v>1</v>
      </c>
      <c r="K479" s="3">
        <f t="shared" si="31"/>
        <v>2</v>
      </c>
    </row>
    <row r="480" spans="1:11">
      <c r="A480" s="4" t="s">
        <v>54</v>
      </c>
      <c r="B480" s="4" t="s">
        <v>110</v>
      </c>
      <c r="C480" s="4" t="s">
        <v>222</v>
      </c>
      <c r="D480" s="4">
        <f>INDEX(Positions!$D$2:$D$4694,MATCH($A480&amp;"|3",Positions!$A$2:$A$4694,0))</f>
        <v>3</v>
      </c>
      <c r="E480" s="4">
        <f>INDEX(Positions!$D$2:$D$4694,MATCH($A480&amp;"|70",Positions!$A$2:$A$4694,0))</f>
        <v>72</v>
      </c>
      <c r="F480" s="4" t="str">
        <f>INDEX(Positions!$E$2:$E$4694,MATCH($A480&amp;"|3",Positions!$A$2:$A$4694,0))</f>
        <v>U</v>
      </c>
      <c r="G480" s="4" t="str">
        <f>INDEX(Positions!$E$2:$E$4694,MATCH($A480&amp;"|70",Positions!$A$2:$A$4694,0))</f>
        <v>A</v>
      </c>
      <c r="H480" s="3" t="str">
        <f t="shared" si="28"/>
        <v>U-A</v>
      </c>
      <c r="I480" s="4">
        <f t="shared" si="29"/>
        <v>0</v>
      </c>
      <c r="J480" s="4">
        <f t="shared" si="30"/>
        <v>0</v>
      </c>
      <c r="K480" s="3">
        <f t="shared" si="31"/>
        <v>0</v>
      </c>
    </row>
    <row r="481" spans="1:11">
      <c r="A481" s="4" t="s">
        <v>54</v>
      </c>
      <c r="B481" s="4" t="s">
        <v>110</v>
      </c>
      <c r="C481" s="4" t="s">
        <v>223</v>
      </c>
      <c r="D481" s="4">
        <f>INDEX(Positions!$D$2:$D$4694,MATCH($A481&amp;"|4",Positions!$A$2:$A$4694,0))</f>
        <v>4</v>
      </c>
      <c r="E481" s="4">
        <f>INDEX(Positions!$D$2:$D$4694,MATCH($A481&amp;"|69",Positions!$A$2:$A$4694,0))</f>
        <v>71</v>
      </c>
      <c r="F481" s="4" t="str">
        <f>INDEX(Positions!$E$2:$E$4694,MATCH($A481&amp;"|4",Positions!$A$2:$A$4694,0))</f>
        <v>C</v>
      </c>
      <c r="G481" s="4" t="str">
        <f>INDEX(Positions!$E$2:$E$4694,MATCH($A481&amp;"|69",Positions!$A$2:$A$4694,0))</f>
        <v>G</v>
      </c>
      <c r="H481" s="3" t="str">
        <f t="shared" si="28"/>
        <v>C-G</v>
      </c>
      <c r="I481" s="4">
        <f t="shared" si="29"/>
        <v>1</v>
      </c>
      <c r="J481" s="4">
        <f t="shared" si="30"/>
        <v>1</v>
      </c>
      <c r="K481" s="3">
        <f t="shared" si="31"/>
        <v>2</v>
      </c>
    </row>
    <row r="482" spans="1:11">
      <c r="A482" s="4" t="s">
        <v>54</v>
      </c>
      <c r="B482" s="4" t="s">
        <v>110</v>
      </c>
      <c r="C482" s="4" t="s">
        <v>224</v>
      </c>
      <c r="D482" s="4">
        <f>INDEX(Positions!$D$2:$D$4694,MATCH($A482&amp;"|5",Positions!$A$2:$A$4694,0))</f>
        <v>5</v>
      </c>
      <c r="E482" s="4">
        <f>INDEX(Positions!$D$2:$D$4694,MATCH($A482&amp;"|68",Positions!$A$2:$A$4694,0))</f>
        <v>70</v>
      </c>
      <c r="F482" s="4" t="str">
        <f>INDEX(Positions!$E$2:$E$4694,MATCH($A482&amp;"|5",Positions!$A$2:$A$4694,0))</f>
        <v>C</v>
      </c>
      <c r="G482" s="4" t="str">
        <f>INDEX(Positions!$E$2:$E$4694,MATCH($A482&amp;"|68",Positions!$A$2:$A$4694,0))</f>
        <v>G</v>
      </c>
      <c r="H482" s="3" t="str">
        <f t="shared" si="28"/>
        <v>C-G</v>
      </c>
      <c r="I482" s="4">
        <f t="shared" si="29"/>
        <v>1</v>
      </c>
      <c r="J482" s="4">
        <f t="shared" si="30"/>
        <v>1</v>
      </c>
      <c r="K482" s="3">
        <f t="shared" si="31"/>
        <v>2</v>
      </c>
    </row>
    <row r="483" spans="1:11">
      <c r="A483" s="4" t="s">
        <v>54</v>
      </c>
      <c r="B483" s="4" t="s">
        <v>110</v>
      </c>
      <c r="C483" s="4" t="s">
        <v>225</v>
      </c>
      <c r="D483" s="4">
        <f>INDEX(Positions!$D$2:$D$4694,MATCH($A483&amp;"|6",Positions!$A$2:$A$4694,0))</f>
        <v>6</v>
      </c>
      <c r="E483" s="4">
        <f>INDEX(Positions!$D$2:$D$4694,MATCH($A483&amp;"|67",Positions!$A$2:$A$4694,0))</f>
        <v>69</v>
      </c>
      <c r="F483" s="4" t="str">
        <f>INDEX(Positions!$E$2:$E$4694,MATCH($A483&amp;"|6",Positions!$A$2:$A$4694,0))</f>
        <v>G</v>
      </c>
      <c r="G483" s="4" t="str">
        <f>INDEX(Positions!$E$2:$E$4694,MATCH($A483&amp;"|67",Positions!$A$2:$A$4694,0))</f>
        <v>C</v>
      </c>
      <c r="H483" s="3" t="str">
        <f t="shared" si="28"/>
        <v>G-C</v>
      </c>
      <c r="I483" s="4">
        <f t="shared" si="29"/>
        <v>1</v>
      </c>
      <c r="J483" s="4">
        <f t="shared" si="30"/>
        <v>1</v>
      </c>
      <c r="K483" s="3">
        <f t="shared" si="31"/>
        <v>2</v>
      </c>
    </row>
    <row r="484" spans="1:11">
      <c r="A484" s="4" t="s">
        <v>54</v>
      </c>
      <c r="B484" s="4" t="s">
        <v>110</v>
      </c>
      <c r="C484" s="4" t="s">
        <v>226</v>
      </c>
      <c r="D484" s="4">
        <f>INDEX(Positions!$D$2:$D$4694,MATCH($A484&amp;"|7",Positions!$A$2:$A$4694,0))</f>
        <v>7</v>
      </c>
      <c r="E484" s="4">
        <f>INDEX(Positions!$D$2:$D$4694,MATCH($A484&amp;"|66",Positions!$A$2:$A$4694,0))</f>
        <v>68</v>
      </c>
      <c r="F484" s="4" t="str">
        <f>INDEX(Positions!$E$2:$E$4694,MATCH($A484&amp;"|7",Positions!$A$2:$A$4694,0))</f>
        <v>A</v>
      </c>
      <c r="G484" s="4" t="str">
        <f>INDEX(Positions!$E$2:$E$4694,MATCH($A484&amp;"|66",Positions!$A$2:$A$4694,0))</f>
        <v>U</v>
      </c>
      <c r="H484" s="3" t="str">
        <f t="shared" si="28"/>
        <v>A-U</v>
      </c>
      <c r="I484" s="4">
        <f t="shared" si="29"/>
        <v>0</v>
      </c>
      <c r="J484" s="4">
        <f t="shared" si="30"/>
        <v>0</v>
      </c>
      <c r="K484" s="3">
        <f t="shared" si="31"/>
        <v>0</v>
      </c>
    </row>
    <row r="485" spans="1:11">
      <c r="A485" s="4" t="s">
        <v>54</v>
      </c>
      <c r="B485" s="4" t="s">
        <v>125</v>
      </c>
      <c r="C485" s="4" t="s">
        <v>227</v>
      </c>
      <c r="D485" s="4">
        <f>INDEX(Positions!$D$2:$D$4694,MATCH($A485&amp;"|10",Positions!$A$2:$A$4694,0))</f>
        <v>10</v>
      </c>
      <c r="E485" s="4">
        <f>INDEX(Positions!$D$2:$D$4694,MATCH($A485&amp;"|25",Positions!$A$2:$A$4694,0))</f>
        <v>28</v>
      </c>
      <c r="F485" s="4" t="str">
        <f>INDEX(Positions!$E$2:$E$4694,MATCH($A485&amp;"|10",Positions!$A$2:$A$4694,0))</f>
        <v>G</v>
      </c>
      <c r="G485" s="4" t="str">
        <f>INDEX(Positions!$E$2:$E$4694,MATCH($A485&amp;"|25",Positions!$A$2:$A$4694,0))</f>
        <v>U</v>
      </c>
      <c r="H485" s="3" t="str">
        <f t="shared" si="28"/>
        <v>G-U</v>
      </c>
      <c r="I485" s="4">
        <f t="shared" si="29"/>
        <v>1</v>
      </c>
      <c r="J485" s="4">
        <f t="shared" si="30"/>
        <v>0</v>
      </c>
      <c r="K485" s="3">
        <f t="shared" si="31"/>
        <v>1</v>
      </c>
    </row>
    <row r="486" spans="1:11">
      <c r="A486" s="4" t="s">
        <v>54</v>
      </c>
      <c r="B486" s="4" t="s">
        <v>125</v>
      </c>
      <c r="C486" s="4" t="s">
        <v>228</v>
      </c>
      <c r="D486" s="4">
        <f>INDEX(Positions!$D$2:$D$4694,MATCH($A486&amp;"|11",Positions!$A$2:$A$4694,0))</f>
        <v>11</v>
      </c>
      <c r="E486" s="4">
        <f>INDEX(Positions!$D$2:$D$4694,MATCH($A486&amp;"|24",Positions!$A$2:$A$4694,0))</f>
        <v>27</v>
      </c>
      <c r="F486" s="4" t="str">
        <f>INDEX(Positions!$E$2:$E$4694,MATCH($A486&amp;"|11",Positions!$A$2:$A$4694,0))</f>
        <v>U</v>
      </c>
      <c r="G486" s="4" t="str">
        <f>INDEX(Positions!$E$2:$E$4694,MATCH($A486&amp;"|24",Positions!$A$2:$A$4694,0))</f>
        <v>A</v>
      </c>
      <c r="H486" s="3" t="str">
        <f t="shared" si="28"/>
        <v>U-A</v>
      </c>
      <c r="I486" s="4">
        <f t="shared" si="29"/>
        <v>0</v>
      </c>
      <c r="J486" s="4">
        <f t="shared" si="30"/>
        <v>0</v>
      </c>
      <c r="K486" s="3">
        <f t="shared" si="31"/>
        <v>0</v>
      </c>
    </row>
    <row r="487" spans="1:11">
      <c r="A487" s="4" t="s">
        <v>54</v>
      </c>
      <c r="B487" s="4" t="s">
        <v>125</v>
      </c>
      <c r="C487" s="4" t="s">
        <v>229</v>
      </c>
      <c r="D487" s="4">
        <f>INDEX(Positions!$D$2:$D$4694,MATCH($A487&amp;"|12",Positions!$A$2:$A$4694,0))</f>
        <v>12</v>
      </c>
      <c r="E487" s="4">
        <f>INDEX(Positions!$D$2:$D$4694,MATCH($A487&amp;"|23",Positions!$A$2:$A$4694,0))</f>
        <v>26</v>
      </c>
      <c r="F487" s="4" t="str">
        <f>INDEX(Positions!$E$2:$E$4694,MATCH($A487&amp;"|12",Positions!$A$2:$A$4694,0))</f>
        <v>G</v>
      </c>
      <c r="G487" s="4" t="str">
        <f>INDEX(Positions!$E$2:$E$4694,MATCH($A487&amp;"|23",Positions!$A$2:$A$4694,0))</f>
        <v>C</v>
      </c>
      <c r="H487" s="3" t="str">
        <f t="shared" si="28"/>
        <v>G-C</v>
      </c>
      <c r="I487" s="4">
        <f t="shared" si="29"/>
        <v>1</v>
      </c>
      <c r="J487" s="4">
        <f t="shared" si="30"/>
        <v>1</v>
      </c>
      <c r="K487" s="3">
        <f t="shared" si="31"/>
        <v>2</v>
      </c>
    </row>
    <row r="488" spans="1:11">
      <c r="A488" s="4" t="s">
        <v>54</v>
      </c>
      <c r="B488" s="4" t="s">
        <v>125</v>
      </c>
      <c r="C488" s="4" t="s">
        <v>230</v>
      </c>
      <c r="D488" s="4">
        <f>INDEX(Positions!$D$2:$D$4694,MATCH($A488&amp;"|13",Positions!$A$2:$A$4694,0))</f>
        <v>13</v>
      </c>
      <c r="E488" s="4">
        <f>INDEX(Positions!$D$2:$D$4694,MATCH($A488&amp;"|22",Positions!$A$2:$A$4694,0))</f>
        <v>25</v>
      </c>
      <c r="F488" s="4" t="str">
        <f>INDEX(Positions!$E$2:$E$4694,MATCH($A488&amp;"|13",Positions!$A$2:$A$4694,0))</f>
        <v>U</v>
      </c>
      <c r="G488" s="4" t="str">
        <f>INDEX(Positions!$E$2:$E$4694,MATCH($A488&amp;"|22",Positions!$A$2:$A$4694,0))</f>
        <v>U</v>
      </c>
      <c r="H488" s="3" t="str">
        <f t="shared" si="28"/>
        <v>U-U</v>
      </c>
      <c r="I488" s="4">
        <f t="shared" si="29"/>
        <v>0</v>
      </c>
      <c r="J488" s="4">
        <f t="shared" si="30"/>
        <v>0</v>
      </c>
      <c r="K488" s="3">
        <f t="shared" si="31"/>
        <v>0</v>
      </c>
    </row>
    <row r="489" spans="1:11">
      <c r="A489" s="4" t="s">
        <v>54</v>
      </c>
      <c r="B489" s="4" t="s">
        <v>144</v>
      </c>
      <c r="C489" s="4" t="s">
        <v>231</v>
      </c>
      <c r="D489" s="4">
        <f>INDEX(Positions!$D$2:$D$4694,MATCH($A489&amp;"|27",Positions!$A$2:$A$4694,0))</f>
        <v>30</v>
      </c>
      <c r="E489" s="4">
        <f>INDEX(Positions!$D$2:$D$4694,MATCH($A489&amp;"|43",Positions!$A$2:$A$4694,0))</f>
        <v>46</v>
      </c>
      <c r="F489" s="4" t="str">
        <f>INDEX(Positions!$E$2:$E$4694,MATCH($A489&amp;"|27",Positions!$A$2:$A$4694,0))</f>
        <v>C</v>
      </c>
      <c r="G489" s="4" t="str">
        <f>INDEX(Positions!$E$2:$E$4694,MATCH($A489&amp;"|43",Positions!$A$2:$A$4694,0))</f>
        <v>G</v>
      </c>
      <c r="H489" s="3" t="str">
        <f t="shared" si="28"/>
        <v>C-G</v>
      </c>
      <c r="I489" s="4">
        <f t="shared" si="29"/>
        <v>1</v>
      </c>
      <c r="J489" s="4">
        <f t="shared" si="30"/>
        <v>1</v>
      </c>
      <c r="K489" s="3">
        <f t="shared" si="31"/>
        <v>2</v>
      </c>
    </row>
    <row r="490" spans="1:11">
      <c r="A490" s="4" t="s">
        <v>54</v>
      </c>
      <c r="B490" s="4" t="s">
        <v>144</v>
      </c>
      <c r="C490" s="4" t="s">
        <v>232</v>
      </c>
      <c r="D490" s="4">
        <f>INDEX(Positions!$D$2:$D$4694,MATCH($A490&amp;"|28",Positions!$A$2:$A$4694,0))</f>
        <v>31</v>
      </c>
      <c r="E490" s="4">
        <f>INDEX(Positions!$D$2:$D$4694,MATCH($A490&amp;"|42",Positions!$A$2:$A$4694,0))</f>
        <v>45</v>
      </c>
      <c r="F490" s="4" t="str">
        <f>INDEX(Positions!$E$2:$E$4694,MATCH($A490&amp;"|28",Positions!$A$2:$A$4694,0))</f>
        <v>A</v>
      </c>
      <c r="G490" s="4" t="str">
        <f>INDEX(Positions!$E$2:$E$4694,MATCH($A490&amp;"|42",Positions!$A$2:$A$4694,0))</f>
        <v>U</v>
      </c>
      <c r="H490" s="3" t="str">
        <f t="shared" si="28"/>
        <v>A-U</v>
      </c>
      <c r="I490" s="4">
        <f t="shared" si="29"/>
        <v>0</v>
      </c>
      <c r="J490" s="4">
        <f t="shared" si="30"/>
        <v>0</v>
      </c>
      <c r="K490" s="3">
        <f t="shared" si="31"/>
        <v>0</v>
      </c>
    </row>
    <row r="491" spans="1:11">
      <c r="A491" s="4" t="s">
        <v>54</v>
      </c>
      <c r="B491" s="4" t="s">
        <v>144</v>
      </c>
      <c r="C491" s="4" t="s">
        <v>233</v>
      </c>
      <c r="D491" s="4">
        <f>INDEX(Positions!$D$2:$D$4694,MATCH($A491&amp;"|29",Positions!$A$2:$A$4694,0))</f>
        <v>32</v>
      </c>
      <c r="E491" s="4">
        <f>INDEX(Positions!$D$2:$D$4694,MATCH($A491&amp;"|41",Positions!$A$2:$A$4694,0))</f>
        <v>44</v>
      </c>
      <c r="F491" s="4" t="str">
        <f>INDEX(Positions!$E$2:$E$4694,MATCH($A491&amp;"|29",Positions!$A$2:$A$4694,0))</f>
        <v>G</v>
      </c>
      <c r="G491" s="4" t="str">
        <f>INDEX(Positions!$E$2:$E$4694,MATCH($A491&amp;"|41",Positions!$A$2:$A$4694,0))</f>
        <v>C</v>
      </c>
      <c r="H491" s="3" t="str">
        <f t="shared" si="28"/>
        <v>G-C</v>
      </c>
      <c r="I491" s="4">
        <f t="shared" si="29"/>
        <v>1</v>
      </c>
      <c r="J491" s="4">
        <f t="shared" si="30"/>
        <v>1</v>
      </c>
      <c r="K491" s="3">
        <f t="shared" si="31"/>
        <v>2</v>
      </c>
    </row>
    <row r="492" spans="1:11">
      <c r="A492" s="4" t="s">
        <v>54</v>
      </c>
      <c r="B492" s="4" t="s">
        <v>144</v>
      </c>
      <c r="C492" s="4" t="s">
        <v>234</v>
      </c>
      <c r="D492" s="4">
        <f>INDEX(Positions!$D$2:$D$4694,MATCH($A492&amp;"|30",Positions!$A$2:$A$4694,0))</f>
        <v>33</v>
      </c>
      <c r="E492" s="4">
        <f>INDEX(Positions!$D$2:$D$4694,MATCH($A492&amp;"|40",Positions!$A$2:$A$4694,0))</f>
        <v>43</v>
      </c>
      <c r="F492" s="4" t="str">
        <f>INDEX(Positions!$E$2:$E$4694,MATCH($A492&amp;"|30",Positions!$A$2:$A$4694,0))</f>
        <v>G</v>
      </c>
      <c r="G492" s="4" t="str">
        <f>INDEX(Positions!$E$2:$E$4694,MATCH($A492&amp;"|40",Positions!$A$2:$A$4694,0))</f>
        <v>C</v>
      </c>
      <c r="H492" s="3" t="str">
        <f t="shared" si="28"/>
        <v>G-C</v>
      </c>
      <c r="I492" s="4">
        <f t="shared" si="29"/>
        <v>1</v>
      </c>
      <c r="J492" s="4">
        <f t="shared" si="30"/>
        <v>1</v>
      </c>
      <c r="K492" s="3">
        <f t="shared" si="31"/>
        <v>2</v>
      </c>
    </row>
    <row r="493" spans="1:11">
      <c r="A493" s="4" t="s">
        <v>54</v>
      </c>
      <c r="B493" s="4" t="s">
        <v>144</v>
      </c>
      <c r="C493" s="4" t="s">
        <v>235</v>
      </c>
      <c r="D493" s="4">
        <f>INDEX(Positions!$D$2:$D$4694,MATCH($A493&amp;"|31",Positions!$A$2:$A$4694,0))</f>
        <v>34</v>
      </c>
      <c r="E493" s="4">
        <f>INDEX(Positions!$D$2:$D$4694,MATCH($A493&amp;"|39",Positions!$A$2:$A$4694,0))</f>
        <v>42</v>
      </c>
      <c r="F493" s="4" t="str">
        <f>INDEX(Positions!$E$2:$E$4694,MATCH($A493&amp;"|31",Positions!$A$2:$A$4694,0))</f>
        <v>A</v>
      </c>
      <c r="G493" s="4" t="str">
        <f>INDEX(Positions!$E$2:$E$4694,MATCH($A493&amp;"|39",Positions!$A$2:$A$4694,0))</f>
        <v>U</v>
      </c>
      <c r="H493" s="3" t="str">
        <f t="shared" si="28"/>
        <v>A-U</v>
      </c>
      <c r="I493" s="4">
        <f t="shared" si="29"/>
        <v>0</v>
      </c>
      <c r="J493" s="4">
        <f t="shared" si="30"/>
        <v>0</v>
      </c>
      <c r="K493" s="3">
        <f t="shared" si="31"/>
        <v>0</v>
      </c>
    </row>
    <row r="494" spans="1:11">
      <c r="A494" s="4" t="s">
        <v>54</v>
      </c>
      <c r="B494" s="4" t="s">
        <v>169</v>
      </c>
      <c r="C494" s="4" t="s">
        <v>236</v>
      </c>
      <c r="D494" s="4">
        <f>INDEX(Positions!$D$2:$D$4694,MATCH($A494&amp;"|49",Positions!$A$2:$A$4694,0))</f>
        <v>51</v>
      </c>
      <c r="E494" s="4">
        <f>INDEX(Positions!$D$2:$D$4694,MATCH($A494&amp;"|65",Positions!$A$2:$A$4694,0))</f>
        <v>67</v>
      </c>
      <c r="F494" s="4" t="str">
        <f>INDEX(Positions!$E$2:$E$4694,MATCH($A494&amp;"|49",Positions!$A$2:$A$4694,0))</f>
        <v>U</v>
      </c>
      <c r="G494" s="4" t="str">
        <f>INDEX(Positions!$E$2:$E$4694,MATCH($A494&amp;"|65",Positions!$A$2:$A$4694,0))</f>
        <v>A</v>
      </c>
      <c r="H494" s="3" t="str">
        <f t="shared" si="28"/>
        <v>U-A</v>
      </c>
      <c r="I494" s="4">
        <f t="shared" si="29"/>
        <v>0</v>
      </c>
      <c r="J494" s="4">
        <f t="shared" si="30"/>
        <v>0</v>
      </c>
      <c r="K494" s="3">
        <f t="shared" si="31"/>
        <v>0</v>
      </c>
    </row>
    <row r="495" spans="1:11">
      <c r="A495" s="4" t="s">
        <v>54</v>
      </c>
      <c r="B495" s="4" t="s">
        <v>169</v>
      </c>
      <c r="C495" s="4" t="s">
        <v>237</v>
      </c>
      <c r="D495" s="4">
        <f>INDEX(Positions!$D$2:$D$4694,MATCH($A495&amp;"|50",Positions!$A$2:$A$4694,0))</f>
        <v>52</v>
      </c>
      <c r="E495" s="4">
        <f>INDEX(Positions!$D$2:$D$4694,MATCH($A495&amp;"|64",Positions!$A$2:$A$4694,0))</f>
        <v>66</v>
      </c>
      <c r="F495" s="4" t="str">
        <f>INDEX(Positions!$E$2:$E$4694,MATCH($A495&amp;"|50",Positions!$A$2:$A$4694,0))</f>
        <v>G</v>
      </c>
      <c r="G495" s="4" t="str">
        <f>INDEX(Positions!$E$2:$E$4694,MATCH($A495&amp;"|64",Positions!$A$2:$A$4694,0))</f>
        <v>C</v>
      </c>
      <c r="H495" s="3" t="str">
        <f t="shared" si="28"/>
        <v>G-C</v>
      </c>
      <c r="I495" s="4">
        <f t="shared" si="29"/>
        <v>1</v>
      </c>
      <c r="J495" s="4">
        <f t="shared" si="30"/>
        <v>1</v>
      </c>
      <c r="K495" s="3">
        <f t="shared" si="31"/>
        <v>2</v>
      </c>
    </row>
    <row r="496" spans="1:11">
      <c r="A496" s="4" t="s">
        <v>54</v>
      </c>
      <c r="B496" s="4" t="s">
        <v>169</v>
      </c>
      <c r="C496" s="4" t="s">
        <v>238</v>
      </c>
      <c r="D496" s="4">
        <f>INDEX(Positions!$D$2:$D$4694,MATCH($A496&amp;"|51",Positions!$A$2:$A$4694,0))</f>
        <v>53</v>
      </c>
      <c r="E496" s="4">
        <f>INDEX(Positions!$D$2:$D$4694,MATCH($A496&amp;"|63",Positions!$A$2:$A$4694,0))</f>
        <v>65</v>
      </c>
      <c r="F496" s="4" t="str">
        <f>INDEX(Positions!$E$2:$E$4694,MATCH($A496&amp;"|51",Positions!$A$2:$A$4694,0))</f>
        <v>G</v>
      </c>
      <c r="G496" s="4" t="str">
        <f>INDEX(Positions!$E$2:$E$4694,MATCH($A496&amp;"|63",Positions!$A$2:$A$4694,0))</f>
        <v>C</v>
      </c>
      <c r="H496" s="3" t="str">
        <f t="shared" si="28"/>
        <v>G-C</v>
      </c>
      <c r="I496" s="4">
        <f t="shared" si="29"/>
        <v>1</v>
      </c>
      <c r="J496" s="4">
        <f t="shared" si="30"/>
        <v>1</v>
      </c>
      <c r="K496" s="3">
        <f t="shared" si="31"/>
        <v>2</v>
      </c>
    </row>
    <row r="497" spans="1:11">
      <c r="A497" s="4" t="s">
        <v>54</v>
      </c>
      <c r="B497" s="4" t="s">
        <v>169</v>
      </c>
      <c r="C497" s="4" t="s">
        <v>239</v>
      </c>
      <c r="D497" s="4">
        <f>INDEX(Positions!$D$2:$D$4694,MATCH($A497&amp;"|52",Positions!$A$2:$A$4694,0))</f>
        <v>54</v>
      </c>
      <c r="E497" s="4">
        <f>INDEX(Positions!$D$2:$D$4694,MATCH($A497&amp;"|62",Positions!$A$2:$A$4694,0))</f>
        <v>64</v>
      </c>
      <c r="F497" s="4" t="str">
        <f>INDEX(Positions!$E$2:$E$4694,MATCH($A497&amp;"|52",Positions!$A$2:$A$4694,0))</f>
        <v>G</v>
      </c>
      <c r="G497" s="4" t="str">
        <f>INDEX(Positions!$E$2:$E$4694,MATCH($A497&amp;"|62",Positions!$A$2:$A$4694,0))</f>
        <v>C</v>
      </c>
      <c r="H497" s="3" t="str">
        <f t="shared" si="28"/>
        <v>G-C</v>
      </c>
      <c r="I497" s="4">
        <f t="shared" si="29"/>
        <v>1</v>
      </c>
      <c r="J497" s="4">
        <f t="shared" si="30"/>
        <v>1</v>
      </c>
      <c r="K497" s="3">
        <f t="shared" si="31"/>
        <v>2</v>
      </c>
    </row>
    <row r="498" spans="1:11">
      <c r="A498" s="4" t="s">
        <v>54</v>
      </c>
      <c r="B498" s="4" t="s">
        <v>169</v>
      </c>
      <c r="C498" s="4" t="s">
        <v>240</v>
      </c>
      <c r="D498" s="4">
        <f>INDEX(Positions!$D$2:$D$4694,MATCH($A498&amp;"|53",Positions!$A$2:$A$4694,0))</f>
        <v>55</v>
      </c>
      <c r="E498" s="4">
        <f>INDEX(Positions!$D$2:$D$4694,MATCH($A498&amp;"|61",Positions!$A$2:$A$4694,0))</f>
        <v>63</v>
      </c>
      <c r="F498" s="4" t="str">
        <f>INDEX(Positions!$E$2:$E$4694,MATCH($A498&amp;"|53",Positions!$A$2:$A$4694,0))</f>
        <v>G</v>
      </c>
      <c r="G498" s="4" t="str">
        <f>INDEX(Positions!$E$2:$E$4694,MATCH($A498&amp;"|61",Positions!$A$2:$A$4694,0))</f>
        <v>C</v>
      </c>
      <c r="H498" s="3" t="str">
        <f t="shared" si="28"/>
        <v>G-C</v>
      </c>
      <c r="I498" s="4">
        <f t="shared" si="29"/>
        <v>1</v>
      </c>
      <c r="J498" s="4">
        <f t="shared" si="30"/>
        <v>1</v>
      </c>
      <c r="K498" s="3">
        <f t="shared" si="31"/>
        <v>2</v>
      </c>
    </row>
    <row r="499" spans="1:11">
      <c r="A499" s="23" t="s">
        <v>54</v>
      </c>
      <c r="B499" s="23" t="s">
        <v>241</v>
      </c>
      <c r="C499" s="23" t="s">
        <v>242</v>
      </c>
      <c r="D499" s="23">
        <f>INDEX(Positions!$D$2:$D$4694,MATCH($A499&amp;"|8",Positions!$A$2:$A$4694,0))</f>
        <v>8</v>
      </c>
      <c r="E499" s="23">
        <f>INDEX(Positions!$D$2:$D$4694,MATCH($A499&amp;"|14",Positions!$A$2:$A$4694,0))</f>
        <v>14</v>
      </c>
      <c r="F499" s="23" t="str">
        <f>INDEX(Positions!$E$2:$E$4694,MATCH($A499&amp;"|8",Positions!$A$2:$A$4694,0))</f>
        <v>U</v>
      </c>
      <c r="G499" s="23" t="str">
        <f>INDEX(Positions!$E$2:$E$4694,MATCH($A499&amp;"|14",Positions!$A$2:$A$4694,0))</f>
        <v>A</v>
      </c>
      <c r="H499" s="24" t="str">
        <f t="shared" si="28"/>
        <v>U-A</v>
      </c>
      <c r="I499" s="23">
        <f t="shared" si="29"/>
        <v>0</v>
      </c>
      <c r="J499" s="23">
        <f t="shared" si="30"/>
        <v>0</v>
      </c>
      <c r="K499" s="24">
        <f t="shared" si="31"/>
        <v>0</v>
      </c>
    </row>
    <row r="500" spans="1:11">
      <c r="A500" s="23" t="s">
        <v>54</v>
      </c>
      <c r="B500" s="23" t="s">
        <v>241</v>
      </c>
      <c r="C500" s="23" t="s">
        <v>243</v>
      </c>
      <c r="D500" s="23">
        <f>INDEX(Positions!$D$2:$D$4694,MATCH($A500&amp;"|15",Positions!$A$2:$A$4694,0))</f>
        <v>15</v>
      </c>
      <c r="E500" s="23">
        <f>INDEX(Positions!$D$2:$D$4694,MATCH($A500&amp;"|48",Positions!$A$2:$A$4694,0))</f>
        <v>50</v>
      </c>
      <c r="F500" s="23" t="str">
        <f>INDEX(Positions!$E$2:$E$4694,MATCH($A500&amp;"|15",Positions!$A$2:$A$4694,0))</f>
        <v>G</v>
      </c>
      <c r="G500" s="23" t="str">
        <f>INDEX(Positions!$E$2:$E$4694,MATCH($A500&amp;"|48",Positions!$A$2:$A$4694,0))</f>
        <v>C</v>
      </c>
      <c r="H500" s="24" t="str">
        <f t="shared" si="28"/>
        <v>G-C</v>
      </c>
      <c r="I500" s="23">
        <f t="shared" si="29"/>
        <v>1</v>
      </c>
      <c r="J500" s="23">
        <f t="shared" si="30"/>
        <v>1</v>
      </c>
      <c r="K500" s="24">
        <f t="shared" si="31"/>
        <v>2</v>
      </c>
    </row>
    <row r="501" spans="1:11">
      <c r="A501" s="23" t="s">
        <v>54</v>
      </c>
      <c r="B501" s="23" t="s">
        <v>241</v>
      </c>
      <c r="C501" s="23" t="s">
        <v>244</v>
      </c>
      <c r="D501" s="23">
        <f>INDEX(Positions!$D$2:$D$4694,MATCH($A501&amp;"|18",Positions!$A$2:$A$4694,0))</f>
        <v>19</v>
      </c>
      <c r="E501" s="23">
        <f>INDEX(Positions!$D$2:$D$4694,MATCH($A501&amp;"|55",Positions!$A$2:$A$4694,0))</f>
        <v>57</v>
      </c>
      <c r="F501" s="23" t="str">
        <f>INDEX(Positions!$E$2:$E$4694,MATCH($A501&amp;"|18",Positions!$A$2:$A$4694,0))</f>
        <v>G</v>
      </c>
      <c r="G501" s="23" t="str">
        <f>INDEX(Positions!$E$2:$E$4694,MATCH($A501&amp;"|55",Positions!$A$2:$A$4694,0))</f>
        <v>U</v>
      </c>
      <c r="H501" s="24" t="str">
        <f t="shared" si="28"/>
        <v>G-U</v>
      </c>
      <c r="I501" s="23">
        <f t="shared" si="29"/>
        <v>1</v>
      </c>
      <c r="J501" s="23">
        <f t="shared" si="30"/>
        <v>0</v>
      </c>
      <c r="K501" s="24">
        <f t="shared" si="31"/>
        <v>1</v>
      </c>
    </row>
    <row r="502" spans="1:11">
      <c r="A502" s="23" t="s">
        <v>54</v>
      </c>
      <c r="B502" s="23" t="s">
        <v>241</v>
      </c>
      <c r="C502" s="23" t="s">
        <v>245</v>
      </c>
      <c r="D502" s="23">
        <f>INDEX(Positions!$D$2:$D$4694,MATCH($A502&amp;"|19",Positions!$A$2:$A$4694,0))</f>
        <v>20</v>
      </c>
      <c r="E502" s="23">
        <f>INDEX(Positions!$D$2:$D$4694,MATCH($A502&amp;"|56",Positions!$A$2:$A$4694,0))</f>
        <v>58</v>
      </c>
      <c r="F502" s="23" t="str">
        <f>INDEX(Positions!$E$2:$E$4694,MATCH($A502&amp;"|19",Positions!$A$2:$A$4694,0))</f>
        <v>G</v>
      </c>
      <c r="G502" s="23" t="str">
        <f>INDEX(Positions!$E$2:$E$4694,MATCH($A502&amp;"|56",Positions!$A$2:$A$4694,0))</f>
        <v>C</v>
      </c>
      <c r="H502" s="24" t="str">
        <f t="shared" si="28"/>
        <v>G-C</v>
      </c>
      <c r="I502" s="23">
        <f t="shared" si="29"/>
        <v>1</v>
      </c>
      <c r="J502" s="23">
        <f t="shared" si="30"/>
        <v>1</v>
      </c>
      <c r="K502" s="24">
        <f t="shared" si="31"/>
        <v>2</v>
      </c>
    </row>
    <row r="503" spans="1:11">
      <c r="A503" s="23" t="s">
        <v>54</v>
      </c>
      <c r="B503" s="23" t="s">
        <v>241</v>
      </c>
      <c r="C503" s="23" t="s">
        <v>246</v>
      </c>
      <c r="D503" s="23">
        <f>INDEX(Positions!$D$2:$D$4694,MATCH($A503&amp;"|26",Positions!$A$2:$A$4694,0))</f>
        <v>29</v>
      </c>
      <c r="E503" s="23">
        <f>INDEX(Positions!$D$2:$D$4694,MATCH($A503&amp;"|44",Positions!$A$2:$A$4694,0))</f>
        <v>47</v>
      </c>
      <c r="F503" s="23" t="str">
        <f>INDEX(Positions!$E$2:$E$4694,MATCH($A503&amp;"|26",Positions!$A$2:$A$4694,0))</f>
        <v>U</v>
      </c>
      <c r="G503" s="23" t="str">
        <f>INDEX(Positions!$E$2:$E$4694,MATCH($A503&amp;"|44",Positions!$A$2:$A$4694,0))</f>
        <v>C</v>
      </c>
      <c r="H503" s="24" t="str">
        <f t="shared" si="28"/>
        <v>U-C</v>
      </c>
      <c r="I503" s="23">
        <f t="shared" si="29"/>
        <v>0</v>
      </c>
      <c r="J503" s="23">
        <f t="shared" si="30"/>
        <v>1</v>
      </c>
      <c r="K503" s="24">
        <f t="shared" si="31"/>
        <v>1</v>
      </c>
    </row>
    <row r="504" spans="1:11">
      <c r="A504" s="23" t="s">
        <v>54</v>
      </c>
      <c r="B504" s="23" t="s">
        <v>241</v>
      </c>
      <c r="C504" s="23" t="s">
        <v>247</v>
      </c>
      <c r="D504" s="23">
        <f>INDEX(Positions!$D$2:$D$4694,MATCH($A504&amp;"|32",Positions!$A$2:$A$4694,0))</f>
        <v>35</v>
      </c>
      <c r="E504" s="23">
        <f>INDEX(Positions!$D$2:$D$4694,MATCH($A504&amp;"|38",Positions!$A$2:$A$4694,0))</f>
        <v>41</v>
      </c>
      <c r="F504" s="23" t="str">
        <f>INDEX(Positions!$E$2:$E$4694,MATCH($A504&amp;"|32",Positions!$A$2:$A$4694,0))</f>
        <v>C</v>
      </c>
      <c r="G504" s="23" t="str">
        <f>INDEX(Positions!$E$2:$E$4694,MATCH($A504&amp;"|38",Positions!$A$2:$A$4694,0))</f>
        <v>C</v>
      </c>
      <c r="H504" s="24" t="str">
        <f t="shared" si="28"/>
        <v>C-C</v>
      </c>
      <c r="I504" s="23">
        <f t="shared" si="29"/>
        <v>0</v>
      </c>
      <c r="J504" s="23">
        <f t="shared" si="30"/>
        <v>2</v>
      </c>
      <c r="K504" s="24">
        <f t="shared" si="31"/>
        <v>2</v>
      </c>
    </row>
    <row r="505" spans="1:11">
      <c r="A505" s="23" t="s">
        <v>54</v>
      </c>
      <c r="B505" s="23" t="s">
        <v>241</v>
      </c>
      <c r="C505" s="23" t="s">
        <v>248</v>
      </c>
      <c r="D505" s="23">
        <f>INDEX(Positions!$D$2:$D$4694,MATCH($A505&amp;"|54",Positions!$A$2:$A$4694,0))</f>
        <v>56</v>
      </c>
      <c r="E505" s="23">
        <f>INDEX(Positions!$D$2:$D$4694,MATCH($A505&amp;"|58",Positions!$A$2:$A$4694,0))</f>
        <v>60</v>
      </c>
      <c r="F505" s="23" t="str">
        <f>INDEX(Positions!$E$2:$E$4694,MATCH($A505&amp;"|54",Positions!$A$2:$A$4694,0))</f>
        <v>U</v>
      </c>
      <c r="G505" s="23" t="str">
        <f>INDEX(Positions!$E$2:$E$4694,MATCH($A505&amp;"|58",Positions!$A$2:$A$4694,0))</f>
        <v>A</v>
      </c>
      <c r="H505" s="24" t="str">
        <f t="shared" si="28"/>
        <v>U-A</v>
      </c>
      <c r="I505" s="23">
        <f t="shared" si="29"/>
        <v>0</v>
      </c>
      <c r="J505" s="23">
        <f t="shared" si="30"/>
        <v>0</v>
      </c>
      <c r="K505" s="24">
        <f t="shared" si="31"/>
        <v>0</v>
      </c>
    </row>
    <row r="506" spans="1:11">
      <c r="A506" s="4" t="s">
        <v>55</v>
      </c>
      <c r="B506" s="4" t="s">
        <v>110</v>
      </c>
      <c r="C506" s="4" t="s">
        <v>220</v>
      </c>
      <c r="D506" s="4">
        <f>INDEX(Positions!$D$2:$D$4694,MATCH($A506&amp;"|1",Positions!$A$2:$A$4694,0))</f>
        <v>1</v>
      </c>
      <c r="E506" s="4">
        <f>INDEX(Positions!$D$2:$D$4694,MATCH($A506&amp;"|72",Positions!$A$2:$A$4694,0))</f>
        <v>74</v>
      </c>
      <c r="F506" s="4" t="str">
        <f>INDEX(Positions!$E$2:$E$4694,MATCH($A506&amp;"|1",Positions!$A$2:$A$4694,0))</f>
        <v>G</v>
      </c>
      <c r="G506" s="4" t="str">
        <f>INDEX(Positions!$E$2:$E$4694,MATCH($A506&amp;"|72",Positions!$A$2:$A$4694,0))</f>
        <v>C</v>
      </c>
      <c r="H506" s="3" t="str">
        <f t="shared" si="28"/>
        <v>G-C</v>
      </c>
      <c r="I506" s="4">
        <f t="shared" si="29"/>
        <v>1</v>
      </c>
      <c r="J506" s="4">
        <f t="shared" si="30"/>
        <v>1</v>
      </c>
      <c r="K506" s="3">
        <f t="shared" si="31"/>
        <v>2</v>
      </c>
    </row>
    <row r="507" spans="1:11">
      <c r="A507" s="4" t="s">
        <v>55</v>
      </c>
      <c r="B507" s="4" t="s">
        <v>110</v>
      </c>
      <c r="C507" s="4" t="s">
        <v>221</v>
      </c>
      <c r="D507" s="4">
        <f>INDEX(Positions!$D$2:$D$4694,MATCH($A507&amp;"|2",Positions!$A$2:$A$4694,0))</f>
        <v>2</v>
      </c>
      <c r="E507" s="4">
        <f>INDEX(Positions!$D$2:$D$4694,MATCH($A507&amp;"|71",Positions!$A$2:$A$4694,0))</f>
        <v>73</v>
      </c>
      <c r="F507" s="4" t="str">
        <f>INDEX(Positions!$E$2:$E$4694,MATCH($A507&amp;"|2",Positions!$A$2:$A$4694,0))</f>
        <v>C</v>
      </c>
      <c r="G507" s="4" t="str">
        <f>INDEX(Positions!$E$2:$E$4694,MATCH($A507&amp;"|71",Positions!$A$2:$A$4694,0))</f>
        <v>G</v>
      </c>
      <c r="H507" s="3" t="str">
        <f t="shared" si="28"/>
        <v>C-G</v>
      </c>
      <c r="I507" s="4">
        <f t="shared" si="29"/>
        <v>1</v>
      </c>
      <c r="J507" s="4">
        <f t="shared" si="30"/>
        <v>1</v>
      </c>
      <c r="K507" s="3">
        <f t="shared" si="31"/>
        <v>2</v>
      </c>
    </row>
    <row r="508" spans="1:11">
      <c r="A508" s="4" t="s">
        <v>55</v>
      </c>
      <c r="B508" s="4" t="s">
        <v>110</v>
      </c>
      <c r="C508" s="4" t="s">
        <v>222</v>
      </c>
      <c r="D508" s="4">
        <f>INDEX(Positions!$D$2:$D$4694,MATCH($A508&amp;"|3",Positions!$A$2:$A$4694,0))</f>
        <v>3</v>
      </c>
      <c r="E508" s="4">
        <f>INDEX(Positions!$D$2:$D$4694,MATCH($A508&amp;"|70",Positions!$A$2:$A$4694,0))</f>
        <v>72</v>
      </c>
      <c r="F508" s="4" t="str">
        <f>INDEX(Positions!$E$2:$E$4694,MATCH($A508&amp;"|3",Positions!$A$2:$A$4694,0))</f>
        <v>U</v>
      </c>
      <c r="G508" s="4" t="str">
        <f>INDEX(Positions!$E$2:$E$4694,MATCH($A508&amp;"|70",Positions!$A$2:$A$4694,0))</f>
        <v>A</v>
      </c>
      <c r="H508" s="3" t="str">
        <f t="shared" si="28"/>
        <v>U-A</v>
      </c>
      <c r="I508" s="4">
        <f t="shared" si="29"/>
        <v>0</v>
      </c>
      <c r="J508" s="4">
        <f t="shared" si="30"/>
        <v>0</v>
      </c>
      <c r="K508" s="3">
        <f t="shared" si="31"/>
        <v>0</v>
      </c>
    </row>
    <row r="509" spans="1:11">
      <c r="A509" s="4" t="s">
        <v>55</v>
      </c>
      <c r="B509" s="4" t="s">
        <v>110</v>
      </c>
      <c r="C509" s="4" t="s">
        <v>223</v>
      </c>
      <c r="D509" s="4">
        <f>INDEX(Positions!$D$2:$D$4694,MATCH($A509&amp;"|4",Positions!$A$2:$A$4694,0))</f>
        <v>4</v>
      </c>
      <c r="E509" s="4">
        <f>INDEX(Positions!$D$2:$D$4694,MATCH($A509&amp;"|69",Positions!$A$2:$A$4694,0))</f>
        <v>71</v>
      </c>
      <c r="F509" s="4" t="str">
        <f>INDEX(Positions!$E$2:$E$4694,MATCH($A509&amp;"|4",Positions!$A$2:$A$4694,0))</f>
        <v>C</v>
      </c>
      <c r="G509" s="4" t="str">
        <f>INDEX(Positions!$E$2:$E$4694,MATCH($A509&amp;"|69",Positions!$A$2:$A$4694,0))</f>
        <v>G</v>
      </c>
      <c r="H509" s="3" t="str">
        <f t="shared" si="28"/>
        <v>C-G</v>
      </c>
      <c r="I509" s="4">
        <f t="shared" si="29"/>
        <v>1</v>
      </c>
      <c r="J509" s="4">
        <f t="shared" si="30"/>
        <v>1</v>
      </c>
      <c r="K509" s="3">
        <f t="shared" si="31"/>
        <v>2</v>
      </c>
    </row>
    <row r="510" spans="1:11">
      <c r="A510" s="4" t="s">
        <v>55</v>
      </c>
      <c r="B510" s="4" t="s">
        <v>110</v>
      </c>
      <c r="C510" s="4" t="s">
        <v>224</v>
      </c>
      <c r="D510" s="4">
        <f>INDEX(Positions!$D$2:$D$4694,MATCH($A510&amp;"|5",Positions!$A$2:$A$4694,0))</f>
        <v>5</v>
      </c>
      <c r="E510" s="4">
        <f>INDEX(Positions!$D$2:$D$4694,MATCH($A510&amp;"|68",Positions!$A$2:$A$4694,0))</f>
        <v>70</v>
      </c>
      <c r="F510" s="4" t="str">
        <f>INDEX(Positions!$E$2:$E$4694,MATCH($A510&amp;"|5",Positions!$A$2:$A$4694,0))</f>
        <v>C</v>
      </c>
      <c r="G510" s="4" t="str">
        <f>INDEX(Positions!$E$2:$E$4694,MATCH($A510&amp;"|68",Positions!$A$2:$A$4694,0))</f>
        <v>G</v>
      </c>
      <c r="H510" s="3" t="str">
        <f t="shared" si="28"/>
        <v>C-G</v>
      </c>
      <c r="I510" s="4">
        <f t="shared" si="29"/>
        <v>1</v>
      </c>
      <c r="J510" s="4">
        <f t="shared" si="30"/>
        <v>1</v>
      </c>
      <c r="K510" s="3">
        <f t="shared" si="31"/>
        <v>2</v>
      </c>
    </row>
    <row r="511" spans="1:11">
      <c r="A511" s="4" t="s">
        <v>55</v>
      </c>
      <c r="B511" s="4" t="s">
        <v>110</v>
      </c>
      <c r="C511" s="4" t="s">
        <v>225</v>
      </c>
      <c r="D511" s="4">
        <f>INDEX(Positions!$D$2:$D$4694,MATCH($A511&amp;"|6",Positions!$A$2:$A$4694,0))</f>
        <v>6</v>
      </c>
      <c r="E511" s="4">
        <f>INDEX(Positions!$D$2:$D$4694,MATCH($A511&amp;"|67",Positions!$A$2:$A$4694,0))</f>
        <v>69</v>
      </c>
      <c r="F511" s="4" t="str">
        <f>INDEX(Positions!$E$2:$E$4694,MATCH($A511&amp;"|6",Positions!$A$2:$A$4694,0))</f>
        <v>G</v>
      </c>
      <c r="G511" s="4" t="str">
        <f>INDEX(Positions!$E$2:$E$4694,MATCH($A511&amp;"|67",Positions!$A$2:$A$4694,0))</f>
        <v>C</v>
      </c>
      <c r="H511" s="3" t="str">
        <f t="shared" si="28"/>
        <v>G-C</v>
      </c>
      <c r="I511" s="4">
        <f t="shared" si="29"/>
        <v>1</v>
      </c>
      <c r="J511" s="4">
        <f t="shared" si="30"/>
        <v>1</v>
      </c>
      <c r="K511" s="3">
        <f t="shared" si="31"/>
        <v>2</v>
      </c>
    </row>
    <row r="512" spans="1:11">
      <c r="A512" s="4" t="s">
        <v>55</v>
      </c>
      <c r="B512" s="4" t="s">
        <v>110</v>
      </c>
      <c r="C512" s="4" t="s">
        <v>226</v>
      </c>
      <c r="D512" s="4">
        <f>INDEX(Positions!$D$2:$D$4694,MATCH($A512&amp;"|7",Positions!$A$2:$A$4694,0))</f>
        <v>7</v>
      </c>
      <c r="E512" s="4">
        <f>INDEX(Positions!$D$2:$D$4694,MATCH($A512&amp;"|66",Positions!$A$2:$A$4694,0))</f>
        <v>68</v>
      </c>
      <c r="F512" s="4" t="str">
        <f>INDEX(Positions!$E$2:$E$4694,MATCH($A512&amp;"|7",Positions!$A$2:$A$4694,0))</f>
        <v>G</v>
      </c>
      <c r="G512" s="4" t="str">
        <f>INDEX(Positions!$E$2:$E$4694,MATCH($A512&amp;"|66",Positions!$A$2:$A$4694,0))</f>
        <v>C</v>
      </c>
      <c r="H512" s="3" t="str">
        <f t="shared" si="28"/>
        <v>G-C</v>
      </c>
      <c r="I512" s="4">
        <f t="shared" si="29"/>
        <v>1</v>
      </c>
      <c r="J512" s="4">
        <f t="shared" si="30"/>
        <v>1</v>
      </c>
      <c r="K512" s="3">
        <f t="shared" si="31"/>
        <v>2</v>
      </c>
    </row>
    <row r="513" spans="1:11">
      <c r="A513" s="4" t="s">
        <v>55</v>
      </c>
      <c r="B513" s="4" t="s">
        <v>125</v>
      </c>
      <c r="C513" s="4" t="s">
        <v>227</v>
      </c>
      <c r="D513" s="4">
        <f>INDEX(Positions!$D$2:$D$4694,MATCH($A513&amp;"|10",Positions!$A$2:$A$4694,0))</f>
        <v>10</v>
      </c>
      <c r="E513" s="4">
        <f>INDEX(Positions!$D$2:$D$4694,MATCH($A513&amp;"|25",Positions!$A$2:$A$4694,0))</f>
        <v>28</v>
      </c>
      <c r="F513" s="4" t="str">
        <f>INDEX(Positions!$E$2:$E$4694,MATCH($A513&amp;"|10",Positions!$A$2:$A$4694,0))</f>
        <v>G</v>
      </c>
      <c r="G513" s="4" t="str">
        <f>INDEX(Positions!$E$2:$E$4694,MATCH($A513&amp;"|25",Positions!$A$2:$A$4694,0))</f>
        <v>U</v>
      </c>
      <c r="H513" s="3" t="str">
        <f t="shared" si="28"/>
        <v>G-U</v>
      </c>
      <c r="I513" s="4">
        <f t="shared" si="29"/>
        <v>1</v>
      </c>
      <c r="J513" s="4">
        <f t="shared" si="30"/>
        <v>0</v>
      </c>
      <c r="K513" s="3">
        <f t="shared" si="31"/>
        <v>1</v>
      </c>
    </row>
    <row r="514" spans="1:11">
      <c r="A514" s="4" t="s">
        <v>55</v>
      </c>
      <c r="B514" s="4" t="s">
        <v>125</v>
      </c>
      <c r="C514" s="4" t="s">
        <v>228</v>
      </c>
      <c r="D514" s="4">
        <f>INDEX(Positions!$D$2:$D$4694,MATCH($A514&amp;"|11",Positions!$A$2:$A$4694,0))</f>
        <v>11</v>
      </c>
      <c r="E514" s="4">
        <f>INDEX(Positions!$D$2:$D$4694,MATCH($A514&amp;"|24",Positions!$A$2:$A$4694,0))</f>
        <v>27</v>
      </c>
      <c r="F514" s="4" t="str">
        <f>INDEX(Positions!$E$2:$E$4694,MATCH($A514&amp;"|11",Positions!$A$2:$A$4694,0))</f>
        <v>U</v>
      </c>
      <c r="G514" s="4" t="str">
        <f>INDEX(Positions!$E$2:$E$4694,MATCH($A514&amp;"|24",Positions!$A$2:$A$4694,0))</f>
        <v>A</v>
      </c>
      <c r="H514" s="3" t="str">
        <f t="shared" ref="H514:H577" si="32">F514&amp;"-"&amp;G514</f>
        <v>U-A</v>
      </c>
      <c r="I514" s="4">
        <f t="shared" ref="I514:I577" si="33">(F514="G")+(G514="G")</f>
        <v>0</v>
      </c>
      <c r="J514" s="4">
        <f t="shared" ref="J514:J577" si="34">(F514="C")+(G514="C")</f>
        <v>0</v>
      </c>
      <c r="K514" s="3">
        <f t="shared" ref="K514:K577" si="35">I514+J514</f>
        <v>0</v>
      </c>
    </row>
    <row r="515" spans="1:11">
      <c r="A515" s="4" t="s">
        <v>55</v>
      </c>
      <c r="B515" s="4" t="s">
        <v>125</v>
      </c>
      <c r="C515" s="4" t="s">
        <v>229</v>
      </c>
      <c r="D515" s="4">
        <f>INDEX(Positions!$D$2:$D$4694,MATCH($A515&amp;"|12",Positions!$A$2:$A$4694,0))</f>
        <v>12</v>
      </c>
      <c r="E515" s="4">
        <f>INDEX(Positions!$D$2:$D$4694,MATCH($A515&amp;"|23",Positions!$A$2:$A$4694,0))</f>
        <v>26</v>
      </c>
      <c r="F515" s="4" t="str">
        <f>INDEX(Positions!$E$2:$E$4694,MATCH($A515&amp;"|12",Positions!$A$2:$A$4694,0))</f>
        <v>G</v>
      </c>
      <c r="G515" s="4" t="str">
        <f>INDEX(Positions!$E$2:$E$4694,MATCH($A515&amp;"|23",Positions!$A$2:$A$4694,0))</f>
        <v>C</v>
      </c>
      <c r="H515" s="3" t="str">
        <f t="shared" si="32"/>
        <v>G-C</v>
      </c>
      <c r="I515" s="4">
        <f t="shared" si="33"/>
        <v>1</v>
      </c>
      <c r="J515" s="4">
        <f t="shared" si="34"/>
        <v>1</v>
      </c>
      <c r="K515" s="3">
        <f t="shared" si="35"/>
        <v>2</v>
      </c>
    </row>
    <row r="516" spans="1:11">
      <c r="A516" s="4" t="s">
        <v>55</v>
      </c>
      <c r="B516" s="4" t="s">
        <v>125</v>
      </c>
      <c r="C516" s="4" t="s">
        <v>230</v>
      </c>
      <c r="D516" s="4">
        <f>INDEX(Positions!$D$2:$D$4694,MATCH($A516&amp;"|13",Positions!$A$2:$A$4694,0))</f>
        <v>13</v>
      </c>
      <c r="E516" s="4">
        <f>INDEX(Positions!$D$2:$D$4694,MATCH($A516&amp;"|22",Positions!$A$2:$A$4694,0))</f>
        <v>25</v>
      </c>
      <c r="F516" s="4" t="str">
        <f>INDEX(Positions!$E$2:$E$4694,MATCH($A516&amp;"|13",Positions!$A$2:$A$4694,0))</f>
        <v>U</v>
      </c>
      <c r="G516" s="4" t="str">
        <f>INDEX(Positions!$E$2:$E$4694,MATCH($A516&amp;"|22",Positions!$A$2:$A$4694,0))</f>
        <v>U</v>
      </c>
      <c r="H516" s="3" t="str">
        <f t="shared" si="32"/>
        <v>U-U</v>
      </c>
      <c r="I516" s="4">
        <f t="shared" si="33"/>
        <v>0</v>
      </c>
      <c r="J516" s="4">
        <f t="shared" si="34"/>
        <v>0</v>
      </c>
      <c r="K516" s="3">
        <f t="shared" si="35"/>
        <v>0</v>
      </c>
    </row>
    <row r="517" spans="1:11">
      <c r="A517" s="4" t="s">
        <v>55</v>
      </c>
      <c r="B517" s="4" t="s">
        <v>144</v>
      </c>
      <c r="C517" s="4" t="s">
        <v>231</v>
      </c>
      <c r="D517" s="4">
        <f>INDEX(Positions!$D$2:$D$4694,MATCH($A517&amp;"|27",Positions!$A$2:$A$4694,0))</f>
        <v>30</v>
      </c>
      <c r="E517" s="4">
        <f>INDEX(Positions!$D$2:$D$4694,MATCH($A517&amp;"|43",Positions!$A$2:$A$4694,0))</f>
        <v>46</v>
      </c>
      <c r="F517" s="4" t="str">
        <f>INDEX(Positions!$E$2:$E$4694,MATCH($A517&amp;"|27",Positions!$A$2:$A$4694,0))</f>
        <v>C</v>
      </c>
      <c r="G517" s="4" t="str">
        <f>INDEX(Positions!$E$2:$E$4694,MATCH($A517&amp;"|43",Positions!$A$2:$A$4694,0))</f>
        <v>A</v>
      </c>
      <c r="H517" s="3" t="str">
        <f t="shared" si="32"/>
        <v>C-A</v>
      </c>
      <c r="I517" s="4">
        <f t="shared" si="33"/>
        <v>0</v>
      </c>
      <c r="J517" s="4">
        <f t="shared" si="34"/>
        <v>1</v>
      </c>
      <c r="K517" s="3">
        <f t="shared" si="35"/>
        <v>1</v>
      </c>
    </row>
    <row r="518" spans="1:11">
      <c r="A518" s="4" t="s">
        <v>55</v>
      </c>
      <c r="B518" s="4" t="s">
        <v>144</v>
      </c>
      <c r="C518" s="4" t="s">
        <v>232</v>
      </c>
      <c r="D518" s="4">
        <f>INDEX(Positions!$D$2:$D$4694,MATCH($A518&amp;"|28",Positions!$A$2:$A$4694,0))</f>
        <v>31</v>
      </c>
      <c r="E518" s="4">
        <f>INDEX(Positions!$D$2:$D$4694,MATCH($A518&amp;"|42",Positions!$A$2:$A$4694,0))</f>
        <v>45</v>
      </c>
      <c r="F518" s="4" t="str">
        <f>INDEX(Positions!$E$2:$E$4694,MATCH($A518&amp;"|28",Positions!$A$2:$A$4694,0))</f>
        <v>C</v>
      </c>
      <c r="G518" s="4" t="str">
        <f>INDEX(Positions!$E$2:$E$4694,MATCH($A518&amp;"|42",Positions!$A$2:$A$4694,0))</f>
        <v>G</v>
      </c>
      <c r="H518" s="3" t="str">
        <f t="shared" si="32"/>
        <v>C-G</v>
      </c>
      <c r="I518" s="4">
        <f t="shared" si="33"/>
        <v>1</v>
      </c>
      <c r="J518" s="4">
        <f t="shared" si="34"/>
        <v>1</v>
      </c>
      <c r="K518" s="3">
        <f t="shared" si="35"/>
        <v>2</v>
      </c>
    </row>
    <row r="519" spans="1:11">
      <c r="A519" s="4" t="s">
        <v>55</v>
      </c>
      <c r="B519" s="4" t="s">
        <v>144</v>
      </c>
      <c r="C519" s="4" t="s">
        <v>233</v>
      </c>
      <c r="D519" s="4">
        <f>INDEX(Positions!$D$2:$D$4694,MATCH($A519&amp;"|29",Positions!$A$2:$A$4694,0))</f>
        <v>32</v>
      </c>
      <c r="E519" s="4">
        <f>INDEX(Positions!$D$2:$D$4694,MATCH($A519&amp;"|41",Positions!$A$2:$A$4694,0))</f>
        <v>44</v>
      </c>
      <c r="F519" s="4" t="str">
        <f>INDEX(Positions!$E$2:$E$4694,MATCH($A519&amp;"|29",Positions!$A$2:$A$4694,0))</f>
        <v>G</v>
      </c>
      <c r="G519" s="4" t="str">
        <f>INDEX(Positions!$E$2:$E$4694,MATCH($A519&amp;"|41",Positions!$A$2:$A$4694,0))</f>
        <v>C</v>
      </c>
      <c r="H519" s="3" t="str">
        <f t="shared" si="32"/>
        <v>G-C</v>
      </c>
      <c r="I519" s="4">
        <f t="shared" si="33"/>
        <v>1</v>
      </c>
      <c r="J519" s="4">
        <f t="shared" si="34"/>
        <v>1</v>
      </c>
      <c r="K519" s="3">
        <f t="shared" si="35"/>
        <v>2</v>
      </c>
    </row>
    <row r="520" spans="1:11">
      <c r="A520" s="4" t="s">
        <v>55</v>
      </c>
      <c r="B520" s="4" t="s">
        <v>144</v>
      </c>
      <c r="C520" s="4" t="s">
        <v>234</v>
      </c>
      <c r="D520" s="4">
        <f>INDEX(Positions!$D$2:$D$4694,MATCH($A520&amp;"|30",Positions!$A$2:$A$4694,0))</f>
        <v>33</v>
      </c>
      <c r="E520" s="4">
        <f>INDEX(Positions!$D$2:$D$4694,MATCH($A520&amp;"|40",Positions!$A$2:$A$4694,0))</f>
        <v>43</v>
      </c>
      <c r="F520" s="4" t="str">
        <f>INDEX(Positions!$E$2:$E$4694,MATCH($A520&amp;"|30",Positions!$A$2:$A$4694,0))</f>
        <v>G</v>
      </c>
      <c r="G520" s="4" t="str">
        <f>INDEX(Positions!$E$2:$E$4694,MATCH($A520&amp;"|40",Positions!$A$2:$A$4694,0))</f>
        <v>C</v>
      </c>
      <c r="H520" s="3" t="str">
        <f t="shared" si="32"/>
        <v>G-C</v>
      </c>
      <c r="I520" s="4">
        <f t="shared" si="33"/>
        <v>1</v>
      </c>
      <c r="J520" s="4">
        <f t="shared" si="34"/>
        <v>1</v>
      </c>
      <c r="K520" s="3">
        <f t="shared" si="35"/>
        <v>2</v>
      </c>
    </row>
    <row r="521" spans="1:11">
      <c r="A521" s="4" t="s">
        <v>55</v>
      </c>
      <c r="B521" s="4" t="s">
        <v>144</v>
      </c>
      <c r="C521" s="4" t="s">
        <v>235</v>
      </c>
      <c r="D521" s="4">
        <f>INDEX(Positions!$D$2:$D$4694,MATCH($A521&amp;"|31",Positions!$A$2:$A$4694,0))</f>
        <v>34</v>
      </c>
      <c r="E521" s="4">
        <f>INDEX(Positions!$D$2:$D$4694,MATCH($A521&amp;"|39",Positions!$A$2:$A$4694,0))</f>
        <v>42</v>
      </c>
      <c r="F521" s="4" t="str">
        <f>INDEX(Positions!$E$2:$E$4694,MATCH($A521&amp;"|31",Positions!$A$2:$A$4694,0))</f>
        <v>C</v>
      </c>
      <c r="G521" s="4" t="str">
        <f>INDEX(Positions!$E$2:$E$4694,MATCH($A521&amp;"|39",Positions!$A$2:$A$4694,0))</f>
        <v>G</v>
      </c>
      <c r="H521" s="3" t="str">
        <f t="shared" si="32"/>
        <v>C-G</v>
      </c>
      <c r="I521" s="4">
        <f t="shared" si="33"/>
        <v>1</v>
      </c>
      <c r="J521" s="4">
        <f t="shared" si="34"/>
        <v>1</v>
      </c>
      <c r="K521" s="3">
        <f t="shared" si="35"/>
        <v>2</v>
      </c>
    </row>
    <row r="522" spans="1:11">
      <c r="A522" s="4" t="s">
        <v>55</v>
      </c>
      <c r="B522" s="4" t="s">
        <v>169</v>
      </c>
      <c r="C522" s="4" t="s">
        <v>236</v>
      </c>
      <c r="D522" s="4">
        <f>INDEX(Positions!$D$2:$D$4694,MATCH($A522&amp;"|49",Positions!$A$2:$A$4694,0))</f>
        <v>51</v>
      </c>
      <c r="E522" s="4">
        <f>INDEX(Positions!$D$2:$D$4694,MATCH($A522&amp;"|65",Positions!$A$2:$A$4694,0))</f>
        <v>67</v>
      </c>
      <c r="F522" s="4" t="str">
        <f>INDEX(Positions!$E$2:$E$4694,MATCH($A522&amp;"|49",Positions!$A$2:$A$4694,0))</f>
        <v>U</v>
      </c>
      <c r="G522" s="4" t="str">
        <f>INDEX(Positions!$E$2:$E$4694,MATCH($A522&amp;"|65",Positions!$A$2:$A$4694,0))</f>
        <v>G</v>
      </c>
      <c r="H522" s="3" t="str">
        <f t="shared" si="32"/>
        <v>U-G</v>
      </c>
      <c r="I522" s="4">
        <f t="shared" si="33"/>
        <v>1</v>
      </c>
      <c r="J522" s="4">
        <f t="shared" si="34"/>
        <v>0</v>
      </c>
      <c r="K522" s="3">
        <f t="shared" si="35"/>
        <v>1</v>
      </c>
    </row>
    <row r="523" spans="1:11">
      <c r="A523" s="4" t="s">
        <v>55</v>
      </c>
      <c r="B523" s="4" t="s">
        <v>169</v>
      </c>
      <c r="C523" s="4" t="s">
        <v>237</v>
      </c>
      <c r="D523" s="4">
        <f>INDEX(Positions!$D$2:$D$4694,MATCH($A523&amp;"|50",Positions!$A$2:$A$4694,0))</f>
        <v>52</v>
      </c>
      <c r="E523" s="4">
        <f>INDEX(Positions!$D$2:$D$4694,MATCH($A523&amp;"|64",Positions!$A$2:$A$4694,0))</f>
        <v>66</v>
      </c>
      <c r="F523" s="4" t="str">
        <f>INDEX(Positions!$E$2:$E$4694,MATCH($A523&amp;"|50",Positions!$A$2:$A$4694,0))</f>
        <v>C</v>
      </c>
      <c r="G523" s="4" t="str">
        <f>INDEX(Positions!$E$2:$E$4694,MATCH($A523&amp;"|64",Positions!$A$2:$A$4694,0))</f>
        <v>G</v>
      </c>
      <c r="H523" s="3" t="str">
        <f t="shared" si="32"/>
        <v>C-G</v>
      </c>
      <c r="I523" s="4">
        <f t="shared" si="33"/>
        <v>1</v>
      </c>
      <c r="J523" s="4">
        <f t="shared" si="34"/>
        <v>1</v>
      </c>
      <c r="K523" s="3">
        <f t="shared" si="35"/>
        <v>2</v>
      </c>
    </row>
    <row r="524" spans="1:11">
      <c r="A524" s="4" t="s">
        <v>55</v>
      </c>
      <c r="B524" s="4" t="s">
        <v>169</v>
      </c>
      <c r="C524" s="4" t="s">
        <v>238</v>
      </c>
      <c r="D524" s="4">
        <f>INDEX(Positions!$D$2:$D$4694,MATCH($A524&amp;"|51",Positions!$A$2:$A$4694,0))</f>
        <v>53</v>
      </c>
      <c r="E524" s="4">
        <f>INDEX(Positions!$D$2:$D$4694,MATCH($A524&amp;"|63",Positions!$A$2:$A$4694,0))</f>
        <v>65</v>
      </c>
      <c r="F524" s="4" t="str">
        <f>INDEX(Positions!$E$2:$E$4694,MATCH($A524&amp;"|51",Positions!$A$2:$A$4694,0))</f>
        <v>G</v>
      </c>
      <c r="G524" s="4" t="str">
        <f>INDEX(Positions!$E$2:$E$4694,MATCH($A524&amp;"|63",Positions!$A$2:$A$4694,0))</f>
        <v>C</v>
      </c>
      <c r="H524" s="3" t="str">
        <f t="shared" si="32"/>
        <v>G-C</v>
      </c>
      <c r="I524" s="4">
        <f t="shared" si="33"/>
        <v>1</v>
      </c>
      <c r="J524" s="4">
        <f t="shared" si="34"/>
        <v>1</v>
      </c>
      <c r="K524" s="3">
        <f t="shared" si="35"/>
        <v>2</v>
      </c>
    </row>
    <row r="525" spans="1:11">
      <c r="A525" s="4" t="s">
        <v>55</v>
      </c>
      <c r="B525" s="4" t="s">
        <v>169</v>
      </c>
      <c r="C525" s="4" t="s">
        <v>239</v>
      </c>
      <c r="D525" s="4">
        <f>INDEX(Positions!$D$2:$D$4694,MATCH($A525&amp;"|52",Positions!$A$2:$A$4694,0))</f>
        <v>54</v>
      </c>
      <c r="E525" s="4">
        <f>INDEX(Positions!$D$2:$D$4694,MATCH($A525&amp;"|62",Positions!$A$2:$A$4694,0))</f>
        <v>64</v>
      </c>
      <c r="F525" s="4" t="str">
        <f>INDEX(Positions!$E$2:$E$4694,MATCH($A525&amp;"|52",Positions!$A$2:$A$4694,0))</f>
        <v>G</v>
      </c>
      <c r="G525" s="4" t="str">
        <f>INDEX(Positions!$E$2:$E$4694,MATCH($A525&amp;"|62",Positions!$A$2:$A$4694,0))</f>
        <v>C</v>
      </c>
      <c r="H525" s="3" t="str">
        <f t="shared" si="32"/>
        <v>G-C</v>
      </c>
      <c r="I525" s="4">
        <f t="shared" si="33"/>
        <v>1</v>
      </c>
      <c r="J525" s="4">
        <f t="shared" si="34"/>
        <v>1</v>
      </c>
      <c r="K525" s="3">
        <f t="shared" si="35"/>
        <v>2</v>
      </c>
    </row>
    <row r="526" spans="1:11">
      <c r="A526" s="4" t="s">
        <v>55</v>
      </c>
      <c r="B526" s="4" t="s">
        <v>169</v>
      </c>
      <c r="C526" s="4" t="s">
        <v>240</v>
      </c>
      <c r="D526" s="4">
        <f>INDEX(Positions!$D$2:$D$4694,MATCH($A526&amp;"|53",Positions!$A$2:$A$4694,0))</f>
        <v>55</v>
      </c>
      <c r="E526" s="4">
        <f>INDEX(Positions!$D$2:$D$4694,MATCH($A526&amp;"|61",Positions!$A$2:$A$4694,0))</f>
        <v>63</v>
      </c>
      <c r="F526" s="4" t="str">
        <f>INDEX(Positions!$E$2:$E$4694,MATCH($A526&amp;"|53",Positions!$A$2:$A$4694,0))</f>
        <v>G</v>
      </c>
      <c r="G526" s="4" t="str">
        <f>INDEX(Positions!$E$2:$E$4694,MATCH($A526&amp;"|61",Positions!$A$2:$A$4694,0))</f>
        <v>C</v>
      </c>
      <c r="H526" s="3" t="str">
        <f t="shared" si="32"/>
        <v>G-C</v>
      </c>
      <c r="I526" s="4">
        <f t="shared" si="33"/>
        <v>1</v>
      </c>
      <c r="J526" s="4">
        <f t="shared" si="34"/>
        <v>1</v>
      </c>
      <c r="K526" s="3">
        <f t="shared" si="35"/>
        <v>2</v>
      </c>
    </row>
    <row r="527" spans="1:11">
      <c r="A527" s="23" t="s">
        <v>55</v>
      </c>
      <c r="B527" s="23" t="s">
        <v>241</v>
      </c>
      <c r="C527" s="23" t="s">
        <v>242</v>
      </c>
      <c r="D527" s="23">
        <f>INDEX(Positions!$D$2:$D$4694,MATCH($A527&amp;"|8",Positions!$A$2:$A$4694,0))</f>
        <v>8</v>
      </c>
      <c r="E527" s="23">
        <f>INDEX(Positions!$D$2:$D$4694,MATCH($A527&amp;"|14",Positions!$A$2:$A$4694,0))</f>
        <v>14</v>
      </c>
      <c r="F527" s="23" t="str">
        <f>INDEX(Positions!$E$2:$E$4694,MATCH($A527&amp;"|8",Positions!$A$2:$A$4694,0))</f>
        <v>U</v>
      </c>
      <c r="G527" s="23" t="str">
        <f>INDEX(Positions!$E$2:$E$4694,MATCH($A527&amp;"|14",Positions!$A$2:$A$4694,0))</f>
        <v>A</v>
      </c>
      <c r="H527" s="24" t="str">
        <f t="shared" si="32"/>
        <v>U-A</v>
      </c>
      <c r="I527" s="23">
        <f t="shared" si="33"/>
        <v>0</v>
      </c>
      <c r="J527" s="23">
        <f t="shared" si="34"/>
        <v>0</v>
      </c>
      <c r="K527" s="24">
        <f t="shared" si="35"/>
        <v>0</v>
      </c>
    </row>
    <row r="528" spans="1:11">
      <c r="A528" s="23" t="s">
        <v>55</v>
      </c>
      <c r="B528" s="23" t="s">
        <v>241</v>
      </c>
      <c r="C528" s="23" t="s">
        <v>243</v>
      </c>
      <c r="D528" s="23">
        <f>INDEX(Positions!$D$2:$D$4694,MATCH($A528&amp;"|15",Positions!$A$2:$A$4694,0))</f>
        <v>15</v>
      </c>
      <c r="E528" s="23">
        <f>INDEX(Positions!$D$2:$D$4694,MATCH($A528&amp;"|48",Positions!$A$2:$A$4694,0))</f>
        <v>50</v>
      </c>
      <c r="F528" s="23" t="str">
        <f>INDEX(Positions!$E$2:$E$4694,MATCH($A528&amp;"|15",Positions!$A$2:$A$4694,0))</f>
        <v>G</v>
      </c>
      <c r="G528" s="23" t="str">
        <f>INDEX(Positions!$E$2:$E$4694,MATCH($A528&amp;"|48",Positions!$A$2:$A$4694,0))</f>
        <v>C</v>
      </c>
      <c r="H528" s="24" t="str">
        <f t="shared" si="32"/>
        <v>G-C</v>
      </c>
      <c r="I528" s="23">
        <f t="shared" si="33"/>
        <v>1</v>
      </c>
      <c r="J528" s="23">
        <f t="shared" si="34"/>
        <v>1</v>
      </c>
      <c r="K528" s="24">
        <f t="shared" si="35"/>
        <v>2</v>
      </c>
    </row>
    <row r="529" spans="1:11">
      <c r="A529" s="23" t="s">
        <v>55</v>
      </c>
      <c r="B529" s="23" t="s">
        <v>241</v>
      </c>
      <c r="C529" s="23" t="s">
        <v>244</v>
      </c>
      <c r="D529" s="23">
        <f>INDEX(Positions!$D$2:$D$4694,MATCH($A529&amp;"|18",Positions!$A$2:$A$4694,0))</f>
        <v>19</v>
      </c>
      <c r="E529" s="23">
        <f>INDEX(Positions!$D$2:$D$4694,MATCH($A529&amp;"|55",Positions!$A$2:$A$4694,0))</f>
        <v>57</v>
      </c>
      <c r="F529" s="23" t="str">
        <f>INDEX(Positions!$E$2:$E$4694,MATCH($A529&amp;"|18",Positions!$A$2:$A$4694,0))</f>
        <v>G</v>
      </c>
      <c r="G529" s="23" t="str">
        <f>INDEX(Positions!$E$2:$E$4694,MATCH($A529&amp;"|55",Positions!$A$2:$A$4694,0))</f>
        <v>U</v>
      </c>
      <c r="H529" s="24" t="str">
        <f t="shared" si="32"/>
        <v>G-U</v>
      </c>
      <c r="I529" s="23">
        <f t="shared" si="33"/>
        <v>1</v>
      </c>
      <c r="J529" s="23">
        <f t="shared" si="34"/>
        <v>0</v>
      </c>
      <c r="K529" s="24">
        <f t="shared" si="35"/>
        <v>1</v>
      </c>
    </row>
    <row r="530" spans="1:11">
      <c r="A530" s="23" t="s">
        <v>55</v>
      </c>
      <c r="B530" s="23" t="s">
        <v>241</v>
      </c>
      <c r="C530" s="23" t="s">
        <v>245</v>
      </c>
      <c r="D530" s="23">
        <f>INDEX(Positions!$D$2:$D$4694,MATCH($A530&amp;"|19",Positions!$A$2:$A$4694,0))</f>
        <v>20</v>
      </c>
      <c r="E530" s="23">
        <f>INDEX(Positions!$D$2:$D$4694,MATCH($A530&amp;"|56",Positions!$A$2:$A$4694,0))</f>
        <v>58</v>
      </c>
      <c r="F530" s="23" t="str">
        <f>INDEX(Positions!$E$2:$E$4694,MATCH($A530&amp;"|19",Positions!$A$2:$A$4694,0))</f>
        <v>G</v>
      </c>
      <c r="G530" s="23" t="str">
        <f>INDEX(Positions!$E$2:$E$4694,MATCH($A530&amp;"|56",Positions!$A$2:$A$4694,0))</f>
        <v>C</v>
      </c>
      <c r="H530" s="24" t="str">
        <f t="shared" si="32"/>
        <v>G-C</v>
      </c>
      <c r="I530" s="23">
        <f t="shared" si="33"/>
        <v>1</v>
      </c>
      <c r="J530" s="23">
        <f t="shared" si="34"/>
        <v>1</v>
      </c>
      <c r="K530" s="24">
        <f t="shared" si="35"/>
        <v>2</v>
      </c>
    </row>
    <row r="531" spans="1:11">
      <c r="A531" s="23" t="s">
        <v>55</v>
      </c>
      <c r="B531" s="23" t="s">
        <v>241</v>
      </c>
      <c r="C531" s="23" t="s">
        <v>246</v>
      </c>
      <c r="D531" s="23">
        <f>INDEX(Positions!$D$2:$D$4694,MATCH($A531&amp;"|26",Positions!$A$2:$A$4694,0))</f>
        <v>29</v>
      </c>
      <c r="E531" s="23">
        <f>INDEX(Positions!$D$2:$D$4694,MATCH($A531&amp;"|44",Positions!$A$2:$A$4694,0))</f>
        <v>47</v>
      </c>
      <c r="F531" s="23" t="str">
        <f>INDEX(Positions!$E$2:$E$4694,MATCH($A531&amp;"|26",Positions!$A$2:$A$4694,0))</f>
        <v>U</v>
      </c>
      <c r="G531" s="23" t="str">
        <f>INDEX(Positions!$E$2:$E$4694,MATCH($A531&amp;"|44",Positions!$A$2:$A$4694,0))</f>
        <v>A</v>
      </c>
      <c r="H531" s="24" t="str">
        <f t="shared" si="32"/>
        <v>U-A</v>
      </c>
      <c r="I531" s="23">
        <f t="shared" si="33"/>
        <v>0</v>
      </c>
      <c r="J531" s="23">
        <f t="shared" si="34"/>
        <v>0</v>
      </c>
      <c r="K531" s="24">
        <f t="shared" si="35"/>
        <v>0</v>
      </c>
    </row>
    <row r="532" spans="1:11">
      <c r="A532" s="23" t="s">
        <v>55</v>
      </c>
      <c r="B532" s="23" t="s">
        <v>241</v>
      </c>
      <c r="C532" s="23" t="s">
        <v>247</v>
      </c>
      <c r="D532" s="23">
        <f>INDEX(Positions!$D$2:$D$4694,MATCH($A532&amp;"|32",Positions!$A$2:$A$4694,0))</f>
        <v>35</v>
      </c>
      <c r="E532" s="23">
        <f>INDEX(Positions!$D$2:$D$4694,MATCH($A532&amp;"|38",Positions!$A$2:$A$4694,0))</f>
        <v>41</v>
      </c>
      <c r="F532" s="23" t="str">
        <f>INDEX(Positions!$E$2:$E$4694,MATCH($A532&amp;"|32",Positions!$A$2:$A$4694,0))</f>
        <v>C</v>
      </c>
      <c r="G532" s="23" t="str">
        <f>INDEX(Positions!$E$2:$E$4694,MATCH($A532&amp;"|38",Positions!$A$2:$A$4694,0))</f>
        <v>A</v>
      </c>
      <c r="H532" s="24" t="str">
        <f t="shared" si="32"/>
        <v>C-A</v>
      </c>
      <c r="I532" s="23">
        <f t="shared" si="33"/>
        <v>0</v>
      </c>
      <c r="J532" s="23">
        <f t="shared" si="34"/>
        <v>1</v>
      </c>
      <c r="K532" s="24">
        <f t="shared" si="35"/>
        <v>1</v>
      </c>
    </row>
    <row r="533" spans="1:11">
      <c r="A533" s="23" t="s">
        <v>55</v>
      </c>
      <c r="B533" s="23" t="s">
        <v>241</v>
      </c>
      <c r="C533" s="23" t="s">
        <v>248</v>
      </c>
      <c r="D533" s="23">
        <f>INDEX(Positions!$D$2:$D$4694,MATCH($A533&amp;"|54",Positions!$A$2:$A$4694,0))</f>
        <v>56</v>
      </c>
      <c r="E533" s="23">
        <f>INDEX(Positions!$D$2:$D$4694,MATCH($A533&amp;"|58",Positions!$A$2:$A$4694,0))</f>
        <v>60</v>
      </c>
      <c r="F533" s="23" t="str">
        <f>INDEX(Positions!$E$2:$E$4694,MATCH($A533&amp;"|54",Positions!$A$2:$A$4694,0))</f>
        <v>U</v>
      </c>
      <c r="G533" s="23" t="str">
        <f>INDEX(Positions!$E$2:$E$4694,MATCH($A533&amp;"|58",Positions!$A$2:$A$4694,0))</f>
        <v>A</v>
      </c>
      <c r="H533" s="24" t="str">
        <f t="shared" si="32"/>
        <v>U-A</v>
      </c>
      <c r="I533" s="23">
        <f t="shared" si="33"/>
        <v>0</v>
      </c>
      <c r="J533" s="23">
        <f t="shared" si="34"/>
        <v>0</v>
      </c>
      <c r="K533" s="24">
        <f t="shared" si="35"/>
        <v>0</v>
      </c>
    </row>
    <row r="534" spans="1:11">
      <c r="A534" s="4" t="s">
        <v>56</v>
      </c>
      <c r="B534" s="4" t="s">
        <v>110</v>
      </c>
      <c r="C534" s="4" t="s">
        <v>220</v>
      </c>
      <c r="D534" s="4">
        <f>INDEX(Positions!$D$2:$D$4694,MATCH($A534&amp;"|1",Positions!$A$2:$A$4694,0))</f>
        <v>1</v>
      </c>
      <c r="E534" s="4">
        <f>INDEX(Positions!$D$2:$D$4694,MATCH($A534&amp;"|72",Positions!$A$2:$A$4694,0))</f>
        <v>74</v>
      </c>
      <c r="F534" s="4" t="str">
        <f>INDEX(Positions!$E$2:$E$4694,MATCH($A534&amp;"|1",Positions!$A$2:$A$4694,0))</f>
        <v>G</v>
      </c>
      <c r="G534" s="4" t="str">
        <f>INDEX(Positions!$E$2:$E$4694,MATCH($A534&amp;"|72",Positions!$A$2:$A$4694,0))</f>
        <v>C</v>
      </c>
      <c r="H534" s="3" t="str">
        <f t="shared" si="32"/>
        <v>G-C</v>
      </c>
      <c r="I534" s="4">
        <f t="shared" si="33"/>
        <v>1</v>
      </c>
      <c r="J534" s="4">
        <f t="shared" si="34"/>
        <v>1</v>
      </c>
      <c r="K534" s="3">
        <f t="shared" si="35"/>
        <v>2</v>
      </c>
    </row>
    <row r="535" spans="1:11">
      <c r="A535" s="4" t="s">
        <v>56</v>
      </c>
      <c r="B535" s="4" t="s">
        <v>110</v>
      </c>
      <c r="C535" s="4" t="s">
        <v>221</v>
      </c>
      <c r="D535" s="4">
        <f>INDEX(Positions!$D$2:$D$4694,MATCH($A535&amp;"|2",Positions!$A$2:$A$4694,0))</f>
        <v>2</v>
      </c>
      <c r="E535" s="4">
        <f>INDEX(Positions!$D$2:$D$4694,MATCH($A535&amp;"|71",Positions!$A$2:$A$4694,0))</f>
        <v>73</v>
      </c>
      <c r="F535" s="4" t="str">
        <f>INDEX(Positions!$E$2:$E$4694,MATCH($A535&amp;"|2",Positions!$A$2:$A$4694,0))</f>
        <v>C</v>
      </c>
      <c r="G535" s="4" t="str">
        <f>INDEX(Positions!$E$2:$E$4694,MATCH($A535&amp;"|71",Positions!$A$2:$A$4694,0))</f>
        <v>G</v>
      </c>
      <c r="H535" s="3" t="str">
        <f t="shared" si="32"/>
        <v>C-G</v>
      </c>
      <c r="I535" s="4">
        <f t="shared" si="33"/>
        <v>1</v>
      </c>
      <c r="J535" s="4">
        <f t="shared" si="34"/>
        <v>1</v>
      </c>
      <c r="K535" s="3">
        <f t="shared" si="35"/>
        <v>2</v>
      </c>
    </row>
    <row r="536" spans="1:11">
      <c r="A536" s="4" t="s">
        <v>56</v>
      </c>
      <c r="B536" s="4" t="s">
        <v>110</v>
      </c>
      <c r="C536" s="4" t="s">
        <v>222</v>
      </c>
      <c r="D536" s="4">
        <f>INDEX(Positions!$D$2:$D$4694,MATCH($A536&amp;"|3",Positions!$A$2:$A$4694,0))</f>
        <v>3</v>
      </c>
      <c r="E536" s="4">
        <f>INDEX(Positions!$D$2:$D$4694,MATCH($A536&amp;"|70",Positions!$A$2:$A$4694,0))</f>
        <v>72</v>
      </c>
      <c r="F536" s="4" t="str">
        <f>INDEX(Positions!$E$2:$E$4694,MATCH($A536&amp;"|3",Positions!$A$2:$A$4694,0))</f>
        <v>U</v>
      </c>
      <c r="G536" s="4" t="str">
        <f>INDEX(Positions!$E$2:$E$4694,MATCH($A536&amp;"|70",Positions!$A$2:$A$4694,0))</f>
        <v>A</v>
      </c>
      <c r="H536" s="3" t="str">
        <f t="shared" si="32"/>
        <v>U-A</v>
      </c>
      <c r="I536" s="4">
        <f t="shared" si="33"/>
        <v>0</v>
      </c>
      <c r="J536" s="4">
        <f t="shared" si="34"/>
        <v>0</v>
      </c>
      <c r="K536" s="3">
        <f t="shared" si="35"/>
        <v>0</v>
      </c>
    </row>
    <row r="537" spans="1:11">
      <c r="A537" s="4" t="s">
        <v>56</v>
      </c>
      <c r="B537" s="4" t="s">
        <v>110</v>
      </c>
      <c r="C537" s="4" t="s">
        <v>223</v>
      </c>
      <c r="D537" s="4">
        <f>INDEX(Positions!$D$2:$D$4694,MATCH($A537&amp;"|4",Positions!$A$2:$A$4694,0))</f>
        <v>4</v>
      </c>
      <c r="E537" s="4">
        <f>INDEX(Positions!$D$2:$D$4694,MATCH($A537&amp;"|69",Positions!$A$2:$A$4694,0))</f>
        <v>71</v>
      </c>
      <c r="F537" s="4" t="str">
        <f>INDEX(Positions!$E$2:$E$4694,MATCH($A537&amp;"|4",Positions!$A$2:$A$4694,0))</f>
        <v>C</v>
      </c>
      <c r="G537" s="4" t="str">
        <f>INDEX(Positions!$E$2:$E$4694,MATCH($A537&amp;"|69",Positions!$A$2:$A$4694,0))</f>
        <v>G</v>
      </c>
      <c r="H537" s="3" t="str">
        <f t="shared" si="32"/>
        <v>C-G</v>
      </c>
      <c r="I537" s="4">
        <f t="shared" si="33"/>
        <v>1</v>
      </c>
      <c r="J537" s="4">
        <f t="shared" si="34"/>
        <v>1</v>
      </c>
      <c r="K537" s="3">
        <f t="shared" si="35"/>
        <v>2</v>
      </c>
    </row>
    <row r="538" spans="1:11">
      <c r="A538" s="4" t="s">
        <v>56</v>
      </c>
      <c r="B538" s="4" t="s">
        <v>110</v>
      </c>
      <c r="C538" s="4" t="s">
        <v>224</v>
      </c>
      <c r="D538" s="4">
        <f>INDEX(Positions!$D$2:$D$4694,MATCH($A538&amp;"|5",Positions!$A$2:$A$4694,0))</f>
        <v>5</v>
      </c>
      <c r="E538" s="4">
        <f>INDEX(Positions!$D$2:$D$4694,MATCH($A538&amp;"|68",Positions!$A$2:$A$4694,0))</f>
        <v>70</v>
      </c>
      <c r="F538" s="4" t="str">
        <f>INDEX(Positions!$E$2:$E$4694,MATCH($A538&amp;"|5",Positions!$A$2:$A$4694,0))</f>
        <v>C</v>
      </c>
      <c r="G538" s="4" t="str">
        <f>INDEX(Positions!$E$2:$E$4694,MATCH($A538&amp;"|68",Positions!$A$2:$A$4694,0))</f>
        <v>G</v>
      </c>
      <c r="H538" s="3" t="str">
        <f t="shared" si="32"/>
        <v>C-G</v>
      </c>
      <c r="I538" s="4">
        <f t="shared" si="33"/>
        <v>1</v>
      </c>
      <c r="J538" s="4">
        <f t="shared" si="34"/>
        <v>1</v>
      </c>
      <c r="K538" s="3">
        <f t="shared" si="35"/>
        <v>2</v>
      </c>
    </row>
    <row r="539" spans="1:11">
      <c r="A539" s="4" t="s">
        <v>56</v>
      </c>
      <c r="B539" s="4" t="s">
        <v>110</v>
      </c>
      <c r="C539" s="4" t="s">
        <v>225</v>
      </c>
      <c r="D539" s="4">
        <f>INDEX(Positions!$D$2:$D$4694,MATCH($A539&amp;"|6",Positions!$A$2:$A$4694,0))</f>
        <v>6</v>
      </c>
      <c r="E539" s="4">
        <f>INDEX(Positions!$D$2:$D$4694,MATCH($A539&amp;"|67",Positions!$A$2:$A$4694,0))</f>
        <v>69</v>
      </c>
      <c r="F539" s="4" t="str">
        <f>INDEX(Positions!$E$2:$E$4694,MATCH($A539&amp;"|6",Positions!$A$2:$A$4694,0))</f>
        <v>G</v>
      </c>
      <c r="G539" s="4" t="str">
        <f>INDEX(Positions!$E$2:$E$4694,MATCH($A539&amp;"|67",Positions!$A$2:$A$4694,0))</f>
        <v>C</v>
      </c>
      <c r="H539" s="3" t="str">
        <f t="shared" si="32"/>
        <v>G-C</v>
      </c>
      <c r="I539" s="4">
        <f t="shared" si="33"/>
        <v>1</v>
      </c>
      <c r="J539" s="4">
        <f t="shared" si="34"/>
        <v>1</v>
      </c>
      <c r="K539" s="3">
        <f t="shared" si="35"/>
        <v>2</v>
      </c>
    </row>
    <row r="540" spans="1:11">
      <c r="A540" s="4" t="s">
        <v>56</v>
      </c>
      <c r="B540" s="4" t="s">
        <v>110</v>
      </c>
      <c r="C540" s="4" t="s">
        <v>226</v>
      </c>
      <c r="D540" s="4">
        <f>INDEX(Positions!$D$2:$D$4694,MATCH($A540&amp;"|7",Positions!$A$2:$A$4694,0))</f>
        <v>7</v>
      </c>
      <c r="E540" s="4">
        <f>INDEX(Positions!$D$2:$D$4694,MATCH($A540&amp;"|66",Positions!$A$2:$A$4694,0))</f>
        <v>68</v>
      </c>
      <c r="F540" s="4" t="str">
        <f>INDEX(Positions!$E$2:$E$4694,MATCH($A540&amp;"|7",Positions!$A$2:$A$4694,0))</f>
        <v>G</v>
      </c>
      <c r="G540" s="4" t="str">
        <f>INDEX(Positions!$E$2:$E$4694,MATCH($A540&amp;"|66",Positions!$A$2:$A$4694,0))</f>
        <v>C</v>
      </c>
      <c r="H540" s="3" t="str">
        <f t="shared" si="32"/>
        <v>G-C</v>
      </c>
      <c r="I540" s="4">
        <f t="shared" si="33"/>
        <v>1</v>
      </c>
      <c r="J540" s="4">
        <f t="shared" si="34"/>
        <v>1</v>
      </c>
      <c r="K540" s="3">
        <f t="shared" si="35"/>
        <v>2</v>
      </c>
    </row>
    <row r="541" spans="1:11">
      <c r="A541" s="4" t="s">
        <v>56</v>
      </c>
      <c r="B541" s="4" t="s">
        <v>125</v>
      </c>
      <c r="C541" s="4" t="s">
        <v>227</v>
      </c>
      <c r="D541" s="4">
        <f>INDEX(Positions!$D$2:$D$4694,MATCH($A541&amp;"|10",Positions!$A$2:$A$4694,0))</f>
        <v>10</v>
      </c>
      <c r="E541" s="4">
        <f>INDEX(Positions!$D$2:$D$4694,MATCH($A541&amp;"|25",Positions!$A$2:$A$4694,0))</f>
        <v>28</v>
      </c>
      <c r="F541" s="4" t="str">
        <f>INDEX(Positions!$E$2:$E$4694,MATCH($A541&amp;"|10",Positions!$A$2:$A$4694,0))</f>
        <v>G</v>
      </c>
      <c r="G541" s="4" t="str">
        <f>INDEX(Positions!$E$2:$E$4694,MATCH($A541&amp;"|25",Positions!$A$2:$A$4694,0))</f>
        <v>U</v>
      </c>
      <c r="H541" s="3" t="str">
        <f t="shared" si="32"/>
        <v>G-U</v>
      </c>
      <c r="I541" s="4">
        <f t="shared" si="33"/>
        <v>1</v>
      </c>
      <c r="J541" s="4">
        <f t="shared" si="34"/>
        <v>0</v>
      </c>
      <c r="K541" s="3">
        <f t="shared" si="35"/>
        <v>1</v>
      </c>
    </row>
    <row r="542" spans="1:11">
      <c r="A542" s="4" t="s">
        <v>56</v>
      </c>
      <c r="B542" s="4" t="s">
        <v>125</v>
      </c>
      <c r="C542" s="4" t="s">
        <v>228</v>
      </c>
      <c r="D542" s="4">
        <f>INDEX(Positions!$D$2:$D$4694,MATCH($A542&amp;"|11",Positions!$A$2:$A$4694,0))</f>
        <v>11</v>
      </c>
      <c r="E542" s="4">
        <f>INDEX(Positions!$D$2:$D$4694,MATCH($A542&amp;"|24",Positions!$A$2:$A$4694,0))</f>
        <v>27</v>
      </c>
      <c r="F542" s="4" t="str">
        <f>INDEX(Positions!$E$2:$E$4694,MATCH($A542&amp;"|11",Positions!$A$2:$A$4694,0))</f>
        <v>U</v>
      </c>
      <c r="G542" s="4" t="str">
        <f>INDEX(Positions!$E$2:$E$4694,MATCH($A542&amp;"|24",Positions!$A$2:$A$4694,0))</f>
        <v>A</v>
      </c>
      <c r="H542" s="3" t="str">
        <f t="shared" si="32"/>
        <v>U-A</v>
      </c>
      <c r="I542" s="4">
        <f t="shared" si="33"/>
        <v>0</v>
      </c>
      <c r="J542" s="4">
        <f t="shared" si="34"/>
        <v>0</v>
      </c>
      <c r="K542" s="3">
        <f t="shared" si="35"/>
        <v>0</v>
      </c>
    </row>
    <row r="543" spans="1:11">
      <c r="A543" s="4" t="s">
        <v>56</v>
      </c>
      <c r="B543" s="4" t="s">
        <v>125</v>
      </c>
      <c r="C543" s="4" t="s">
        <v>229</v>
      </c>
      <c r="D543" s="4">
        <f>INDEX(Positions!$D$2:$D$4694,MATCH($A543&amp;"|12",Positions!$A$2:$A$4694,0))</f>
        <v>12</v>
      </c>
      <c r="E543" s="4">
        <f>INDEX(Positions!$D$2:$D$4694,MATCH($A543&amp;"|23",Positions!$A$2:$A$4694,0))</f>
        <v>26</v>
      </c>
      <c r="F543" s="4" t="str">
        <f>INDEX(Positions!$E$2:$E$4694,MATCH($A543&amp;"|12",Positions!$A$2:$A$4694,0))</f>
        <v>G</v>
      </c>
      <c r="G543" s="4" t="str">
        <f>INDEX(Positions!$E$2:$E$4694,MATCH($A543&amp;"|23",Positions!$A$2:$A$4694,0))</f>
        <v>C</v>
      </c>
      <c r="H543" s="3" t="str">
        <f t="shared" si="32"/>
        <v>G-C</v>
      </c>
      <c r="I543" s="4">
        <f t="shared" si="33"/>
        <v>1</v>
      </c>
      <c r="J543" s="4">
        <f t="shared" si="34"/>
        <v>1</v>
      </c>
      <c r="K543" s="3">
        <f t="shared" si="35"/>
        <v>2</v>
      </c>
    </row>
    <row r="544" spans="1:11">
      <c r="A544" s="4" t="s">
        <v>56</v>
      </c>
      <c r="B544" s="4" t="s">
        <v>125</v>
      </c>
      <c r="C544" s="4" t="s">
        <v>230</v>
      </c>
      <c r="D544" s="4">
        <f>INDEX(Positions!$D$2:$D$4694,MATCH($A544&amp;"|13",Positions!$A$2:$A$4694,0))</f>
        <v>13</v>
      </c>
      <c r="E544" s="4">
        <f>INDEX(Positions!$D$2:$D$4694,MATCH($A544&amp;"|22",Positions!$A$2:$A$4694,0))</f>
        <v>25</v>
      </c>
      <c r="F544" s="4" t="str">
        <f>INDEX(Positions!$E$2:$E$4694,MATCH($A544&amp;"|13",Positions!$A$2:$A$4694,0))</f>
        <v>U</v>
      </c>
      <c r="G544" s="4" t="str">
        <f>INDEX(Positions!$E$2:$E$4694,MATCH($A544&amp;"|22",Positions!$A$2:$A$4694,0))</f>
        <v>U</v>
      </c>
      <c r="H544" s="3" t="str">
        <f t="shared" si="32"/>
        <v>U-U</v>
      </c>
      <c r="I544" s="4">
        <f t="shared" si="33"/>
        <v>0</v>
      </c>
      <c r="J544" s="4">
        <f t="shared" si="34"/>
        <v>0</v>
      </c>
      <c r="K544" s="3">
        <f t="shared" si="35"/>
        <v>0</v>
      </c>
    </row>
    <row r="545" spans="1:11">
      <c r="A545" s="4" t="s">
        <v>56</v>
      </c>
      <c r="B545" s="4" t="s">
        <v>144</v>
      </c>
      <c r="C545" s="4" t="s">
        <v>231</v>
      </c>
      <c r="D545" s="4">
        <f>INDEX(Positions!$D$2:$D$4694,MATCH($A545&amp;"|27",Positions!$A$2:$A$4694,0))</f>
        <v>30</v>
      </c>
      <c r="E545" s="4">
        <f>INDEX(Positions!$D$2:$D$4694,MATCH($A545&amp;"|43",Positions!$A$2:$A$4694,0))</f>
        <v>46</v>
      </c>
      <c r="F545" s="4" t="str">
        <f>INDEX(Positions!$E$2:$E$4694,MATCH($A545&amp;"|27",Positions!$A$2:$A$4694,0))</f>
        <v>C</v>
      </c>
      <c r="G545" s="4" t="str">
        <f>INDEX(Positions!$E$2:$E$4694,MATCH($A545&amp;"|43",Positions!$A$2:$A$4694,0))</f>
        <v>A</v>
      </c>
      <c r="H545" s="3" t="str">
        <f t="shared" si="32"/>
        <v>C-A</v>
      </c>
      <c r="I545" s="4">
        <f t="shared" si="33"/>
        <v>0</v>
      </c>
      <c r="J545" s="4">
        <f t="shared" si="34"/>
        <v>1</v>
      </c>
      <c r="K545" s="3">
        <f t="shared" si="35"/>
        <v>1</v>
      </c>
    </row>
    <row r="546" spans="1:11">
      <c r="A546" s="4" t="s">
        <v>56</v>
      </c>
      <c r="B546" s="4" t="s">
        <v>144</v>
      </c>
      <c r="C546" s="4" t="s">
        <v>232</v>
      </c>
      <c r="D546" s="4">
        <f>INDEX(Positions!$D$2:$D$4694,MATCH($A546&amp;"|28",Positions!$A$2:$A$4694,0))</f>
        <v>31</v>
      </c>
      <c r="E546" s="4">
        <f>INDEX(Positions!$D$2:$D$4694,MATCH($A546&amp;"|42",Positions!$A$2:$A$4694,0))</f>
        <v>45</v>
      </c>
      <c r="F546" s="4" t="str">
        <f>INDEX(Positions!$E$2:$E$4694,MATCH($A546&amp;"|28",Positions!$A$2:$A$4694,0))</f>
        <v>C</v>
      </c>
      <c r="G546" s="4" t="str">
        <f>INDEX(Positions!$E$2:$E$4694,MATCH($A546&amp;"|42",Positions!$A$2:$A$4694,0))</f>
        <v>G</v>
      </c>
      <c r="H546" s="3" t="str">
        <f t="shared" si="32"/>
        <v>C-G</v>
      </c>
      <c r="I546" s="4">
        <f t="shared" si="33"/>
        <v>1</v>
      </c>
      <c r="J546" s="4">
        <f t="shared" si="34"/>
        <v>1</v>
      </c>
      <c r="K546" s="3">
        <f t="shared" si="35"/>
        <v>2</v>
      </c>
    </row>
    <row r="547" spans="1:11">
      <c r="A547" s="4" t="s">
        <v>56</v>
      </c>
      <c r="B547" s="4" t="s">
        <v>144</v>
      </c>
      <c r="C547" s="4" t="s">
        <v>233</v>
      </c>
      <c r="D547" s="4">
        <f>INDEX(Positions!$D$2:$D$4694,MATCH($A547&amp;"|29",Positions!$A$2:$A$4694,0))</f>
        <v>32</v>
      </c>
      <c r="E547" s="4">
        <f>INDEX(Positions!$D$2:$D$4694,MATCH($A547&amp;"|41",Positions!$A$2:$A$4694,0))</f>
        <v>44</v>
      </c>
      <c r="F547" s="4" t="str">
        <f>INDEX(Positions!$E$2:$E$4694,MATCH($A547&amp;"|29",Positions!$A$2:$A$4694,0))</f>
        <v>G</v>
      </c>
      <c r="G547" s="4" t="str">
        <f>INDEX(Positions!$E$2:$E$4694,MATCH($A547&amp;"|41",Positions!$A$2:$A$4694,0))</f>
        <v>C</v>
      </c>
      <c r="H547" s="3" t="str">
        <f t="shared" si="32"/>
        <v>G-C</v>
      </c>
      <c r="I547" s="4">
        <f t="shared" si="33"/>
        <v>1</v>
      </c>
      <c r="J547" s="4">
        <f t="shared" si="34"/>
        <v>1</v>
      </c>
      <c r="K547" s="3">
        <f t="shared" si="35"/>
        <v>2</v>
      </c>
    </row>
    <row r="548" spans="1:11">
      <c r="A548" s="4" t="s">
        <v>56</v>
      </c>
      <c r="B548" s="4" t="s">
        <v>144</v>
      </c>
      <c r="C548" s="4" t="s">
        <v>234</v>
      </c>
      <c r="D548" s="4">
        <f>INDEX(Positions!$D$2:$D$4694,MATCH($A548&amp;"|30",Positions!$A$2:$A$4694,0))</f>
        <v>33</v>
      </c>
      <c r="E548" s="4">
        <f>INDEX(Positions!$D$2:$D$4694,MATCH($A548&amp;"|40",Positions!$A$2:$A$4694,0))</f>
        <v>43</v>
      </c>
      <c r="F548" s="4" t="str">
        <f>INDEX(Positions!$E$2:$E$4694,MATCH($A548&amp;"|30",Positions!$A$2:$A$4694,0))</f>
        <v>G</v>
      </c>
      <c r="G548" s="4" t="str">
        <f>INDEX(Positions!$E$2:$E$4694,MATCH($A548&amp;"|40",Positions!$A$2:$A$4694,0))</f>
        <v>C</v>
      </c>
      <c r="H548" s="3" t="str">
        <f t="shared" si="32"/>
        <v>G-C</v>
      </c>
      <c r="I548" s="4">
        <f t="shared" si="33"/>
        <v>1</v>
      </c>
      <c r="J548" s="4">
        <f t="shared" si="34"/>
        <v>1</v>
      </c>
      <c r="K548" s="3">
        <f t="shared" si="35"/>
        <v>2</v>
      </c>
    </row>
    <row r="549" spans="1:11">
      <c r="A549" s="4" t="s">
        <v>56</v>
      </c>
      <c r="B549" s="4" t="s">
        <v>144</v>
      </c>
      <c r="C549" s="4" t="s">
        <v>235</v>
      </c>
      <c r="D549" s="4">
        <f>INDEX(Positions!$D$2:$D$4694,MATCH($A549&amp;"|31",Positions!$A$2:$A$4694,0))</f>
        <v>34</v>
      </c>
      <c r="E549" s="4">
        <f>INDEX(Positions!$D$2:$D$4694,MATCH($A549&amp;"|39",Positions!$A$2:$A$4694,0))</f>
        <v>42</v>
      </c>
      <c r="F549" s="4" t="str">
        <f>INDEX(Positions!$E$2:$E$4694,MATCH($A549&amp;"|31",Positions!$A$2:$A$4694,0))</f>
        <v>C</v>
      </c>
      <c r="G549" s="4" t="str">
        <f>INDEX(Positions!$E$2:$E$4694,MATCH($A549&amp;"|39",Positions!$A$2:$A$4694,0))</f>
        <v>G</v>
      </c>
      <c r="H549" s="3" t="str">
        <f t="shared" si="32"/>
        <v>C-G</v>
      </c>
      <c r="I549" s="4">
        <f t="shared" si="33"/>
        <v>1</v>
      </c>
      <c r="J549" s="4">
        <f t="shared" si="34"/>
        <v>1</v>
      </c>
      <c r="K549" s="3">
        <f t="shared" si="35"/>
        <v>2</v>
      </c>
    </row>
    <row r="550" spans="1:11">
      <c r="A550" s="4" t="s">
        <v>56</v>
      </c>
      <c r="B550" s="4" t="s">
        <v>169</v>
      </c>
      <c r="C550" s="4" t="s">
        <v>236</v>
      </c>
      <c r="D550" s="4">
        <f>INDEX(Positions!$D$2:$D$4694,MATCH($A550&amp;"|49",Positions!$A$2:$A$4694,0))</f>
        <v>51</v>
      </c>
      <c r="E550" s="4">
        <f>INDEX(Positions!$D$2:$D$4694,MATCH($A550&amp;"|65",Positions!$A$2:$A$4694,0))</f>
        <v>67</v>
      </c>
      <c r="F550" s="4" t="str">
        <f>INDEX(Positions!$E$2:$E$4694,MATCH($A550&amp;"|49",Positions!$A$2:$A$4694,0))</f>
        <v>U</v>
      </c>
      <c r="G550" s="4" t="str">
        <f>INDEX(Positions!$E$2:$E$4694,MATCH($A550&amp;"|65",Positions!$A$2:$A$4694,0))</f>
        <v>G</v>
      </c>
      <c r="H550" s="3" t="str">
        <f t="shared" si="32"/>
        <v>U-G</v>
      </c>
      <c r="I550" s="4">
        <f t="shared" si="33"/>
        <v>1</v>
      </c>
      <c r="J550" s="4">
        <f t="shared" si="34"/>
        <v>0</v>
      </c>
      <c r="K550" s="3">
        <f t="shared" si="35"/>
        <v>1</v>
      </c>
    </row>
    <row r="551" spans="1:11">
      <c r="A551" s="4" t="s">
        <v>56</v>
      </c>
      <c r="B551" s="4" t="s">
        <v>169</v>
      </c>
      <c r="C551" s="4" t="s">
        <v>237</v>
      </c>
      <c r="D551" s="4">
        <f>INDEX(Positions!$D$2:$D$4694,MATCH($A551&amp;"|50",Positions!$A$2:$A$4694,0))</f>
        <v>52</v>
      </c>
      <c r="E551" s="4">
        <f>INDEX(Positions!$D$2:$D$4694,MATCH($A551&amp;"|64",Positions!$A$2:$A$4694,0))</f>
        <v>66</v>
      </c>
      <c r="F551" s="4" t="str">
        <f>INDEX(Positions!$E$2:$E$4694,MATCH($A551&amp;"|50",Positions!$A$2:$A$4694,0))</f>
        <v>C</v>
      </c>
      <c r="G551" s="4" t="str">
        <f>INDEX(Positions!$E$2:$E$4694,MATCH($A551&amp;"|64",Positions!$A$2:$A$4694,0))</f>
        <v>G</v>
      </c>
      <c r="H551" s="3" t="str">
        <f t="shared" si="32"/>
        <v>C-G</v>
      </c>
      <c r="I551" s="4">
        <f t="shared" si="33"/>
        <v>1</v>
      </c>
      <c r="J551" s="4">
        <f t="shared" si="34"/>
        <v>1</v>
      </c>
      <c r="K551" s="3">
        <f t="shared" si="35"/>
        <v>2</v>
      </c>
    </row>
    <row r="552" spans="1:11">
      <c r="A552" s="4" t="s">
        <v>56</v>
      </c>
      <c r="B552" s="4" t="s">
        <v>169</v>
      </c>
      <c r="C552" s="4" t="s">
        <v>238</v>
      </c>
      <c r="D552" s="4">
        <f>INDEX(Positions!$D$2:$D$4694,MATCH($A552&amp;"|51",Positions!$A$2:$A$4694,0))</f>
        <v>53</v>
      </c>
      <c r="E552" s="4">
        <f>INDEX(Positions!$D$2:$D$4694,MATCH($A552&amp;"|63",Positions!$A$2:$A$4694,0))</f>
        <v>65</v>
      </c>
      <c r="F552" s="4" t="str">
        <f>INDEX(Positions!$E$2:$E$4694,MATCH($A552&amp;"|51",Positions!$A$2:$A$4694,0))</f>
        <v>G</v>
      </c>
      <c r="G552" s="4" t="str">
        <f>INDEX(Positions!$E$2:$E$4694,MATCH($A552&amp;"|63",Positions!$A$2:$A$4694,0))</f>
        <v>C</v>
      </c>
      <c r="H552" s="3" t="str">
        <f t="shared" si="32"/>
        <v>G-C</v>
      </c>
      <c r="I552" s="4">
        <f t="shared" si="33"/>
        <v>1</v>
      </c>
      <c r="J552" s="4">
        <f t="shared" si="34"/>
        <v>1</v>
      </c>
      <c r="K552" s="3">
        <f t="shared" si="35"/>
        <v>2</v>
      </c>
    </row>
    <row r="553" spans="1:11">
      <c r="A553" s="4" t="s">
        <v>56</v>
      </c>
      <c r="B553" s="4" t="s">
        <v>169</v>
      </c>
      <c r="C553" s="4" t="s">
        <v>239</v>
      </c>
      <c r="D553" s="4">
        <f>INDEX(Positions!$D$2:$D$4694,MATCH($A553&amp;"|52",Positions!$A$2:$A$4694,0))</f>
        <v>54</v>
      </c>
      <c r="E553" s="4">
        <f>INDEX(Positions!$D$2:$D$4694,MATCH($A553&amp;"|62",Positions!$A$2:$A$4694,0))</f>
        <v>64</v>
      </c>
      <c r="F553" s="4" t="str">
        <f>INDEX(Positions!$E$2:$E$4694,MATCH($A553&amp;"|52",Positions!$A$2:$A$4694,0))</f>
        <v>G</v>
      </c>
      <c r="G553" s="4" t="str">
        <f>INDEX(Positions!$E$2:$E$4694,MATCH($A553&amp;"|62",Positions!$A$2:$A$4694,0))</f>
        <v>C</v>
      </c>
      <c r="H553" s="3" t="str">
        <f t="shared" si="32"/>
        <v>G-C</v>
      </c>
      <c r="I553" s="4">
        <f t="shared" si="33"/>
        <v>1</v>
      </c>
      <c r="J553" s="4">
        <f t="shared" si="34"/>
        <v>1</v>
      </c>
      <c r="K553" s="3">
        <f t="shared" si="35"/>
        <v>2</v>
      </c>
    </row>
    <row r="554" spans="1:11">
      <c r="A554" s="4" t="s">
        <v>56</v>
      </c>
      <c r="B554" s="4" t="s">
        <v>169</v>
      </c>
      <c r="C554" s="4" t="s">
        <v>240</v>
      </c>
      <c r="D554" s="4">
        <f>INDEX(Positions!$D$2:$D$4694,MATCH($A554&amp;"|53",Positions!$A$2:$A$4694,0))</f>
        <v>55</v>
      </c>
      <c r="E554" s="4">
        <f>INDEX(Positions!$D$2:$D$4694,MATCH($A554&amp;"|61",Positions!$A$2:$A$4694,0))</f>
        <v>63</v>
      </c>
      <c r="F554" s="4" t="str">
        <f>INDEX(Positions!$E$2:$E$4694,MATCH($A554&amp;"|53",Positions!$A$2:$A$4694,0))</f>
        <v>G</v>
      </c>
      <c r="G554" s="4" t="str">
        <f>INDEX(Positions!$E$2:$E$4694,MATCH($A554&amp;"|61",Positions!$A$2:$A$4694,0))</f>
        <v>C</v>
      </c>
      <c r="H554" s="3" t="str">
        <f t="shared" si="32"/>
        <v>G-C</v>
      </c>
      <c r="I554" s="4">
        <f t="shared" si="33"/>
        <v>1</v>
      </c>
      <c r="J554" s="4">
        <f t="shared" si="34"/>
        <v>1</v>
      </c>
      <c r="K554" s="3">
        <f t="shared" si="35"/>
        <v>2</v>
      </c>
    </row>
    <row r="555" spans="1:11">
      <c r="A555" s="23" t="s">
        <v>56</v>
      </c>
      <c r="B555" s="23" t="s">
        <v>241</v>
      </c>
      <c r="C555" s="23" t="s">
        <v>242</v>
      </c>
      <c r="D555" s="23">
        <f>INDEX(Positions!$D$2:$D$4694,MATCH($A555&amp;"|8",Positions!$A$2:$A$4694,0))</f>
        <v>8</v>
      </c>
      <c r="E555" s="23">
        <f>INDEX(Positions!$D$2:$D$4694,MATCH($A555&amp;"|14",Positions!$A$2:$A$4694,0))</f>
        <v>14</v>
      </c>
      <c r="F555" s="23" t="str">
        <f>INDEX(Positions!$E$2:$E$4694,MATCH($A555&amp;"|8",Positions!$A$2:$A$4694,0))</f>
        <v>U</v>
      </c>
      <c r="G555" s="23" t="str">
        <f>INDEX(Positions!$E$2:$E$4694,MATCH($A555&amp;"|14",Positions!$A$2:$A$4694,0))</f>
        <v>A</v>
      </c>
      <c r="H555" s="24" t="str">
        <f t="shared" si="32"/>
        <v>U-A</v>
      </c>
      <c r="I555" s="23">
        <f t="shared" si="33"/>
        <v>0</v>
      </c>
      <c r="J555" s="23">
        <f t="shared" si="34"/>
        <v>0</v>
      </c>
      <c r="K555" s="24">
        <f t="shared" si="35"/>
        <v>0</v>
      </c>
    </row>
    <row r="556" spans="1:11">
      <c r="A556" s="23" t="s">
        <v>56</v>
      </c>
      <c r="B556" s="23" t="s">
        <v>241</v>
      </c>
      <c r="C556" s="23" t="s">
        <v>243</v>
      </c>
      <c r="D556" s="23">
        <f>INDEX(Positions!$D$2:$D$4694,MATCH($A556&amp;"|15",Positions!$A$2:$A$4694,0))</f>
        <v>15</v>
      </c>
      <c r="E556" s="23">
        <f>INDEX(Positions!$D$2:$D$4694,MATCH($A556&amp;"|48",Positions!$A$2:$A$4694,0))</f>
        <v>50</v>
      </c>
      <c r="F556" s="23" t="str">
        <f>INDEX(Positions!$E$2:$E$4694,MATCH($A556&amp;"|15",Positions!$A$2:$A$4694,0))</f>
        <v>G</v>
      </c>
      <c r="G556" s="23" t="str">
        <f>INDEX(Positions!$E$2:$E$4694,MATCH($A556&amp;"|48",Positions!$A$2:$A$4694,0))</f>
        <v>C</v>
      </c>
      <c r="H556" s="24" t="str">
        <f t="shared" si="32"/>
        <v>G-C</v>
      </c>
      <c r="I556" s="23">
        <f t="shared" si="33"/>
        <v>1</v>
      </c>
      <c r="J556" s="23">
        <f t="shared" si="34"/>
        <v>1</v>
      </c>
      <c r="K556" s="24">
        <f t="shared" si="35"/>
        <v>2</v>
      </c>
    </row>
    <row r="557" spans="1:11">
      <c r="A557" s="23" t="s">
        <v>56</v>
      </c>
      <c r="B557" s="23" t="s">
        <v>241</v>
      </c>
      <c r="C557" s="23" t="s">
        <v>244</v>
      </c>
      <c r="D557" s="23">
        <f>INDEX(Positions!$D$2:$D$4694,MATCH($A557&amp;"|18",Positions!$A$2:$A$4694,0))</f>
        <v>19</v>
      </c>
      <c r="E557" s="23">
        <f>INDEX(Positions!$D$2:$D$4694,MATCH($A557&amp;"|55",Positions!$A$2:$A$4694,0))</f>
        <v>57</v>
      </c>
      <c r="F557" s="23" t="str">
        <f>INDEX(Positions!$E$2:$E$4694,MATCH($A557&amp;"|18",Positions!$A$2:$A$4694,0))</f>
        <v>G</v>
      </c>
      <c r="G557" s="23" t="str">
        <f>INDEX(Positions!$E$2:$E$4694,MATCH($A557&amp;"|55",Positions!$A$2:$A$4694,0))</f>
        <v>U</v>
      </c>
      <c r="H557" s="24" t="str">
        <f t="shared" si="32"/>
        <v>G-U</v>
      </c>
      <c r="I557" s="23">
        <f t="shared" si="33"/>
        <v>1</v>
      </c>
      <c r="J557" s="23">
        <f t="shared" si="34"/>
        <v>0</v>
      </c>
      <c r="K557" s="24">
        <f t="shared" si="35"/>
        <v>1</v>
      </c>
    </row>
    <row r="558" spans="1:11">
      <c r="A558" s="23" t="s">
        <v>56</v>
      </c>
      <c r="B558" s="23" t="s">
        <v>241</v>
      </c>
      <c r="C558" s="23" t="s">
        <v>245</v>
      </c>
      <c r="D558" s="23">
        <f>INDEX(Positions!$D$2:$D$4694,MATCH($A558&amp;"|19",Positions!$A$2:$A$4694,0))</f>
        <v>20</v>
      </c>
      <c r="E558" s="23">
        <f>INDEX(Positions!$D$2:$D$4694,MATCH($A558&amp;"|56",Positions!$A$2:$A$4694,0))</f>
        <v>58</v>
      </c>
      <c r="F558" s="23" t="str">
        <f>INDEX(Positions!$E$2:$E$4694,MATCH($A558&amp;"|19",Positions!$A$2:$A$4694,0))</f>
        <v>G</v>
      </c>
      <c r="G558" s="23" t="str">
        <f>INDEX(Positions!$E$2:$E$4694,MATCH($A558&amp;"|56",Positions!$A$2:$A$4694,0))</f>
        <v>C</v>
      </c>
      <c r="H558" s="24" t="str">
        <f t="shared" si="32"/>
        <v>G-C</v>
      </c>
      <c r="I558" s="23">
        <f t="shared" si="33"/>
        <v>1</v>
      </c>
      <c r="J558" s="23">
        <f t="shared" si="34"/>
        <v>1</v>
      </c>
      <c r="K558" s="24">
        <f t="shared" si="35"/>
        <v>2</v>
      </c>
    </row>
    <row r="559" spans="1:11">
      <c r="A559" s="23" t="s">
        <v>56</v>
      </c>
      <c r="B559" s="23" t="s">
        <v>241</v>
      </c>
      <c r="C559" s="23" t="s">
        <v>246</v>
      </c>
      <c r="D559" s="23">
        <f>INDEX(Positions!$D$2:$D$4694,MATCH($A559&amp;"|26",Positions!$A$2:$A$4694,0))</f>
        <v>29</v>
      </c>
      <c r="E559" s="23">
        <f>INDEX(Positions!$D$2:$D$4694,MATCH($A559&amp;"|44",Positions!$A$2:$A$4694,0))</f>
        <v>47</v>
      </c>
      <c r="F559" s="23" t="str">
        <f>INDEX(Positions!$E$2:$E$4694,MATCH($A559&amp;"|26",Positions!$A$2:$A$4694,0))</f>
        <v>U</v>
      </c>
      <c r="G559" s="23" t="str">
        <f>INDEX(Positions!$E$2:$E$4694,MATCH($A559&amp;"|44",Positions!$A$2:$A$4694,0))</f>
        <v>A</v>
      </c>
      <c r="H559" s="24" t="str">
        <f t="shared" si="32"/>
        <v>U-A</v>
      </c>
      <c r="I559" s="23">
        <f t="shared" si="33"/>
        <v>0</v>
      </c>
      <c r="J559" s="23">
        <f t="shared" si="34"/>
        <v>0</v>
      </c>
      <c r="K559" s="24">
        <f t="shared" si="35"/>
        <v>0</v>
      </c>
    </row>
    <row r="560" spans="1:11">
      <c r="A560" s="23" t="s">
        <v>56</v>
      </c>
      <c r="B560" s="23" t="s">
        <v>241</v>
      </c>
      <c r="C560" s="23" t="s">
        <v>247</v>
      </c>
      <c r="D560" s="23">
        <f>INDEX(Positions!$D$2:$D$4694,MATCH($A560&amp;"|32",Positions!$A$2:$A$4694,0))</f>
        <v>35</v>
      </c>
      <c r="E560" s="23">
        <f>INDEX(Positions!$D$2:$D$4694,MATCH($A560&amp;"|38",Positions!$A$2:$A$4694,0))</f>
        <v>41</v>
      </c>
      <c r="F560" s="23" t="str">
        <f>INDEX(Positions!$E$2:$E$4694,MATCH($A560&amp;"|32",Positions!$A$2:$A$4694,0))</f>
        <v>C</v>
      </c>
      <c r="G560" s="23" t="str">
        <f>INDEX(Positions!$E$2:$E$4694,MATCH($A560&amp;"|38",Positions!$A$2:$A$4694,0))</f>
        <v>A</v>
      </c>
      <c r="H560" s="24" t="str">
        <f t="shared" si="32"/>
        <v>C-A</v>
      </c>
      <c r="I560" s="23">
        <f t="shared" si="33"/>
        <v>0</v>
      </c>
      <c r="J560" s="23">
        <f t="shared" si="34"/>
        <v>1</v>
      </c>
      <c r="K560" s="24">
        <f t="shared" si="35"/>
        <v>1</v>
      </c>
    </row>
    <row r="561" spans="1:11">
      <c r="A561" s="23" t="s">
        <v>56</v>
      </c>
      <c r="B561" s="23" t="s">
        <v>241</v>
      </c>
      <c r="C561" s="23" t="s">
        <v>248</v>
      </c>
      <c r="D561" s="23">
        <f>INDEX(Positions!$D$2:$D$4694,MATCH($A561&amp;"|54",Positions!$A$2:$A$4694,0))</f>
        <v>56</v>
      </c>
      <c r="E561" s="23">
        <f>INDEX(Positions!$D$2:$D$4694,MATCH($A561&amp;"|58",Positions!$A$2:$A$4694,0))</f>
        <v>60</v>
      </c>
      <c r="F561" s="23" t="str">
        <f>INDEX(Positions!$E$2:$E$4694,MATCH($A561&amp;"|54",Positions!$A$2:$A$4694,0))</f>
        <v>U</v>
      </c>
      <c r="G561" s="23" t="str">
        <f>INDEX(Positions!$E$2:$E$4694,MATCH($A561&amp;"|58",Positions!$A$2:$A$4694,0))</f>
        <v>A</v>
      </c>
      <c r="H561" s="24" t="str">
        <f t="shared" si="32"/>
        <v>U-A</v>
      </c>
      <c r="I561" s="23">
        <f t="shared" si="33"/>
        <v>0</v>
      </c>
      <c r="J561" s="23">
        <f t="shared" si="34"/>
        <v>0</v>
      </c>
      <c r="K561" s="24">
        <f t="shared" si="35"/>
        <v>0</v>
      </c>
    </row>
    <row r="562" spans="1:11">
      <c r="A562" s="4" t="s">
        <v>57</v>
      </c>
      <c r="B562" s="4" t="s">
        <v>110</v>
      </c>
      <c r="C562" s="4" t="s">
        <v>220</v>
      </c>
      <c r="D562" s="4">
        <f>INDEX(Positions!$D$2:$D$4694,MATCH($A562&amp;"|1",Positions!$A$2:$A$4694,0))</f>
        <v>1</v>
      </c>
      <c r="E562" s="4">
        <f>INDEX(Positions!$D$2:$D$4694,MATCH($A562&amp;"|72",Positions!$A$2:$A$4694,0))</f>
        <v>71</v>
      </c>
      <c r="F562" s="4" t="str">
        <f>INDEX(Positions!$E$2:$E$4694,MATCH($A562&amp;"|1",Positions!$A$2:$A$4694,0))</f>
        <v>G</v>
      </c>
      <c r="G562" s="4" t="str">
        <f>INDEX(Positions!$E$2:$E$4694,MATCH($A562&amp;"|72",Positions!$A$2:$A$4694,0))</f>
        <v>C</v>
      </c>
      <c r="H562" s="3" t="str">
        <f t="shared" si="32"/>
        <v>G-C</v>
      </c>
      <c r="I562" s="4">
        <f t="shared" si="33"/>
        <v>1</v>
      </c>
      <c r="J562" s="4">
        <f t="shared" si="34"/>
        <v>1</v>
      </c>
      <c r="K562" s="3">
        <f t="shared" si="35"/>
        <v>2</v>
      </c>
    </row>
    <row r="563" spans="1:11">
      <c r="A563" s="4" t="s">
        <v>57</v>
      </c>
      <c r="B563" s="4" t="s">
        <v>110</v>
      </c>
      <c r="C563" s="4" t="s">
        <v>221</v>
      </c>
      <c r="D563" s="4">
        <f>INDEX(Positions!$D$2:$D$4694,MATCH($A563&amp;"|2",Positions!$A$2:$A$4694,0))</f>
        <v>2</v>
      </c>
      <c r="E563" s="4">
        <f>INDEX(Positions!$D$2:$D$4694,MATCH($A563&amp;"|71",Positions!$A$2:$A$4694,0))</f>
        <v>70</v>
      </c>
      <c r="F563" s="4" t="str">
        <f>INDEX(Positions!$E$2:$E$4694,MATCH($A563&amp;"|2",Positions!$A$2:$A$4694,0))</f>
        <v>C</v>
      </c>
      <c r="G563" s="4" t="str">
        <f>INDEX(Positions!$E$2:$E$4694,MATCH($A563&amp;"|71",Positions!$A$2:$A$4694,0))</f>
        <v>G</v>
      </c>
      <c r="H563" s="3" t="str">
        <f t="shared" si="32"/>
        <v>C-G</v>
      </c>
      <c r="I563" s="4">
        <f t="shared" si="33"/>
        <v>1</v>
      </c>
      <c r="J563" s="4">
        <f t="shared" si="34"/>
        <v>1</v>
      </c>
      <c r="K563" s="3">
        <f t="shared" si="35"/>
        <v>2</v>
      </c>
    </row>
    <row r="564" spans="1:11">
      <c r="A564" s="4" t="s">
        <v>57</v>
      </c>
      <c r="B564" s="4" t="s">
        <v>110</v>
      </c>
      <c r="C564" s="4" t="s">
        <v>222</v>
      </c>
      <c r="D564" s="4">
        <f>INDEX(Positions!$D$2:$D$4694,MATCH($A564&amp;"|3",Positions!$A$2:$A$4694,0))</f>
        <v>3</v>
      </c>
      <c r="E564" s="4">
        <f>INDEX(Positions!$D$2:$D$4694,MATCH($A564&amp;"|70",Positions!$A$2:$A$4694,0))</f>
        <v>69</v>
      </c>
      <c r="F564" s="4" t="str">
        <f>INDEX(Positions!$E$2:$E$4694,MATCH($A564&amp;"|3",Positions!$A$2:$A$4694,0))</f>
        <v>G</v>
      </c>
      <c r="G564" s="4" t="str">
        <f>INDEX(Positions!$E$2:$E$4694,MATCH($A564&amp;"|70",Positions!$A$2:$A$4694,0))</f>
        <v>C</v>
      </c>
      <c r="H564" s="3" t="str">
        <f t="shared" si="32"/>
        <v>G-C</v>
      </c>
      <c r="I564" s="4">
        <f t="shared" si="33"/>
        <v>1</v>
      </c>
      <c r="J564" s="4">
        <f t="shared" si="34"/>
        <v>1</v>
      </c>
      <c r="K564" s="3">
        <f t="shared" si="35"/>
        <v>2</v>
      </c>
    </row>
    <row r="565" spans="1:11">
      <c r="A565" s="4" t="s">
        <v>57</v>
      </c>
      <c r="B565" s="4" t="s">
        <v>110</v>
      </c>
      <c r="C565" s="4" t="s">
        <v>223</v>
      </c>
      <c r="D565" s="4">
        <f>INDEX(Positions!$D$2:$D$4694,MATCH($A565&amp;"|4",Positions!$A$2:$A$4694,0))</f>
        <v>4</v>
      </c>
      <c r="E565" s="4">
        <f>INDEX(Positions!$D$2:$D$4694,MATCH($A565&amp;"|69",Positions!$A$2:$A$4694,0))</f>
        <v>68</v>
      </c>
      <c r="F565" s="4" t="str">
        <f>INDEX(Positions!$E$2:$E$4694,MATCH($A565&amp;"|4",Positions!$A$2:$A$4694,0))</f>
        <v>A</v>
      </c>
      <c r="G565" s="4" t="str">
        <f>INDEX(Positions!$E$2:$E$4694,MATCH($A565&amp;"|69",Positions!$A$2:$A$4694,0))</f>
        <v>U</v>
      </c>
      <c r="H565" s="3" t="str">
        <f t="shared" si="32"/>
        <v>A-U</v>
      </c>
      <c r="I565" s="4">
        <f t="shared" si="33"/>
        <v>0</v>
      </c>
      <c r="J565" s="4">
        <f t="shared" si="34"/>
        <v>0</v>
      </c>
      <c r="K565" s="3">
        <f t="shared" si="35"/>
        <v>0</v>
      </c>
    </row>
    <row r="566" spans="1:11">
      <c r="A566" s="4" t="s">
        <v>57</v>
      </c>
      <c r="B566" s="4" t="s">
        <v>110</v>
      </c>
      <c r="C566" s="4" t="s">
        <v>224</v>
      </c>
      <c r="D566" s="4">
        <f>INDEX(Positions!$D$2:$D$4694,MATCH($A566&amp;"|5",Positions!$A$2:$A$4694,0))</f>
        <v>5</v>
      </c>
      <c r="E566" s="4">
        <f>INDEX(Positions!$D$2:$D$4694,MATCH($A566&amp;"|68",Positions!$A$2:$A$4694,0))</f>
        <v>67</v>
      </c>
      <c r="F566" s="4" t="str">
        <f>INDEX(Positions!$E$2:$E$4694,MATCH($A566&amp;"|5",Positions!$A$2:$A$4694,0))</f>
        <v>C</v>
      </c>
      <c r="G566" s="4" t="str">
        <f>INDEX(Positions!$E$2:$E$4694,MATCH($A566&amp;"|68",Positions!$A$2:$A$4694,0))</f>
        <v>G</v>
      </c>
      <c r="H566" s="3" t="str">
        <f t="shared" si="32"/>
        <v>C-G</v>
      </c>
      <c r="I566" s="4">
        <f t="shared" si="33"/>
        <v>1</v>
      </c>
      <c r="J566" s="4">
        <f t="shared" si="34"/>
        <v>1</v>
      </c>
      <c r="K566" s="3">
        <f t="shared" si="35"/>
        <v>2</v>
      </c>
    </row>
    <row r="567" spans="1:11">
      <c r="A567" s="4" t="s">
        <v>57</v>
      </c>
      <c r="B567" s="4" t="s">
        <v>110</v>
      </c>
      <c r="C567" s="4" t="s">
        <v>225</v>
      </c>
      <c r="D567" s="4">
        <f>INDEX(Positions!$D$2:$D$4694,MATCH($A567&amp;"|6",Positions!$A$2:$A$4694,0))</f>
        <v>6</v>
      </c>
      <c r="E567" s="4">
        <f>INDEX(Positions!$D$2:$D$4694,MATCH($A567&amp;"|67",Positions!$A$2:$A$4694,0))</f>
        <v>66</v>
      </c>
      <c r="F567" s="4" t="str">
        <f>INDEX(Positions!$E$2:$E$4694,MATCH($A567&amp;"|6",Positions!$A$2:$A$4694,0))</f>
        <v>U</v>
      </c>
      <c r="G567" s="4" t="str">
        <f>INDEX(Positions!$E$2:$E$4694,MATCH($A567&amp;"|67",Positions!$A$2:$A$4694,0))</f>
        <v>G</v>
      </c>
      <c r="H567" s="3" t="str">
        <f t="shared" si="32"/>
        <v>U-G</v>
      </c>
      <c r="I567" s="4">
        <f t="shared" si="33"/>
        <v>1</v>
      </c>
      <c r="J567" s="4">
        <f t="shared" si="34"/>
        <v>0</v>
      </c>
      <c r="K567" s="3">
        <f t="shared" si="35"/>
        <v>1</v>
      </c>
    </row>
    <row r="568" spans="1:11">
      <c r="A568" s="4" t="s">
        <v>57</v>
      </c>
      <c r="B568" s="4" t="s">
        <v>110</v>
      </c>
      <c r="C568" s="4" t="s">
        <v>226</v>
      </c>
      <c r="D568" s="4">
        <f>INDEX(Positions!$D$2:$D$4694,MATCH($A568&amp;"|7",Positions!$A$2:$A$4694,0))</f>
        <v>7</v>
      </c>
      <c r="E568" s="4">
        <f>INDEX(Positions!$D$2:$D$4694,MATCH($A568&amp;"|66",Positions!$A$2:$A$4694,0))</f>
        <v>65</v>
      </c>
      <c r="F568" s="4" t="str">
        <f>INDEX(Positions!$E$2:$E$4694,MATCH($A568&amp;"|7",Positions!$A$2:$A$4694,0))</f>
        <v>G</v>
      </c>
      <c r="G568" s="4" t="str">
        <f>INDEX(Positions!$E$2:$E$4694,MATCH($A568&amp;"|66",Positions!$A$2:$A$4694,0))</f>
        <v>C</v>
      </c>
      <c r="H568" s="3" t="str">
        <f t="shared" si="32"/>
        <v>G-C</v>
      </c>
      <c r="I568" s="4">
        <f t="shared" si="33"/>
        <v>1</v>
      </c>
      <c r="J568" s="4">
        <f t="shared" si="34"/>
        <v>1</v>
      </c>
      <c r="K568" s="3">
        <f t="shared" si="35"/>
        <v>2</v>
      </c>
    </row>
    <row r="569" spans="1:11">
      <c r="A569" s="4" t="s">
        <v>57</v>
      </c>
      <c r="B569" s="4" t="s">
        <v>125</v>
      </c>
      <c r="C569" s="4" t="s">
        <v>227</v>
      </c>
      <c r="D569" s="4">
        <f>INDEX(Positions!$D$2:$D$4694,MATCH($A569&amp;"|10",Positions!$A$2:$A$4694,0))</f>
        <v>10</v>
      </c>
      <c r="E569" s="4">
        <f>INDEX(Positions!$D$2:$D$4694,MATCH($A569&amp;"|25",Positions!$A$2:$A$4694,0))</f>
        <v>25</v>
      </c>
      <c r="F569" s="4" t="str">
        <f>INDEX(Positions!$E$2:$E$4694,MATCH($A569&amp;"|10",Positions!$A$2:$A$4694,0))</f>
        <v>G</v>
      </c>
      <c r="G569" s="4" t="str">
        <f>INDEX(Positions!$E$2:$E$4694,MATCH($A569&amp;"|25",Positions!$A$2:$A$4694,0))</f>
        <v>C</v>
      </c>
      <c r="H569" s="3" t="str">
        <f t="shared" si="32"/>
        <v>G-C</v>
      </c>
      <c r="I569" s="4">
        <f t="shared" si="33"/>
        <v>1</v>
      </c>
      <c r="J569" s="4">
        <f t="shared" si="34"/>
        <v>1</v>
      </c>
      <c r="K569" s="3">
        <f t="shared" si="35"/>
        <v>2</v>
      </c>
    </row>
    <row r="570" spans="1:11">
      <c r="A570" s="4" t="s">
        <v>57</v>
      </c>
      <c r="B570" s="4" t="s">
        <v>125</v>
      </c>
      <c r="C570" s="4" t="s">
        <v>228</v>
      </c>
      <c r="D570" s="4">
        <f>INDEX(Positions!$D$2:$D$4694,MATCH($A570&amp;"|11",Positions!$A$2:$A$4694,0))</f>
        <v>11</v>
      </c>
      <c r="E570" s="4">
        <f>INDEX(Positions!$D$2:$D$4694,MATCH($A570&amp;"|24",Positions!$A$2:$A$4694,0))</f>
        <v>24</v>
      </c>
      <c r="F570" s="4" t="str">
        <f>INDEX(Positions!$E$2:$E$4694,MATCH($A570&amp;"|11",Positions!$A$2:$A$4694,0))</f>
        <v>U</v>
      </c>
      <c r="G570" s="4" t="str">
        <f>INDEX(Positions!$E$2:$E$4694,MATCH($A570&amp;"|24",Positions!$A$2:$A$4694,0))</f>
        <v>A</v>
      </c>
      <c r="H570" s="3" t="str">
        <f t="shared" si="32"/>
        <v>U-A</v>
      </c>
      <c r="I570" s="4">
        <f t="shared" si="33"/>
        <v>0</v>
      </c>
      <c r="J570" s="4">
        <f t="shared" si="34"/>
        <v>0</v>
      </c>
      <c r="K570" s="3">
        <f t="shared" si="35"/>
        <v>0</v>
      </c>
    </row>
    <row r="571" spans="1:11">
      <c r="A571" s="4" t="s">
        <v>57</v>
      </c>
      <c r="B571" s="4" t="s">
        <v>125</v>
      </c>
      <c r="C571" s="4" t="s">
        <v>229</v>
      </c>
      <c r="D571" s="4">
        <f>INDEX(Positions!$D$2:$D$4694,MATCH($A571&amp;"|12",Positions!$A$2:$A$4694,0))</f>
        <v>12</v>
      </c>
      <c r="E571" s="4">
        <f>INDEX(Positions!$D$2:$D$4694,MATCH($A571&amp;"|23",Positions!$A$2:$A$4694,0))</f>
        <v>23</v>
      </c>
      <c r="F571" s="4" t="str">
        <f>INDEX(Positions!$E$2:$E$4694,MATCH($A571&amp;"|12",Positions!$A$2:$A$4694,0))</f>
        <v>U</v>
      </c>
      <c r="G571" s="4" t="str">
        <f>INDEX(Positions!$E$2:$E$4694,MATCH($A571&amp;"|23",Positions!$A$2:$A$4694,0))</f>
        <v>G</v>
      </c>
      <c r="H571" s="3" t="str">
        <f t="shared" si="32"/>
        <v>U-G</v>
      </c>
      <c r="I571" s="4">
        <f t="shared" si="33"/>
        <v>1</v>
      </c>
      <c r="J571" s="4">
        <f t="shared" si="34"/>
        <v>0</v>
      </c>
      <c r="K571" s="3">
        <f t="shared" si="35"/>
        <v>1</v>
      </c>
    </row>
    <row r="572" spans="1:11">
      <c r="A572" s="4" t="s">
        <v>57</v>
      </c>
      <c r="B572" s="4" t="s">
        <v>125</v>
      </c>
      <c r="C572" s="4" t="s">
        <v>230</v>
      </c>
      <c r="D572" s="4">
        <f>INDEX(Positions!$D$2:$D$4694,MATCH($A572&amp;"|13",Positions!$A$2:$A$4694,0))</f>
        <v>13</v>
      </c>
      <c r="E572" s="4">
        <f>INDEX(Positions!$D$2:$D$4694,MATCH($A572&amp;"|22",Positions!$A$2:$A$4694,0))</f>
        <v>22</v>
      </c>
      <c r="F572" s="4" t="str">
        <f>INDEX(Positions!$E$2:$E$4694,MATCH($A572&amp;"|13",Positions!$A$2:$A$4694,0))</f>
        <v>U</v>
      </c>
      <c r="G572" s="4" t="str">
        <f>INDEX(Positions!$E$2:$E$4694,MATCH($A572&amp;"|22",Positions!$A$2:$A$4694,0))</f>
        <v>U</v>
      </c>
      <c r="H572" s="3" t="str">
        <f t="shared" si="32"/>
        <v>U-U</v>
      </c>
      <c r="I572" s="4">
        <f t="shared" si="33"/>
        <v>0</v>
      </c>
      <c r="J572" s="4">
        <f t="shared" si="34"/>
        <v>0</v>
      </c>
      <c r="K572" s="3">
        <f t="shared" si="35"/>
        <v>0</v>
      </c>
    </row>
    <row r="573" spans="1:11">
      <c r="A573" s="4" t="s">
        <v>57</v>
      </c>
      <c r="B573" s="4" t="s">
        <v>144</v>
      </c>
      <c r="C573" s="4" t="s">
        <v>231</v>
      </c>
      <c r="D573" s="4">
        <f>INDEX(Positions!$D$2:$D$4694,MATCH($A573&amp;"|27",Positions!$A$2:$A$4694,0))</f>
        <v>27</v>
      </c>
      <c r="E573" s="4">
        <f>INDEX(Positions!$D$2:$D$4694,MATCH($A573&amp;"|43",Positions!$A$2:$A$4694,0))</f>
        <v>43</v>
      </c>
      <c r="F573" s="4" t="str">
        <f>INDEX(Positions!$E$2:$E$4694,MATCH($A573&amp;"|27",Positions!$A$2:$A$4694,0))</f>
        <v>U</v>
      </c>
      <c r="G573" s="4" t="str">
        <f>INDEX(Positions!$E$2:$E$4694,MATCH($A573&amp;"|43",Positions!$A$2:$A$4694,0))</f>
        <v>A</v>
      </c>
      <c r="H573" s="3" t="str">
        <f t="shared" si="32"/>
        <v>U-A</v>
      </c>
      <c r="I573" s="4">
        <f t="shared" si="33"/>
        <v>0</v>
      </c>
      <c r="J573" s="4">
        <f t="shared" si="34"/>
        <v>0</v>
      </c>
      <c r="K573" s="3">
        <f t="shared" si="35"/>
        <v>0</v>
      </c>
    </row>
    <row r="574" spans="1:11">
      <c r="A574" s="4" t="s">
        <v>57</v>
      </c>
      <c r="B574" s="4" t="s">
        <v>144</v>
      </c>
      <c r="C574" s="4" t="s">
        <v>232</v>
      </c>
      <c r="D574" s="4">
        <f>INDEX(Positions!$D$2:$D$4694,MATCH($A574&amp;"|28",Positions!$A$2:$A$4694,0))</f>
        <v>28</v>
      </c>
      <c r="E574" s="4">
        <f>INDEX(Positions!$D$2:$D$4694,MATCH($A574&amp;"|42",Positions!$A$2:$A$4694,0))</f>
        <v>42</v>
      </c>
      <c r="F574" s="4" t="str">
        <f>INDEX(Positions!$E$2:$E$4694,MATCH($A574&amp;"|28",Positions!$A$2:$A$4694,0))</f>
        <v>G</v>
      </c>
      <c r="G574" s="4" t="str">
        <f>INDEX(Positions!$E$2:$E$4694,MATCH($A574&amp;"|42",Positions!$A$2:$A$4694,0))</f>
        <v>U</v>
      </c>
      <c r="H574" s="3" t="str">
        <f t="shared" si="32"/>
        <v>G-U</v>
      </c>
      <c r="I574" s="4">
        <f t="shared" si="33"/>
        <v>1</v>
      </c>
      <c r="J574" s="4">
        <f t="shared" si="34"/>
        <v>0</v>
      </c>
      <c r="K574" s="3">
        <f t="shared" si="35"/>
        <v>1</v>
      </c>
    </row>
    <row r="575" spans="1:11">
      <c r="A575" s="4" t="s">
        <v>57</v>
      </c>
      <c r="B575" s="4" t="s">
        <v>144</v>
      </c>
      <c r="C575" s="4" t="s">
        <v>233</v>
      </c>
      <c r="D575" s="4">
        <f>INDEX(Positions!$D$2:$D$4694,MATCH($A575&amp;"|29",Positions!$A$2:$A$4694,0))</f>
        <v>29</v>
      </c>
      <c r="E575" s="4">
        <f>INDEX(Positions!$D$2:$D$4694,MATCH($A575&amp;"|41",Positions!$A$2:$A$4694,0))</f>
        <v>41</v>
      </c>
      <c r="F575" s="4" t="str">
        <f>INDEX(Positions!$E$2:$E$4694,MATCH($A575&amp;"|29",Positions!$A$2:$A$4694,0))</f>
        <v>A</v>
      </c>
      <c r="G575" s="4" t="str">
        <f>INDEX(Positions!$E$2:$E$4694,MATCH($A575&amp;"|41",Positions!$A$2:$A$4694,0))</f>
        <v>U</v>
      </c>
      <c r="H575" s="3" t="str">
        <f t="shared" si="32"/>
        <v>A-U</v>
      </c>
      <c r="I575" s="4">
        <f t="shared" si="33"/>
        <v>0</v>
      </c>
      <c r="J575" s="4">
        <f t="shared" si="34"/>
        <v>0</v>
      </c>
      <c r="K575" s="3">
        <f t="shared" si="35"/>
        <v>0</v>
      </c>
    </row>
    <row r="576" spans="1:11">
      <c r="A576" s="4" t="s">
        <v>57</v>
      </c>
      <c r="B576" s="4" t="s">
        <v>144</v>
      </c>
      <c r="C576" s="4" t="s">
        <v>234</v>
      </c>
      <c r="D576" s="4">
        <f>INDEX(Positions!$D$2:$D$4694,MATCH($A576&amp;"|30",Positions!$A$2:$A$4694,0))</f>
        <v>30</v>
      </c>
      <c r="E576" s="4">
        <f>INDEX(Positions!$D$2:$D$4694,MATCH($A576&amp;"|40",Positions!$A$2:$A$4694,0))</f>
        <v>40</v>
      </c>
      <c r="F576" s="4" t="str">
        <f>INDEX(Positions!$E$2:$E$4694,MATCH($A576&amp;"|30",Positions!$A$2:$A$4694,0))</f>
        <v>G</v>
      </c>
      <c r="G576" s="4" t="str">
        <f>INDEX(Positions!$E$2:$E$4694,MATCH($A576&amp;"|40",Positions!$A$2:$A$4694,0))</f>
        <v>C</v>
      </c>
      <c r="H576" s="3" t="str">
        <f t="shared" si="32"/>
        <v>G-C</v>
      </c>
      <c r="I576" s="4">
        <f t="shared" si="33"/>
        <v>1</v>
      </c>
      <c r="J576" s="4">
        <f t="shared" si="34"/>
        <v>1</v>
      </c>
      <c r="K576" s="3">
        <f t="shared" si="35"/>
        <v>2</v>
      </c>
    </row>
    <row r="577" spans="1:11">
      <c r="A577" s="4" t="s">
        <v>57</v>
      </c>
      <c r="B577" s="4" t="s">
        <v>144</v>
      </c>
      <c r="C577" s="4" t="s">
        <v>235</v>
      </c>
      <c r="D577" s="4">
        <f>INDEX(Positions!$D$2:$D$4694,MATCH($A577&amp;"|31",Positions!$A$2:$A$4694,0))</f>
        <v>31</v>
      </c>
      <c r="E577" s="4">
        <f>INDEX(Positions!$D$2:$D$4694,MATCH($A577&amp;"|39",Positions!$A$2:$A$4694,0))</f>
        <v>39</v>
      </c>
      <c r="F577" s="4" t="str">
        <f>INDEX(Positions!$E$2:$E$4694,MATCH($A577&amp;"|31",Positions!$A$2:$A$4694,0))</f>
        <v>C</v>
      </c>
      <c r="G577" s="4" t="str">
        <f>INDEX(Positions!$E$2:$E$4694,MATCH($A577&amp;"|39",Positions!$A$2:$A$4694,0))</f>
        <v>G</v>
      </c>
      <c r="H577" s="3" t="str">
        <f t="shared" si="32"/>
        <v>C-G</v>
      </c>
      <c r="I577" s="4">
        <f t="shared" si="33"/>
        <v>1</v>
      </c>
      <c r="J577" s="4">
        <f t="shared" si="34"/>
        <v>1</v>
      </c>
      <c r="K577" s="3">
        <f t="shared" si="35"/>
        <v>2</v>
      </c>
    </row>
    <row r="578" spans="1:11">
      <c r="A578" s="4" t="s">
        <v>57</v>
      </c>
      <c r="B578" s="4" t="s">
        <v>169</v>
      </c>
      <c r="C578" s="4" t="s">
        <v>236</v>
      </c>
      <c r="D578" s="4">
        <f>INDEX(Positions!$D$2:$D$4694,MATCH($A578&amp;"|49",Positions!$A$2:$A$4694,0))</f>
        <v>48</v>
      </c>
      <c r="E578" s="4">
        <f>INDEX(Positions!$D$2:$D$4694,MATCH($A578&amp;"|65",Positions!$A$2:$A$4694,0))</f>
        <v>64</v>
      </c>
      <c r="F578" s="4" t="str">
        <f>INDEX(Positions!$E$2:$E$4694,MATCH($A578&amp;"|49",Positions!$A$2:$A$4694,0))</f>
        <v>C</v>
      </c>
      <c r="G578" s="4" t="str">
        <f>INDEX(Positions!$E$2:$E$4694,MATCH($A578&amp;"|65",Positions!$A$2:$A$4694,0))</f>
        <v>G</v>
      </c>
      <c r="H578" s="3" t="str">
        <f t="shared" ref="H578:H641" si="36">F578&amp;"-"&amp;G578</f>
        <v>C-G</v>
      </c>
      <c r="I578" s="4">
        <f t="shared" ref="I578:I641" si="37">(F578="G")+(G578="G")</f>
        <v>1</v>
      </c>
      <c r="J578" s="4">
        <f t="shared" ref="J578:J641" si="38">(F578="C")+(G578="C")</f>
        <v>1</v>
      </c>
      <c r="K578" s="3">
        <f t="shared" ref="K578:K641" si="39">I578+J578</f>
        <v>2</v>
      </c>
    </row>
    <row r="579" spans="1:11">
      <c r="A579" s="4" t="s">
        <v>57</v>
      </c>
      <c r="B579" s="4" t="s">
        <v>169</v>
      </c>
      <c r="C579" s="4" t="s">
        <v>237</v>
      </c>
      <c r="D579" s="4">
        <f>INDEX(Positions!$D$2:$D$4694,MATCH($A579&amp;"|50",Positions!$A$2:$A$4694,0))</f>
        <v>49</v>
      </c>
      <c r="E579" s="4">
        <f>INDEX(Positions!$D$2:$D$4694,MATCH($A579&amp;"|64",Positions!$A$2:$A$4694,0))</f>
        <v>63</v>
      </c>
      <c r="F579" s="4" t="str">
        <f>INDEX(Positions!$E$2:$E$4694,MATCH($A579&amp;"|50",Positions!$A$2:$A$4694,0))</f>
        <v>C</v>
      </c>
      <c r="G579" s="4" t="str">
        <f>INDEX(Positions!$E$2:$E$4694,MATCH($A579&amp;"|64",Positions!$A$2:$A$4694,0))</f>
        <v>G</v>
      </c>
      <c r="H579" s="3" t="str">
        <f t="shared" si="36"/>
        <v>C-G</v>
      </c>
      <c r="I579" s="4">
        <f t="shared" si="37"/>
        <v>1</v>
      </c>
      <c r="J579" s="4">
        <f t="shared" si="38"/>
        <v>1</v>
      </c>
      <c r="K579" s="3">
        <f t="shared" si="39"/>
        <v>2</v>
      </c>
    </row>
    <row r="580" spans="1:11">
      <c r="A580" s="4" t="s">
        <v>57</v>
      </c>
      <c r="B580" s="4" t="s">
        <v>169</v>
      </c>
      <c r="C580" s="4" t="s">
        <v>238</v>
      </c>
      <c r="D580" s="4">
        <f>INDEX(Positions!$D$2:$D$4694,MATCH($A580&amp;"|51",Positions!$A$2:$A$4694,0))</f>
        <v>50</v>
      </c>
      <c r="E580" s="4">
        <f>INDEX(Positions!$D$2:$D$4694,MATCH($A580&amp;"|63",Positions!$A$2:$A$4694,0))</f>
        <v>62</v>
      </c>
      <c r="F580" s="4" t="str">
        <f>INDEX(Positions!$E$2:$E$4694,MATCH($A580&amp;"|51",Positions!$A$2:$A$4694,0))</f>
        <v>G</v>
      </c>
      <c r="G580" s="4" t="str">
        <f>INDEX(Positions!$E$2:$E$4694,MATCH($A580&amp;"|63",Positions!$A$2:$A$4694,0))</f>
        <v>C</v>
      </c>
      <c r="H580" s="3" t="str">
        <f t="shared" si="36"/>
        <v>G-C</v>
      </c>
      <c r="I580" s="4">
        <f t="shared" si="37"/>
        <v>1</v>
      </c>
      <c r="J580" s="4">
        <f t="shared" si="38"/>
        <v>1</v>
      </c>
      <c r="K580" s="3">
        <f t="shared" si="39"/>
        <v>2</v>
      </c>
    </row>
    <row r="581" spans="1:11">
      <c r="A581" s="4" t="s">
        <v>57</v>
      </c>
      <c r="B581" s="4" t="s">
        <v>169</v>
      </c>
      <c r="C581" s="4" t="s">
        <v>239</v>
      </c>
      <c r="D581" s="4">
        <f>INDEX(Positions!$D$2:$D$4694,MATCH($A581&amp;"|52",Positions!$A$2:$A$4694,0))</f>
        <v>51</v>
      </c>
      <c r="E581" s="4">
        <f>INDEX(Positions!$D$2:$D$4694,MATCH($A581&amp;"|62",Positions!$A$2:$A$4694,0))</f>
        <v>61</v>
      </c>
      <c r="F581" s="4" t="str">
        <f>INDEX(Positions!$E$2:$E$4694,MATCH($A581&amp;"|52",Positions!$A$2:$A$4694,0))</f>
        <v>G</v>
      </c>
      <c r="G581" s="4" t="str">
        <f>INDEX(Positions!$E$2:$E$4694,MATCH($A581&amp;"|62",Positions!$A$2:$A$4694,0))</f>
        <v>C</v>
      </c>
      <c r="H581" s="3" t="str">
        <f t="shared" si="36"/>
        <v>G-C</v>
      </c>
      <c r="I581" s="4">
        <f t="shared" si="37"/>
        <v>1</v>
      </c>
      <c r="J581" s="4">
        <f t="shared" si="38"/>
        <v>1</v>
      </c>
      <c r="K581" s="3">
        <f t="shared" si="39"/>
        <v>2</v>
      </c>
    </row>
    <row r="582" spans="1:11">
      <c r="A582" s="4" t="s">
        <v>57</v>
      </c>
      <c r="B582" s="4" t="s">
        <v>169</v>
      </c>
      <c r="C582" s="4" t="s">
        <v>240</v>
      </c>
      <c r="D582" s="4">
        <f>INDEX(Positions!$D$2:$D$4694,MATCH($A582&amp;"|53",Positions!$A$2:$A$4694,0))</f>
        <v>52</v>
      </c>
      <c r="E582" s="4">
        <f>INDEX(Positions!$D$2:$D$4694,MATCH($A582&amp;"|61",Positions!$A$2:$A$4694,0))</f>
        <v>60</v>
      </c>
      <c r="F582" s="4" t="str">
        <f>INDEX(Positions!$E$2:$E$4694,MATCH($A582&amp;"|53",Positions!$A$2:$A$4694,0))</f>
        <v>G</v>
      </c>
      <c r="G582" s="4" t="str">
        <f>INDEX(Positions!$E$2:$E$4694,MATCH($A582&amp;"|61",Positions!$A$2:$A$4694,0))</f>
        <v>C</v>
      </c>
      <c r="H582" s="3" t="str">
        <f t="shared" si="36"/>
        <v>G-C</v>
      </c>
      <c r="I582" s="4">
        <f t="shared" si="37"/>
        <v>1</v>
      </c>
      <c r="J582" s="4">
        <f t="shared" si="38"/>
        <v>1</v>
      </c>
      <c r="K582" s="3">
        <f t="shared" si="39"/>
        <v>2</v>
      </c>
    </row>
    <row r="583" spans="1:11">
      <c r="A583" s="23" t="s">
        <v>57</v>
      </c>
      <c r="B583" s="23" t="s">
        <v>241</v>
      </c>
      <c r="C583" s="23" t="s">
        <v>242</v>
      </c>
      <c r="D583" s="23">
        <f>INDEX(Positions!$D$2:$D$4694,MATCH($A583&amp;"|8",Positions!$A$2:$A$4694,0))</f>
        <v>8</v>
      </c>
      <c r="E583" s="23">
        <f>INDEX(Positions!$D$2:$D$4694,MATCH($A583&amp;"|14",Positions!$A$2:$A$4694,0))</f>
        <v>14</v>
      </c>
      <c r="F583" s="23" t="str">
        <f>INDEX(Positions!$E$2:$E$4694,MATCH($A583&amp;"|8",Positions!$A$2:$A$4694,0))</f>
        <v>U</v>
      </c>
      <c r="G583" s="23" t="str">
        <f>INDEX(Positions!$E$2:$E$4694,MATCH($A583&amp;"|14",Positions!$A$2:$A$4694,0))</f>
        <v>A</v>
      </c>
      <c r="H583" s="24" t="str">
        <f t="shared" si="36"/>
        <v>U-A</v>
      </c>
      <c r="I583" s="23">
        <f t="shared" si="37"/>
        <v>0</v>
      </c>
      <c r="J583" s="23">
        <f t="shared" si="38"/>
        <v>0</v>
      </c>
      <c r="K583" s="24">
        <f t="shared" si="39"/>
        <v>0</v>
      </c>
    </row>
    <row r="584" spans="1:11">
      <c r="A584" s="23" t="s">
        <v>57</v>
      </c>
      <c r="B584" s="23" t="s">
        <v>241</v>
      </c>
      <c r="C584" s="23" t="s">
        <v>243</v>
      </c>
      <c r="D584" s="23">
        <f>INDEX(Positions!$D$2:$D$4694,MATCH($A584&amp;"|15",Positions!$A$2:$A$4694,0))</f>
        <v>15</v>
      </c>
      <c r="E584" s="23">
        <f>INDEX(Positions!$D$2:$D$4694,MATCH($A584&amp;"|48",Positions!$A$2:$A$4694,0))</f>
        <v>47</v>
      </c>
      <c r="F584" s="23" t="str">
        <f>INDEX(Positions!$E$2:$E$4694,MATCH($A584&amp;"|15",Positions!$A$2:$A$4694,0))</f>
        <v>G</v>
      </c>
      <c r="G584" s="23" t="str">
        <f>INDEX(Positions!$E$2:$E$4694,MATCH($A584&amp;"|48",Positions!$A$2:$A$4694,0))</f>
        <v>C</v>
      </c>
      <c r="H584" s="24" t="str">
        <f t="shared" si="36"/>
        <v>G-C</v>
      </c>
      <c r="I584" s="23">
        <f t="shared" si="37"/>
        <v>1</v>
      </c>
      <c r="J584" s="23">
        <f t="shared" si="38"/>
        <v>1</v>
      </c>
      <c r="K584" s="24">
        <f t="shared" si="39"/>
        <v>2</v>
      </c>
    </row>
    <row r="585" spans="1:11">
      <c r="A585" s="23" t="s">
        <v>57</v>
      </c>
      <c r="B585" s="23" t="s">
        <v>241</v>
      </c>
      <c r="C585" s="23" t="s">
        <v>244</v>
      </c>
      <c r="D585" s="23">
        <f>INDEX(Positions!$D$2:$D$4694,MATCH($A585&amp;"|18",Positions!$A$2:$A$4694,0))</f>
        <v>17</v>
      </c>
      <c r="E585" s="23">
        <f>INDEX(Positions!$D$2:$D$4694,MATCH($A585&amp;"|55",Positions!$A$2:$A$4694,0))</f>
        <v>54</v>
      </c>
      <c r="F585" s="23" t="str">
        <f>INDEX(Positions!$E$2:$E$4694,MATCH($A585&amp;"|18",Positions!$A$2:$A$4694,0))</f>
        <v>G</v>
      </c>
      <c r="G585" s="23" t="str">
        <f>INDEX(Positions!$E$2:$E$4694,MATCH($A585&amp;"|55",Positions!$A$2:$A$4694,0))</f>
        <v>U</v>
      </c>
      <c r="H585" s="24" t="str">
        <f t="shared" si="36"/>
        <v>G-U</v>
      </c>
      <c r="I585" s="23">
        <f t="shared" si="37"/>
        <v>1</v>
      </c>
      <c r="J585" s="23">
        <f t="shared" si="38"/>
        <v>0</v>
      </c>
      <c r="K585" s="24">
        <f t="shared" si="39"/>
        <v>1</v>
      </c>
    </row>
    <row r="586" spans="1:11">
      <c r="A586" s="23" t="s">
        <v>57</v>
      </c>
      <c r="B586" s="23" t="s">
        <v>241</v>
      </c>
      <c r="C586" s="23" t="s">
        <v>245</v>
      </c>
      <c r="D586" s="23">
        <f>INDEX(Positions!$D$2:$D$4694,MATCH($A586&amp;"|19",Positions!$A$2:$A$4694,0))</f>
        <v>18</v>
      </c>
      <c r="E586" s="23">
        <f>INDEX(Positions!$D$2:$D$4694,MATCH($A586&amp;"|56",Positions!$A$2:$A$4694,0))</f>
        <v>55</v>
      </c>
      <c r="F586" s="23" t="str">
        <f>INDEX(Positions!$E$2:$E$4694,MATCH($A586&amp;"|19",Positions!$A$2:$A$4694,0))</f>
        <v>G</v>
      </c>
      <c r="G586" s="23" t="str">
        <f>INDEX(Positions!$E$2:$E$4694,MATCH($A586&amp;"|56",Positions!$A$2:$A$4694,0))</f>
        <v>C</v>
      </c>
      <c r="H586" s="24" t="str">
        <f t="shared" si="36"/>
        <v>G-C</v>
      </c>
      <c r="I586" s="23">
        <f t="shared" si="37"/>
        <v>1</v>
      </c>
      <c r="J586" s="23">
        <f t="shared" si="38"/>
        <v>1</v>
      </c>
      <c r="K586" s="24">
        <f t="shared" si="39"/>
        <v>2</v>
      </c>
    </row>
    <row r="587" spans="1:11">
      <c r="A587" s="23" t="s">
        <v>57</v>
      </c>
      <c r="B587" s="23" t="s">
        <v>241</v>
      </c>
      <c r="C587" s="23" t="s">
        <v>246</v>
      </c>
      <c r="D587" s="23">
        <f>INDEX(Positions!$D$2:$D$4694,MATCH($A587&amp;"|26",Positions!$A$2:$A$4694,0))</f>
        <v>26</v>
      </c>
      <c r="E587" s="23">
        <f>INDEX(Positions!$D$2:$D$4694,MATCH($A587&amp;"|44",Positions!$A$2:$A$4694,0))</f>
        <v>44</v>
      </c>
      <c r="F587" s="23" t="str">
        <f>INDEX(Positions!$E$2:$E$4694,MATCH($A587&amp;"|26",Positions!$A$2:$A$4694,0))</f>
        <v>C</v>
      </c>
      <c r="G587" s="23" t="str">
        <f>INDEX(Positions!$E$2:$E$4694,MATCH($A587&amp;"|44",Positions!$A$2:$A$4694,0))</f>
        <v>G</v>
      </c>
      <c r="H587" s="24" t="str">
        <f t="shared" si="36"/>
        <v>C-G</v>
      </c>
      <c r="I587" s="23">
        <f t="shared" si="37"/>
        <v>1</v>
      </c>
      <c r="J587" s="23">
        <f t="shared" si="38"/>
        <v>1</v>
      </c>
      <c r="K587" s="24">
        <f t="shared" si="39"/>
        <v>2</v>
      </c>
    </row>
    <row r="588" spans="1:11">
      <c r="A588" s="23" t="s">
        <v>57</v>
      </c>
      <c r="B588" s="23" t="s">
        <v>241</v>
      </c>
      <c r="C588" s="23" t="s">
        <v>247</v>
      </c>
      <c r="D588" s="23">
        <f>INDEX(Positions!$D$2:$D$4694,MATCH($A588&amp;"|32",Positions!$A$2:$A$4694,0))</f>
        <v>32</v>
      </c>
      <c r="E588" s="23">
        <f>INDEX(Positions!$D$2:$D$4694,MATCH($A588&amp;"|38",Positions!$A$2:$A$4694,0))</f>
        <v>38</v>
      </c>
      <c r="F588" s="23" t="str">
        <f>INDEX(Positions!$E$2:$E$4694,MATCH($A588&amp;"|32",Positions!$A$2:$A$4694,0))</f>
        <v>U</v>
      </c>
      <c r="G588" s="23" t="str">
        <f>INDEX(Positions!$E$2:$E$4694,MATCH($A588&amp;"|38",Positions!$A$2:$A$4694,0))</f>
        <v>A</v>
      </c>
      <c r="H588" s="24" t="str">
        <f t="shared" si="36"/>
        <v>U-A</v>
      </c>
      <c r="I588" s="23">
        <f t="shared" si="37"/>
        <v>0</v>
      </c>
      <c r="J588" s="23">
        <f t="shared" si="38"/>
        <v>0</v>
      </c>
      <c r="K588" s="24">
        <f t="shared" si="39"/>
        <v>0</v>
      </c>
    </row>
    <row r="589" spans="1:11">
      <c r="A589" s="23" t="s">
        <v>57</v>
      </c>
      <c r="B589" s="23" t="s">
        <v>241</v>
      </c>
      <c r="C589" s="23" t="s">
        <v>248</v>
      </c>
      <c r="D589" s="23">
        <f>INDEX(Positions!$D$2:$D$4694,MATCH($A589&amp;"|54",Positions!$A$2:$A$4694,0))</f>
        <v>53</v>
      </c>
      <c r="E589" s="23">
        <f>INDEX(Positions!$D$2:$D$4694,MATCH($A589&amp;"|58",Positions!$A$2:$A$4694,0))</f>
        <v>57</v>
      </c>
      <c r="F589" s="23" t="str">
        <f>INDEX(Positions!$E$2:$E$4694,MATCH($A589&amp;"|54",Positions!$A$2:$A$4694,0))</f>
        <v>U</v>
      </c>
      <c r="G589" s="23" t="str">
        <f>INDEX(Positions!$E$2:$E$4694,MATCH($A589&amp;"|58",Positions!$A$2:$A$4694,0))</f>
        <v>A</v>
      </c>
      <c r="H589" s="24" t="str">
        <f t="shared" si="36"/>
        <v>U-A</v>
      </c>
      <c r="I589" s="23">
        <f t="shared" si="37"/>
        <v>0</v>
      </c>
      <c r="J589" s="23">
        <f t="shared" si="38"/>
        <v>0</v>
      </c>
      <c r="K589" s="24">
        <f t="shared" si="39"/>
        <v>0</v>
      </c>
    </row>
    <row r="590" spans="1:11">
      <c r="A590" s="4" t="s">
        <v>58</v>
      </c>
      <c r="B590" s="4" t="s">
        <v>110</v>
      </c>
      <c r="C590" s="4" t="s">
        <v>220</v>
      </c>
      <c r="D590" s="4">
        <f>INDEX(Positions!$D$2:$D$4694,MATCH($A590&amp;"|1",Positions!$A$2:$A$4694,0))</f>
        <v>1</v>
      </c>
      <c r="E590" s="4">
        <f>INDEX(Positions!$D$2:$D$4694,MATCH($A590&amp;"|72",Positions!$A$2:$A$4694,0))</f>
        <v>71</v>
      </c>
      <c r="F590" s="4" t="str">
        <f>INDEX(Positions!$E$2:$E$4694,MATCH($A590&amp;"|1",Positions!$A$2:$A$4694,0))</f>
        <v>A</v>
      </c>
      <c r="G590" s="4" t="str">
        <f>INDEX(Positions!$E$2:$E$4694,MATCH($A590&amp;"|72",Positions!$A$2:$A$4694,0))</f>
        <v>U</v>
      </c>
      <c r="H590" s="3" t="str">
        <f t="shared" si="36"/>
        <v>A-U</v>
      </c>
      <c r="I590" s="4">
        <f t="shared" si="37"/>
        <v>0</v>
      </c>
      <c r="J590" s="4">
        <f t="shared" si="38"/>
        <v>0</v>
      </c>
      <c r="K590" s="3">
        <f t="shared" si="39"/>
        <v>0</v>
      </c>
    </row>
    <row r="591" spans="1:11">
      <c r="A591" s="4" t="s">
        <v>58</v>
      </c>
      <c r="B591" s="4" t="s">
        <v>110</v>
      </c>
      <c r="C591" s="4" t="s">
        <v>221</v>
      </c>
      <c r="D591" s="4">
        <f>INDEX(Positions!$D$2:$D$4694,MATCH($A591&amp;"|2",Positions!$A$2:$A$4694,0))</f>
        <v>2</v>
      </c>
      <c r="E591" s="4">
        <f>INDEX(Positions!$D$2:$D$4694,MATCH($A591&amp;"|71",Positions!$A$2:$A$4694,0))</f>
        <v>70</v>
      </c>
      <c r="F591" s="4" t="str">
        <f>INDEX(Positions!$E$2:$E$4694,MATCH($A591&amp;"|2",Positions!$A$2:$A$4694,0))</f>
        <v>C</v>
      </c>
      <c r="G591" s="4" t="str">
        <f>INDEX(Positions!$E$2:$E$4694,MATCH($A591&amp;"|71",Positions!$A$2:$A$4694,0))</f>
        <v>G</v>
      </c>
      <c r="H591" s="3" t="str">
        <f t="shared" si="36"/>
        <v>C-G</v>
      </c>
      <c r="I591" s="4">
        <f t="shared" si="37"/>
        <v>1</v>
      </c>
      <c r="J591" s="4">
        <f t="shared" si="38"/>
        <v>1</v>
      </c>
      <c r="K591" s="3">
        <f t="shared" si="39"/>
        <v>2</v>
      </c>
    </row>
    <row r="592" spans="1:11">
      <c r="A592" s="4" t="s">
        <v>58</v>
      </c>
      <c r="B592" s="4" t="s">
        <v>110</v>
      </c>
      <c r="C592" s="4" t="s">
        <v>222</v>
      </c>
      <c r="D592" s="4">
        <f>INDEX(Positions!$D$2:$D$4694,MATCH($A592&amp;"|3",Positions!$A$2:$A$4694,0))</f>
        <v>3</v>
      </c>
      <c r="E592" s="4">
        <f>INDEX(Positions!$D$2:$D$4694,MATCH($A592&amp;"|70",Positions!$A$2:$A$4694,0))</f>
        <v>69</v>
      </c>
      <c r="F592" s="4" t="str">
        <f>INDEX(Positions!$E$2:$E$4694,MATCH($A592&amp;"|3",Positions!$A$2:$A$4694,0))</f>
        <v>A</v>
      </c>
      <c r="G592" s="4" t="str">
        <f>INDEX(Positions!$E$2:$E$4694,MATCH($A592&amp;"|70",Positions!$A$2:$A$4694,0))</f>
        <v>U</v>
      </c>
      <c r="H592" s="3" t="str">
        <f t="shared" si="36"/>
        <v>A-U</v>
      </c>
      <c r="I592" s="4">
        <f t="shared" si="37"/>
        <v>0</v>
      </c>
      <c r="J592" s="4">
        <f t="shared" si="38"/>
        <v>0</v>
      </c>
      <c r="K592" s="3">
        <f t="shared" si="39"/>
        <v>0</v>
      </c>
    </row>
    <row r="593" spans="1:11">
      <c r="A593" s="4" t="s">
        <v>58</v>
      </c>
      <c r="B593" s="4" t="s">
        <v>110</v>
      </c>
      <c r="C593" s="4" t="s">
        <v>223</v>
      </c>
      <c r="D593" s="4">
        <f>INDEX(Positions!$D$2:$D$4694,MATCH($A593&amp;"|4",Positions!$A$2:$A$4694,0))</f>
        <v>4</v>
      </c>
      <c r="E593" s="4">
        <f>INDEX(Positions!$D$2:$D$4694,MATCH($A593&amp;"|69",Positions!$A$2:$A$4694,0))</f>
        <v>68</v>
      </c>
      <c r="F593" s="4" t="str">
        <f>INDEX(Positions!$E$2:$E$4694,MATCH($A593&amp;"|4",Positions!$A$2:$A$4694,0))</f>
        <v>U</v>
      </c>
      <c r="G593" s="4" t="str">
        <f>INDEX(Positions!$E$2:$E$4694,MATCH($A593&amp;"|69",Positions!$A$2:$A$4694,0))</f>
        <v>A</v>
      </c>
      <c r="H593" s="3" t="str">
        <f t="shared" si="36"/>
        <v>U-A</v>
      </c>
      <c r="I593" s="4">
        <f t="shared" si="37"/>
        <v>0</v>
      </c>
      <c r="J593" s="4">
        <f t="shared" si="38"/>
        <v>0</v>
      </c>
      <c r="K593" s="3">
        <f t="shared" si="39"/>
        <v>0</v>
      </c>
    </row>
    <row r="594" spans="1:11">
      <c r="A594" s="4" t="s">
        <v>58</v>
      </c>
      <c r="B594" s="4" t="s">
        <v>110</v>
      </c>
      <c r="C594" s="4" t="s">
        <v>224</v>
      </c>
      <c r="D594" s="4">
        <f>INDEX(Positions!$D$2:$D$4694,MATCH($A594&amp;"|5",Positions!$A$2:$A$4694,0))</f>
        <v>5</v>
      </c>
      <c r="E594" s="4">
        <f>INDEX(Positions!$D$2:$D$4694,MATCH($A594&amp;"|68",Positions!$A$2:$A$4694,0))</f>
        <v>67</v>
      </c>
      <c r="F594" s="4" t="str">
        <f>INDEX(Positions!$E$2:$E$4694,MATCH($A594&amp;"|5",Positions!$A$2:$A$4694,0))</f>
        <v>C</v>
      </c>
      <c r="G594" s="4" t="str">
        <f>INDEX(Positions!$E$2:$E$4694,MATCH($A594&amp;"|68",Positions!$A$2:$A$4694,0))</f>
        <v>G</v>
      </c>
      <c r="H594" s="3" t="str">
        <f t="shared" si="36"/>
        <v>C-G</v>
      </c>
      <c r="I594" s="4">
        <f t="shared" si="37"/>
        <v>1</v>
      </c>
      <c r="J594" s="4">
        <f t="shared" si="38"/>
        <v>1</v>
      </c>
      <c r="K594" s="3">
        <f t="shared" si="39"/>
        <v>2</v>
      </c>
    </row>
    <row r="595" spans="1:11">
      <c r="A595" s="4" t="s">
        <v>58</v>
      </c>
      <c r="B595" s="4" t="s">
        <v>110</v>
      </c>
      <c r="C595" s="4" t="s">
        <v>225</v>
      </c>
      <c r="D595" s="4">
        <f>INDEX(Positions!$D$2:$D$4694,MATCH($A595&amp;"|6",Positions!$A$2:$A$4694,0))</f>
        <v>6</v>
      </c>
      <c r="E595" s="4">
        <f>INDEX(Positions!$D$2:$D$4694,MATCH($A595&amp;"|67",Positions!$A$2:$A$4694,0))</f>
        <v>66</v>
      </c>
      <c r="F595" s="4" t="str">
        <f>INDEX(Positions!$E$2:$E$4694,MATCH($A595&amp;"|6",Positions!$A$2:$A$4694,0))</f>
        <v>A</v>
      </c>
      <c r="G595" s="4" t="str">
        <f>INDEX(Positions!$E$2:$E$4694,MATCH($A595&amp;"|67",Positions!$A$2:$A$4694,0))</f>
        <v>U</v>
      </c>
      <c r="H595" s="3" t="str">
        <f t="shared" si="36"/>
        <v>A-U</v>
      </c>
      <c r="I595" s="4">
        <f t="shared" si="37"/>
        <v>0</v>
      </c>
      <c r="J595" s="4">
        <f t="shared" si="38"/>
        <v>0</v>
      </c>
      <c r="K595" s="3">
        <f t="shared" si="39"/>
        <v>0</v>
      </c>
    </row>
    <row r="596" spans="1:11">
      <c r="A596" s="4" t="s">
        <v>58</v>
      </c>
      <c r="B596" s="4" t="s">
        <v>110</v>
      </c>
      <c r="C596" s="4" t="s">
        <v>226</v>
      </c>
      <c r="D596" s="4">
        <f>INDEX(Positions!$D$2:$D$4694,MATCH($A596&amp;"|7",Positions!$A$2:$A$4694,0))</f>
        <v>7</v>
      </c>
      <c r="E596" s="4">
        <f>INDEX(Positions!$D$2:$D$4694,MATCH($A596&amp;"|66",Positions!$A$2:$A$4694,0))</f>
        <v>65</v>
      </c>
      <c r="F596" s="4" t="str">
        <f>INDEX(Positions!$E$2:$E$4694,MATCH($A596&amp;"|7",Positions!$A$2:$A$4694,0))</f>
        <v>G</v>
      </c>
      <c r="G596" s="4" t="str">
        <f>INDEX(Positions!$E$2:$E$4694,MATCH($A596&amp;"|66",Positions!$A$2:$A$4694,0))</f>
        <v>C</v>
      </c>
      <c r="H596" s="3" t="str">
        <f t="shared" si="36"/>
        <v>G-C</v>
      </c>
      <c r="I596" s="4">
        <f t="shared" si="37"/>
        <v>1</v>
      </c>
      <c r="J596" s="4">
        <f t="shared" si="38"/>
        <v>1</v>
      </c>
      <c r="K596" s="3">
        <f t="shared" si="39"/>
        <v>2</v>
      </c>
    </row>
    <row r="597" spans="1:11">
      <c r="A597" s="4" t="s">
        <v>58</v>
      </c>
      <c r="B597" s="4" t="s">
        <v>125</v>
      </c>
      <c r="C597" s="4" t="s">
        <v>227</v>
      </c>
      <c r="D597" s="4">
        <f>INDEX(Positions!$D$2:$D$4694,MATCH($A597&amp;"|10",Positions!$A$2:$A$4694,0))</f>
        <v>10</v>
      </c>
      <c r="E597" s="4">
        <f>INDEX(Positions!$D$2:$D$4694,MATCH($A597&amp;"|25",Positions!$A$2:$A$4694,0))</f>
        <v>25</v>
      </c>
      <c r="F597" s="4" t="str">
        <f>INDEX(Positions!$E$2:$E$4694,MATCH($A597&amp;"|10",Positions!$A$2:$A$4694,0))</f>
        <v>G</v>
      </c>
      <c r="G597" s="4" t="str">
        <f>INDEX(Positions!$E$2:$E$4694,MATCH($A597&amp;"|25",Positions!$A$2:$A$4694,0))</f>
        <v>C</v>
      </c>
      <c r="H597" s="3" t="str">
        <f t="shared" si="36"/>
        <v>G-C</v>
      </c>
      <c r="I597" s="4">
        <f t="shared" si="37"/>
        <v>1</v>
      </c>
      <c r="J597" s="4">
        <f t="shared" si="38"/>
        <v>1</v>
      </c>
      <c r="K597" s="3">
        <f t="shared" si="39"/>
        <v>2</v>
      </c>
    </row>
    <row r="598" spans="1:11">
      <c r="A598" s="4" t="s">
        <v>58</v>
      </c>
      <c r="B598" s="4" t="s">
        <v>125</v>
      </c>
      <c r="C598" s="4" t="s">
        <v>228</v>
      </c>
      <c r="D598" s="4">
        <f>INDEX(Positions!$D$2:$D$4694,MATCH($A598&amp;"|11",Positions!$A$2:$A$4694,0))</f>
        <v>11</v>
      </c>
      <c r="E598" s="4">
        <f>INDEX(Positions!$D$2:$D$4694,MATCH($A598&amp;"|24",Positions!$A$2:$A$4694,0))</f>
        <v>24</v>
      </c>
      <c r="F598" s="4" t="str">
        <f>INDEX(Positions!$E$2:$E$4694,MATCH($A598&amp;"|11",Positions!$A$2:$A$4694,0))</f>
        <v>U</v>
      </c>
      <c r="G598" s="4" t="str">
        <f>INDEX(Positions!$E$2:$E$4694,MATCH($A598&amp;"|24",Positions!$A$2:$A$4694,0))</f>
        <v>A</v>
      </c>
      <c r="H598" s="3" t="str">
        <f t="shared" si="36"/>
        <v>U-A</v>
      </c>
      <c r="I598" s="4">
        <f t="shared" si="37"/>
        <v>0</v>
      </c>
      <c r="J598" s="4">
        <f t="shared" si="38"/>
        <v>0</v>
      </c>
      <c r="K598" s="3">
        <f t="shared" si="39"/>
        <v>0</v>
      </c>
    </row>
    <row r="599" spans="1:11">
      <c r="A599" s="4" t="s">
        <v>58</v>
      </c>
      <c r="B599" s="4" t="s">
        <v>125</v>
      </c>
      <c r="C599" s="4" t="s">
        <v>229</v>
      </c>
      <c r="D599" s="4">
        <f>INDEX(Positions!$D$2:$D$4694,MATCH($A599&amp;"|12",Positions!$A$2:$A$4694,0))</f>
        <v>12</v>
      </c>
      <c r="E599" s="4">
        <f>INDEX(Positions!$D$2:$D$4694,MATCH($A599&amp;"|23",Positions!$A$2:$A$4694,0))</f>
        <v>23</v>
      </c>
      <c r="F599" s="4" t="str">
        <f>INDEX(Positions!$E$2:$E$4694,MATCH($A599&amp;"|12",Positions!$A$2:$A$4694,0))</f>
        <v>G</v>
      </c>
      <c r="G599" s="4" t="str">
        <f>INDEX(Positions!$E$2:$E$4694,MATCH($A599&amp;"|23",Positions!$A$2:$A$4694,0))</f>
        <v>C</v>
      </c>
      <c r="H599" s="3" t="str">
        <f t="shared" si="36"/>
        <v>G-C</v>
      </c>
      <c r="I599" s="4">
        <f t="shared" si="37"/>
        <v>1</v>
      </c>
      <c r="J599" s="4">
        <f t="shared" si="38"/>
        <v>1</v>
      </c>
      <c r="K599" s="3">
        <f t="shared" si="39"/>
        <v>2</v>
      </c>
    </row>
    <row r="600" spans="1:11">
      <c r="A600" s="4" t="s">
        <v>58</v>
      </c>
      <c r="B600" s="4" t="s">
        <v>125</v>
      </c>
      <c r="C600" s="4" t="s">
        <v>230</v>
      </c>
      <c r="D600" s="4">
        <f>INDEX(Positions!$D$2:$D$4694,MATCH($A600&amp;"|13",Positions!$A$2:$A$4694,0))</f>
        <v>13</v>
      </c>
      <c r="E600" s="4">
        <f>INDEX(Positions!$D$2:$D$4694,MATCH($A600&amp;"|22",Positions!$A$2:$A$4694,0))</f>
        <v>22</v>
      </c>
      <c r="F600" s="4" t="str">
        <f>INDEX(Positions!$E$2:$E$4694,MATCH($A600&amp;"|13",Positions!$A$2:$A$4694,0))</f>
        <v>U</v>
      </c>
      <c r="G600" s="4" t="str">
        <f>INDEX(Positions!$E$2:$E$4694,MATCH($A600&amp;"|22",Positions!$A$2:$A$4694,0))</f>
        <v>U</v>
      </c>
      <c r="H600" s="3" t="str">
        <f t="shared" si="36"/>
        <v>U-U</v>
      </c>
      <c r="I600" s="4">
        <f t="shared" si="37"/>
        <v>0</v>
      </c>
      <c r="J600" s="4">
        <f t="shared" si="38"/>
        <v>0</v>
      </c>
      <c r="K600" s="3">
        <f t="shared" si="39"/>
        <v>0</v>
      </c>
    </row>
    <row r="601" spans="1:11">
      <c r="A601" s="4" t="s">
        <v>58</v>
      </c>
      <c r="B601" s="4" t="s">
        <v>144</v>
      </c>
      <c r="C601" s="4" t="s">
        <v>231</v>
      </c>
      <c r="D601" s="4">
        <f>INDEX(Positions!$D$2:$D$4694,MATCH($A601&amp;"|27",Positions!$A$2:$A$4694,0))</f>
        <v>27</v>
      </c>
      <c r="E601" s="4">
        <f>INDEX(Positions!$D$2:$D$4694,MATCH($A601&amp;"|43",Positions!$A$2:$A$4694,0))</f>
        <v>43</v>
      </c>
      <c r="F601" s="4" t="str">
        <f>INDEX(Positions!$E$2:$E$4694,MATCH($A601&amp;"|27",Positions!$A$2:$A$4694,0))</f>
        <v>G</v>
      </c>
      <c r="G601" s="4" t="str">
        <f>INDEX(Positions!$E$2:$E$4694,MATCH($A601&amp;"|43",Positions!$A$2:$A$4694,0))</f>
        <v>C</v>
      </c>
      <c r="H601" s="3" t="str">
        <f t="shared" si="36"/>
        <v>G-C</v>
      </c>
      <c r="I601" s="4">
        <f t="shared" si="37"/>
        <v>1</v>
      </c>
      <c r="J601" s="4">
        <f t="shared" si="38"/>
        <v>1</v>
      </c>
      <c r="K601" s="3">
        <f t="shared" si="39"/>
        <v>2</v>
      </c>
    </row>
    <row r="602" spans="1:11">
      <c r="A602" s="4" t="s">
        <v>58</v>
      </c>
      <c r="B602" s="4" t="s">
        <v>144</v>
      </c>
      <c r="C602" s="4" t="s">
        <v>232</v>
      </c>
      <c r="D602" s="4">
        <f>INDEX(Positions!$D$2:$D$4694,MATCH($A602&amp;"|28",Positions!$A$2:$A$4694,0))</f>
        <v>28</v>
      </c>
      <c r="E602" s="4">
        <f>INDEX(Positions!$D$2:$D$4694,MATCH($A602&amp;"|42",Positions!$A$2:$A$4694,0))</f>
        <v>42</v>
      </c>
      <c r="F602" s="4" t="str">
        <f>INDEX(Positions!$E$2:$E$4694,MATCH($A602&amp;"|28",Positions!$A$2:$A$4694,0))</f>
        <v>G</v>
      </c>
      <c r="G602" s="4" t="str">
        <f>INDEX(Positions!$E$2:$E$4694,MATCH($A602&amp;"|42",Positions!$A$2:$A$4694,0))</f>
        <v>U</v>
      </c>
      <c r="H602" s="3" t="str">
        <f t="shared" si="36"/>
        <v>G-U</v>
      </c>
      <c r="I602" s="4">
        <f t="shared" si="37"/>
        <v>1</v>
      </c>
      <c r="J602" s="4">
        <f t="shared" si="38"/>
        <v>0</v>
      </c>
      <c r="K602" s="3">
        <f t="shared" si="39"/>
        <v>1</v>
      </c>
    </row>
    <row r="603" spans="1:11">
      <c r="A603" s="4" t="s">
        <v>58</v>
      </c>
      <c r="B603" s="4" t="s">
        <v>144</v>
      </c>
      <c r="C603" s="4" t="s">
        <v>233</v>
      </c>
      <c r="D603" s="4">
        <f>INDEX(Positions!$D$2:$D$4694,MATCH($A603&amp;"|29",Positions!$A$2:$A$4694,0))</f>
        <v>29</v>
      </c>
      <c r="E603" s="4">
        <f>INDEX(Positions!$D$2:$D$4694,MATCH($A603&amp;"|41",Positions!$A$2:$A$4694,0))</f>
        <v>41</v>
      </c>
      <c r="F603" s="4" t="str">
        <f>INDEX(Positions!$E$2:$E$4694,MATCH($A603&amp;"|29",Positions!$A$2:$A$4694,0))</f>
        <v>G</v>
      </c>
      <c r="G603" s="4" t="str">
        <f>INDEX(Positions!$E$2:$E$4694,MATCH($A603&amp;"|41",Positions!$A$2:$A$4694,0))</f>
        <v>C</v>
      </c>
      <c r="H603" s="3" t="str">
        <f t="shared" si="36"/>
        <v>G-C</v>
      </c>
      <c r="I603" s="4">
        <f t="shared" si="37"/>
        <v>1</v>
      </c>
      <c r="J603" s="4">
        <f t="shared" si="38"/>
        <v>1</v>
      </c>
      <c r="K603" s="3">
        <f t="shared" si="39"/>
        <v>2</v>
      </c>
    </row>
    <row r="604" spans="1:11">
      <c r="A604" s="4" t="s">
        <v>58</v>
      </c>
      <c r="B604" s="4" t="s">
        <v>144</v>
      </c>
      <c r="C604" s="4" t="s">
        <v>234</v>
      </c>
      <c r="D604" s="4">
        <f>INDEX(Positions!$D$2:$D$4694,MATCH($A604&amp;"|30",Positions!$A$2:$A$4694,0))</f>
        <v>30</v>
      </c>
      <c r="E604" s="4">
        <f>INDEX(Positions!$D$2:$D$4694,MATCH($A604&amp;"|40",Positions!$A$2:$A$4694,0))</f>
        <v>40</v>
      </c>
      <c r="F604" s="4" t="str">
        <f>INDEX(Positions!$E$2:$E$4694,MATCH($A604&amp;"|30",Positions!$A$2:$A$4694,0))</f>
        <v>C</v>
      </c>
      <c r="G604" s="4" t="str">
        <f>INDEX(Positions!$E$2:$E$4694,MATCH($A604&amp;"|40",Positions!$A$2:$A$4694,0))</f>
        <v>G</v>
      </c>
      <c r="H604" s="3" t="str">
        <f t="shared" si="36"/>
        <v>C-G</v>
      </c>
      <c r="I604" s="4">
        <f t="shared" si="37"/>
        <v>1</v>
      </c>
      <c r="J604" s="4">
        <f t="shared" si="38"/>
        <v>1</v>
      </c>
      <c r="K604" s="3">
        <f t="shared" si="39"/>
        <v>2</v>
      </c>
    </row>
    <row r="605" spans="1:11">
      <c r="A605" s="4" t="s">
        <v>58</v>
      </c>
      <c r="B605" s="4" t="s">
        <v>144</v>
      </c>
      <c r="C605" s="4" t="s">
        <v>235</v>
      </c>
      <c r="D605" s="4">
        <f>INDEX(Positions!$D$2:$D$4694,MATCH($A605&amp;"|31",Positions!$A$2:$A$4694,0))</f>
        <v>31</v>
      </c>
      <c r="E605" s="4">
        <f>INDEX(Positions!$D$2:$D$4694,MATCH($A605&amp;"|39",Positions!$A$2:$A$4694,0))</f>
        <v>39</v>
      </c>
      <c r="F605" s="4" t="str">
        <f>INDEX(Positions!$E$2:$E$4694,MATCH($A605&amp;"|31",Positions!$A$2:$A$4694,0))</f>
        <v>G</v>
      </c>
      <c r="G605" s="4" t="str">
        <f>INDEX(Positions!$E$2:$E$4694,MATCH($A605&amp;"|39",Positions!$A$2:$A$4694,0))</f>
        <v>C</v>
      </c>
      <c r="H605" s="3" t="str">
        <f t="shared" si="36"/>
        <v>G-C</v>
      </c>
      <c r="I605" s="4">
        <f t="shared" si="37"/>
        <v>1</v>
      </c>
      <c r="J605" s="4">
        <f t="shared" si="38"/>
        <v>1</v>
      </c>
      <c r="K605" s="3">
        <f t="shared" si="39"/>
        <v>2</v>
      </c>
    </row>
    <row r="606" spans="1:11">
      <c r="A606" s="4" t="s">
        <v>58</v>
      </c>
      <c r="B606" s="4" t="s">
        <v>169</v>
      </c>
      <c r="C606" s="4" t="s">
        <v>236</v>
      </c>
      <c r="D606" s="4">
        <f>INDEX(Positions!$D$2:$D$4694,MATCH($A606&amp;"|49",Positions!$A$2:$A$4694,0))</f>
        <v>48</v>
      </c>
      <c r="E606" s="4">
        <f>INDEX(Positions!$D$2:$D$4694,MATCH($A606&amp;"|65",Positions!$A$2:$A$4694,0))</f>
        <v>64</v>
      </c>
      <c r="F606" s="4" t="str">
        <f>INDEX(Positions!$E$2:$E$4694,MATCH($A606&amp;"|49",Positions!$A$2:$A$4694,0))</f>
        <v>C</v>
      </c>
      <c r="G606" s="4" t="str">
        <f>INDEX(Positions!$E$2:$E$4694,MATCH($A606&amp;"|65",Positions!$A$2:$A$4694,0))</f>
        <v>G</v>
      </c>
      <c r="H606" s="3" t="str">
        <f t="shared" si="36"/>
        <v>C-G</v>
      </c>
      <c r="I606" s="4">
        <f t="shared" si="37"/>
        <v>1</v>
      </c>
      <c r="J606" s="4">
        <f t="shared" si="38"/>
        <v>1</v>
      </c>
      <c r="K606" s="3">
        <f t="shared" si="39"/>
        <v>2</v>
      </c>
    </row>
    <row r="607" spans="1:11">
      <c r="A607" s="4" t="s">
        <v>58</v>
      </c>
      <c r="B607" s="4" t="s">
        <v>169</v>
      </c>
      <c r="C607" s="4" t="s">
        <v>237</v>
      </c>
      <c r="D607" s="4">
        <f>INDEX(Positions!$D$2:$D$4694,MATCH($A607&amp;"|50",Positions!$A$2:$A$4694,0))</f>
        <v>49</v>
      </c>
      <c r="E607" s="4">
        <f>INDEX(Positions!$D$2:$D$4694,MATCH($A607&amp;"|64",Positions!$A$2:$A$4694,0))</f>
        <v>63</v>
      </c>
      <c r="F607" s="4" t="str">
        <f>INDEX(Positions!$E$2:$E$4694,MATCH($A607&amp;"|50",Positions!$A$2:$A$4694,0))</f>
        <v>C</v>
      </c>
      <c r="G607" s="4" t="str">
        <f>INDEX(Positions!$E$2:$E$4694,MATCH($A607&amp;"|64",Positions!$A$2:$A$4694,0))</f>
        <v>G</v>
      </c>
      <c r="H607" s="3" t="str">
        <f t="shared" si="36"/>
        <v>C-G</v>
      </c>
      <c r="I607" s="4">
        <f t="shared" si="37"/>
        <v>1</v>
      </c>
      <c r="J607" s="4">
        <f t="shared" si="38"/>
        <v>1</v>
      </c>
      <c r="K607" s="3">
        <f t="shared" si="39"/>
        <v>2</v>
      </c>
    </row>
    <row r="608" spans="1:11">
      <c r="A608" s="4" t="s">
        <v>58</v>
      </c>
      <c r="B608" s="4" t="s">
        <v>169</v>
      </c>
      <c r="C608" s="4" t="s">
        <v>238</v>
      </c>
      <c r="D608" s="4">
        <f>INDEX(Positions!$D$2:$D$4694,MATCH($A608&amp;"|51",Positions!$A$2:$A$4694,0))</f>
        <v>50</v>
      </c>
      <c r="E608" s="4">
        <f>INDEX(Positions!$D$2:$D$4694,MATCH($A608&amp;"|63",Positions!$A$2:$A$4694,0))</f>
        <v>62</v>
      </c>
      <c r="F608" s="4" t="str">
        <f>INDEX(Positions!$E$2:$E$4694,MATCH($A608&amp;"|51",Positions!$A$2:$A$4694,0))</f>
        <v>G</v>
      </c>
      <c r="G608" s="4" t="str">
        <f>INDEX(Positions!$E$2:$E$4694,MATCH($A608&amp;"|63",Positions!$A$2:$A$4694,0))</f>
        <v>C</v>
      </c>
      <c r="H608" s="3" t="str">
        <f t="shared" si="36"/>
        <v>G-C</v>
      </c>
      <c r="I608" s="4">
        <f t="shared" si="37"/>
        <v>1</v>
      </c>
      <c r="J608" s="4">
        <f t="shared" si="38"/>
        <v>1</v>
      </c>
      <c r="K608" s="3">
        <f t="shared" si="39"/>
        <v>2</v>
      </c>
    </row>
    <row r="609" spans="1:11">
      <c r="A609" s="4" t="s">
        <v>58</v>
      </c>
      <c r="B609" s="4" t="s">
        <v>169</v>
      </c>
      <c r="C609" s="4" t="s">
        <v>239</v>
      </c>
      <c r="D609" s="4">
        <f>INDEX(Positions!$D$2:$D$4694,MATCH($A609&amp;"|52",Positions!$A$2:$A$4694,0))</f>
        <v>51</v>
      </c>
      <c r="E609" s="4">
        <f>INDEX(Positions!$D$2:$D$4694,MATCH($A609&amp;"|62",Positions!$A$2:$A$4694,0))</f>
        <v>61</v>
      </c>
      <c r="F609" s="4" t="str">
        <f>INDEX(Positions!$E$2:$E$4694,MATCH($A609&amp;"|52",Positions!$A$2:$A$4694,0))</f>
        <v>G</v>
      </c>
      <c r="G609" s="4" t="str">
        <f>INDEX(Positions!$E$2:$E$4694,MATCH($A609&amp;"|62",Positions!$A$2:$A$4694,0))</f>
        <v>C</v>
      </c>
      <c r="H609" s="3" t="str">
        <f t="shared" si="36"/>
        <v>G-C</v>
      </c>
      <c r="I609" s="4">
        <f t="shared" si="37"/>
        <v>1</v>
      </c>
      <c r="J609" s="4">
        <f t="shared" si="38"/>
        <v>1</v>
      </c>
      <c r="K609" s="3">
        <f t="shared" si="39"/>
        <v>2</v>
      </c>
    </row>
    <row r="610" spans="1:11">
      <c r="A610" s="4" t="s">
        <v>58</v>
      </c>
      <c r="B610" s="4" t="s">
        <v>169</v>
      </c>
      <c r="C610" s="4" t="s">
        <v>240</v>
      </c>
      <c r="D610" s="4">
        <f>INDEX(Positions!$D$2:$D$4694,MATCH($A610&amp;"|53",Positions!$A$2:$A$4694,0))</f>
        <v>52</v>
      </c>
      <c r="E610" s="4">
        <f>INDEX(Positions!$D$2:$D$4694,MATCH($A610&amp;"|61",Positions!$A$2:$A$4694,0))</f>
        <v>60</v>
      </c>
      <c r="F610" s="4" t="str">
        <f>INDEX(Positions!$E$2:$E$4694,MATCH($A610&amp;"|53",Positions!$A$2:$A$4694,0))</f>
        <v>G</v>
      </c>
      <c r="G610" s="4" t="str">
        <f>INDEX(Positions!$E$2:$E$4694,MATCH($A610&amp;"|61",Positions!$A$2:$A$4694,0))</f>
        <v>C</v>
      </c>
      <c r="H610" s="3" t="str">
        <f t="shared" si="36"/>
        <v>G-C</v>
      </c>
      <c r="I610" s="4">
        <f t="shared" si="37"/>
        <v>1</v>
      </c>
      <c r="J610" s="4">
        <f t="shared" si="38"/>
        <v>1</v>
      </c>
      <c r="K610" s="3">
        <f t="shared" si="39"/>
        <v>2</v>
      </c>
    </row>
    <row r="611" spans="1:11">
      <c r="A611" s="23" t="s">
        <v>58</v>
      </c>
      <c r="B611" s="23" t="s">
        <v>241</v>
      </c>
      <c r="C611" s="23" t="s">
        <v>242</v>
      </c>
      <c r="D611" s="23">
        <f>INDEX(Positions!$D$2:$D$4694,MATCH($A611&amp;"|8",Positions!$A$2:$A$4694,0))</f>
        <v>8</v>
      </c>
      <c r="E611" s="23">
        <f>INDEX(Positions!$D$2:$D$4694,MATCH($A611&amp;"|14",Positions!$A$2:$A$4694,0))</f>
        <v>14</v>
      </c>
      <c r="F611" s="23" t="str">
        <f>INDEX(Positions!$E$2:$E$4694,MATCH($A611&amp;"|8",Positions!$A$2:$A$4694,0))</f>
        <v>U</v>
      </c>
      <c r="G611" s="23" t="str">
        <f>INDEX(Positions!$E$2:$E$4694,MATCH($A611&amp;"|14",Positions!$A$2:$A$4694,0))</f>
        <v>A</v>
      </c>
      <c r="H611" s="24" t="str">
        <f t="shared" si="36"/>
        <v>U-A</v>
      </c>
      <c r="I611" s="23">
        <f t="shared" si="37"/>
        <v>0</v>
      </c>
      <c r="J611" s="23">
        <f t="shared" si="38"/>
        <v>0</v>
      </c>
      <c r="K611" s="24">
        <f t="shared" si="39"/>
        <v>0</v>
      </c>
    </row>
    <row r="612" spans="1:11">
      <c r="A612" s="23" t="s">
        <v>58</v>
      </c>
      <c r="B612" s="23" t="s">
        <v>241</v>
      </c>
      <c r="C612" s="23" t="s">
        <v>243</v>
      </c>
      <c r="D612" s="23">
        <f>INDEX(Positions!$D$2:$D$4694,MATCH($A612&amp;"|15",Positions!$A$2:$A$4694,0))</f>
        <v>15</v>
      </c>
      <c r="E612" s="23">
        <f>INDEX(Positions!$D$2:$D$4694,MATCH($A612&amp;"|48",Positions!$A$2:$A$4694,0))</f>
        <v>47</v>
      </c>
      <c r="F612" s="23" t="str">
        <f>INDEX(Positions!$E$2:$E$4694,MATCH($A612&amp;"|15",Positions!$A$2:$A$4694,0))</f>
        <v>G</v>
      </c>
      <c r="G612" s="23" t="str">
        <f>INDEX(Positions!$E$2:$E$4694,MATCH($A612&amp;"|48",Positions!$A$2:$A$4694,0))</f>
        <v>C</v>
      </c>
      <c r="H612" s="24" t="str">
        <f t="shared" si="36"/>
        <v>G-C</v>
      </c>
      <c r="I612" s="23">
        <f t="shared" si="37"/>
        <v>1</v>
      </c>
      <c r="J612" s="23">
        <f t="shared" si="38"/>
        <v>1</v>
      </c>
      <c r="K612" s="24">
        <f t="shared" si="39"/>
        <v>2</v>
      </c>
    </row>
    <row r="613" spans="1:11">
      <c r="A613" s="23" t="s">
        <v>58</v>
      </c>
      <c r="B613" s="23" t="s">
        <v>241</v>
      </c>
      <c r="C613" s="23" t="s">
        <v>244</v>
      </c>
      <c r="D613" s="23">
        <f>INDEX(Positions!$D$2:$D$4694,MATCH($A613&amp;"|18",Positions!$A$2:$A$4694,0))</f>
        <v>17</v>
      </c>
      <c r="E613" s="23">
        <f>INDEX(Positions!$D$2:$D$4694,MATCH($A613&amp;"|55",Positions!$A$2:$A$4694,0))</f>
        <v>54</v>
      </c>
      <c r="F613" s="23" t="str">
        <f>INDEX(Positions!$E$2:$E$4694,MATCH($A613&amp;"|18",Positions!$A$2:$A$4694,0))</f>
        <v>G</v>
      </c>
      <c r="G613" s="23" t="str">
        <f>INDEX(Positions!$E$2:$E$4694,MATCH($A613&amp;"|55",Positions!$A$2:$A$4694,0))</f>
        <v>U</v>
      </c>
      <c r="H613" s="24" t="str">
        <f t="shared" si="36"/>
        <v>G-U</v>
      </c>
      <c r="I613" s="23">
        <f t="shared" si="37"/>
        <v>1</v>
      </c>
      <c r="J613" s="23">
        <f t="shared" si="38"/>
        <v>0</v>
      </c>
      <c r="K613" s="24">
        <f t="shared" si="39"/>
        <v>1</v>
      </c>
    </row>
    <row r="614" spans="1:11">
      <c r="A614" s="23" t="s">
        <v>58</v>
      </c>
      <c r="B614" s="23" t="s">
        <v>241</v>
      </c>
      <c r="C614" s="23" t="s">
        <v>245</v>
      </c>
      <c r="D614" s="23">
        <f>INDEX(Positions!$D$2:$D$4694,MATCH($A614&amp;"|19",Positions!$A$2:$A$4694,0))</f>
        <v>18</v>
      </c>
      <c r="E614" s="23">
        <f>INDEX(Positions!$D$2:$D$4694,MATCH($A614&amp;"|56",Positions!$A$2:$A$4694,0))</f>
        <v>55</v>
      </c>
      <c r="F614" s="23" t="str">
        <f>INDEX(Positions!$E$2:$E$4694,MATCH($A614&amp;"|19",Positions!$A$2:$A$4694,0))</f>
        <v>G</v>
      </c>
      <c r="G614" s="23" t="str">
        <f>INDEX(Positions!$E$2:$E$4694,MATCH($A614&amp;"|56",Positions!$A$2:$A$4694,0))</f>
        <v>C</v>
      </c>
      <c r="H614" s="24" t="str">
        <f t="shared" si="36"/>
        <v>G-C</v>
      </c>
      <c r="I614" s="23">
        <f t="shared" si="37"/>
        <v>1</v>
      </c>
      <c r="J614" s="23">
        <f t="shared" si="38"/>
        <v>1</v>
      </c>
      <c r="K614" s="24">
        <f t="shared" si="39"/>
        <v>2</v>
      </c>
    </row>
    <row r="615" spans="1:11">
      <c r="A615" s="23" t="s">
        <v>58</v>
      </c>
      <c r="B615" s="23" t="s">
        <v>241</v>
      </c>
      <c r="C615" s="23" t="s">
        <v>246</v>
      </c>
      <c r="D615" s="23">
        <f>INDEX(Positions!$D$2:$D$4694,MATCH($A615&amp;"|26",Positions!$A$2:$A$4694,0))</f>
        <v>26</v>
      </c>
      <c r="E615" s="23">
        <f>INDEX(Positions!$D$2:$D$4694,MATCH($A615&amp;"|44",Positions!$A$2:$A$4694,0))</f>
        <v>44</v>
      </c>
      <c r="F615" s="23" t="str">
        <f>INDEX(Positions!$E$2:$E$4694,MATCH($A615&amp;"|26",Positions!$A$2:$A$4694,0))</f>
        <v>C</v>
      </c>
      <c r="G615" s="23" t="str">
        <f>INDEX(Positions!$E$2:$E$4694,MATCH($A615&amp;"|44",Positions!$A$2:$A$4694,0))</f>
        <v>G</v>
      </c>
      <c r="H615" s="24" t="str">
        <f t="shared" si="36"/>
        <v>C-G</v>
      </c>
      <c r="I615" s="23">
        <f t="shared" si="37"/>
        <v>1</v>
      </c>
      <c r="J615" s="23">
        <f t="shared" si="38"/>
        <v>1</v>
      </c>
      <c r="K615" s="24">
        <f t="shared" si="39"/>
        <v>2</v>
      </c>
    </row>
    <row r="616" spans="1:11">
      <c r="A616" s="23" t="s">
        <v>58</v>
      </c>
      <c r="B616" s="23" t="s">
        <v>241</v>
      </c>
      <c r="C616" s="23" t="s">
        <v>247</v>
      </c>
      <c r="D616" s="23">
        <f>INDEX(Positions!$D$2:$D$4694,MATCH($A616&amp;"|32",Positions!$A$2:$A$4694,0))</f>
        <v>32</v>
      </c>
      <c r="E616" s="23">
        <f>INDEX(Positions!$D$2:$D$4694,MATCH($A616&amp;"|38",Positions!$A$2:$A$4694,0))</f>
        <v>38</v>
      </c>
      <c r="F616" s="23" t="str">
        <f>INDEX(Positions!$E$2:$E$4694,MATCH($A616&amp;"|32",Positions!$A$2:$A$4694,0))</f>
        <v>U</v>
      </c>
      <c r="G616" s="23" t="str">
        <f>INDEX(Positions!$E$2:$E$4694,MATCH($A616&amp;"|38",Positions!$A$2:$A$4694,0))</f>
        <v>A</v>
      </c>
      <c r="H616" s="24" t="str">
        <f t="shared" si="36"/>
        <v>U-A</v>
      </c>
      <c r="I616" s="23">
        <f t="shared" si="37"/>
        <v>0</v>
      </c>
      <c r="J616" s="23">
        <f t="shared" si="38"/>
        <v>0</v>
      </c>
      <c r="K616" s="24">
        <f t="shared" si="39"/>
        <v>0</v>
      </c>
    </row>
    <row r="617" spans="1:11">
      <c r="A617" s="23" t="s">
        <v>58</v>
      </c>
      <c r="B617" s="23" t="s">
        <v>241</v>
      </c>
      <c r="C617" s="23" t="s">
        <v>248</v>
      </c>
      <c r="D617" s="23">
        <f>INDEX(Positions!$D$2:$D$4694,MATCH($A617&amp;"|54",Positions!$A$2:$A$4694,0))</f>
        <v>53</v>
      </c>
      <c r="E617" s="23">
        <f>INDEX(Positions!$D$2:$D$4694,MATCH($A617&amp;"|58",Positions!$A$2:$A$4694,0))</f>
        <v>57</v>
      </c>
      <c r="F617" s="23" t="str">
        <f>INDEX(Positions!$E$2:$E$4694,MATCH($A617&amp;"|54",Positions!$A$2:$A$4694,0))</f>
        <v>U</v>
      </c>
      <c r="G617" s="23" t="str">
        <f>INDEX(Positions!$E$2:$E$4694,MATCH($A617&amp;"|58",Positions!$A$2:$A$4694,0))</f>
        <v>A</v>
      </c>
      <c r="H617" s="24" t="str">
        <f t="shared" si="36"/>
        <v>U-A</v>
      </c>
      <c r="I617" s="23">
        <f t="shared" si="37"/>
        <v>0</v>
      </c>
      <c r="J617" s="23">
        <f t="shared" si="38"/>
        <v>0</v>
      </c>
      <c r="K617" s="24">
        <f t="shared" si="39"/>
        <v>0</v>
      </c>
    </row>
    <row r="618" spans="1:11">
      <c r="A618" s="4" t="s">
        <v>59</v>
      </c>
      <c r="B618" s="4" t="s">
        <v>110</v>
      </c>
      <c r="C618" s="4" t="s">
        <v>220</v>
      </c>
      <c r="D618" s="4">
        <f>INDEX(Positions!$D$2:$D$4694,MATCH($A618&amp;"|1",Positions!$A$2:$A$4694,0))</f>
        <v>1</v>
      </c>
      <c r="E618" s="4">
        <f>INDEX(Positions!$D$2:$D$4694,MATCH($A618&amp;"|72",Positions!$A$2:$A$4694,0))</f>
        <v>71</v>
      </c>
      <c r="F618" s="4" t="str">
        <f>INDEX(Positions!$E$2:$E$4694,MATCH($A618&amp;"|1",Positions!$A$2:$A$4694,0))</f>
        <v>A</v>
      </c>
      <c r="G618" s="4" t="str">
        <f>INDEX(Positions!$E$2:$E$4694,MATCH($A618&amp;"|72",Positions!$A$2:$A$4694,0))</f>
        <v>U</v>
      </c>
      <c r="H618" s="3" t="str">
        <f t="shared" si="36"/>
        <v>A-U</v>
      </c>
      <c r="I618" s="4">
        <f t="shared" si="37"/>
        <v>0</v>
      </c>
      <c r="J618" s="4">
        <f t="shared" si="38"/>
        <v>0</v>
      </c>
      <c r="K618" s="3">
        <f t="shared" si="39"/>
        <v>0</v>
      </c>
    </row>
    <row r="619" spans="1:11">
      <c r="A619" s="4" t="s">
        <v>59</v>
      </c>
      <c r="B619" s="4" t="s">
        <v>110</v>
      </c>
      <c r="C619" s="4" t="s">
        <v>221</v>
      </c>
      <c r="D619" s="4">
        <f>INDEX(Positions!$D$2:$D$4694,MATCH($A619&amp;"|2",Positions!$A$2:$A$4694,0))</f>
        <v>2</v>
      </c>
      <c r="E619" s="4">
        <f>INDEX(Positions!$D$2:$D$4694,MATCH($A619&amp;"|71",Positions!$A$2:$A$4694,0))</f>
        <v>70</v>
      </c>
      <c r="F619" s="4" t="str">
        <f>INDEX(Positions!$E$2:$E$4694,MATCH($A619&amp;"|2",Positions!$A$2:$A$4694,0))</f>
        <v>C</v>
      </c>
      <c r="G619" s="4" t="str">
        <f>INDEX(Positions!$E$2:$E$4694,MATCH($A619&amp;"|71",Positions!$A$2:$A$4694,0))</f>
        <v>G</v>
      </c>
      <c r="H619" s="3" t="str">
        <f t="shared" si="36"/>
        <v>C-G</v>
      </c>
      <c r="I619" s="4">
        <f t="shared" si="37"/>
        <v>1</v>
      </c>
      <c r="J619" s="4">
        <f t="shared" si="38"/>
        <v>1</v>
      </c>
      <c r="K619" s="3">
        <f t="shared" si="39"/>
        <v>2</v>
      </c>
    </row>
    <row r="620" spans="1:11">
      <c r="A620" s="4" t="s">
        <v>59</v>
      </c>
      <c r="B620" s="4" t="s">
        <v>110</v>
      </c>
      <c r="C620" s="4" t="s">
        <v>222</v>
      </c>
      <c r="D620" s="4">
        <f>INDEX(Positions!$D$2:$D$4694,MATCH($A620&amp;"|3",Positions!$A$2:$A$4694,0))</f>
        <v>3</v>
      </c>
      <c r="E620" s="4">
        <f>INDEX(Positions!$D$2:$D$4694,MATCH($A620&amp;"|70",Positions!$A$2:$A$4694,0))</f>
        <v>69</v>
      </c>
      <c r="F620" s="4" t="str">
        <f>INDEX(Positions!$E$2:$E$4694,MATCH($A620&amp;"|3",Positions!$A$2:$A$4694,0))</f>
        <v>A</v>
      </c>
      <c r="G620" s="4" t="str">
        <f>INDEX(Positions!$E$2:$E$4694,MATCH($A620&amp;"|70",Positions!$A$2:$A$4694,0))</f>
        <v>U</v>
      </c>
      <c r="H620" s="3" t="str">
        <f t="shared" si="36"/>
        <v>A-U</v>
      </c>
      <c r="I620" s="4">
        <f t="shared" si="37"/>
        <v>0</v>
      </c>
      <c r="J620" s="4">
        <f t="shared" si="38"/>
        <v>0</v>
      </c>
      <c r="K620" s="3">
        <f t="shared" si="39"/>
        <v>0</v>
      </c>
    </row>
    <row r="621" spans="1:11">
      <c r="A621" s="4" t="s">
        <v>59</v>
      </c>
      <c r="B621" s="4" t="s">
        <v>110</v>
      </c>
      <c r="C621" s="4" t="s">
        <v>223</v>
      </c>
      <c r="D621" s="4">
        <f>INDEX(Positions!$D$2:$D$4694,MATCH($A621&amp;"|4",Positions!$A$2:$A$4694,0))</f>
        <v>4</v>
      </c>
      <c r="E621" s="4">
        <f>INDEX(Positions!$D$2:$D$4694,MATCH($A621&amp;"|69",Positions!$A$2:$A$4694,0))</f>
        <v>68</v>
      </c>
      <c r="F621" s="4" t="str">
        <f>INDEX(Positions!$E$2:$E$4694,MATCH($A621&amp;"|4",Positions!$A$2:$A$4694,0))</f>
        <v>U</v>
      </c>
      <c r="G621" s="4" t="str">
        <f>INDEX(Positions!$E$2:$E$4694,MATCH($A621&amp;"|69",Positions!$A$2:$A$4694,0))</f>
        <v>G</v>
      </c>
      <c r="H621" s="3" t="str">
        <f t="shared" si="36"/>
        <v>U-G</v>
      </c>
      <c r="I621" s="4">
        <f t="shared" si="37"/>
        <v>1</v>
      </c>
      <c r="J621" s="4">
        <f t="shared" si="38"/>
        <v>0</v>
      </c>
      <c r="K621" s="3">
        <f t="shared" si="39"/>
        <v>1</v>
      </c>
    </row>
    <row r="622" spans="1:11">
      <c r="A622" s="4" t="s">
        <v>59</v>
      </c>
      <c r="B622" s="4" t="s">
        <v>110</v>
      </c>
      <c r="C622" s="4" t="s">
        <v>224</v>
      </c>
      <c r="D622" s="4">
        <f>INDEX(Positions!$D$2:$D$4694,MATCH($A622&amp;"|5",Positions!$A$2:$A$4694,0))</f>
        <v>5</v>
      </c>
      <c r="E622" s="4">
        <f>INDEX(Positions!$D$2:$D$4694,MATCH($A622&amp;"|68",Positions!$A$2:$A$4694,0))</f>
        <v>67</v>
      </c>
      <c r="F622" s="4" t="str">
        <f>INDEX(Positions!$E$2:$E$4694,MATCH($A622&amp;"|5",Positions!$A$2:$A$4694,0))</f>
        <v>C</v>
      </c>
      <c r="G622" s="4" t="str">
        <f>INDEX(Positions!$E$2:$E$4694,MATCH($A622&amp;"|68",Positions!$A$2:$A$4694,0))</f>
        <v>G</v>
      </c>
      <c r="H622" s="3" t="str">
        <f t="shared" si="36"/>
        <v>C-G</v>
      </c>
      <c r="I622" s="4">
        <f t="shared" si="37"/>
        <v>1</v>
      </c>
      <c r="J622" s="4">
        <f t="shared" si="38"/>
        <v>1</v>
      </c>
      <c r="K622" s="3">
        <f t="shared" si="39"/>
        <v>2</v>
      </c>
    </row>
    <row r="623" spans="1:11">
      <c r="A623" s="4" t="s">
        <v>59</v>
      </c>
      <c r="B623" s="4" t="s">
        <v>110</v>
      </c>
      <c r="C623" s="4" t="s">
        <v>225</v>
      </c>
      <c r="D623" s="4">
        <f>INDEX(Positions!$D$2:$D$4694,MATCH($A623&amp;"|6",Positions!$A$2:$A$4694,0))</f>
        <v>6</v>
      </c>
      <c r="E623" s="4">
        <f>INDEX(Positions!$D$2:$D$4694,MATCH($A623&amp;"|67",Positions!$A$2:$A$4694,0))</f>
        <v>66</v>
      </c>
      <c r="F623" s="4" t="str">
        <f>INDEX(Positions!$E$2:$E$4694,MATCH($A623&amp;"|6",Positions!$A$2:$A$4694,0))</f>
        <v>A</v>
      </c>
      <c r="G623" s="4" t="str">
        <f>INDEX(Positions!$E$2:$E$4694,MATCH($A623&amp;"|67",Positions!$A$2:$A$4694,0))</f>
        <v>U</v>
      </c>
      <c r="H623" s="3" t="str">
        <f t="shared" si="36"/>
        <v>A-U</v>
      </c>
      <c r="I623" s="4">
        <f t="shared" si="37"/>
        <v>0</v>
      </c>
      <c r="J623" s="4">
        <f t="shared" si="38"/>
        <v>0</v>
      </c>
      <c r="K623" s="3">
        <f t="shared" si="39"/>
        <v>0</v>
      </c>
    </row>
    <row r="624" spans="1:11">
      <c r="A624" s="4" t="s">
        <v>59</v>
      </c>
      <c r="B624" s="4" t="s">
        <v>110</v>
      </c>
      <c r="C624" s="4" t="s">
        <v>226</v>
      </c>
      <c r="D624" s="4">
        <f>INDEX(Positions!$D$2:$D$4694,MATCH($A624&amp;"|7",Positions!$A$2:$A$4694,0))</f>
        <v>7</v>
      </c>
      <c r="E624" s="4">
        <f>INDEX(Positions!$D$2:$D$4694,MATCH($A624&amp;"|66",Positions!$A$2:$A$4694,0))</f>
        <v>65</v>
      </c>
      <c r="F624" s="4" t="str">
        <f>INDEX(Positions!$E$2:$E$4694,MATCH($A624&amp;"|7",Positions!$A$2:$A$4694,0))</f>
        <v>G</v>
      </c>
      <c r="G624" s="4" t="str">
        <f>INDEX(Positions!$E$2:$E$4694,MATCH($A624&amp;"|66",Positions!$A$2:$A$4694,0))</f>
        <v>C</v>
      </c>
      <c r="H624" s="3" t="str">
        <f t="shared" si="36"/>
        <v>G-C</v>
      </c>
      <c r="I624" s="4">
        <f t="shared" si="37"/>
        <v>1</v>
      </c>
      <c r="J624" s="4">
        <f t="shared" si="38"/>
        <v>1</v>
      </c>
      <c r="K624" s="3">
        <f t="shared" si="39"/>
        <v>2</v>
      </c>
    </row>
    <row r="625" spans="1:11">
      <c r="A625" s="4" t="s">
        <v>59</v>
      </c>
      <c r="B625" s="4" t="s">
        <v>125</v>
      </c>
      <c r="C625" s="4" t="s">
        <v>227</v>
      </c>
      <c r="D625" s="4">
        <f>INDEX(Positions!$D$2:$D$4694,MATCH($A625&amp;"|10",Positions!$A$2:$A$4694,0))</f>
        <v>10</v>
      </c>
      <c r="E625" s="4">
        <f>INDEX(Positions!$D$2:$D$4694,MATCH($A625&amp;"|25",Positions!$A$2:$A$4694,0))</f>
        <v>25</v>
      </c>
      <c r="F625" s="4" t="str">
        <f>INDEX(Positions!$E$2:$E$4694,MATCH($A625&amp;"|10",Positions!$A$2:$A$4694,0))</f>
        <v>G</v>
      </c>
      <c r="G625" s="4" t="str">
        <f>INDEX(Positions!$E$2:$E$4694,MATCH($A625&amp;"|25",Positions!$A$2:$A$4694,0))</f>
        <v>C</v>
      </c>
      <c r="H625" s="3" t="str">
        <f t="shared" si="36"/>
        <v>G-C</v>
      </c>
      <c r="I625" s="4">
        <f t="shared" si="37"/>
        <v>1</v>
      </c>
      <c r="J625" s="4">
        <f t="shared" si="38"/>
        <v>1</v>
      </c>
      <c r="K625" s="3">
        <f t="shared" si="39"/>
        <v>2</v>
      </c>
    </row>
    <row r="626" spans="1:11">
      <c r="A626" s="4" t="s">
        <v>59</v>
      </c>
      <c r="B626" s="4" t="s">
        <v>125</v>
      </c>
      <c r="C626" s="4" t="s">
        <v>228</v>
      </c>
      <c r="D626" s="4">
        <f>INDEX(Positions!$D$2:$D$4694,MATCH($A626&amp;"|11",Positions!$A$2:$A$4694,0))</f>
        <v>11</v>
      </c>
      <c r="E626" s="4">
        <f>INDEX(Positions!$D$2:$D$4694,MATCH($A626&amp;"|24",Positions!$A$2:$A$4694,0))</f>
        <v>24</v>
      </c>
      <c r="F626" s="4" t="str">
        <f>INDEX(Positions!$E$2:$E$4694,MATCH($A626&amp;"|11",Positions!$A$2:$A$4694,0))</f>
        <v>U</v>
      </c>
      <c r="G626" s="4" t="str">
        <f>INDEX(Positions!$E$2:$E$4694,MATCH($A626&amp;"|24",Positions!$A$2:$A$4694,0))</f>
        <v>A</v>
      </c>
      <c r="H626" s="3" t="str">
        <f t="shared" si="36"/>
        <v>U-A</v>
      </c>
      <c r="I626" s="4">
        <f t="shared" si="37"/>
        <v>0</v>
      </c>
      <c r="J626" s="4">
        <f t="shared" si="38"/>
        <v>0</v>
      </c>
      <c r="K626" s="3">
        <f t="shared" si="39"/>
        <v>0</v>
      </c>
    </row>
    <row r="627" spans="1:11">
      <c r="A627" s="4" t="s">
        <v>59</v>
      </c>
      <c r="B627" s="4" t="s">
        <v>125</v>
      </c>
      <c r="C627" s="4" t="s">
        <v>229</v>
      </c>
      <c r="D627" s="4">
        <f>INDEX(Positions!$D$2:$D$4694,MATCH($A627&amp;"|12",Positions!$A$2:$A$4694,0))</f>
        <v>12</v>
      </c>
      <c r="E627" s="4">
        <f>INDEX(Positions!$D$2:$D$4694,MATCH($A627&amp;"|23",Positions!$A$2:$A$4694,0))</f>
        <v>23</v>
      </c>
      <c r="F627" s="4" t="str">
        <f>INDEX(Positions!$E$2:$E$4694,MATCH($A627&amp;"|12",Positions!$A$2:$A$4694,0))</f>
        <v>G</v>
      </c>
      <c r="G627" s="4" t="str">
        <f>INDEX(Positions!$E$2:$E$4694,MATCH($A627&amp;"|23",Positions!$A$2:$A$4694,0))</f>
        <v>C</v>
      </c>
      <c r="H627" s="3" t="str">
        <f t="shared" si="36"/>
        <v>G-C</v>
      </c>
      <c r="I627" s="4">
        <f t="shared" si="37"/>
        <v>1</v>
      </c>
      <c r="J627" s="4">
        <f t="shared" si="38"/>
        <v>1</v>
      </c>
      <c r="K627" s="3">
        <f t="shared" si="39"/>
        <v>2</v>
      </c>
    </row>
    <row r="628" spans="1:11">
      <c r="A628" s="4" t="s">
        <v>59</v>
      </c>
      <c r="B628" s="4" t="s">
        <v>125</v>
      </c>
      <c r="C628" s="4" t="s">
        <v>230</v>
      </c>
      <c r="D628" s="4">
        <f>INDEX(Positions!$D$2:$D$4694,MATCH($A628&amp;"|13",Positions!$A$2:$A$4694,0))</f>
        <v>13</v>
      </c>
      <c r="E628" s="4">
        <f>INDEX(Positions!$D$2:$D$4694,MATCH($A628&amp;"|22",Positions!$A$2:$A$4694,0))</f>
        <v>22</v>
      </c>
      <c r="F628" s="4" t="str">
        <f>INDEX(Positions!$E$2:$E$4694,MATCH($A628&amp;"|13",Positions!$A$2:$A$4694,0))</f>
        <v>U</v>
      </c>
      <c r="G628" s="4" t="str">
        <f>INDEX(Positions!$E$2:$E$4694,MATCH($A628&amp;"|22",Positions!$A$2:$A$4694,0))</f>
        <v>U</v>
      </c>
      <c r="H628" s="3" t="str">
        <f t="shared" si="36"/>
        <v>U-U</v>
      </c>
      <c r="I628" s="4">
        <f t="shared" si="37"/>
        <v>0</v>
      </c>
      <c r="J628" s="4">
        <f t="shared" si="38"/>
        <v>0</v>
      </c>
      <c r="K628" s="3">
        <f t="shared" si="39"/>
        <v>0</v>
      </c>
    </row>
    <row r="629" spans="1:11">
      <c r="A629" s="4" t="s">
        <v>59</v>
      </c>
      <c r="B629" s="4" t="s">
        <v>144</v>
      </c>
      <c r="C629" s="4" t="s">
        <v>231</v>
      </c>
      <c r="D629" s="4">
        <f>INDEX(Positions!$D$2:$D$4694,MATCH($A629&amp;"|27",Positions!$A$2:$A$4694,0))</f>
        <v>27</v>
      </c>
      <c r="E629" s="4">
        <f>INDEX(Positions!$D$2:$D$4694,MATCH($A629&amp;"|43",Positions!$A$2:$A$4694,0))</f>
        <v>43</v>
      </c>
      <c r="F629" s="4" t="str">
        <f>INDEX(Positions!$E$2:$E$4694,MATCH($A629&amp;"|27",Positions!$A$2:$A$4694,0))</f>
        <v>G</v>
      </c>
      <c r="G629" s="4" t="str">
        <f>INDEX(Positions!$E$2:$E$4694,MATCH($A629&amp;"|43",Positions!$A$2:$A$4694,0))</f>
        <v>C</v>
      </c>
      <c r="H629" s="3" t="str">
        <f t="shared" si="36"/>
        <v>G-C</v>
      </c>
      <c r="I629" s="4">
        <f t="shared" si="37"/>
        <v>1</v>
      </c>
      <c r="J629" s="4">
        <f t="shared" si="38"/>
        <v>1</v>
      </c>
      <c r="K629" s="3">
        <f t="shared" si="39"/>
        <v>2</v>
      </c>
    </row>
    <row r="630" spans="1:11">
      <c r="A630" s="4" t="s">
        <v>59</v>
      </c>
      <c r="B630" s="4" t="s">
        <v>144</v>
      </c>
      <c r="C630" s="4" t="s">
        <v>232</v>
      </c>
      <c r="D630" s="4">
        <f>INDEX(Positions!$D$2:$D$4694,MATCH($A630&amp;"|28",Positions!$A$2:$A$4694,0))</f>
        <v>28</v>
      </c>
      <c r="E630" s="4">
        <f>INDEX(Positions!$D$2:$D$4694,MATCH($A630&amp;"|42",Positions!$A$2:$A$4694,0))</f>
        <v>42</v>
      </c>
      <c r="F630" s="4" t="str">
        <f>INDEX(Positions!$E$2:$E$4694,MATCH($A630&amp;"|28",Positions!$A$2:$A$4694,0))</f>
        <v>G</v>
      </c>
      <c r="G630" s="4" t="str">
        <f>INDEX(Positions!$E$2:$E$4694,MATCH($A630&amp;"|42",Positions!$A$2:$A$4694,0))</f>
        <v>U</v>
      </c>
      <c r="H630" s="3" t="str">
        <f t="shared" si="36"/>
        <v>G-U</v>
      </c>
      <c r="I630" s="4">
        <f t="shared" si="37"/>
        <v>1</v>
      </c>
      <c r="J630" s="4">
        <f t="shared" si="38"/>
        <v>0</v>
      </c>
      <c r="K630" s="3">
        <f t="shared" si="39"/>
        <v>1</v>
      </c>
    </row>
    <row r="631" spans="1:11">
      <c r="A631" s="4" t="s">
        <v>59</v>
      </c>
      <c r="B631" s="4" t="s">
        <v>144</v>
      </c>
      <c r="C631" s="4" t="s">
        <v>233</v>
      </c>
      <c r="D631" s="4">
        <f>INDEX(Positions!$D$2:$D$4694,MATCH($A631&amp;"|29",Positions!$A$2:$A$4694,0))</f>
        <v>29</v>
      </c>
      <c r="E631" s="4">
        <f>INDEX(Positions!$D$2:$D$4694,MATCH($A631&amp;"|41",Positions!$A$2:$A$4694,0))</f>
        <v>41</v>
      </c>
      <c r="F631" s="4" t="str">
        <f>INDEX(Positions!$E$2:$E$4694,MATCH($A631&amp;"|29",Positions!$A$2:$A$4694,0))</f>
        <v>G</v>
      </c>
      <c r="G631" s="4" t="str">
        <f>INDEX(Positions!$E$2:$E$4694,MATCH($A631&amp;"|41",Positions!$A$2:$A$4694,0))</f>
        <v>C</v>
      </c>
      <c r="H631" s="3" t="str">
        <f t="shared" si="36"/>
        <v>G-C</v>
      </c>
      <c r="I631" s="4">
        <f t="shared" si="37"/>
        <v>1</v>
      </c>
      <c r="J631" s="4">
        <f t="shared" si="38"/>
        <v>1</v>
      </c>
      <c r="K631" s="3">
        <f t="shared" si="39"/>
        <v>2</v>
      </c>
    </row>
    <row r="632" spans="1:11">
      <c r="A632" s="4" t="s">
        <v>59</v>
      </c>
      <c r="B632" s="4" t="s">
        <v>144</v>
      </c>
      <c r="C632" s="4" t="s">
        <v>234</v>
      </c>
      <c r="D632" s="4">
        <f>INDEX(Positions!$D$2:$D$4694,MATCH($A632&amp;"|30",Positions!$A$2:$A$4694,0))</f>
        <v>30</v>
      </c>
      <c r="E632" s="4">
        <f>INDEX(Positions!$D$2:$D$4694,MATCH($A632&amp;"|40",Positions!$A$2:$A$4694,0))</f>
        <v>40</v>
      </c>
      <c r="F632" s="4" t="str">
        <f>INDEX(Positions!$E$2:$E$4694,MATCH($A632&amp;"|30",Positions!$A$2:$A$4694,0))</f>
        <v>C</v>
      </c>
      <c r="G632" s="4" t="str">
        <f>INDEX(Positions!$E$2:$E$4694,MATCH($A632&amp;"|40",Positions!$A$2:$A$4694,0))</f>
        <v>G</v>
      </c>
      <c r="H632" s="3" t="str">
        <f t="shared" si="36"/>
        <v>C-G</v>
      </c>
      <c r="I632" s="4">
        <f t="shared" si="37"/>
        <v>1</v>
      </c>
      <c r="J632" s="4">
        <f t="shared" si="38"/>
        <v>1</v>
      </c>
      <c r="K632" s="3">
        <f t="shared" si="39"/>
        <v>2</v>
      </c>
    </row>
    <row r="633" spans="1:11">
      <c r="A633" s="4" t="s">
        <v>59</v>
      </c>
      <c r="B633" s="4" t="s">
        <v>144</v>
      </c>
      <c r="C633" s="4" t="s">
        <v>235</v>
      </c>
      <c r="D633" s="4">
        <f>INDEX(Positions!$D$2:$D$4694,MATCH($A633&amp;"|31",Positions!$A$2:$A$4694,0))</f>
        <v>31</v>
      </c>
      <c r="E633" s="4">
        <f>INDEX(Positions!$D$2:$D$4694,MATCH($A633&amp;"|39",Positions!$A$2:$A$4694,0))</f>
        <v>39</v>
      </c>
      <c r="F633" s="4" t="str">
        <f>INDEX(Positions!$E$2:$E$4694,MATCH($A633&amp;"|31",Positions!$A$2:$A$4694,0))</f>
        <v>G</v>
      </c>
      <c r="G633" s="4" t="str">
        <f>INDEX(Positions!$E$2:$E$4694,MATCH($A633&amp;"|39",Positions!$A$2:$A$4694,0))</f>
        <v>C</v>
      </c>
      <c r="H633" s="3" t="str">
        <f t="shared" si="36"/>
        <v>G-C</v>
      </c>
      <c r="I633" s="4">
        <f t="shared" si="37"/>
        <v>1</v>
      </c>
      <c r="J633" s="4">
        <f t="shared" si="38"/>
        <v>1</v>
      </c>
      <c r="K633" s="3">
        <f t="shared" si="39"/>
        <v>2</v>
      </c>
    </row>
    <row r="634" spans="1:11">
      <c r="A634" s="4" t="s">
        <v>59</v>
      </c>
      <c r="B634" s="4" t="s">
        <v>169</v>
      </c>
      <c r="C634" s="4" t="s">
        <v>236</v>
      </c>
      <c r="D634" s="4">
        <f>INDEX(Positions!$D$2:$D$4694,MATCH($A634&amp;"|49",Positions!$A$2:$A$4694,0))</f>
        <v>48</v>
      </c>
      <c r="E634" s="4">
        <f>INDEX(Positions!$D$2:$D$4694,MATCH($A634&amp;"|65",Positions!$A$2:$A$4694,0))</f>
        <v>64</v>
      </c>
      <c r="F634" s="4" t="str">
        <f>INDEX(Positions!$E$2:$E$4694,MATCH($A634&amp;"|49",Positions!$A$2:$A$4694,0))</f>
        <v>C</v>
      </c>
      <c r="G634" s="4" t="str">
        <f>INDEX(Positions!$E$2:$E$4694,MATCH($A634&amp;"|65",Positions!$A$2:$A$4694,0))</f>
        <v>G</v>
      </c>
      <c r="H634" s="3" t="str">
        <f t="shared" si="36"/>
        <v>C-G</v>
      </c>
      <c r="I634" s="4">
        <f t="shared" si="37"/>
        <v>1</v>
      </c>
      <c r="J634" s="4">
        <f t="shared" si="38"/>
        <v>1</v>
      </c>
      <c r="K634" s="3">
        <f t="shared" si="39"/>
        <v>2</v>
      </c>
    </row>
    <row r="635" spans="1:11">
      <c r="A635" s="4" t="s">
        <v>59</v>
      </c>
      <c r="B635" s="4" t="s">
        <v>169</v>
      </c>
      <c r="C635" s="4" t="s">
        <v>237</v>
      </c>
      <c r="D635" s="4">
        <f>INDEX(Positions!$D$2:$D$4694,MATCH($A635&amp;"|50",Positions!$A$2:$A$4694,0))</f>
        <v>49</v>
      </c>
      <c r="E635" s="4">
        <f>INDEX(Positions!$D$2:$D$4694,MATCH($A635&amp;"|64",Positions!$A$2:$A$4694,0))</f>
        <v>63</v>
      </c>
      <c r="F635" s="4" t="str">
        <f>INDEX(Positions!$E$2:$E$4694,MATCH($A635&amp;"|50",Positions!$A$2:$A$4694,0))</f>
        <v>C</v>
      </c>
      <c r="G635" s="4" t="str">
        <f>INDEX(Positions!$E$2:$E$4694,MATCH($A635&amp;"|64",Positions!$A$2:$A$4694,0))</f>
        <v>G</v>
      </c>
      <c r="H635" s="3" t="str">
        <f t="shared" si="36"/>
        <v>C-G</v>
      </c>
      <c r="I635" s="4">
        <f t="shared" si="37"/>
        <v>1</v>
      </c>
      <c r="J635" s="4">
        <f t="shared" si="38"/>
        <v>1</v>
      </c>
      <c r="K635" s="3">
        <f t="shared" si="39"/>
        <v>2</v>
      </c>
    </row>
    <row r="636" spans="1:11">
      <c r="A636" s="4" t="s">
        <v>59</v>
      </c>
      <c r="B636" s="4" t="s">
        <v>169</v>
      </c>
      <c r="C636" s="4" t="s">
        <v>238</v>
      </c>
      <c r="D636" s="4">
        <f>INDEX(Positions!$D$2:$D$4694,MATCH($A636&amp;"|51",Positions!$A$2:$A$4694,0))</f>
        <v>50</v>
      </c>
      <c r="E636" s="4">
        <f>INDEX(Positions!$D$2:$D$4694,MATCH($A636&amp;"|63",Positions!$A$2:$A$4694,0))</f>
        <v>62</v>
      </c>
      <c r="F636" s="4" t="str">
        <f>INDEX(Positions!$E$2:$E$4694,MATCH($A636&amp;"|51",Positions!$A$2:$A$4694,0))</f>
        <v>G</v>
      </c>
      <c r="G636" s="4" t="str">
        <f>INDEX(Positions!$E$2:$E$4694,MATCH($A636&amp;"|63",Positions!$A$2:$A$4694,0))</f>
        <v>C</v>
      </c>
      <c r="H636" s="3" t="str">
        <f t="shared" si="36"/>
        <v>G-C</v>
      </c>
      <c r="I636" s="4">
        <f t="shared" si="37"/>
        <v>1</v>
      </c>
      <c r="J636" s="4">
        <f t="shared" si="38"/>
        <v>1</v>
      </c>
      <c r="K636" s="3">
        <f t="shared" si="39"/>
        <v>2</v>
      </c>
    </row>
    <row r="637" spans="1:11">
      <c r="A637" s="4" t="s">
        <v>59</v>
      </c>
      <c r="B637" s="4" t="s">
        <v>169</v>
      </c>
      <c r="C637" s="4" t="s">
        <v>239</v>
      </c>
      <c r="D637" s="4">
        <f>INDEX(Positions!$D$2:$D$4694,MATCH($A637&amp;"|52",Positions!$A$2:$A$4694,0))</f>
        <v>51</v>
      </c>
      <c r="E637" s="4">
        <f>INDEX(Positions!$D$2:$D$4694,MATCH($A637&amp;"|62",Positions!$A$2:$A$4694,0))</f>
        <v>61</v>
      </c>
      <c r="F637" s="4" t="str">
        <f>INDEX(Positions!$E$2:$E$4694,MATCH($A637&amp;"|52",Positions!$A$2:$A$4694,0))</f>
        <v>G</v>
      </c>
      <c r="G637" s="4" t="str">
        <f>INDEX(Positions!$E$2:$E$4694,MATCH($A637&amp;"|62",Positions!$A$2:$A$4694,0))</f>
        <v>C</v>
      </c>
      <c r="H637" s="3" t="str">
        <f t="shared" si="36"/>
        <v>G-C</v>
      </c>
      <c r="I637" s="4">
        <f t="shared" si="37"/>
        <v>1</v>
      </c>
      <c r="J637" s="4">
        <f t="shared" si="38"/>
        <v>1</v>
      </c>
      <c r="K637" s="3">
        <f t="shared" si="39"/>
        <v>2</v>
      </c>
    </row>
    <row r="638" spans="1:11">
      <c r="A638" s="4" t="s">
        <v>59</v>
      </c>
      <c r="B638" s="4" t="s">
        <v>169</v>
      </c>
      <c r="C638" s="4" t="s">
        <v>240</v>
      </c>
      <c r="D638" s="4">
        <f>INDEX(Positions!$D$2:$D$4694,MATCH($A638&amp;"|53",Positions!$A$2:$A$4694,0))</f>
        <v>52</v>
      </c>
      <c r="E638" s="4">
        <f>INDEX(Positions!$D$2:$D$4694,MATCH($A638&amp;"|61",Positions!$A$2:$A$4694,0))</f>
        <v>60</v>
      </c>
      <c r="F638" s="4" t="str">
        <f>INDEX(Positions!$E$2:$E$4694,MATCH($A638&amp;"|53",Positions!$A$2:$A$4694,0))</f>
        <v>G</v>
      </c>
      <c r="G638" s="4" t="str">
        <f>INDEX(Positions!$E$2:$E$4694,MATCH($A638&amp;"|61",Positions!$A$2:$A$4694,0))</f>
        <v>C</v>
      </c>
      <c r="H638" s="3" t="str">
        <f t="shared" si="36"/>
        <v>G-C</v>
      </c>
      <c r="I638" s="4">
        <f t="shared" si="37"/>
        <v>1</v>
      </c>
      <c r="J638" s="4">
        <f t="shared" si="38"/>
        <v>1</v>
      </c>
      <c r="K638" s="3">
        <f t="shared" si="39"/>
        <v>2</v>
      </c>
    </row>
    <row r="639" spans="1:11">
      <c r="A639" s="23" t="s">
        <v>59</v>
      </c>
      <c r="B639" s="23" t="s">
        <v>241</v>
      </c>
      <c r="C639" s="23" t="s">
        <v>242</v>
      </c>
      <c r="D639" s="23">
        <f>INDEX(Positions!$D$2:$D$4694,MATCH($A639&amp;"|8",Positions!$A$2:$A$4694,0))</f>
        <v>8</v>
      </c>
      <c r="E639" s="23">
        <f>INDEX(Positions!$D$2:$D$4694,MATCH($A639&amp;"|14",Positions!$A$2:$A$4694,0))</f>
        <v>14</v>
      </c>
      <c r="F639" s="23" t="str">
        <f>INDEX(Positions!$E$2:$E$4694,MATCH($A639&amp;"|8",Positions!$A$2:$A$4694,0))</f>
        <v>U</v>
      </c>
      <c r="G639" s="23" t="str">
        <f>INDEX(Positions!$E$2:$E$4694,MATCH($A639&amp;"|14",Positions!$A$2:$A$4694,0))</f>
        <v>A</v>
      </c>
      <c r="H639" s="24" t="str">
        <f t="shared" si="36"/>
        <v>U-A</v>
      </c>
      <c r="I639" s="23">
        <f t="shared" si="37"/>
        <v>0</v>
      </c>
      <c r="J639" s="23">
        <f t="shared" si="38"/>
        <v>0</v>
      </c>
      <c r="K639" s="24">
        <f t="shared" si="39"/>
        <v>0</v>
      </c>
    </row>
    <row r="640" spans="1:11">
      <c r="A640" s="23" t="s">
        <v>59</v>
      </c>
      <c r="B640" s="23" t="s">
        <v>241</v>
      </c>
      <c r="C640" s="23" t="s">
        <v>243</v>
      </c>
      <c r="D640" s="23">
        <f>INDEX(Positions!$D$2:$D$4694,MATCH($A640&amp;"|15",Positions!$A$2:$A$4694,0))</f>
        <v>15</v>
      </c>
      <c r="E640" s="23">
        <f>INDEX(Positions!$D$2:$D$4694,MATCH($A640&amp;"|48",Positions!$A$2:$A$4694,0))</f>
        <v>47</v>
      </c>
      <c r="F640" s="23" t="str">
        <f>INDEX(Positions!$E$2:$E$4694,MATCH($A640&amp;"|15",Positions!$A$2:$A$4694,0))</f>
        <v>G</v>
      </c>
      <c r="G640" s="23" t="str">
        <f>INDEX(Positions!$E$2:$E$4694,MATCH($A640&amp;"|48",Positions!$A$2:$A$4694,0))</f>
        <v>C</v>
      </c>
      <c r="H640" s="24" t="str">
        <f t="shared" si="36"/>
        <v>G-C</v>
      </c>
      <c r="I640" s="23">
        <f t="shared" si="37"/>
        <v>1</v>
      </c>
      <c r="J640" s="23">
        <f t="shared" si="38"/>
        <v>1</v>
      </c>
      <c r="K640" s="24">
        <f t="shared" si="39"/>
        <v>2</v>
      </c>
    </row>
    <row r="641" spans="1:11">
      <c r="A641" s="23" t="s">
        <v>59</v>
      </c>
      <c r="B641" s="23" t="s">
        <v>241</v>
      </c>
      <c r="C641" s="23" t="s">
        <v>244</v>
      </c>
      <c r="D641" s="23">
        <f>INDEX(Positions!$D$2:$D$4694,MATCH($A641&amp;"|18",Positions!$A$2:$A$4694,0))</f>
        <v>17</v>
      </c>
      <c r="E641" s="23">
        <f>INDEX(Positions!$D$2:$D$4694,MATCH($A641&amp;"|55",Positions!$A$2:$A$4694,0))</f>
        <v>54</v>
      </c>
      <c r="F641" s="23" t="str">
        <f>INDEX(Positions!$E$2:$E$4694,MATCH($A641&amp;"|18",Positions!$A$2:$A$4694,0))</f>
        <v>G</v>
      </c>
      <c r="G641" s="23" t="str">
        <f>INDEX(Positions!$E$2:$E$4694,MATCH($A641&amp;"|55",Positions!$A$2:$A$4694,0))</f>
        <v>U</v>
      </c>
      <c r="H641" s="24" t="str">
        <f t="shared" si="36"/>
        <v>G-U</v>
      </c>
      <c r="I641" s="23">
        <f t="shared" si="37"/>
        <v>1</v>
      </c>
      <c r="J641" s="23">
        <f t="shared" si="38"/>
        <v>0</v>
      </c>
      <c r="K641" s="24">
        <f t="shared" si="39"/>
        <v>1</v>
      </c>
    </row>
    <row r="642" spans="1:11">
      <c r="A642" s="23" t="s">
        <v>59</v>
      </c>
      <c r="B642" s="23" t="s">
        <v>241</v>
      </c>
      <c r="C642" s="23" t="s">
        <v>245</v>
      </c>
      <c r="D642" s="23">
        <f>INDEX(Positions!$D$2:$D$4694,MATCH($A642&amp;"|19",Positions!$A$2:$A$4694,0))</f>
        <v>18</v>
      </c>
      <c r="E642" s="23">
        <f>INDEX(Positions!$D$2:$D$4694,MATCH($A642&amp;"|56",Positions!$A$2:$A$4694,0))</f>
        <v>55</v>
      </c>
      <c r="F642" s="23" t="str">
        <f>INDEX(Positions!$E$2:$E$4694,MATCH($A642&amp;"|19",Positions!$A$2:$A$4694,0))</f>
        <v>G</v>
      </c>
      <c r="G642" s="23" t="str">
        <f>INDEX(Positions!$E$2:$E$4694,MATCH($A642&amp;"|56",Positions!$A$2:$A$4694,0))</f>
        <v>C</v>
      </c>
      <c r="H642" s="24" t="str">
        <f t="shared" ref="H642:H705" si="40">F642&amp;"-"&amp;G642</f>
        <v>G-C</v>
      </c>
      <c r="I642" s="23">
        <f t="shared" ref="I642:I705" si="41">(F642="G")+(G642="G")</f>
        <v>1</v>
      </c>
      <c r="J642" s="23">
        <f t="shared" ref="J642:J705" si="42">(F642="C")+(G642="C")</f>
        <v>1</v>
      </c>
      <c r="K642" s="24">
        <f t="shared" ref="K642:K705" si="43">I642+J642</f>
        <v>2</v>
      </c>
    </row>
    <row r="643" spans="1:11">
      <c r="A643" s="23" t="s">
        <v>59</v>
      </c>
      <c r="B643" s="23" t="s">
        <v>241</v>
      </c>
      <c r="C643" s="23" t="s">
        <v>246</v>
      </c>
      <c r="D643" s="23">
        <f>INDEX(Positions!$D$2:$D$4694,MATCH($A643&amp;"|26",Positions!$A$2:$A$4694,0))</f>
        <v>26</v>
      </c>
      <c r="E643" s="23">
        <f>INDEX(Positions!$D$2:$D$4694,MATCH($A643&amp;"|44",Positions!$A$2:$A$4694,0))</f>
        <v>44</v>
      </c>
      <c r="F643" s="23" t="str">
        <f>INDEX(Positions!$E$2:$E$4694,MATCH($A643&amp;"|26",Positions!$A$2:$A$4694,0))</f>
        <v>C</v>
      </c>
      <c r="G643" s="23" t="str">
        <f>INDEX(Positions!$E$2:$E$4694,MATCH($A643&amp;"|44",Positions!$A$2:$A$4694,0))</f>
        <v>G</v>
      </c>
      <c r="H643" s="24" t="str">
        <f t="shared" si="40"/>
        <v>C-G</v>
      </c>
      <c r="I643" s="23">
        <f t="shared" si="41"/>
        <v>1</v>
      </c>
      <c r="J643" s="23">
        <f t="shared" si="42"/>
        <v>1</v>
      </c>
      <c r="K643" s="24">
        <f t="shared" si="43"/>
        <v>2</v>
      </c>
    </row>
    <row r="644" spans="1:11">
      <c r="A644" s="23" t="s">
        <v>59</v>
      </c>
      <c r="B644" s="23" t="s">
        <v>241</v>
      </c>
      <c r="C644" s="23" t="s">
        <v>247</v>
      </c>
      <c r="D644" s="23">
        <f>INDEX(Positions!$D$2:$D$4694,MATCH($A644&amp;"|32",Positions!$A$2:$A$4694,0))</f>
        <v>32</v>
      </c>
      <c r="E644" s="23">
        <f>INDEX(Positions!$D$2:$D$4694,MATCH($A644&amp;"|38",Positions!$A$2:$A$4694,0))</f>
        <v>38</v>
      </c>
      <c r="F644" s="23" t="str">
        <f>INDEX(Positions!$E$2:$E$4694,MATCH($A644&amp;"|32",Positions!$A$2:$A$4694,0))</f>
        <v>U</v>
      </c>
      <c r="G644" s="23" t="str">
        <f>INDEX(Positions!$E$2:$E$4694,MATCH($A644&amp;"|38",Positions!$A$2:$A$4694,0))</f>
        <v>A</v>
      </c>
      <c r="H644" s="24" t="str">
        <f t="shared" si="40"/>
        <v>U-A</v>
      </c>
      <c r="I644" s="23">
        <f t="shared" si="41"/>
        <v>0</v>
      </c>
      <c r="J644" s="23">
        <f t="shared" si="42"/>
        <v>0</v>
      </c>
      <c r="K644" s="24">
        <f t="shared" si="43"/>
        <v>0</v>
      </c>
    </row>
    <row r="645" spans="1:11">
      <c r="A645" s="23" t="s">
        <v>59</v>
      </c>
      <c r="B645" s="23" t="s">
        <v>241</v>
      </c>
      <c r="C645" s="23" t="s">
        <v>248</v>
      </c>
      <c r="D645" s="23">
        <f>INDEX(Positions!$D$2:$D$4694,MATCH($A645&amp;"|54",Positions!$A$2:$A$4694,0))</f>
        <v>53</v>
      </c>
      <c r="E645" s="23">
        <f>INDEX(Positions!$D$2:$D$4694,MATCH($A645&amp;"|58",Positions!$A$2:$A$4694,0))</f>
        <v>57</v>
      </c>
      <c r="F645" s="23" t="str">
        <f>INDEX(Positions!$E$2:$E$4694,MATCH($A645&amp;"|54",Positions!$A$2:$A$4694,0))</f>
        <v>U</v>
      </c>
      <c r="G645" s="23" t="str">
        <f>INDEX(Positions!$E$2:$E$4694,MATCH($A645&amp;"|58",Positions!$A$2:$A$4694,0))</f>
        <v>A</v>
      </c>
      <c r="H645" s="24" t="str">
        <f t="shared" si="40"/>
        <v>U-A</v>
      </c>
      <c r="I645" s="23">
        <f t="shared" si="41"/>
        <v>0</v>
      </c>
      <c r="J645" s="23">
        <f t="shared" si="42"/>
        <v>0</v>
      </c>
      <c r="K645" s="24">
        <f t="shared" si="43"/>
        <v>0</v>
      </c>
    </row>
    <row r="646" spans="1:11">
      <c r="A646" s="4" t="s">
        <v>60</v>
      </c>
      <c r="B646" s="4" t="s">
        <v>110</v>
      </c>
      <c r="C646" s="4" t="s">
        <v>220</v>
      </c>
      <c r="D646" s="4">
        <f>INDEX(Positions!$D$2:$D$4694,MATCH($A646&amp;"|1",Positions!$A$2:$A$4694,0))</f>
        <v>1</v>
      </c>
      <c r="E646" s="4">
        <f>INDEX(Positions!$D$2:$D$4694,MATCH($A646&amp;"|72",Positions!$A$2:$A$4694,0))</f>
        <v>71</v>
      </c>
      <c r="F646" s="4" t="str">
        <f>INDEX(Positions!$E$2:$E$4694,MATCH($A646&amp;"|1",Positions!$A$2:$A$4694,0))</f>
        <v>A</v>
      </c>
      <c r="G646" s="4" t="str">
        <f>INDEX(Positions!$E$2:$E$4694,MATCH($A646&amp;"|72",Positions!$A$2:$A$4694,0))</f>
        <v>U</v>
      </c>
      <c r="H646" s="3" t="str">
        <f t="shared" si="40"/>
        <v>A-U</v>
      </c>
      <c r="I646" s="4">
        <f t="shared" si="41"/>
        <v>0</v>
      </c>
      <c r="J646" s="4">
        <f t="shared" si="42"/>
        <v>0</v>
      </c>
      <c r="K646" s="3">
        <f t="shared" si="43"/>
        <v>0</v>
      </c>
    </row>
    <row r="647" spans="1:11">
      <c r="A647" s="4" t="s">
        <v>60</v>
      </c>
      <c r="B647" s="4" t="s">
        <v>110</v>
      </c>
      <c r="C647" s="4" t="s">
        <v>221</v>
      </c>
      <c r="D647" s="4">
        <f>INDEX(Positions!$D$2:$D$4694,MATCH($A647&amp;"|2",Positions!$A$2:$A$4694,0))</f>
        <v>2</v>
      </c>
      <c r="E647" s="4">
        <f>INDEX(Positions!$D$2:$D$4694,MATCH($A647&amp;"|71",Positions!$A$2:$A$4694,0))</f>
        <v>70</v>
      </c>
      <c r="F647" s="4" t="str">
        <f>INDEX(Positions!$E$2:$E$4694,MATCH($A647&amp;"|2",Positions!$A$2:$A$4694,0))</f>
        <v>C</v>
      </c>
      <c r="G647" s="4" t="str">
        <f>INDEX(Positions!$E$2:$E$4694,MATCH($A647&amp;"|71",Positions!$A$2:$A$4694,0))</f>
        <v>G</v>
      </c>
      <c r="H647" s="3" t="str">
        <f t="shared" si="40"/>
        <v>C-G</v>
      </c>
      <c r="I647" s="4">
        <f t="shared" si="41"/>
        <v>1</v>
      </c>
      <c r="J647" s="4">
        <f t="shared" si="42"/>
        <v>1</v>
      </c>
      <c r="K647" s="3">
        <f t="shared" si="43"/>
        <v>2</v>
      </c>
    </row>
    <row r="648" spans="1:11">
      <c r="A648" s="4" t="s">
        <v>60</v>
      </c>
      <c r="B648" s="4" t="s">
        <v>110</v>
      </c>
      <c r="C648" s="4" t="s">
        <v>222</v>
      </c>
      <c r="D648" s="4">
        <f>INDEX(Positions!$D$2:$D$4694,MATCH($A648&amp;"|3",Positions!$A$2:$A$4694,0))</f>
        <v>3</v>
      </c>
      <c r="E648" s="4">
        <f>INDEX(Positions!$D$2:$D$4694,MATCH($A648&amp;"|70",Positions!$A$2:$A$4694,0))</f>
        <v>69</v>
      </c>
      <c r="F648" s="4" t="str">
        <f>INDEX(Positions!$E$2:$E$4694,MATCH($A648&amp;"|3",Positions!$A$2:$A$4694,0))</f>
        <v>A</v>
      </c>
      <c r="G648" s="4" t="str">
        <f>INDEX(Positions!$E$2:$E$4694,MATCH($A648&amp;"|70",Positions!$A$2:$A$4694,0))</f>
        <v>U</v>
      </c>
      <c r="H648" s="3" t="str">
        <f t="shared" si="40"/>
        <v>A-U</v>
      </c>
      <c r="I648" s="4">
        <f t="shared" si="41"/>
        <v>0</v>
      </c>
      <c r="J648" s="4">
        <f t="shared" si="42"/>
        <v>0</v>
      </c>
      <c r="K648" s="3">
        <f t="shared" si="43"/>
        <v>0</v>
      </c>
    </row>
    <row r="649" spans="1:11">
      <c r="A649" s="4" t="s">
        <v>60</v>
      </c>
      <c r="B649" s="4" t="s">
        <v>110</v>
      </c>
      <c r="C649" s="4" t="s">
        <v>223</v>
      </c>
      <c r="D649" s="4">
        <f>INDEX(Positions!$D$2:$D$4694,MATCH($A649&amp;"|4",Positions!$A$2:$A$4694,0))</f>
        <v>4</v>
      </c>
      <c r="E649" s="4">
        <f>INDEX(Positions!$D$2:$D$4694,MATCH($A649&amp;"|69",Positions!$A$2:$A$4694,0))</f>
        <v>68</v>
      </c>
      <c r="F649" s="4" t="str">
        <f>INDEX(Positions!$E$2:$E$4694,MATCH($A649&amp;"|4",Positions!$A$2:$A$4694,0))</f>
        <v>U</v>
      </c>
      <c r="G649" s="4" t="str">
        <f>INDEX(Positions!$E$2:$E$4694,MATCH($A649&amp;"|69",Positions!$A$2:$A$4694,0))</f>
        <v>G</v>
      </c>
      <c r="H649" s="3" t="str">
        <f t="shared" si="40"/>
        <v>U-G</v>
      </c>
      <c r="I649" s="4">
        <f t="shared" si="41"/>
        <v>1</v>
      </c>
      <c r="J649" s="4">
        <f t="shared" si="42"/>
        <v>0</v>
      </c>
      <c r="K649" s="3">
        <f t="shared" si="43"/>
        <v>1</v>
      </c>
    </row>
    <row r="650" spans="1:11">
      <c r="A650" s="4" t="s">
        <v>60</v>
      </c>
      <c r="B650" s="4" t="s">
        <v>110</v>
      </c>
      <c r="C650" s="4" t="s">
        <v>224</v>
      </c>
      <c r="D650" s="4">
        <f>INDEX(Positions!$D$2:$D$4694,MATCH($A650&amp;"|5",Positions!$A$2:$A$4694,0))</f>
        <v>5</v>
      </c>
      <c r="E650" s="4">
        <f>INDEX(Positions!$D$2:$D$4694,MATCH($A650&amp;"|68",Positions!$A$2:$A$4694,0))</f>
        <v>67</v>
      </c>
      <c r="F650" s="4" t="str">
        <f>INDEX(Positions!$E$2:$E$4694,MATCH($A650&amp;"|5",Positions!$A$2:$A$4694,0))</f>
        <v>C</v>
      </c>
      <c r="G650" s="4" t="str">
        <f>INDEX(Positions!$E$2:$E$4694,MATCH($A650&amp;"|68",Positions!$A$2:$A$4694,0))</f>
        <v>G</v>
      </c>
      <c r="H650" s="3" t="str">
        <f t="shared" si="40"/>
        <v>C-G</v>
      </c>
      <c r="I650" s="4">
        <f t="shared" si="41"/>
        <v>1</v>
      </c>
      <c r="J650" s="4">
        <f t="shared" si="42"/>
        <v>1</v>
      </c>
      <c r="K650" s="3">
        <f t="shared" si="43"/>
        <v>2</v>
      </c>
    </row>
    <row r="651" spans="1:11">
      <c r="A651" s="4" t="s">
        <v>60</v>
      </c>
      <c r="B651" s="4" t="s">
        <v>110</v>
      </c>
      <c r="C651" s="4" t="s">
        <v>225</v>
      </c>
      <c r="D651" s="4">
        <f>INDEX(Positions!$D$2:$D$4694,MATCH($A651&amp;"|6",Positions!$A$2:$A$4694,0))</f>
        <v>6</v>
      </c>
      <c r="E651" s="4">
        <f>INDEX(Positions!$D$2:$D$4694,MATCH($A651&amp;"|67",Positions!$A$2:$A$4694,0))</f>
        <v>66</v>
      </c>
      <c r="F651" s="4" t="str">
        <f>INDEX(Positions!$E$2:$E$4694,MATCH($A651&amp;"|6",Positions!$A$2:$A$4694,0))</f>
        <v>A</v>
      </c>
      <c r="G651" s="4" t="str">
        <f>INDEX(Positions!$E$2:$E$4694,MATCH($A651&amp;"|67",Positions!$A$2:$A$4694,0))</f>
        <v>U</v>
      </c>
      <c r="H651" s="3" t="str">
        <f t="shared" si="40"/>
        <v>A-U</v>
      </c>
      <c r="I651" s="4">
        <f t="shared" si="41"/>
        <v>0</v>
      </c>
      <c r="J651" s="4">
        <f t="shared" si="42"/>
        <v>0</v>
      </c>
      <c r="K651" s="3">
        <f t="shared" si="43"/>
        <v>0</v>
      </c>
    </row>
    <row r="652" spans="1:11">
      <c r="A652" s="4" t="s">
        <v>60</v>
      </c>
      <c r="B652" s="4" t="s">
        <v>110</v>
      </c>
      <c r="C652" s="4" t="s">
        <v>226</v>
      </c>
      <c r="D652" s="4">
        <f>INDEX(Positions!$D$2:$D$4694,MATCH($A652&amp;"|7",Positions!$A$2:$A$4694,0))</f>
        <v>7</v>
      </c>
      <c r="E652" s="4">
        <f>INDEX(Positions!$D$2:$D$4694,MATCH($A652&amp;"|66",Positions!$A$2:$A$4694,0))</f>
        <v>65</v>
      </c>
      <c r="F652" s="4" t="str">
        <f>INDEX(Positions!$E$2:$E$4694,MATCH($A652&amp;"|7",Positions!$A$2:$A$4694,0))</f>
        <v>G</v>
      </c>
      <c r="G652" s="4" t="str">
        <f>INDEX(Positions!$E$2:$E$4694,MATCH($A652&amp;"|66",Positions!$A$2:$A$4694,0))</f>
        <v>C</v>
      </c>
      <c r="H652" s="3" t="str">
        <f t="shared" si="40"/>
        <v>G-C</v>
      </c>
      <c r="I652" s="4">
        <f t="shared" si="41"/>
        <v>1</v>
      </c>
      <c r="J652" s="4">
        <f t="shared" si="42"/>
        <v>1</v>
      </c>
      <c r="K652" s="3">
        <f t="shared" si="43"/>
        <v>2</v>
      </c>
    </row>
    <row r="653" spans="1:11">
      <c r="A653" s="4" t="s">
        <v>60</v>
      </c>
      <c r="B653" s="4" t="s">
        <v>125</v>
      </c>
      <c r="C653" s="4" t="s">
        <v>227</v>
      </c>
      <c r="D653" s="4">
        <f>INDEX(Positions!$D$2:$D$4694,MATCH($A653&amp;"|10",Positions!$A$2:$A$4694,0))</f>
        <v>10</v>
      </c>
      <c r="E653" s="4">
        <f>INDEX(Positions!$D$2:$D$4694,MATCH($A653&amp;"|25",Positions!$A$2:$A$4694,0))</f>
        <v>25</v>
      </c>
      <c r="F653" s="4" t="str">
        <f>INDEX(Positions!$E$2:$E$4694,MATCH($A653&amp;"|10",Positions!$A$2:$A$4694,0))</f>
        <v>G</v>
      </c>
      <c r="G653" s="4" t="str">
        <f>INDEX(Positions!$E$2:$E$4694,MATCH($A653&amp;"|25",Positions!$A$2:$A$4694,0))</f>
        <v>C</v>
      </c>
      <c r="H653" s="3" t="str">
        <f t="shared" si="40"/>
        <v>G-C</v>
      </c>
      <c r="I653" s="4">
        <f t="shared" si="41"/>
        <v>1</v>
      </c>
      <c r="J653" s="4">
        <f t="shared" si="42"/>
        <v>1</v>
      </c>
      <c r="K653" s="3">
        <f t="shared" si="43"/>
        <v>2</v>
      </c>
    </row>
    <row r="654" spans="1:11">
      <c r="A654" s="4" t="s">
        <v>60</v>
      </c>
      <c r="B654" s="4" t="s">
        <v>125</v>
      </c>
      <c r="C654" s="4" t="s">
        <v>228</v>
      </c>
      <c r="D654" s="4">
        <f>INDEX(Positions!$D$2:$D$4694,MATCH($A654&amp;"|11",Positions!$A$2:$A$4694,0))</f>
        <v>11</v>
      </c>
      <c r="E654" s="4">
        <f>INDEX(Positions!$D$2:$D$4694,MATCH($A654&amp;"|24",Positions!$A$2:$A$4694,0))</f>
        <v>24</v>
      </c>
      <c r="F654" s="4" t="str">
        <f>INDEX(Positions!$E$2:$E$4694,MATCH($A654&amp;"|11",Positions!$A$2:$A$4694,0))</f>
        <v>U</v>
      </c>
      <c r="G654" s="4" t="str">
        <f>INDEX(Positions!$E$2:$E$4694,MATCH($A654&amp;"|24",Positions!$A$2:$A$4694,0))</f>
        <v>A</v>
      </c>
      <c r="H654" s="3" t="str">
        <f t="shared" si="40"/>
        <v>U-A</v>
      </c>
      <c r="I654" s="4">
        <f t="shared" si="41"/>
        <v>0</v>
      </c>
      <c r="J654" s="4">
        <f t="shared" si="42"/>
        <v>0</v>
      </c>
      <c r="K654" s="3">
        <f t="shared" si="43"/>
        <v>0</v>
      </c>
    </row>
    <row r="655" spans="1:11">
      <c r="A655" s="4" t="s">
        <v>60</v>
      </c>
      <c r="B655" s="4" t="s">
        <v>125</v>
      </c>
      <c r="C655" s="4" t="s">
        <v>229</v>
      </c>
      <c r="D655" s="4">
        <f>INDEX(Positions!$D$2:$D$4694,MATCH($A655&amp;"|12",Positions!$A$2:$A$4694,0))</f>
        <v>12</v>
      </c>
      <c r="E655" s="4">
        <f>INDEX(Positions!$D$2:$D$4694,MATCH($A655&amp;"|23",Positions!$A$2:$A$4694,0))</f>
        <v>23</v>
      </c>
      <c r="F655" s="4" t="str">
        <f>INDEX(Positions!$E$2:$E$4694,MATCH($A655&amp;"|12",Positions!$A$2:$A$4694,0))</f>
        <v>G</v>
      </c>
      <c r="G655" s="4" t="str">
        <f>INDEX(Positions!$E$2:$E$4694,MATCH($A655&amp;"|23",Positions!$A$2:$A$4694,0))</f>
        <v>C</v>
      </c>
      <c r="H655" s="3" t="str">
        <f t="shared" si="40"/>
        <v>G-C</v>
      </c>
      <c r="I655" s="4">
        <f t="shared" si="41"/>
        <v>1</v>
      </c>
      <c r="J655" s="4">
        <f t="shared" si="42"/>
        <v>1</v>
      </c>
      <c r="K655" s="3">
        <f t="shared" si="43"/>
        <v>2</v>
      </c>
    </row>
    <row r="656" spans="1:11">
      <c r="A656" s="4" t="s">
        <v>60</v>
      </c>
      <c r="B656" s="4" t="s">
        <v>125</v>
      </c>
      <c r="C656" s="4" t="s">
        <v>230</v>
      </c>
      <c r="D656" s="4">
        <f>INDEX(Positions!$D$2:$D$4694,MATCH($A656&amp;"|13",Positions!$A$2:$A$4694,0))</f>
        <v>13</v>
      </c>
      <c r="E656" s="4">
        <f>INDEX(Positions!$D$2:$D$4694,MATCH($A656&amp;"|22",Positions!$A$2:$A$4694,0))</f>
        <v>22</v>
      </c>
      <c r="F656" s="4" t="str">
        <f>INDEX(Positions!$E$2:$E$4694,MATCH($A656&amp;"|13",Positions!$A$2:$A$4694,0))</f>
        <v>U</v>
      </c>
      <c r="G656" s="4" t="str">
        <f>INDEX(Positions!$E$2:$E$4694,MATCH($A656&amp;"|22",Positions!$A$2:$A$4694,0))</f>
        <v>U</v>
      </c>
      <c r="H656" s="3" t="str">
        <f t="shared" si="40"/>
        <v>U-U</v>
      </c>
      <c r="I656" s="4">
        <f t="shared" si="41"/>
        <v>0</v>
      </c>
      <c r="J656" s="4">
        <f t="shared" si="42"/>
        <v>0</v>
      </c>
      <c r="K656" s="3">
        <f t="shared" si="43"/>
        <v>0</v>
      </c>
    </row>
    <row r="657" spans="1:11">
      <c r="A657" s="4" t="s">
        <v>60</v>
      </c>
      <c r="B657" s="4" t="s">
        <v>144</v>
      </c>
      <c r="C657" s="4" t="s">
        <v>231</v>
      </c>
      <c r="D657" s="4">
        <f>INDEX(Positions!$D$2:$D$4694,MATCH($A657&amp;"|27",Positions!$A$2:$A$4694,0))</f>
        <v>27</v>
      </c>
      <c r="E657" s="4">
        <f>INDEX(Positions!$D$2:$D$4694,MATCH($A657&amp;"|43",Positions!$A$2:$A$4694,0))</f>
        <v>43</v>
      </c>
      <c r="F657" s="4" t="str">
        <f>INDEX(Positions!$E$2:$E$4694,MATCH($A657&amp;"|27",Positions!$A$2:$A$4694,0))</f>
        <v>G</v>
      </c>
      <c r="G657" s="4" t="str">
        <f>INDEX(Positions!$E$2:$E$4694,MATCH($A657&amp;"|43",Positions!$A$2:$A$4694,0))</f>
        <v>C</v>
      </c>
      <c r="H657" s="3" t="str">
        <f t="shared" si="40"/>
        <v>G-C</v>
      </c>
      <c r="I657" s="4">
        <f t="shared" si="41"/>
        <v>1</v>
      </c>
      <c r="J657" s="4">
        <f t="shared" si="42"/>
        <v>1</v>
      </c>
      <c r="K657" s="3">
        <f t="shared" si="43"/>
        <v>2</v>
      </c>
    </row>
    <row r="658" spans="1:11">
      <c r="A658" s="4" t="s">
        <v>60</v>
      </c>
      <c r="B658" s="4" t="s">
        <v>144</v>
      </c>
      <c r="C658" s="4" t="s">
        <v>232</v>
      </c>
      <c r="D658" s="4">
        <f>INDEX(Positions!$D$2:$D$4694,MATCH($A658&amp;"|28",Positions!$A$2:$A$4694,0))</f>
        <v>28</v>
      </c>
      <c r="E658" s="4">
        <f>INDEX(Positions!$D$2:$D$4694,MATCH($A658&amp;"|42",Positions!$A$2:$A$4694,0))</f>
        <v>42</v>
      </c>
      <c r="F658" s="4" t="str">
        <f>INDEX(Positions!$E$2:$E$4694,MATCH($A658&amp;"|28",Positions!$A$2:$A$4694,0))</f>
        <v>G</v>
      </c>
      <c r="G658" s="4" t="str">
        <f>INDEX(Positions!$E$2:$E$4694,MATCH($A658&amp;"|42",Positions!$A$2:$A$4694,0))</f>
        <v>U</v>
      </c>
      <c r="H658" s="3" t="str">
        <f t="shared" si="40"/>
        <v>G-U</v>
      </c>
      <c r="I658" s="4">
        <f t="shared" si="41"/>
        <v>1</v>
      </c>
      <c r="J658" s="4">
        <f t="shared" si="42"/>
        <v>0</v>
      </c>
      <c r="K658" s="3">
        <f t="shared" si="43"/>
        <v>1</v>
      </c>
    </row>
    <row r="659" spans="1:11">
      <c r="A659" s="4" t="s">
        <v>60</v>
      </c>
      <c r="B659" s="4" t="s">
        <v>144</v>
      </c>
      <c r="C659" s="4" t="s">
        <v>233</v>
      </c>
      <c r="D659" s="4">
        <f>INDEX(Positions!$D$2:$D$4694,MATCH($A659&amp;"|29",Positions!$A$2:$A$4694,0))</f>
        <v>29</v>
      </c>
      <c r="E659" s="4">
        <f>INDEX(Positions!$D$2:$D$4694,MATCH($A659&amp;"|41",Positions!$A$2:$A$4694,0))</f>
        <v>41</v>
      </c>
      <c r="F659" s="4" t="str">
        <f>INDEX(Positions!$E$2:$E$4694,MATCH($A659&amp;"|29",Positions!$A$2:$A$4694,0))</f>
        <v>G</v>
      </c>
      <c r="G659" s="4" t="str">
        <f>INDEX(Positions!$E$2:$E$4694,MATCH($A659&amp;"|41",Positions!$A$2:$A$4694,0))</f>
        <v>C</v>
      </c>
      <c r="H659" s="3" t="str">
        <f t="shared" si="40"/>
        <v>G-C</v>
      </c>
      <c r="I659" s="4">
        <f t="shared" si="41"/>
        <v>1</v>
      </c>
      <c r="J659" s="4">
        <f t="shared" si="42"/>
        <v>1</v>
      </c>
      <c r="K659" s="3">
        <f t="shared" si="43"/>
        <v>2</v>
      </c>
    </row>
    <row r="660" spans="1:11">
      <c r="A660" s="4" t="s">
        <v>60</v>
      </c>
      <c r="B660" s="4" t="s">
        <v>144</v>
      </c>
      <c r="C660" s="4" t="s">
        <v>234</v>
      </c>
      <c r="D660" s="4">
        <f>INDEX(Positions!$D$2:$D$4694,MATCH($A660&amp;"|30",Positions!$A$2:$A$4694,0))</f>
        <v>30</v>
      </c>
      <c r="E660" s="4">
        <f>INDEX(Positions!$D$2:$D$4694,MATCH($A660&amp;"|40",Positions!$A$2:$A$4694,0))</f>
        <v>40</v>
      </c>
      <c r="F660" s="4" t="str">
        <f>INDEX(Positions!$E$2:$E$4694,MATCH($A660&amp;"|30",Positions!$A$2:$A$4694,0))</f>
        <v>C</v>
      </c>
      <c r="G660" s="4" t="str">
        <f>INDEX(Positions!$E$2:$E$4694,MATCH($A660&amp;"|40",Positions!$A$2:$A$4694,0))</f>
        <v>G</v>
      </c>
      <c r="H660" s="3" t="str">
        <f t="shared" si="40"/>
        <v>C-G</v>
      </c>
      <c r="I660" s="4">
        <f t="shared" si="41"/>
        <v>1</v>
      </c>
      <c r="J660" s="4">
        <f t="shared" si="42"/>
        <v>1</v>
      </c>
      <c r="K660" s="3">
        <f t="shared" si="43"/>
        <v>2</v>
      </c>
    </row>
    <row r="661" spans="1:11">
      <c r="A661" s="4" t="s">
        <v>60</v>
      </c>
      <c r="B661" s="4" t="s">
        <v>144</v>
      </c>
      <c r="C661" s="4" t="s">
        <v>235</v>
      </c>
      <c r="D661" s="4">
        <f>INDEX(Positions!$D$2:$D$4694,MATCH($A661&amp;"|31",Positions!$A$2:$A$4694,0))</f>
        <v>31</v>
      </c>
      <c r="E661" s="4">
        <f>INDEX(Positions!$D$2:$D$4694,MATCH($A661&amp;"|39",Positions!$A$2:$A$4694,0))</f>
        <v>39</v>
      </c>
      <c r="F661" s="4" t="str">
        <f>INDEX(Positions!$E$2:$E$4694,MATCH($A661&amp;"|31",Positions!$A$2:$A$4694,0))</f>
        <v>G</v>
      </c>
      <c r="G661" s="4" t="str">
        <f>INDEX(Positions!$E$2:$E$4694,MATCH($A661&amp;"|39",Positions!$A$2:$A$4694,0))</f>
        <v>C</v>
      </c>
      <c r="H661" s="3" t="str">
        <f t="shared" si="40"/>
        <v>G-C</v>
      </c>
      <c r="I661" s="4">
        <f t="shared" si="41"/>
        <v>1</v>
      </c>
      <c r="J661" s="4">
        <f t="shared" si="42"/>
        <v>1</v>
      </c>
      <c r="K661" s="3">
        <f t="shared" si="43"/>
        <v>2</v>
      </c>
    </row>
    <row r="662" spans="1:11">
      <c r="A662" s="4" t="s">
        <v>60</v>
      </c>
      <c r="B662" s="4" t="s">
        <v>169</v>
      </c>
      <c r="C662" s="4" t="s">
        <v>236</v>
      </c>
      <c r="D662" s="4">
        <f>INDEX(Positions!$D$2:$D$4694,MATCH($A662&amp;"|49",Positions!$A$2:$A$4694,0))</f>
        <v>48</v>
      </c>
      <c r="E662" s="4">
        <f>INDEX(Positions!$D$2:$D$4694,MATCH($A662&amp;"|65",Positions!$A$2:$A$4694,0))</f>
        <v>64</v>
      </c>
      <c r="F662" s="4" t="str">
        <f>INDEX(Positions!$E$2:$E$4694,MATCH($A662&amp;"|49",Positions!$A$2:$A$4694,0))</f>
        <v>C</v>
      </c>
      <c r="G662" s="4" t="str">
        <f>INDEX(Positions!$E$2:$E$4694,MATCH($A662&amp;"|65",Positions!$A$2:$A$4694,0))</f>
        <v>G</v>
      </c>
      <c r="H662" s="3" t="str">
        <f t="shared" si="40"/>
        <v>C-G</v>
      </c>
      <c r="I662" s="4">
        <f t="shared" si="41"/>
        <v>1</v>
      </c>
      <c r="J662" s="4">
        <f t="shared" si="42"/>
        <v>1</v>
      </c>
      <c r="K662" s="3">
        <f t="shared" si="43"/>
        <v>2</v>
      </c>
    </row>
    <row r="663" spans="1:11">
      <c r="A663" s="4" t="s">
        <v>60</v>
      </c>
      <c r="B663" s="4" t="s">
        <v>169</v>
      </c>
      <c r="C663" s="4" t="s">
        <v>237</v>
      </c>
      <c r="D663" s="4">
        <f>INDEX(Positions!$D$2:$D$4694,MATCH($A663&amp;"|50",Positions!$A$2:$A$4694,0))</f>
        <v>49</v>
      </c>
      <c r="E663" s="4">
        <f>INDEX(Positions!$D$2:$D$4694,MATCH($A663&amp;"|64",Positions!$A$2:$A$4694,0))</f>
        <v>63</v>
      </c>
      <c r="F663" s="4" t="str">
        <f>INDEX(Positions!$E$2:$E$4694,MATCH($A663&amp;"|50",Positions!$A$2:$A$4694,0))</f>
        <v>C</v>
      </c>
      <c r="G663" s="4" t="str">
        <f>INDEX(Positions!$E$2:$E$4694,MATCH($A663&amp;"|64",Positions!$A$2:$A$4694,0))</f>
        <v>G</v>
      </c>
      <c r="H663" s="3" t="str">
        <f t="shared" si="40"/>
        <v>C-G</v>
      </c>
      <c r="I663" s="4">
        <f t="shared" si="41"/>
        <v>1</v>
      </c>
      <c r="J663" s="4">
        <f t="shared" si="42"/>
        <v>1</v>
      </c>
      <c r="K663" s="3">
        <f t="shared" si="43"/>
        <v>2</v>
      </c>
    </row>
    <row r="664" spans="1:11">
      <c r="A664" s="4" t="s">
        <v>60</v>
      </c>
      <c r="B664" s="4" t="s">
        <v>169</v>
      </c>
      <c r="C664" s="4" t="s">
        <v>238</v>
      </c>
      <c r="D664" s="4">
        <f>INDEX(Positions!$D$2:$D$4694,MATCH($A664&amp;"|51",Positions!$A$2:$A$4694,0))</f>
        <v>50</v>
      </c>
      <c r="E664" s="4">
        <f>INDEX(Positions!$D$2:$D$4694,MATCH($A664&amp;"|63",Positions!$A$2:$A$4694,0))</f>
        <v>62</v>
      </c>
      <c r="F664" s="4" t="str">
        <f>INDEX(Positions!$E$2:$E$4694,MATCH($A664&amp;"|51",Positions!$A$2:$A$4694,0))</f>
        <v>G</v>
      </c>
      <c r="G664" s="4" t="str">
        <f>INDEX(Positions!$E$2:$E$4694,MATCH($A664&amp;"|63",Positions!$A$2:$A$4694,0))</f>
        <v>C</v>
      </c>
      <c r="H664" s="3" t="str">
        <f t="shared" si="40"/>
        <v>G-C</v>
      </c>
      <c r="I664" s="4">
        <f t="shared" si="41"/>
        <v>1</v>
      </c>
      <c r="J664" s="4">
        <f t="shared" si="42"/>
        <v>1</v>
      </c>
      <c r="K664" s="3">
        <f t="shared" si="43"/>
        <v>2</v>
      </c>
    </row>
    <row r="665" spans="1:11">
      <c r="A665" s="4" t="s">
        <v>60</v>
      </c>
      <c r="B665" s="4" t="s">
        <v>169</v>
      </c>
      <c r="C665" s="4" t="s">
        <v>239</v>
      </c>
      <c r="D665" s="4">
        <f>INDEX(Positions!$D$2:$D$4694,MATCH($A665&amp;"|52",Positions!$A$2:$A$4694,0))</f>
        <v>51</v>
      </c>
      <c r="E665" s="4">
        <f>INDEX(Positions!$D$2:$D$4694,MATCH($A665&amp;"|62",Positions!$A$2:$A$4694,0))</f>
        <v>61</v>
      </c>
      <c r="F665" s="4" t="str">
        <f>INDEX(Positions!$E$2:$E$4694,MATCH($A665&amp;"|52",Positions!$A$2:$A$4694,0))</f>
        <v>G</v>
      </c>
      <c r="G665" s="4" t="str">
        <f>INDEX(Positions!$E$2:$E$4694,MATCH($A665&amp;"|62",Positions!$A$2:$A$4694,0))</f>
        <v>C</v>
      </c>
      <c r="H665" s="3" t="str">
        <f t="shared" si="40"/>
        <v>G-C</v>
      </c>
      <c r="I665" s="4">
        <f t="shared" si="41"/>
        <v>1</v>
      </c>
      <c r="J665" s="4">
        <f t="shared" si="42"/>
        <v>1</v>
      </c>
      <c r="K665" s="3">
        <f t="shared" si="43"/>
        <v>2</v>
      </c>
    </row>
    <row r="666" spans="1:11">
      <c r="A666" s="4" t="s">
        <v>60</v>
      </c>
      <c r="B666" s="4" t="s">
        <v>169</v>
      </c>
      <c r="C666" s="4" t="s">
        <v>240</v>
      </c>
      <c r="D666" s="4">
        <f>INDEX(Positions!$D$2:$D$4694,MATCH($A666&amp;"|53",Positions!$A$2:$A$4694,0))</f>
        <v>52</v>
      </c>
      <c r="E666" s="4">
        <f>INDEX(Positions!$D$2:$D$4694,MATCH($A666&amp;"|61",Positions!$A$2:$A$4694,0))</f>
        <v>60</v>
      </c>
      <c r="F666" s="4" t="str">
        <f>INDEX(Positions!$E$2:$E$4694,MATCH($A666&amp;"|53",Positions!$A$2:$A$4694,0))</f>
        <v>G</v>
      </c>
      <c r="G666" s="4" t="str">
        <f>INDEX(Positions!$E$2:$E$4694,MATCH($A666&amp;"|61",Positions!$A$2:$A$4694,0))</f>
        <v>C</v>
      </c>
      <c r="H666" s="3" t="str">
        <f t="shared" si="40"/>
        <v>G-C</v>
      </c>
      <c r="I666" s="4">
        <f t="shared" si="41"/>
        <v>1</v>
      </c>
      <c r="J666" s="4">
        <f t="shared" si="42"/>
        <v>1</v>
      </c>
      <c r="K666" s="3">
        <f t="shared" si="43"/>
        <v>2</v>
      </c>
    </row>
    <row r="667" spans="1:11">
      <c r="A667" s="23" t="s">
        <v>60</v>
      </c>
      <c r="B667" s="23" t="s">
        <v>241</v>
      </c>
      <c r="C667" s="23" t="s">
        <v>242</v>
      </c>
      <c r="D667" s="23">
        <f>INDEX(Positions!$D$2:$D$4694,MATCH($A667&amp;"|8",Positions!$A$2:$A$4694,0))</f>
        <v>8</v>
      </c>
      <c r="E667" s="23">
        <f>INDEX(Positions!$D$2:$D$4694,MATCH($A667&amp;"|14",Positions!$A$2:$A$4694,0))</f>
        <v>14</v>
      </c>
      <c r="F667" s="23" t="str">
        <f>INDEX(Positions!$E$2:$E$4694,MATCH($A667&amp;"|8",Positions!$A$2:$A$4694,0))</f>
        <v>U</v>
      </c>
      <c r="G667" s="23" t="str">
        <f>INDEX(Positions!$E$2:$E$4694,MATCH($A667&amp;"|14",Positions!$A$2:$A$4694,0))</f>
        <v>A</v>
      </c>
      <c r="H667" s="24" t="str">
        <f t="shared" si="40"/>
        <v>U-A</v>
      </c>
      <c r="I667" s="23">
        <f t="shared" si="41"/>
        <v>0</v>
      </c>
      <c r="J667" s="23">
        <f t="shared" si="42"/>
        <v>0</v>
      </c>
      <c r="K667" s="24">
        <f t="shared" si="43"/>
        <v>0</v>
      </c>
    </row>
    <row r="668" spans="1:11">
      <c r="A668" s="23" t="s">
        <v>60</v>
      </c>
      <c r="B668" s="23" t="s">
        <v>241</v>
      </c>
      <c r="C668" s="23" t="s">
        <v>243</v>
      </c>
      <c r="D668" s="23">
        <f>INDEX(Positions!$D$2:$D$4694,MATCH($A668&amp;"|15",Positions!$A$2:$A$4694,0))</f>
        <v>15</v>
      </c>
      <c r="E668" s="23">
        <f>INDEX(Positions!$D$2:$D$4694,MATCH($A668&amp;"|48",Positions!$A$2:$A$4694,0))</f>
        <v>47</v>
      </c>
      <c r="F668" s="23" t="str">
        <f>INDEX(Positions!$E$2:$E$4694,MATCH($A668&amp;"|15",Positions!$A$2:$A$4694,0))</f>
        <v>G</v>
      </c>
      <c r="G668" s="23" t="str">
        <f>INDEX(Positions!$E$2:$E$4694,MATCH($A668&amp;"|48",Positions!$A$2:$A$4694,0))</f>
        <v>C</v>
      </c>
      <c r="H668" s="24" t="str">
        <f t="shared" si="40"/>
        <v>G-C</v>
      </c>
      <c r="I668" s="23">
        <f t="shared" si="41"/>
        <v>1</v>
      </c>
      <c r="J668" s="23">
        <f t="shared" si="42"/>
        <v>1</v>
      </c>
      <c r="K668" s="24">
        <f t="shared" si="43"/>
        <v>2</v>
      </c>
    </row>
    <row r="669" spans="1:11">
      <c r="A669" s="23" t="s">
        <v>60</v>
      </c>
      <c r="B669" s="23" t="s">
        <v>241</v>
      </c>
      <c r="C669" s="23" t="s">
        <v>244</v>
      </c>
      <c r="D669" s="23">
        <f>INDEX(Positions!$D$2:$D$4694,MATCH($A669&amp;"|18",Positions!$A$2:$A$4694,0))</f>
        <v>17</v>
      </c>
      <c r="E669" s="23">
        <f>INDEX(Positions!$D$2:$D$4694,MATCH($A669&amp;"|55",Positions!$A$2:$A$4694,0))</f>
        <v>54</v>
      </c>
      <c r="F669" s="23" t="str">
        <f>INDEX(Positions!$E$2:$E$4694,MATCH($A669&amp;"|18",Positions!$A$2:$A$4694,0))</f>
        <v>G</v>
      </c>
      <c r="G669" s="23" t="str">
        <f>INDEX(Positions!$E$2:$E$4694,MATCH($A669&amp;"|55",Positions!$A$2:$A$4694,0))</f>
        <v>U</v>
      </c>
      <c r="H669" s="24" t="str">
        <f t="shared" si="40"/>
        <v>G-U</v>
      </c>
      <c r="I669" s="23">
        <f t="shared" si="41"/>
        <v>1</v>
      </c>
      <c r="J669" s="23">
        <f t="shared" si="42"/>
        <v>0</v>
      </c>
      <c r="K669" s="24">
        <f t="shared" si="43"/>
        <v>1</v>
      </c>
    </row>
    <row r="670" spans="1:11">
      <c r="A670" s="23" t="s">
        <v>60</v>
      </c>
      <c r="B670" s="23" t="s">
        <v>241</v>
      </c>
      <c r="C670" s="23" t="s">
        <v>245</v>
      </c>
      <c r="D670" s="23">
        <f>INDEX(Positions!$D$2:$D$4694,MATCH($A670&amp;"|19",Positions!$A$2:$A$4694,0))</f>
        <v>18</v>
      </c>
      <c r="E670" s="23">
        <f>INDEX(Positions!$D$2:$D$4694,MATCH($A670&amp;"|56",Positions!$A$2:$A$4694,0))</f>
        <v>55</v>
      </c>
      <c r="F670" s="23" t="str">
        <f>INDEX(Positions!$E$2:$E$4694,MATCH($A670&amp;"|19",Positions!$A$2:$A$4694,0))</f>
        <v>G</v>
      </c>
      <c r="G670" s="23" t="str">
        <f>INDEX(Positions!$E$2:$E$4694,MATCH($A670&amp;"|56",Positions!$A$2:$A$4694,0))</f>
        <v>C</v>
      </c>
      <c r="H670" s="24" t="str">
        <f t="shared" si="40"/>
        <v>G-C</v>
      </c>
      <c r="I670" s="23">
        <f t="shared" si="41"/>
        <v>1</v>
      </c>
      <c r="J670" s="23">
        <f t="shared" si="42"/>
        <v>1</v>
      </c>
      <c r="K670" s="24">
        <f t="shared" si="43"/>
        <v>2</v>
      </c>
    </row>
    <row r="671" spans="1:11">
      <c r="A671" s="23" t="s">
        <v>60</v>
      </c>
      <c r="B671" s="23" t="s">
        <v>241</v>
      </c>
      <c r="C671" s="23" t="s">
        <v>246</v>
      </c>
      <c r="D671" s="23">
        <f>INDEX(Positions!$D$2:$D$4694,MATCH($A671&amp;"|26",Positions!$A$2:$A$4694,0))</f>
        <v>26</v>
      </c>
      <c r="E671" s="23">
        <f>INDEX(Positions!$D$2:$D$4694,MATCH($A671&amp;"|44",Positions!$A$2:$A$4694,0))</f>
        <v>44</v>
      </c>
      <c r="F671" s="23" t="str">
        <f>INDEX(Positions!$E$2:$E$4694,MATCH($A671&amp;"|26",Positions!$A$2:$A$4694,0))</f>
        <v>C</v>
      </c>
      <c r="G671" s="23" t="str">
        <f>INDEX(Positions!$E$2:$E$4694,MATCH($A671&amp;"|44",Positions!$A$2:$A$4694,0))</f>
        <v>G</v>
      </c>
      <c r="H671" s="24" t="str">
        <f t="shared" si="40"/>
        <v>C-G</v>
      </c>
      <c r="I671" s="23">
        <f t="shared" si="41"/>
        <v>1</v>
      </c>
      <c r="J671" s="23">
        <f t="shared" si="42"/>
        <v>1</v>
      </c>
      <c r="K671" s="24">
        <f t="shared" si="43"/>
        <v>2</v>
      </c>
    </row>
    <row r="672" spans="1:11">
      <c r="A672" s="23" t="s">
        <v>60</v>
      </c>
      <c r="B672" s="23" t="s">
        <v>241</v>
      </c>
      <c r="C672" s="23" t="s">
        <v>247</v>
      </c>
      <c r="D672" s="23">
        <f>INDEX(Positions!$D$2:$D$4694,MATCH($A672&amp;"|32",Positions!$A$2:$A$4694,0))</f>
        <v>32</v>
      </c>
      <c r="E672" s="23">
        <f>INDEX(Positions!$D$2:$D$4694,MATCH($A672&amp;"|38",Positions!$A$2:$A$4694,0))</f>
        <v>38</v>
      </c>
      <c r="F672" s="23" t="str">
        <f>INDEX(Positions!$E$2:$E$4694,MATCH($A672&amp;"|32",Positions!$A$2:$A$4694,0))</f>
        <v>U</v>
      </c>
      <c r="G672" s="23" t="str">
        <f>INDEX(Positions!$E$2:$E$4694,MATCH($A672&amp;"|38",Positions!$A$2:$A$4694,0))</f>
        <v>A</v>
      </c>
      <c r="H672" s="24" t="str">
        <f t="shared" si="40"/>
        <v>U-A</v>
      </c>
      <c r="I672" s="23">
        <f t="shared" si="41"/>
        <v>0</v>
      </c>
      <c r="J672" s="23">
        <f t="shared" si="42"/>
        <v>0</v>
      </c>
      <c r="K672" s="24">
        <f t="shared" si="43"/>
        <v>0</v>
      </c>
    </row>
    <row r="673" spans="1:11">
      <c r="A673" s="23" t="s">
        <v>60</v>
      </c>
      <c r="B673" s="23" t="s">
        <v>241</v>
      </c>
      <c r="C673" s="23" t="s">
        <v>248</v>
      </c>
      <c r="D673" s="23">
        <f>INDEX(Positions!$D$2:$D$4694,MATCH($A673&amp;"|54",Positions!$A$2:$A$4694,0))</f>
        <v>53</v>
      </c>
      <c r="E673" s="23">
        <f>INDEX(Positions!$D$2:$D$4694,MATCH($A673&amp;"|58",Positions!$A$2:$A$4694,0))</f>
        <v>57</v>
      </c>
      <c r="F673" s="23" t="str">
        <f>INDEX(Positions!$E$2:$E$4694,MATCH($A673&amp;"|54",Positions!$A$2:$A$4694,0))</f>
        <v>U</v>
      </c>
      <c r="G673" s="23" t="str">
        <f>INDEX(Positions!$E$2:$E$4694,MATCH($A673&amp;"|58",Positions!$A$2:$A$4694,0))</f>
        <v>A</v>
      </c>
      <c r="H673" s="24" t="str">
        <f t="shared" si="40"/>
        <v>U-A</v>
      </c>
      <c r="I673" s="23">
        <f t="shared" si="41"/>
        <v>0</v>
      </c>
      <c r="J673" s="23">
        <f t="shared" si="42"/>
        <v>0</v>
      </c>
      <c r="K673" s="24">
        <f t="shared" si="43"/>
        <v>0</v>
      </c>
    </row>
    <row r="674" spans="1:11">
      <c r="A674" s="4" t="s">
        <v>61</v>
      </c>
      <c r="B674" s="4" t="s">
        <v>110</v>
      </c>
      <c r="C674" s="4" t="s">
        <v>220</v>
      </c>
      <c r="D674" s="4">
        <f>INDEX(Positions!$D$2:$D$4694,MATCH($A674&amp;"|1",Positions!$A$2:$A$4694,0))</f>
        <v>1</v>
      </c>
      <c r="E674" s="4">
        <f>INDEX(Positions!$D$2:$D$4694,MATCH($A674&amp;"|72",Positions!$A$2:$A$4694,0))</f>
        <v>71</v>
      </c>
      <c r="F674" s="4" t="str">
        <f>INDEX(Positions!$E$2:$E$4694,MATCH($A674&amp;"|1",Positions!$A$2:$A$4694,0))</f>
        <v>G</v>
      </c>
      <c r="G674" s="4" t="str">
        <f>INDEX(Positions!$E$2:$E$4694,MATCH($A674&amp;"|72",Positions!$A$2:$A$4694,0))</f>
        <v>C</v>
      </c>
      <c r="H674" s="3" t="str">
        <f t="shared" si="40"/>
        <v>G-C</v>
      </c>
      <c r="I674" s="4">
        <f t="shared" si="41"/>
        <v>1</v>
      </c>
      <c r="J674" s="4">
        <f t="shared" si="42"/>
        <v>1</v>
      </c>
      <c r="K674" s="3">
        <f t="shared" si="43"/>
        <v>2</v>
      </c>
    </row>
    <row r="675" spans="1:11">
      <c r="A675" s="4" t="s">
        <v>61</v>
      </c>
      <c r="B675" s="4" t="s">
        <v>110</v>
      </c>
      <c r="C675" s="4" t="s">
        <v>221</v>
      </c>
      <c r="D675" s="4">
        <f>INDEX(Positions!$D$2:$D$4694,MATCH($A675&amp;"|2",Positions!$A$2:$A$4694,0))</f>
        <v>2</v>
      </c>
      <c r="E675" s="4">
        <f>INDEX(Positions!$D$2:$D$4694,MATCH($A675&amp;"|71",Positions!$A$2:$A$4694,0))</f>
        <v>70</v>
      </c>
      <c r="F675" s="4" t="str">
        <f>INDEX(Positions!$E$2:$E$4694,MATCH($A675&amp;"|2",Positions!$A$2:$A$4694,0))</f>
        <v>C</v>
      </c>
      <c r="G675" s="4" t="str">
        <f>INDEX(Positions!$E$2:$E$4694,MATCH($A675&amp;"|71",Positions!$A$2:$A$4694,0))</f>
        <v>G</v>
      </c>
      <c r="H675" s="3" t="str">
        <f t="shared" si="40"/>
        <v>C-G</v>
      </c>
      <c r="I675" s="4">
        <f t="shared" si="41"/>
        <v>1</v>
      </c>
      <c r="J675" s="4">
        <f t="shared" si="42"/>
        <v>1</v>
      </c>
      <c r="K675" s="3">
        <f t="shared" si="43"/>
        <v>2</v>
      </c>
    </row>
    <row r="676" spans="1:11">
      <c r="A676" s="4" t="s">
        <v>61</v>
      </c>
      <c r="B676" s="4" t="s">
        <v>110</v>
      </c>
      <c r="C676" s="4" t="s">
        <v>222</v>
      </c>
      <c r="D676" s="4">
        <f>INDEX(Positions!$D$2:$D$4694,MATCH($A676&amp;"|3",Positions!$A$2:$A$4694,0))</f>
        <v>3</v>
      </c>
      <c r="E676" s="4">
        <f>INDEX(Positions!$D$2:$D$4694,MATCH($A676&amp;"|70",Positions!$A$2:$A$4694,0))</f>
        <v>69</v>
      </c>
      <c r="F676" s="4" t="str">
        <f>INDEX(Positions!$E$2:$E$4694,MATCH($A676&amp;"|3",Positions!$A$2:$A$4694,0))</f>
        <v>G</v>
      </c>
      <c r="G676" s="4" t="str">
        <f>INDEX(Positions!$E$2:$E$4694,MATCH($A676&amp;"|70",Positions!$A$2:$A$4694,0))</f>
        <v>C</v>
      </c>
      <c r="H676" s="3" t="str">
        <f t="shared" si="40"/>
        <v>G-C</v>
      </c>
      <c r="I676" s="4">
        <f t="shared" si="41"/>
        <v>1</v>
      </c>
      <c r="J676" s="4">
        <f t="shared" si="42"/>
        <v>1</v>
      </c>
      <c r="K676" s="3">
        <f t="shared" si="43"/>
        <v>2</v>
      </c>
    </row>
    <row r="677" spans="1:11">
      <c r="A677" s="4" t="s">
        <v>61</v>
      </c>
      <c r="B677" s="4" t="s">
        <v>110</v>
      </c>
      <c r="C677" s="4" t="s">
        <v>223</v>
      </c>
      <c r="D677" s="4">
        <f>INDEX(Positions!$D$2:$D$4694,MATCH($A677&amp;"|4",Positions!$A$2:$A$4694,0))</f>
        <v>4</v>
      </c>
      <c r="E677" s="4">
        <f>INDEX(Positions!$D$2:$D$4694,MATCH($A677&amp;"|69",Positions!$A$2:$A$4694,0))</f>
        <v>68</v>
      </c>
      <c r="F677" s="4" t="str">
        <f>INDEX(Positions!$E$2:$E$4694,MATCH($A677&amp;"|4",Positions!$A$2:$A$4694,0))</f>
        <v>U</v>
      </c>
      <c r="G677" s="4" t="str">
        <f>INDEX(Positions!$E$2:$E$4694,MATCH($A677&amp;"|69",Positions!$A$2:$A$4694,0))</f>
        <v>G</v>
      </c>
      <c r="H677" s="3" t="str">
        <f t="shared" si="40"/>
        <v>U-G</v>
      </c>
      <c r="I677" s="4">
        <f t="shared" si="41"/>
        <v>1</v>
      </c>
      <c r="J677" s="4">
        <f t="shared" si="42"/>
        <v>0</v>
      </c>
      <c r="K677" s="3">
        <f t="shared" si="43"/>
        <v>1</v>
      </c>
    </row>
    <row r="678" spans="1:11">
      <c r="A678" s="4" t="s">
        <v>61</v>
      </c>
      <c r="B678" s="4" t="s">
        <v>110</v>
      </c>
      <c r="C678" s="4" t="s">
        <v>224</v>
      </c>
      <c r="D678" s="4">
        <f>INDEX(Positions!$D$2:$D$4694,MATCH($A678&amp;"|5",Positions!$A$2:$A$4694,0))</f>
        <v>5</v>
      </c>
      <c r="E678" s="4">
        <f>INDEX(Positions!$D$2:$D$4694,MATCH($A678&amp;"|68",Positions!$A$2:$A$4694,0))</f>
        <v>67</v>
      </c>
      <c r="F678" s="4" t="str">
        <f>INDEX(Positions!$E$2:$E$4694,MATCH($A678&amp;"|5",Positions!$A$2:$A$4694,0))</f>
        <v>U</v>
      </c>
      <c r="G678" s="4" t="str">
        <f>INDEX(Positions!$E$2:$E$4694,MATCH($A678&amp;"|68",Positions!$A$2:$A$4694,0))</f>
        <v>G</v>
      </c>
      <c r="H678" s="3" t="str">
        <f t="shared" si="40"/>
        <v>U-G</v>
      </c>
      <c r="I678" s="4">
        <f t="shared" si="41"/>
        <v>1</v>
      </c>
      <c r="J678" s="4">
        <f t="shared" si="42"/>
        <v>0</v>
      </c>
      <c r="K678" s="3">
        <f t="shared" si="43"/>
        <v>1</v>
      </c>
    </row>
    <row r="679" spans="1:11">
      <c r="A679" s="4" t="s">
        <v>61</v>
      </c>
      <c r="B679" s="4" t="s">
        <v>110</v>
      </c>
      <c r="C679" s="4" t="s">
        <v>225</v>
      </c>
      <c r="D679" s="4">
        <f>INDEX(Positions!$D$2:$D$4694,MATCH($A679&amp;"|6",Positions!$A$2:$A$4694,0))</f>
        <v>6</v>
      </c>
      <c r="E679" s="4">
        <f>INDEX(Positions!$D$2:$D$4694,MATCH($A679&amp;"|67",Positions!$A$2:$A$4694,0))</f>
        <v>66</v>
      </c>
      <c r="F679" s="4" t="str">
        <f>INDEX(Positions!$E$2:$E$4694,MATCH($A679&amp;"|6",Positions!$A$2:$A$4694,0))</f>
        <v>G</v>
      </c>
      <c r="G679" s="4" t="str">
        <f>INDEX(Positions!$E$2:$E$4694,MATCH($A679&amp;"|67",Positions!$A$2:$A$4694,0))</f>
        <v>C</v>
      </c>
      <c r="H679" s="3" t="str">
        <f t="shared" si="40"/>
        <v>G-C</v>
      </c>
      <c r="I679" s="4">
        <f t="shared" si="41"/>
        <v>1</v>
      </c>
      <c r="J679" s="4">
        <f t="shared" si="42"/>
        <v>1</v>
      </c>
      <c r="K679" s="3">
        <f t="shared" si="43"/>
        <v>2</v>
      </c>
    </row>
    <row r="680" spans="1:11">
      <c r="A680" s="4" t="s">
        <v>61</v>
      </c>
      <c r="B680" s="4" t="s">
        <v>110</v>
      </c>
      <c r="C680" s="4" t="s">
        <v>226</v>
      </c>
      <c r="D680" s="4">
        <f>INDEX(Positions!$D$2:$D$4694,MATCH($A680&amp;"|7",Positions!$A$2:$A$4694,0))</f>
        <v>7</v>
      </c>
      <c r="E680" s="4">
        <f>INDEX(Positions!$D$2:$D$4694,MATCH($A680&amp;"|66",Positions!$A$2:$A$4694,0))</f>
        <v>65</v>
      </c>
      <c r="F680" s="4" t="str">
        <f>INDEX(Positions!$E$2:$E$4694,MATCH($A680&amp;"|7",Positions!$A$2:$A$4694,0))</f>
        <v>A</v>
      </c>
      <c r="G680" s="4" t="str">
        <f>INDEX(Positions!$E$2:$E$4694,MATCH($A680&amp;"|66",Positions!$A$2:$A$4694,0))</f>
        <v>U</v>
      </c>
      <c r="H680" s="3" t="str">
        <f t="shared" si="40"/>
        <v>A-U</v>
      </c>
      <c r="I680" s="4">
        <f t="shared" si="41"/>
        <v>0</v>
      </c>
      <c r="J680" s="4">
        <f t="shared" si="42"/>
        <v>0</v>
      </c>
      <c r="K680" s="3">
        <f t="shared" si="43"/>
        <v>0</v>
      </c>
    </row>
    <row r="681" spans="1:11">
      <c r="A681" s="4" t="s">
        <v>61</v>
      </c>
      <c r="B681" s="4" t="s">
        <v>125</v>
      </c>
      <c r="C681" s="4" t="s">
        <v>227</v>
      </c>
      <c r="D681" s="4">
        <f>INDEX(Positions!$D$2:$D$4694,MATCH($A681&amp;"|10",Positions!$A$2:$A$4694,0))</f>
        <v>10</v>
      </c>
      <c r="E681" s="4">
        <f>INDEX(Positions!$D$2:$D$4694,MATCH($A681&amp;"|25",Positions!$A$2:$A$4694,0))</f>
        <v>25</v>
      </c>
      <c r="F681" s="4" t="str">
        <f>INDEX(Positions!$E$2:$E$4694,MATCH($A681&amp;"|10",Positions!$A$2:$A$4694,0))</f>
        <v>G</v>
      </c>
      <c r="G681" s="4" t="str">
        <f>INDEX(Positions!$E$2:$E$4694,MATCH($A681&amp;"|25",Positions!$A$2:$A$4694,0))</f>
        <v>C</v>
      </c>
      <c r="H681" s="3" t="str">
        <f t="shared" si="40"/>
        <v>G-C</v>
      </c>
      <c r="I681" s="4">
        <f t="shared" si="41"/>
        <v>1</v>
      </c>
      <c r="J681" s="4">
        <f t="shared" si="42"/>
        <v>1</v>
      </c>
      <c r="K681" s="3">
        <f t="shared" si="43"/>
        <v>2</v>
      </c>
    </row>
    <row r="682" spans="1:11">
      <c r="A682" s="4" t="s">
        <v>61</v>
      </c>
      <c r="B682" s="4" t="s">
        <v>125</v>
      </c>
      <c r="C682" s="4" t="s">
        <v>228</v>
      </c>
      <c r="D682" s="4">
        <f>INDEX(Positions!$D$2:$D$4694,MATCH($A682&amp;"|11",Positions!$A$2:$A$4694,0))</f>
        <v>11</v>
      </c>
      <c r="E682" s="4">
        <f>INDEX(Positions!$D$2:$D$4694,MATCH($A682&amp;"|24",Positions!$A$2:$A$4694,0))</f>
        <v>24</v>
      </c>
      <c r="F682" s="4" t="str">
        <f>INDEX(Positions!$E$2:$E$4694,MATCH($A682&amp;"|11",Positions!$A$2:$A$4694,0))</f>
        <v>U</v>
      </c>
      <c r="G682" s="4" t="str">
        <f>INDEX(Positions!$E$2:$E$4694,MATCH($A682&amp;"|24",Positions!$A$2:$A$4694,0))</f>
        <v>A</v>
      </c>
      <c r="H682" s="3" t="str">
        <f t="shared" si="40"/>
        <v>U-A</v>
      </c>
      <c r="I682" s="4">
        <f t="shared" si="41"/>
        <v>0</v>
      </c>
      <c r="J682" s="4">
        <f t="shared" si="42"/>
        <v>0</v>
      </c>
      <c r="K682" s="3">
        <f t="shared" si="43"/>
        <v>0</v>
      </c>
    </row>
    <row r="683" spans="1:11">
      <c r="A683" s="4" t="s">
        <v>61</v>
      </c>
      <c r="B683" s="4" t="s">
        <v>125</v>
      </c>
      <c r="C683" s="4" t="s">
        <v>229</v>
      </c>
      <c r="D683" s="4">
        <f>INDEX(Positions!$D$2:$D$4694,MATCH($A683&amp;"|12",Positions!$A$2:$A$4694,0))</f>
        <v>12</v>
      </c>
      <c r="E683" s="4">
        <f>INDEX(Positions!$D$2:$D$4694,MATCH($A683&amp;"|23",Positions!$A$2:$A$4694,0))</f>
        <v>23</v>
      </c>
      <c r="F683" s="4" t="str">
        <f>INDEX(Positions!$E$2:$E$4694,MATCH($A683&amp;"|12",Positions!$A$2:$A$4694,0))</f>
        <v>C</v>
      </c>
      <c r="G683" s="4" t="str">
        <f>INDEX(Positions!$E$2:$E$4694,MATCH($A683&amp;"|23",Positions!$A$2:$A$4694,0))</f>
        <v>G</v>
      </c>
      <c r="H683" s="3" t="str">
        <f t="shared" si="40"/>
        <v>C-G</v>
      </c>
      <c r="I683" s="4">
        <f t="shared" si="41"/>
        <v>1</v>
      </c>
      <c r="J683" s="4">
        <f t="shared" si="42"/>
        <v>1</v>
      </c>
      <c r="K683" s="3">
        <f t="shared" si="43"/>
        <v>2</v>
      </c>
    </row>
    <row r="684" spans="1:11">
      <c r="A684" s="4" t="s">
        <v>61</v>
      </c>
      <c r="B684" s="4" t="s">
        <v>125</v>
      </c>
      <c r="C684" s="4" t="s">
        <v>230</v>
      </c>
      <c r="D684" s="4">
        <f>INDEX(Positions!$D$2:$D$4694,MATCH($A684&amp;"|13",Positions!$A$2:$A$4694,0))</f>
        <v>13</v>
      </c>
      <c r="E684" s="4">
        <f>INDEX(Positions!$D$2:$D$4694,MATCH($A684&amp;"|22",Positions!$A$2:$A$4694,0))</f>
        <v>22</v>
      </c>
      <c r="F684" s="4" t="str">
        <f>INDEX(Positions!$E$2:$E$4694,MATCH($A684&amp;"|13",Positions!$A$2:$A$4694,0))</f>
        <v>U</v>
      </c>
      <c r="G684" s="4" t="str">
        <f>INDEX(Positions!$E$2:$E$4694,MATCH($A684&amp;"|22",Positions!$A$2:$A$4694,0))</f>
        <v>U</v>
      </c>
      <c r="H684" s="3" t="str">
        <f t="shared" si="40"/>
        <v>U-U</v>
      </c>
      <c r="I684" s="4">
        <f t="shared" si="41"/>
        <v>0</v>
      </c>
      <c r="J684" s="4">
        <f t="shared" si="42"/>
        <v>0</v>
      </c>
      <c r="K684" s="3">
        <f t="shared" si="43"/>
        <v>0</v>
      </c>
    </row>
    <row r="685" spans="1:11">
      <c r="A685" s="4" t="s">
        <v>61</v>
      </c>
      <c r="B685" s="4" t="s">
        <v>144</v>
      </c>
      <c r="C685" s="4" t="s">
        <v>231</v>
      </c>
      <c r="D685" s="4">
        <f>INDEX(Positions!$D$2:$D$4694,MATCH($A685&amp;"|27",Positions!$A$2:$A$4694,0))</f>
        <v>27</v>
      </c>
      <c r="E685" s="4">
        <f>INDEX(Positions!$D$2:$D$4694,MATCH($A685&amp;"|43",Positions!$A$2:$A$4694,0))</f>
        <v>43</v>
      </c>
      <c r="F685" s="4" t="str">
        <f>INDEX(Positions!$E$2:$E$4694,MATCH($A685&amp;"|27",Positions!$A$2:$A$4694,0))</f>
        <v>U</v>
      </c>
      <c r="G685" s="4" t="str">
        <f>INDEX(Positions!$E$2:$E$4694,MATCH($A685&amp;"|43",Positions!$A$2:$A$4694,0))</f>
        <v>A</v>
      </c>
      <c r="H685" s="3" t="str">
        <f t="shared" si="40"/>
        <v>U-A</v>
      </c>
      <c r="I685" s="4">
        <f t="shared" si="41"/>
        <v>0</v>
      </c>
      <c r="J685" s="4">
        <f t="shared" si="42"/>
        <v>0</v>
      </c>
      <c r="K685" s="3">
        <f t="shared" si="43"/>
        <v>0</v>
      </c>
    </row>
    <row r="686" spans="1:11">
      <c r="A686" s="4" t="s">
        <v>61</v>
      </c>
      <c r="B686" s="4" t="s">
        <v>144</v>
      </c>
      <c r="C686" s="4" t="s">
        <v>232</v>
      </c>
      <c r="D686" s="4">
        <f>INDEX(Positions!$D$2:$D$4694,MATCH($A686&amp;"|28",Positions!$A$2:$A$4694,0))</f>
        <v>28</v>
      </c>
      <c r="E686" s="4">
        <f>INDEX(Positions!$D$2:$D$4694,MATCH($A686&amp;"|42",Positions!$A$2:$A$4694,0))</f>
        <v>42</v>
      </c>
      <c r="F686" s="4" t="str">
        <f>INDEX(Positions!$E$2:$E$4694,MATCH($A686&amp;"|28",Positions!$A$2:$A$4694,0))</f>
        <v>G</v>
      </c>
      <c r="G686" s="4" t="str">
        <f>INDEX(Positions!$E$2:$E$4694,MATCH($A686&amp;"|42",Positions!$A$2:$A$4694,0))</f>
        <v>C</v>
      </c>
      <c r="H686" s="3" t="str">
        <f t="shared" si="40"/>
        <v>G-C</v>
      </c>
      <c r="I686" s="4">
        <f t="shared" si="41"/>
        <v>1</v>
      </c>
      <c r="J686" s="4">
        <f t="shared" si="42"/>
        <v>1</v>
      </c>
      <c r="K686" s="3">
        <f t="shared" si="43"/>
        <v>2</v>
      </c>
    </row>
    <row r="687" spans="1:11">
      <c r="A687" s="4" t="s">
        <v>61</v>
      </c>
      <c r="B687" s="4" t="s">
        <v>144</v>
      </c>
      <c r="C687" s="4" t="s">
        <v>233</v>
      </c>
      <c r="D687" s="4">
        <f>INDEX(Positions!$D$2:$D$4694,MATCH($A687&amp;"|29",Positions!$A$2:$A$4694,0))</f>
        <v>29</v>
      </c>
      <c r="E687" s="4">
        <f>INDEX(Positions!$D$2:$D$4694,MATCH($A687&amp;"|41",Positions!$A$2:$A$4694,0))</f>
        <v>41</v>
      </c>
      <c r="F687" s="4" t="str">
        <f>INDEX(Positions!$E$2:$E$4694,MATCH($A687&amp;"|29",Positions!$A$2:$A$4694,0))</f>
        <v>G</v>
      </c>
      <c r="G687" s="4" t="str">
        <f>INDEX(Positions!$E$2:$E$4694,MATCH($A687&amp;"|41",Positions!$A$2:$A$4694,0))</f>
        <v>C</v>
      </c>
      <c r="H687" s="3" t="str">
        <f t="shared" si="40"/>
        <v>G-C</v>
      </c>
      <c r="I687" s="4">
        <f t="shared" si="41"/>
        <v>1</v>
      </c>
      <c r="J687" s="4">
        <f t="shared" si="42"/>
        <v>1</v>
      </c>
      <c r="K687" s="3">
        <f t="shared" si="43"/>
        <v>2</v>
      </c>
    </row>
    <row r="688" spans="1:11">
      <c r="A688" s="4" t="s">
        <v>61</v>
      </c>
      <c r="B688" s="4" t="s">
        <v>144</v>
      </c>
      <c r="C688" s="4" t="s">
        <v>234</v>
      </c>
      <c r="D688" s="4">
        <f>INDEX(Positions!$D$2:$D$4694,MATCH($A688&amp;"|30",Positions!$A$2:$A$4694,0))</f>
        <v>30</v>
      </c>
      <c r="E688" s="4">
        <f>INDEX(Positions!$D$2:$D$4694,MATCH($A688&amp;"|40",Positions!$A$2:$A$4694,0))</f>
        <v>40</v>
      </c>
      <c r="F688" s="4" t="str">
        <f>INDEX(Positions!$E$2:$E$4694,MATCH($A688&amp;"|30",Positions!$A$2:$A$4694,0))</f>
        <v>G</v>
      </c>
      <c r="G688" s="4" t="str">
        <f>INDEX(Positions!$E$2:$E$4694,MATCH($A688&amp;"|40",Positions!$A$2:$A$4694,0))</f>
        <v>C</v>
      </c>
      <c r="H688" s="3" t="str">
        <f t="shared" si="40"/>
        <v>G-C</v>
      </c>
      <c r="I688" s="4">
        <f t="shared" si="41"/>
        <v>1</v>
      </c>
      <c r="J688" s="4">
        <f t="shared" si="42"/>
        <v>1</v>
      </c>
      <c r="K688" s="3">
        <f t="shared" si="43"/>
        <v>2</v>
      </c>
    </row>
    <row r="689" spans="1:11">
      <c r="A689" s="4" t="s">
        <v>61</v>
      </c>
      <c r="B689" s="4" t="s">
        <v>144</v>
      </c>
      <c r="C689" s="4" t="s">
        <v>235</v>
      </c>
      <c r="D689" s="4">
        <f>INDEX(Positions!$D$2:$D$4694,MATCH($A689&amp;"|31",Positions!$A$2:$A$4694,0))</f>
        <v>31</v>
      </c>
      <c r="E689" s="4">
        <f>INDEX(Positions!$D$2:$D$4694,MATCH($A689&amp;"|39",Positions!$A$2:$A$4694,0))</f>
        <v>39</v>
      </c>
      <c r="F689" s="4" t="str">
        <f>INDEX(Positions!$E$2:$E$4694,MATCH($A689&amp;"|31",Positions!$A$2:$A$4694,0))</f>
        <v>C</v>
      </c>
      <c r="G689" s="4" t="str">
        <f>INDEX(Positions!$E$2:$E$4694,MATCH($A689&amp;"|39",Positions!$A$2:$A$4694,0))</f>
        <v>G</v>
      </c>
      <c r="H689" s="3" t="str">
        <f t="shared" si="40"/>
        <v>C-G</v>
      </c>
      <c r="I689" s="4">
        <f t="shared" si="41"/>
        <v>1</v>
      </c>
      <c r="J689" s="4">
        <f t="shared" si="42"/>
        <v>1</v>
      </c>
      <c r="K689" s="3">
        <f t="shared" si="43"/>
        <v>2</v>
      </c>
    </row>
    <row r="690" spans="1:11">
      <c r="A690" s="4" t="s">
        <v>61</v>
      </c>
      <c r="B690" s="4" t="s">
        <v>169</v>
      </c>
      <c r="C690" s="4" t="s">
        <v>236</v>
      </c>
      <c r="D690" s="4">
        <f>INDEX(Positions!$D$2:$D$4694,MATCH($A690&amp;"|49",Positions!$A$2:$A$4694,0))</f>
        <v>48</v>
      </c>
      <c r="E690" s="4">
        <f>INDEX(Positions!$D$2:$D$4694,MATCH($A690&amp;"|65",Positions!$A$2:$A$4694,0))</f>
        <v>64</v>
      </c>
      <c r="F690" s="4" t="str">
        <f>INDEX(Positions!$E$2:$E$4694,MATCH($A690&amp;"|49",Positions!$A$2:$A$4694,0))</f>
        <v>C</v>
      </c>
      <c r="G690" s="4" t="str">
        <f>INDEX(Positions!$E$2:$E$4694,MATCH($A690&amp;"|65",Positions!$A$2:$A$4694,0))</f>
        <v>G</v>
      </c>
      <c r="H690" s="3" t="str">
        <f t="shared" si="40"/>
        <v>C-G</v>
      </c>
      <c r="I690" s="4">
        <f t="shared" si="41"/>
        <v>1</v>
      </c>
      <c r="J690" s="4">
        <f t="shared" si="42"/>
        <v>1</v>
      </c>
      <c r="K690" s="3">
        <f t="shared" si="43"/>
        <v>2</v>
      </c>
    </row>
    <row r="691" spans="1:11">
      <c r="A691" s="4" t="s">
        <v>61</v>
      </c>
      <c r="B691" s="4" t="s">
        <v>169</v>
      </c>
      <c r="C691" s="4" t="s">
        <v>237</v>
      </c>
      <c r="D691" s="4">
        <f>INDEX(Positions!$D$2:$D$4694,MATCH($A691&amp;"|50",Positions!$A$2:$A$4694,0))</f>
        <v>49</v>
      </c>
      <c r="E691" s="4">
        <f>INDEX(Positions!$D$2:$D$4694,MATCH($A691&amp;"|64",Positions!$A$2:$A$4694,0))</f>
        <v>63</v>
      </c>
      <c r="F691" s="4" t="str">
        <f>INDEX(Positions!$E$2:$E$4694,MATCH($A691&amp;"|50",Positions!$A$2:$A$4694,0))</f>
        <v>C</v>
      </c>
      <c r="G691" s="4" t="str">
        <f>INDEX(Positions!$E$2:$E$4694,MATCH($A691&amp;"|64",Positions!$A$2:$A$4694,0))</f>
        <v>G</v>
      </c>
      <c r="H691" s="3" t="str">
        <f t="shared" si="40"/>
        <v>C-G</v>
      </c>
      <c r="I691" s="4">
        <f t="shared" si="41"/>
        <v>1</v>
      </c>
      <c r="J691" s="4">
        <f t="shared" si="42"/>
        <v>1</v>
      </c>
      <c r="K691" s="3">
        <f t="shared" si="43"/>
        <v>2</v>
      </c>
    </row>
    <row r="692" spans="1:11">
      <c r="A692" s="4" t="s">
        <v>61</v>
      </c>
      <c r="B692" s="4" t="s">
        <v>169</v>
      </c>
      <c r="C692" s="4" t="s">
        <v>238</v>
      </c>
      <c r="D692" s="4">
        <f>INDEX(Positions!$D$2:$D$4694,MATCH($A692&amp;"|51",Positions!$A$2:$A$4694,0))</f>
        <v>50</v>
      </c>
      <c r="E692" s="4">
        <f>INDEX(Positions!$D$2:$D$4694,MATCH($A692&amp;"|63",Positions!$A$2:$A$4694,0))</f>
        <v>62</v>
      </c>
      <c r="F692" s="4" t="str">
        <f>INDEX(Positions!$E$2:$E$4694,MATCH($A692&amp;"|51",Positions!$A$2:$A$4694,0))</f>
        <v>G</v>
      </c>
      <c r="G692" s="4" t="str">
        <f>INDEX(Positions!$E$2:$E$4694,MATCH($A692&amp;"|63",Positions!$A$2:$A$4694,0))</f>
        <v>C</v>
      </c>
      <c r="H692" s="3" t="str">
        <f t="shared" si="40"/>
        <v>G-C</v>
      </c>
      <c r="I692" s="4">
        <f t="shared" si="41"/>
        <v>1</v>
      </c>
      <c r="J692" s="4">
        <f t="shared" si="42"/>
        <v>1</v>
      </c>
      <c r="K692" s="3">
        <f t="shared" si="43"/>
        <v>2</v>
      </c>
    </row>
    <row r="693" spans="1:11">
      <c r="A693" s="4" t="s">
        <v>61</v>
      </c>
      <c r="B693" s="4" t="s">
        <v>169</v>
      </c>
      <c r="C693" s="4" t="s">
        <v>239</v>
      </c>
      <c r="D693" s="4">
        <f>INDEX(Positions!$D$2:$D$4694,MATCH($A693&amp;"|52",Positions!$A$2:$A$4694,0))</f>
        <v>51</v>
      </c>
      <c r="E693" s="4">
        <f>INDEX(Positions!$D$2:$D$4694,MATCH($A693&amp;"|62",Positions!$A$2:$A$4694,0))</f>
        <v>61</v>
      </c>
      <c r="F693" s="4" t="str">
        <f>INDEX(Positions!$E$2:$E$4694,MATCH($A693&amp;"|52",Positions!$A$2:$A$4694,0))</f>
        <v>G</v>
      </c>
      <c r="G693" s="4" t="str">
        <f>INDEX(Positions!$E$2:$E$4694,MATCH($A693&amp;"|62",Positions!$A$2:$A$4694,0))</f>
        <v>C</v>
      </c>
      <c r="H693" s="3" t="str">
        <f t="shared" si="40"/>
        <v>G-C</v>
      </c>
      <c r="I693" s="4">
        <f t="shared" si="41"/>
        <v>1</v>
      </c>
      <c r="J693" s="4">
        <f t="shared" si="42"/>
        <v>1</v>
      </c>
      <c r="K693" s="3">
        <f t="shared" si="43"/>
        <v>2</v>
      </c>
    </row>
    <row r="694" spans="1:11">
      <c r="A694" s="4" t="s">
        <v>61</v>
      </c>
      <c r="B694" s="4" t="s">
        <v>169</v>
      </c>
      <c r="C694" s="4" t="s">
        <v>240</v>
      </c>
      <c r="D694" s="4">
        <f>INDEX(Positions!$D$2:$D$4694,MATCH($A694&amp;"|53",Positions!$A$2:$A$4694,0))</f>
        <v>52</v>
      </c>
      <c r="E694" s="4">
        <f>INDEX(Positions!$D$2:$D$4694,MATCH($A694&amp;"|61",Positions!$A$2:$A$4694,0))</f>
        <v>60</v>
      </c>
      <c r="F694" s="4" t="str">
        <f>INDEX(Positions!$E$2:$E$4694,MATCH($A694&amp;"|53",Positions!$A$2:$A$4694,0))</f>
        <v>G</v>
      </c>
      <c r="G694" s="4" t="str">
        <f>INDEX(Positions!$E$2:$E$4694,MATCH($A694&amp;"|61",Positions!$A$2:$A$4694,0))</f>
        <v>C</v>
      </c>
      <c r="H694" s="3" t="str">
        <f t="shared" si="40"/>
        <v>G-C</v>
      </c>
      <c r="I694" s="4">
        <f t="shared" si="41"/>
        <v>1</v>
      </c>
      <c r="J694" s="4">
        <f t="shared" si="42"/>
        <v>1</v>
      </c>
      <c r="K694" s="3">
        <f t="shared" si="43"/>
        <v>2</v>
      </c>
    </row>
    <row r="695" spans="1:11">
      <c r="A695" s="23" t="s">
        <v>61</v>
      </c>
      <c r="B695" s="23" t="s">
        <v>241</v>
      </c>
      <c r="C695" s="23" t="s">
        <v>242</v>
      </c>
      <c r="D695" s="23">
        <f>INDEX(Positions!$D$2:$D$4694,MATCH($A695&amp;"|8",Positions!$A$2:$A$4694,0))</f>
        <v>8</v>
      </c>
      <c r="E695" s="23">
        <f>INDEX(Positions!$D$2:$D$4694,MATCH($A695&amp;"|14",Positions!$A$2:$A$4694,0))</f>
        <v>14</v>
      </c>
      <c r="F695" s="23" t="str">
        <f>INDEX(Positions!$E$2:$E$4694,MATCH($A695&amp;"|8",Positions!$A$2:$A$4694,0))</f>
        <v>U</v>
      </c>
      <c r="G695" s="23" t="str">
        <f>INDEX(Positions!$E$2:$E$4694,MATCH($A695&amp;"|14",Positions!$A$2:$A$4694,0))</f>
        <v>A</v>
      </c>
      <c r="H695" s="24" t="str">
        <f t="shared" si="40"/>
        <v>U-A</v>
      </c>
      <c r="I695" s="23">
        <f t="shared" si="41"/>
        <v>0</v>
      </c>
      <c r="J695" s="23">
        <f t="shared" si="42"/>
        <v>0</v>
      </c>
      <c r="K695" s="24">
        <f t="shared" si="43"/>
        <v>0</v>
      </c>
    </row>
    <row r="696" spans="1:11">
      <c r="A696" s="23" t="s">
        <v>61</v>
      </c>
      <c r="B696" s="23" t="s">
        <v>241</v>
      </c>
      <c r="C696" s="23" t="s">
        <v>243</v>
      </c>
      <c r="D696" s="23">
        <f>INDEX(Positions!$D$2:$D$4694,MATCH($A696&amp;"|15",Positions!$A$2:$A$4694,0))</f>
        <v>15</v>
      </c>
      <c r="E696" s="23">
        <f>INDEX(Positions!$D$2:$D$4694,MATCH($A696&amp;"|48",Positions!$A$2:$A$4694,0))</f>
        <v>47</v>
      </c>
      <c r="F696" s="23" t="str">
        <f>INDEX(Positions!$E$2:$E$4694,MATCH($A696&amp;"|15",Positions!$A$2:$A$4694,0))</f>
        <v>G</v>
      </c>
      <c r="G696" s="23" t="str">
        <f>INDEX(Positions!$E$2:$E$4694,MATCH($A696&amp;"|48",Positions!$A$2:$A$4694,0))</f>
        <v>C</v>
      </c>
      <c r="H696" s="24" t="str">
        <f t="shared" si="40"/>
        <v>G-C</v>
      </c>
      <c r="I696" s="23">
        <f t="shared" si="41"/>
        <v>1</v>
      </c>
      <c r="J696" s="23">
        <f t="shared" si="42"/>
        <v>1</v>
      </c>
      <c r="K696" s="24">
        <f t="shared" si="43"/>
        <v>2</v>
      </c>
    </row>
    <row r="697" spans="1:11">
      <c r="A697" s="23" t="s">
        <v>61</v>
      </c>
      <c r="B697" s="23" t="s">
        <v>241</v>
      </c>
      <c r="C697" s="23" t="s">
        <v>244</v>
      </c>
      <c r="D697" s="23">
        <f>INDEX(Positions!$D$2:$D$4694,MATCH($A697&amp;"|18",Positions!$A$2:$A$4694,0))</f>
        <v>17</v>
      </c>
      <c r="E697" s="23">
        <f>INDEX(Positions!$D$2:$D$4694,MATCH($A697&amp;"|55",Positions!$A$2:$A$4694,0))</f>
        <v>54</v>
      </c>
      <c r="F697" s="23" t="str">
        <f>INDEX(Positions!$E$2:$E$4694,MATCH($A697&amp;"|18",Positions!$A$2:$A$4694,0))</f>
        <v>G</v>
      </c>
      <c r="G697" s="23" t="str">
        <f>INDEX(Positions!$E$2:$E$4694,MATCH($A697&amp;"|55",Positions!$A$2:$A$4694,0))</f>
        <v>U</v>
      </c>
      <c r="H697" s="24" t="str">
        <f t="shared" si="40"/>
        <v>G-U</v>
      </c>
      <c r="I697" s="23">
        <f t="shared" si="41"/>
        <v>1</v>
      </c>
      <c r="J697" s="23">
        <f t="shared" si="42"/>
        <v>0</v>
      </c>
      <c r="K697" s="24">
        <f t="shared" si="43"/>
        <v>1</v>
      </c>
    </row>
    <row r="698" spans="1:11">
      <c r="A698" s="23" t="s">
        <v>61</v>
      </c>
      <c r="B698" s="23" t="s">
        <v>241</v>
      </c>
      <c r="C698" s="23" t="s">
        <v>245</v>
      </c>
      <c r="D698" s="23">
        <f>INDEX(Positions!$D$2:$D$4694,MATCH($A698&amp;"|19",Positions!$A$2:$A$4694,0))</f>
        <v>18</v>
      </c>
      <c r="E698" s="23">
        <f>INDEX(Positions!$D$2:$D$4694,MATCH($A698&amp;"|56",Positions!$A$2:$A$4694,0))</f>
        <v>55</v>
      </c>
      <c r="F698" s="23" t="str">
        <f>INDEX(Positions!$E$2:$E$4694,MATCH($A698&amp;"|19",Positions!$A$2:$A$4694,0))</f>
        <v>G</v>
      </c>
      <c r="G698" s="23" t="str">
        <f>INDEX(Positions!$E$2:$E$4694,MATCH($A698&amp;"|56",Positions!$A$2:$A$4694,0))</f>
        <v>C</v>
      </c>
      <c r="H698" s="24" t="str">
        <f t="shared" si="40"/>
        <v>G-C</v>
      </c>
      <c r="I698" s="23">
        <f t="shared" si="41"/>
        <v>1</v>
      </c>
      <c r="J698" s="23">
        <f t="shared" si="42"/>
        <v>1</v>
      </c>
      <c r="K698" s="24">
        <f t="shared" si="43"/>
        <v>2</v>
      </c>
    </row>
    <row r="699" spans="1:11">
      <c r="A699" s="23" t="s">
        <v>61</v>
      </c>
      <c r="B699" s="23" t="s">
        <v>241</v>
      </c>
      <c r="C699" s="23" t="s">
        <v>246</v>
      </c>
      <c r="D699" s="23">
        <f>INDEX(Positions!$D$2:$D$4694,MATCH($A699&amp;"|26",Positions!$A$2:$A$4694,0))</f>
        <v>26</v>
      </c>
      <c r="E699" s="23">
        <f>INDEX(Positions!$D$2:$D$4694,MATCH($A699&amp;"|44",Positions!$A$2:$A$4694,0))</f>
        <v>44</v>
      </c>
      <c r="F699" s="23" t="str">
        <f>INDEX(Positions!$E$2:$E$4694,MATCH($A699&amp;"|26",Positions!$A$2:$A$4694,0))</f>
        <v>U</v>
      </c>
      <c r="G699" s="23" t="str">
        <f>INDEX(Positions!$E$2:$E$4694,MATCH($A699&amp;"|44",Positions!$A$2:$A$4694,0))</f>
        <v>A</v>
      </c>
      <c r="H699" s="24" t="str">
        <f t="shared" si="40"/>
        <v>U-A</v>
      </c>
      <c r="I699" s="23">
        <f t="shared" si="41"/>
        <v>0</v>
      </c>
      <c r="J699" s="23">
        <f t="shared" si="42"/>
        <v>0</v>
      </c>
      <c r="K699" s="24">
        <f t="shared" si="43"/>
        <v>0</v>
      </c>
    </row>
    <row r="700" spans="1:11">
      <c r="A700" s="23" t="s">
        <v>61</v>
      </c>
      <c r="B700" s="23" t="s">
        <v>241</v>
      </c>
      <c r="C700" s="23" t="s">
        <v>247</v>
      </c>
      <c r="D700" s="23">
        <f>INDEX(Positions!$D$2:$D$4694,MATCH($A700&amp;"|32",Positions!$A$2:$A$4694,0))</f>
        <v>32</v>
      </c>
      <c r="E700" s="23">
        <f>INDEX(Positions!$D$2:$D$4694,MATCH($A700&amp;"|38",Positions!$A$2:$A$4694,0))</f>
        <v>38</v>
      </c>
      <c r="F700" s="23" t="str">
        <f>INDEX(Positions!$E$2:$E$4694,MATCH($A700&amp;"|32",Positions!$A$2:$A$4694,0))</f>
        <v>C</v>
      </c>
      <c r="G700" s="23" t="str">
        <f>INDEX(Positions!$E$2:$E$4694,MATCH($A700&amp;"|38",Positions!$A$2:$A$4694,0))</f>
        <v>A</v>
      </c>
      <c r="H700" s="24" t="str">
        <f t="shared" si="40"/>
        <v>C-A</v>
      </c>
      <c r="I700" s="23">
        <f t="shared" si="41"/>
        <v>0</v>
      </c>
      <c r="J700" s="23">
        <f t="shared" si="42"/>
        <v>1</v>
      </c>
      <c r="K700" s="24">
        <f t="shared" si="43"/>
        <v>1</v>
      </c>
    </row>
    <row r="701" spans="1:11">
      <c r="A701" s="23" t="s">
        <v>61</v>
      </c>
      <c r="B701" s="23" t="s">
        <v>241</v>
      </c>
      <c r="C701" s="23" t="s">
        <v>248</v>
      </c>
      <c r="D701" s="23">
        <f>INDEX(Positions!$D$2:$D$4694,MATCH($A701&amp;"|54",Positions!$A$2:$A$4694,0))</f>
        <v>53</v>
      </c>
      <c r="E701" s="23">
        <f>INDEX(Positions!$D$2:$D$4694,MATCH($A701&amp;"|58",Positions!$A$2:$A$4694,0))</f>
        <v>57</v>
      </c>
      <c r="F701" s="23" t="str">
        <f>INDEX(Positions!$E$2:$E$4694,MATCH($A701&amp;"|54",Positions!$A$2:$A$4694,0))</f>
        <v>U</v>
      </c>
      <c r="G701" s="23" t="str">
        <f>INDEX(Positions!$E$2:$E$4694,MATCH($A701&amp;"|58",Positions!$A$2:$A$4694,0))</f>
        <v>A</v>
      </c>
      <c r="H701" s="24" t="str">
        <f t="shared" si="40"/>
        <v>U-A</v>
      </c>
      <c r="I701" s="23">
        <f t="shared" si="41"/>
        <v>0</v>
      </c>
      <c r="J701" s="23">
        <f t="shared" si="42"/>
        <v>0</v>
      </c>
      <c r="K701" s="24">
        <f t="shared" si="43"/>
        <v>0</v>
      </c>
    </row>
    <row r="702" spans="1:11">
      <c r="A702" s="4" t="s">
        <v>62</v>
      </c>
      <c r="B702" s="4" t="s">
        <v>110</v>
      </c>
      <c r="C702" s="4" t="s">
        <v>220</v>
      </c>
      <c r="D702" s="4">
        <f>INDEX(Positions!$D$2:$D$4694,MATCH($A702&amp;"|1",Positions!$A$2:$A$4694,0))</f>
        <v>1</v>
      </c>
      <c r="E702" s="4">
        <f>INDEX(Positions!$D$2:$D$4694,MATCH($A702&amp;"|72",Positions!$A$2:$A$4694,0))</f>
        <v>71</v>
      </c>
      <c r="F702" s="4" t="str">
        <f>INDEX(Positions!$E$2:$E$4694,MATCH($A702&amp;"|1",Positions!$A$2:$A$4694,0))</f>
        <v>G</v>
      </c>
      <c r="G702" s="4" t="str">
        <f>INDEX(Positions!$E$2:$E$4694,MATCH($A702&amp;"|72",Positions!$A$2:$A$4694,0))</f>
        <v>C</v>
      </c>
      <c r="H702" s="3" t="str">
        <f t="shared" si="40"/>
        <v>G-C</v>
      </c>
      <c r="I702" s="4">
        <f t="shared" si="41"/>
        <v>1</v>
      </c>
      <c r="J702" s="4">
        <f t="shared" si="42"/>
        <v>1</v>
      </c>
      <c r="K702" s="3">
        <f t="shared" si="43"/>
        <v>2</v>
      </c>
    </row>
    <row r="703" spans="1:11">
      <c r="A703" s="4" t="s">
        <v>62</v>
      </c>
      <c r="B703" s="4" t="s">
        <v>110</v>
      </c>
      <c r="C703" s="4" t="s">
        <v>221</v>
      </c>
      <c r="D703" s="4">
        <f>INDEX(Positions!$D$2:$D$4694,MATCH($A703&amp;"|2",Positions!$A$2:$A$4694,0))</f>
        <v>2</v>
      </c>
      <c r="E703" s="4">
        <f>INDEX(Positions!$D$2:$D$4694,MATCH($A703&amp;"|71",Positions!$A$2:$A$4694,0))</f>
        <v>70</v>
      </c>
      <c r="F703" s="4" t="str">
        <f>INDEX(Positions!$E$2:$E$4694,MATCH($A703&amp;"|2",Positions!$A$2:$A$4694,0))</f>
        <v>C</v>
      </c>
      <c r="G703" s="4" t="str">
        <f>INDEX(Positions!$E$2:$E$4694,MATCH($A703&amp;"|71",Positions!$A$2:$A$4694,0))</f>
        <v>G</v>
      </c>
      <c r="H703" s="3" t="str">
        <f t="shared" si="40"/>
        <v>C-G</v>
      </c>
      <c r="I703" s="4">
        <f t="shared" si="41"/>
        <v>1</v>
      </c>
      <c r="J703" s="4">
        <f t="shared" si="42"/>
        <v>1</v>
      </c>
      <c r="K703" s="3">
        <f t="shared" si="43"/>
        <v>2</v>
      </c>
    </row>
    <row r="704" spans="1:11">
      <c r="A704" s="4" t="s">
        <v>62</v>
      </c>
      <c r="B704" s="4" t="s">
        <v>110</v>
      </c>
      <c r="C704" s="4" t="s">
        <v>222</v>
      </c>
      <c r="D704" s="4">
        <f>INDEX(Positions!$D$2:$D$4694,MATCH($A704&amp;"|3",Positions!$A$2:$A$4694,0))</f>
        <v>3</v>
      </c>
      <c r="E704" s="4">
        <f>INDEX(Positions!$D$2:$D$4694,MATCH($A704&amp;"|70",Positions!$A$2:$A$4694,0))</f>
        <v>69</v>
      </c>
      <c r="F704" s="4" t="str">
        <f>INDEX(Positions!$E$2:$E$4694,MATCH($A704&amp;"|3",Positions!$A$2:$A$4694,0))</f>
        <v>C</v>
      </c>
      <c r="G704" s="4" t="str">
        <f>INDEX(Positions!$E$2:$E$4694,MATCH($A704&amp;"|70",Positions!$A$2:$A$4694,0))</f>
        <v>G</v>
      </c>
      <c r="H704" s="3" t="str">
        <f t="shared" si="40"/>
        <v>C-G</v>
      </c>
      <c r="I704" s="4">
        <f t="shared" si="41"/>
        <v>1</v>
      </c>
      <c r="J704" s="4">
        <f t="shared" si="42"/>
        <v>1</v>
      </c>
      <c r="K704" s="3">
        <f t="shared" si="43"/>
        <v>2</v>
      </c>
    </row>
    <row r="705" spans="1:11">
      <c r="A705" s="4" t="s">
        <v>62</v>
      </c>
      <c r="B705" s="4" t="s">
        <v>110</v>
      </c>
      <c r="C705" s="4" t="s">
        <v>223</v>
      </c>
      <c r="D705" s="4">
        <f>INDEX(Positions!$D$2:$D$4694,MATCH($A705&amp;"|4",Positions!$A$2:$A$4694,0))</f>
        <v>4</v>
      </c>
      <c r="E705" s="4">
        <f>INDEX(Positions!$D$2:$D$4694,MATCH($A705&amp;"|69",Positions!$A$2:$A$4694,0))</f>
        <v>68</v>
      </c>
      <c r="F705" s="4" t="str">
        <f>INDEX(Positions!$E$2:$E$4694,MATCH($A705&amp;"|4",Positions!$A$2:$A$4694,0))</f>
        <v>G</v>
      </c>
      <c r="G705" s="4" t="str">
        <f>INDEX(Positions!$E$2:$E$4694,MATCH($A705&amp;"|69",Positions!$A$2:$A$4694,0))</f>
        <v>C</v>
      </c>
      <c r="H705" s="3" t="str">
        <f t="shared" si="40"/>
        <v>G-C</v>
      </c>
      <c r="I705" s="4">
        <f t="shared" si="41"/>
        <v>1</v>
      </c>
      <c r="J705" s="4">
        <f t="shared" si="42"/>
        <v>1</v>
      </c>
      <c r="K705" s="3">
        <f t="shared" si="43"/>
        <v>2</v>
      </c>
    </row>
    <row r="706" spans="1:11">
      <c r="A706" s="4" t="s">
        <v>62</v>
      </c>
      <c r="B706" s="4" t="s">
        <v>110</v>
      </c>
      <c r="C706" s="4" t="s">
        <v>224</v>
      </c>
      <c r="D706" s="4">
        <f>INDEX(Positions!$D$2:$D$4694,MATCH($A706&amp;"|5",Positions!$A$2:$A$4694,0))</f>
        <v>5</v>
      </c>
      <c r="E706" s="4">
        <f>INDEX(Positions!$D$2:$D$4694,MATCH($A706&amp;"|68",Positions!$A$2:$A$4694,0))</f>
        <v>67</v>
      </c>
      <c r="F706" s="4" t="str">
        <f>INDEX(Positions!$E$2:$E$4694,MATCH($A706&amp;"|5",Positions!$A$2:$A$4694,0))</f>
        <v>G</v>
      </c>
      <c r="G706" s="4" t="str">
        <f>INDEX(Positions!$E$2:$E$4694,MATCH($A706&amp;"|68",Positions!$A$2:$A$4694,0))</f>
        <v>C</v>
      </c>
      <c r="H706" s="3" t="str">
        <f t="shared" ref="H706:H769" si="44">F706&amp;"-"&amp;G706</f>
        <v>G-C</v>
      </c>
      <c r="I706" s="4">
        <f t="shared" ref="I706:I769" si="45">(F706="G")+(G706="G")</f>
        <v>1</v>
      </c>
      <c r="J706" s="4">
        <f t="shared" ref="J706:J769" si="46">(F706="C")+(G706="C")</f>
        <v>1</v>
      </c>
      <c r="K706" s="3">
        <f t="shared" ref="K706:K769" si="47">I706+J706</f>
        <v>2</v>
      </c>
    </row>
    <row r="707" spans="1:11">
      <c r="A707" s="4" t="s">
        <v>62</v>
      </c>
      <c r="B707" s="4" t="s">
        <v>110</v>
      </c>
      <c r="C707" s="4" t="s">
        <v>225</v>
      </c>
      <c r="D707" s="4">
        <f>INDEX(Positions!$D$2:$D$4694,MATCH($A707&amp;"|6",Positions!$A$2:$A$4694,0))</f>
        <v>6</v>
      </c>
      <c r="E707" s="4">
        <f>INDEX(Positions!$D$2:$D$4694,MATCH($A707&amp;"|67",Positions!$A$2:$A$4694,0))</f>
        <v>66</v>
      </c>
      <c r="F707" s="4" t="str">
        <f>INDEX(Positions!$E$2:$E$4694,MATCH($A707&amp;"|6",Positions!$A$2:$A$4694,0))</f>
        <v>G</v>
      </c>
      <c r="G707" s="4" t="str">
        <f>INDEX(Positions!$E$2:$E$4694,MATCH($A707&amp;"|67",Positions!$A$2:$A$4694,0))</f>
        <v>C</v>
      </c>
      <c r="H707" s="3" t="str">
        <f t="shared" si="44"/>
        <v>G-C</v>
      </c>
      <c r="I707" s="4">
        <f t="shared" si="45"/>
        <v>1</v>
      </c>
      <c r="J707" s="4">
        <f t="shared" si="46"/>
        <v>1</v>
      </c>
      <c r="K707" s="3">
        <f t="shared" si="47"/>
        <v>2</v>
      </c>
    </row>
    <row r="708" spans="1:11">
      <c r="A708" s="4" t="s">
        <v>62</v>
      </c>
      <c r="B708" s="4" t="s">
        <v>110</v>
      </c>
      <c r="C708" s="4" t="s">
        <v>226</v>
      </c>
      <c r="D708" s="4">
        <f>INDEX(Positions!$D$2:$D$4694,MATCH($A708&amp;"|7",Positions!$A$2:$A$4694,0))</f>
        <v>7</v>
      </c>
      <c r="E708" s="4">
        <f>INDEX(Positions!$D$2:$D$4694,MATCH($A708&amp;"|66",Positions!$A$2:$A$4694,0))</f>
        <v>65</v>
      </c>
      <c r="F708" s="4" t="str">
        <f>INDEX(Positions!$E$2:$E$4694,MATCH($A708&amp;"|7",Positions!$A$2:$A$4694,0))</f>
        <v>G</v>
      </c>
      <c r="G708" s="4" t="str">
        <f>INDEX(Positions!$E$2:$E$4694,MATCH($A708&amp;"|66",Positions!$A$2:$A$4694,0))</f>
        <v>U</v>
      </c>
      <c r="H708" s="3" t="str">
        <f t="shared" si="44"/>
        <v>G-U</v>
      </c>
      <c r="I708" s="4">
        <f t="shared" si="45"/>
        <v>1</v>
      </c>
      <c r="J708" s="4">
        <f t="shared" si="46"/>
        <v>0</v>
      </c>
      <c r="K708" s="3">
        <f t="shared" si="47"/>
        <v>1</v>
      </c>
    </row>
    <row r="709" spans="1:11">
      <c r="A709" s="4" t="s">
        <v>62</v>
      </c>
      <c r="B709" s="4" t="s">
        <v>125</v>
      </c>
      <c r="C709" s="4" t="s">
        <v>227</v>
      </c>
      <c r="D709" s="4">
        <f>INDEX(Positions!$D$2:$D$4694,MATCH($A709&amp;"|10",Positions!$A$2:$A$4694,0))</f>
        <v>10</v>
      </c>
      <c r="E709" s="4">
        <f>INDEX(Positions!$D$2:$D$4694,MATCH($A709&amp;"|25",Positions!$A$2:$A$4694,0))</f>
        <v>25</v>
      </c>
      <c r="F709" s="4" t="str">
        <f>INDEX(Positions!$E$2:$E$4694,MATCH($A709&amp;"|10",Positions!$A$2:$A$4694,0))</f>
        <v>G</v>
      </c>
      <c r="G709" s="4" t="str">
        <f>INDEX(Positions!$E$2:$E$4694,MATCH($A709&amp;"|25",Positions!$A$2:$A$4694,0))</f>
        <v>U</v>
      </c>
      <c r="H709" s="3" t="str">
        <f t="shared" si="44"/>
        <v>G-U</v>
      </c>
      <c r="I709" s="4">
        <f t="shared" si="45"/>
        <v>1</v>
      </c>
      <c r="J709" s="4">
        <f t="shared" si="46"/>
        <v>0</v>
      </c>
      <c r="K709" s="3">
        <f t="shared" si="47"/>
        <v>1</v>
      </c>
    </row>
    <row r="710" spans="1:11">
      <c r="A710" s="4" t="s">
        <v>62</v>
      </c>
      <c r="B710" s="4" t="s">
        <v>125</v>
      </c>
      <c r="C710" s="4" t="s">
        <v>228</v>
      </c>
      <c r="D710" s="4">
        <f>INDEX(Positions!$D$2:$D$4694,MATCH($A710&amp;"|11",Positions!$A$2:$A$4694,0))</f>
        <v>11</v>
      </c>
      <c r="E710" s="4">
        <f>INDEX(Positions!$D$2:$D$4694,MATCH($A710&amp;"|24",Positions!$A$2:$A$4694,0))</f>
        <v>24</v>
      </c>
      <c r="F710" s="4" t="str">
        <f>INDEX(Positions!$E$2:$E$4694,MATCH($A710&amp;"|11",Positions!$A$2:$A$4694,0))</f>
        <v>G</v>
      </c>
      <c r="G710" s="4" t="str">
        <f>INDEX(Positions!$E$2:$E$4694,MATCH($A710&amp;"|24",Positions!$A$2:$A$4694,0))</f>
        <v>C</v>
      </c>
      <c r="H710" s="3" t="str">
        <f t="shared" si="44"/>
        <v>G-C</v>
      </c>
      <c r="I710" s="4">
        <f t="shared" si="45"/>
        <v>1</v>
      </c>
      <c r="J710" s="4">
        <f t="shared" si="46"/>
        <v>1</v>
      </c>
      <c r="K710" s="3">
        <f t="shared" si="47"/>
        <v>2</v>
      </c>
    </row>
    <row r="711" spans="1:11">
      <c r="A711" s="4" t="s">
        <v>62</v>
      </c>
      <c r="B711" s="4" t="s">
        <v>125</v>
      </c>
      <c r="C711" s="4" t="s">
        <v>229</v>
      </c>
      <c r="D711" s="4">
        <f>INDEX(Positions!$D$2:$D$4694,MATCH($A711&amp;"|12",Positions!$A$2:$A$4694,0))</f>
        <v>12</v>
      </c>
      <c r="E711" s="4">
        <f>INDEX(Positions!$D$2:$D$4694,MATCH($A711&amp;"|23",Positions!$A$2:$A$4694,0))</f>
        <v>23</v>
      </c>
      <c r="F711" s="4" t="str">
        <f>INDEX(Positions!$E$2:$E$4694,MATCH($A711&amp;"|12",Positions!$A$2:$A$4694,0))</f>
        <v>G</v>
      </c>
      <c r="G711" s="4" t="str">
        <f>INDEX(Positions!$E$2:$E$4694,MATCH($A711&amp;"|23",Positions!$A$2:$A$4694,0))</f>
        <v>C</v>
      </c>
      <c r="H711" s="3" t="str">
        <f t="shared" si="44"/>
        <v>G-C</v>
      </c>
      <c r="I711" s="4">
        <f t="shared" si="45"/>
        <v>1</v>
      </c>
      <c r="J711" s="4">
        <f t="shared" si="46"/>
        <v>1</v>
      </c>
      <c r="K711" s="3">
        <f t="shared" si="47"/>
        <v>2</v>
      </c>
    </row>
    <row r="712" spans="1:11">
      <c r="A712" s="4" t="s">
        <v>62</v>
      </c>
      <c r="B712" s="4" t="s">
        <v>125</v>
      </c>
      <c r="C712" s="4" t="s">
        <v>230</v>
      </c>
      <c r="D712" s="4">
        <f>INDEX(Positions!$D$2:$D$4694,MATCH($A712&amp;"|13",Positions!$A$2:$A$4694,0))</f>
        <v>13</v>
      </c>
      <c r="E712" s="4">
        <f>INDEX(Positions!$D$2:$D$4694,MATCH($A712&amp;"|22",Positions!$A$2:$A$4694,0))</f>
        <v>22</v>
      </c>
      <c r="F712" s="4" t="str">
        <f>INDEX(Positions!$E$2:$E$4694,MATCH($A712&amp;"|13",Positions!$A$2:$A$4694,0))</f>
        <v>U</v>
      </c>
      <c r="G712" s="4" t="str">
        <f>INDEX(Positions!$E$2:$E$4694,MATCH($A712&amp;"|22",Positions!$A$2:$A$4694,0))</f>
        <v>U</v>
      </c>
      <c r="H712" s="3" t="str">
        <f t="shared" si="44"/>
        <v>U-U</v>
      </c>
      <c r="I712" s="4">
        <f t="shared" si="45"/>
        <v>0</v>
      </c>
      <c r="J712" s="4">
        <f t="shared" si="46"/>
        <v>0</v>
      </c>
      <c r="K712" s="3">
        <f t="shared" si="47"/>
        <v>0</v>
      </c>
    </row>
    <row r="713" spans="1:11">
      <c r="A713" s="4" t="s">
        <v>62</v>
      </c>
      <c r="B713" s="4" t="s">
        <v>144</v>
      </c>
      <c r="C713" s="4" t="s">
        <v>231</v>
      </c>
      <c r="D713" s="4">
        <f>INDEX(Positions!$D$2:$D$4694,MATCH($A713&amp;"|27",Positions!$A$2:$A$4694,0))</f>
        <v>27</v>
      </c>
      <c r="E713" s="4">
        <f>INDEX(Positions!$D$2:$D$4694,MATCH($A713&amp;"|43",Positions!$A$2:$A$4694,0))</f>
        <v>43</v>
      </c>
      <c r="F713" s="4" t="str">
        <f>INDEX(Positions!$E$2:$E$4694,MATCH($A713&amp;"|27",Positions!$A$2:$A$4694,0))</f>
        <v>U</v>
      </c>
      <c r="G713" s="4" t="str">
        <f>INDEX(Positions!$E$2:$E$4694,MATCH($A713&amp;"|43",Positions!$A$2:$A$4694,0))</f>
        <v>A</v>
      </c>
      <c r="H713" s="3" t="str">
        <f t="shared" si="44"/>
        <v>U-A</v>
      </c>
      <c r="I713" s="4">
        <f t="shared" si="45"/>
        <v>0</v>
      </c>
      <c r="J713" s="4">
        <f t="shared" si="46"/>
        <v>0</v>
      </c>
      <c r="K713" s="3">
        <f t="shared" si="47"/>
        <v>0</v>
      </c>
    </row>
    <row r="714" spans="1:11">
      <c r="A714" s="4" t="s">
        <v>62</v>
      </c>
      <c r="B714" s="4" t="s">
        <v>144</v>
      </c>
      <c r="C714" s="4" t="s">
        <v>232</v>
      </c>
      <c r="D714" s="4">
        <f>INDEX(Positions!$D$2:$D$4694,MATCH($A714&amp;"|28",Positions!$A$2:$A$4694,0))</f>
        <v>28</v>
      </c>
      <c r="E714" s="4">
        <f>INDEX(Positions!$D$2:$D$4694,MATCH($A714&amp;"|42",Positions!$A$2:$A$4694,0))</f>
        <v>42</v>
      </c>
      <c r="F714" s="4" t="str">
        <f>INDEX(Positions!$E$2:$E$4694,MATCH($A714&amp;"|28",Positions!$A$2:$A$4694,0))</f>
        <v>G</v>
      </c>
      <c r="G714" s="4" t="str">
        <f>INDEX(Positions!$E$2:$E$4694,MATCH($A714&amp;"|42",Positions!$A$2:$A$4694,0))</f>
        <v>U</v>
      </c>
      <c r="H714" s="3" t="str">
        <f t="shared" si="44"/>
        <v>G-U</v>
      </c>
      <c r="I714" s="4">
        <f t="shared" si="45"/>
        <v>1</v>
      </c>
      <c r="J714" s="4">
        <f t="shared" si="46"/>
        <v>0</v>
      </c>
      <c r="K714" s="3">
        <f t="shared" si="47"/>
        <v>1</v>
      </c>
    </row>
    <row r="715" spans="1:11">
      <c r="A715" s="4" t="s">
        <v>62</v>
      </c>
      <c r="B715" s="4" t="s">
        <v>144</v>
      </c>
      <c r="C715" s="4" t="s">
        <v>233</v>
      </c>
      <c r="D715" s="4">
        <f>INDEX(Positions!$D$2:$D$4694,MATCH($A715&amp;"|29",Positions!$A$2:$A$4694,0))</f>
        <v>29</v>
      </c>
      <c r="E715" s="4">
        <f>INDEX(Positions!$D$2:$D$4694,MATCH($A715&amp;"|41",Positions!$A$2:$A$4694,0))</f>
        <v>41</v>
      </c>
      <c r="F715" s="4" t="str">
        <f>INDEX(Positions!$E$2:$E$4694,MATCH($A715&amp;"|29",Positions!$A$2:$A$4694,0))</f>
        <v>G</v>
      </c>
      <c r="G715" s="4" t="str">
        <f>INDEX(Positions!$E$2:$E$4694,MATCH($A715&amp;"|41",Positions!$A$2:$A$4694,0))</f>
        <v>C</v>
      </c>
      <c r="H715" s="3" t="str">
        <f t="shared" si="44"/>
        <v>G-C</v>
      </c>
      <c r="I715" s="4">
        <f t="shared" si="45"/>
        <v>1</v>
      </c>
      <c r="J715" s="4">
        <f t="shared" si="46"/>
        <v>1</v>
      </c>
      <c r="K715" s="3">
        <f t="shared" si="47"/>
        <v>2</v>
      </c>
    </row>
    <row r="716" spans="1:11">
      <c r="A716" s="4" t="s">
        <v>62</v>
      </c>
      <c r="B716" s="4" t="s">
        <v>144</v>
      </c>
      <c r="C716" s="4" t="s">
        <v>234</v>
      </c>
      <c r="D716" s="4">
        <f>INDEX(Positions!$D$2:$D$4694,MATCH($A716&amp;"|30",Positions!$A$2:$A$4694,0))</f>
        <v>30</v>
      </c>
      <c r="E716" s="4">
        <f>INDEX(Positions!$D$2:$D$4694,MATCH($A716&amp;"|40",Positions!$A$2:$A$4694,0))</f>
        <v>40</v>
      </c>
      <c r="F716" s="4" t="str">
        <f>INDEX(Positions!$E$2:$E$4694,MATCH($A716&amp;"|30",Positions!$A$2:$A$4694,0))</f>
        <v>C</v>
      </c>
      <c r="G716" s="4" t="str">
        <f>INDEX(Positions!$E$2:$E$4694,MATCH($A716&amp;"|40",Positions!$A$2:$A$4694,0))</f>
        <v>G</v>
      </c>
      <c r="H716" s="3" t="str">
        <f t="shared" si="44"/>
        <v>C-G</v>
      </c>
      <c r="I716" s="4">
        <f t="shared" si="45"/>
        <v>1</v>
      </c>
      <c r="J716" s="4">
        <f t="shared" si="46"/>
        <v>1</v>
      </c>
      <c r="K716" s="3">
        <f t="shared" si="47"/>
        <v>2</v>
      </c>
    </row>
    <row r="717" spans="1:11">
      <c r="A717" s="4" t="s">
        <v>62</v>
      </c>
      <c r="B717" s="4" t="s">
        <v>144</v>
      </c>
      <c r="C717" s="4" t="s">
        <v>235</v>
      </c>
      <c r="D717" s="4">
        <f>INDEX(Positions!$D$2:$D$4694,MATCH($A717&amp;"|31",Positions!$A$2:$A$4694,0))</f>
        <v>31</v>
      </c>
      <c r="E717" s="4">
        <f>INDEX(Positions!$D$2:$D$4694,MATCH($A717&amp;"|39",Positions!$A$2:$A$4694,0))</f>
        <v>39</v>
      </c>
      <c r="F717" s="4" t="str">
        <f>INDEX(Positions!$E$2:$E$4694,MATCH($A717&amp;"|31",Positions!$A$2:$A$4694,0))</f>
        <v>C</v>
      </c>
      <c r="G717" s="4" t="str">
        <f>INDEX(Positions!$E$2:$E$4694,MATCH($A717&amp;"|39",Positions!$A$2:$A$4694,0))</f>
        <v>G</v>
      </c>
      <c r="H717" s="3" t="str">
        <f t="shared" si="44"/>
        <v>C-G</v>
      </c>
      <c r="I717" s="4">
        <f t="shared" si="45"/>
        <v>1</v>
      </c>
      <c r="J717" s="4">
        <f t="shared" si="46"/>
        <v>1</v>
      </c>
      <c r="K717" s="3">
        <f t="shared" si="47"/>
        <v>2</v>
      </c>
    </row>
    <row r="718" spans="1:11">
      <c r="A718" s="4" t="s">
        <v>62</v>
      </c>
      <c r="B718" s="4" t="s">
        <v>169</v>
      </c>
      <c r="C718" s="4" t="s">
        <v>236</v>
      </c>
      <c r="D718" s="4">
        <f>INDEX(Positions!$D$2:$D$4694,MATCH($A718&amp;"|49",Positions!$A$2:$A$4694,0))</f>
        <v>48</v>
      </c>
      <c r="E718" s="4">
        <f>INDEX(Positions!$D$2:$D$4694,MATCH($A718&amp;"|65",Positions!$A$2:$A$4694,0))</f>
        <v>64</v>
      </c>
      <c r="F718" s="4" t="str">
        <f>INDEX(Positions!$E$2:$E$4694,MATCH($A718&amp;"|49",Positions!$A$2:$A$4694,0))</f>
        <v>C</v>
      </c>
      <c r="G718" s="4" t="str">
        <f>INDEX(Positions!$E$2:$E$4694,MATCH($A718&amp;"|65",Positions!$A$2:$A$4694,0))</f>
        <v>G</v>
      </c>
      <c r="H718" s="3" t="str">
        <f t="shared" si="44"/>
        <v>C-G</v>
      </c>
      <c r="I718" s="4">
        <f t="shared" si="45"/>
        <v>1</v>
      </c>
      <c r="J718" s="4">
        <f t="shared" si="46"/>
        <v>1</v>
      </c>
      <c r="K718" s="3">
        <f t="shared" si="47"/>
        <v>2</v>
      </c>
    </row>
    <row r="719" spans="1:11">
      <c r="A719" s="4" t="s">
        <v>62</v>
      </c>
      <c r="B719" s="4" t="s">
        <v>169</v>
      </c>
      <c r="C719" s="4" t="s">
        <v>237</v>
      </c>
      <c r="D719" s="4">
        <f>INDEX(Positions!$D$2:$D$4694,MATCH($A719&amp;"|50",Positions!$A$2:$A$4694,0))</f>
        <v>49</v>
      </c>
      <c r="E719" s="4">
        <f>INDEX(Positions!$D$2:$D$4694,MATCH($A719&amp;"|64",Positions!$A$2:$A$4694,0))</f>
        <v>63</v>
      </c>
      <c r="F719" s="4" t="str">
        <f>INDEX(Positions!$E$2:$E$4694,MATCH($A719&amp;"|50",Positions!$A$2:$A$4694,0))</f>
        <v>C</v>
      </c>
      <c r="G719" s="4" t="str">
        <f>INDEX(Positions!$E$2:$E$4694,MATCH($A719&amp;"|64",Positions!$A$2:$A$4694,0))</f>
        <v>G</v>
      </c>
      <c r="H719" s="3" t="str">
        <f t="shared" si="44"/>
        <v>C-G</v>
      </c>
      <c r="I719" s="4">
        <f t="shared" si="45"/>
        <v>1</v>
      </c>
      <c r="J719" s="4">
        <f t="shared" si="46"/>
        <v>1</v>
      </c>
      <c r="K719" s="3">
        <f t="shared" si="47"/>
        <v>2</v>
      </c>
    </row>
    <row r="720" spans="1:11">
      <c r="A720" s="4" t="s">
        <v>62</v>
      </c>
      <c r="B720" s="4" t="s">
        <v>169</v>
      </c>
      <c r="C720" s="4" t="s">
        <v>238</v>
      </c>
      <c r="D720" s="4">
        <f>INDEX(Positions!$D$2:$D$4694,MATCH($A720&amp;"|51",Positions!$A$2:$A$4694,0))</f>
        <v>50</v>
      </c>
      <c r="E720" s="4">
        <f>INDEX(Positions!$D$2:$D$4694,MATCH($A720&amp;"|63",Positions!$A$2:$A$4694,0))</f>
        <v>62</v>
      </c>
      <c r="F720" s="4" t="str">
        <f>INDEX(Positions!$E$2:$E$4694,MATCH($A720&amp;"|51",Positions!$A$2:$A$4694,0))</f>
        <v>G</v>
      </c>
      <c r="G720" s="4" t="str">
        <f>INDEX(Positions!$E$2:$E$4694,MATCH($A720&amp;"|63",Positions!$A$2:$A$4694,0))</f>
        <v>C</v>
      </c>
      <c r="H720" s="3" t="str">
        <f t="shared" si="44"/>
        <v>G-C</v>
      </c>
      <c r="I720" s="4">
        <f t="shared" si="45"/>
        <v>1</v>
      </c>
      <c r="J720" s="4">
        <f t="shared" si="46"/>
        <v>1</v>
      </c>
      <c r="K720" s="3">
        <f t="shared" si="47"/>
        <v>2</v>
      </c>
    </row>
    <row r="721" spans="1:11">
      <c r="A721" s="4" t="s">
        <v>62</v>
      </c>
      <c r="B721" s="4" t="s">
        <v>169</v>
      </c>
      <c r="C721" s="4" t="s">
        <v>239</v>
      </c>
      <c r="D721" s="4">
        <f>INDEX(Positions!$D$2:$D$4694,MATCH($A721&amp;"|52",Positions!$A$2:$A$4694,0))</f>
        <v>51</v>
      </c>
      <c r="E721" s="4">
        <f>INDEX(Positions!$D$2:$D$4694,MATCH($A721&amp;"|62",Positions!$A$2:$A$4694,0))</f>
        <v>61</v>
      </c>
      <c r="F721" s="4" t="str">
        <f>INDEX(Positions!$E$2:$E$4694,MATCH($A721&amp;"|52",Positions!$A$2:$A$4694,0))</f>
        <v>A</v>
      </c>
      <c r="G721" s="4" t="str">
        <f>INDEX(Positions!$E$2:$E$4694,MATCH($A721&amp;"|62",Positions!$A$2:$A$4694,0))</f>
        <v>U</v>
      </c>
      <c r="H721" s="3" t="str">
        <f t="shared" si="44"/>
        <v>A-U</v>
      </c>
      <c r="I721" s="4">
        <f t="shared" si="45"/>
        <v>0</v>
      </c>
      <c r="J721" s="4">
        <f t="shared" si="46"/>
        <v>0</v>
      </c>
      <c r="K721" s="3">
        <f t="shared" si="47"/>
        <v>0</v>
      </c>
    </row>
    <row r="722" spans="1:11">
      <c r="A722" s="4" t="s">
        <v>62</v>
      </c>
      <c r="B722" s="4" t="s">
        <v>169</v>
      </c>
      <c r="C722" s="4" t="s">
        <v>240</v>
      </c>
      <c r="D722" s="4">
        <f>INDEX(Positions!$D$2:$D$4694,MATCH($A722&amp;"|53",Positions!$A$2:$A$4694,0))</f>
        <v>52</v>
      </c>
      <c r="E722" s="4">
        <f>INDEX(Positions!$D$2:$D$4694,MATCH($A722&amp;"|61",Positions!$A$2:$A$4694,0))</f>
        <v>60</v>
      </c>
      <c r="F722" s="4" t="str">
        <f>INDEX(Positions!$E$2:$E$4694,MATCH($A722&amp;"|53",Positions!$A$2:$A$4694,0))</f>
        <v>G</v>
      </c>
      <c r="G722" s="4" t="str">
        <f>INDEX(Positions!$E$2:$E$4694,MATCH($A722&amp;"|61",Positions!$A$2:$A$4694,0))</f>
        <v>C</v>
      </c>
      <c r="H722" s="3" t="str">
        <f t="shared" si="44"/>
        <v>G-C</v>
      </c>
      <c r="I722" s="4">
        <f t="shared" si="45"/>
        <v>1</v>
      </c>
      <c r="J722" s="4">
        <f t="shared" si="46"/>
        <v>1</v>
      </c>
      <c r="K722" s="3">
        <f t="shared" si="47"/>
        <v>2</v>
      </c>
    </row>
    <row r="723" spans="1:11">
      <c r="A723" s="23" t="s">
        <v>62</v>
      </c>
      <c r="B723" s="23" t="s">
        <v>241</v>
      </c>
      <c r="C723" s="23" t="s">
        <v>242</v>
      </c>
      <c r="D723" s="23">
        <f>INDEX(Positions!$D$2:$D$4694,MATCH($A723&amp;"|8",Positions!$A$2:$A$4694,0))</f>
        <v>8</v>
      </c>
      <c r="E723" s="23">
        <f>INDEX(Positions!$D$2:$D$4694,MATCH($A723&amp;"|14",Positions!$A$2:$A$4694,0))</f>
        <v>14</v>
      </c>
      <c r="F723" s="23" t="str">
        <f>INDEX(Positions!$E$2:$E$4694,MATCH($A723&amp;"|8",Positions!$A$2:$A$4694,0))</f>
        <v>U</v>
      </c>
      <c r="G723" s="23" t="str">
        <f>INDEX(Positions!$E$2:$E$4694,MATCH($A723&amp;"|14",Positions!$A$2:$A$4694,0))</f>
        <v>A</v>
      </c>
      <c r="H723" s="24" t="str">
        <f t="shared" si="44"/>
        <v>U-A</v>
      </c>
      <c r="I723" s="23">
        <f t="shared" si="45"/>
        <v>0</v>
      </c>
      <c r="J723" s="23">
        <f t="shared" si="46"/>
        <v>0</v>
      </c>
      <c r="K723" s="24">
        <f t="shared" si="47"/>
        <v>0</v>
      </c>
    </row>
    <row r="724" spans="1:11">
      <c r="A724" s="23" t="s">
        <v>62</v>
      </c>
      <c r="B724" s="23" t="s">
        <v>241</v>
      </c>
      <c r="C724" s="23" t="s">
        <v>243</v>
      </c>
      <c r="D724" s="23">
        <f>INDEX(Positions!$D$2:$D$4694,MATCH($A724&amp;"|15",Positions!$A$2:$A$4694,0))</f>
        <v>15</v>
      </c>
      <c r="E724" s="23">
        <f>INDEX(Positions!$D$2:$D$4694,MATCH($A724&amp;"|48",Positions!$A$2:$A$4694,0))</f>
        <v>47</v>
      </c>
      <c r="F724" s="23" t="str">
        <f>INDEX(Positions!$E$2:$E$4694,MATCH($A724&amp;"|15",Positions!$A$2:$A$4694,0))</f>
        <v>G</v>
      </c>
      <c r="G724" s="23" t="str">
        <f>INDEX(Positions!$E$2:$E$4694,MATCH($A724&amp;"|48",Positions!$A$2:$A$4694,0))</f>
        <v>C</v>
      </c>
      <c r="H724" s="24" t="str">
        <f t="shared" si="44"/>
        <v>G-C</v>
      </c>
      <c r="I724" s="23">
        <f t="shared" si="45"/>
        <v>1</v>
      </c>
      <c r="J724" s="23">
        <f t="shared" si="46"/>
        <v>1</v>
      </c>
      <c r="K724" s="24">
        <f t="shared" si="47"/>
        <v>2</v>
      </c>
    </row>
    <row r="725" spans="1:11">
      <c r="A725" s="23" t="s">
        <v>62</v>
      </c>
      <c r="B725" s="23" t="s">
        <v>241</v>
      </c>
      <c r="C725" s="23" t="s">
        <v>244</v>
      </c>
      <c r="D725" s="23">
        <f>INDEX(Positions!$D$2:$D$4694,MATCH($A725&amp;"|18",Positions!$A$2:$A$4694,0))</f>
        <v>17</v>
      </c>
      <c r="E725" s="23">
        <f>INDEX(Positions!$D$2:$D$4694,MATCH($A725&amp;"|55",Positions!$A$2:$A$4694,0))</f>
        <v>54</v>
      </c>
      <c r="F725" s="23" t="str">
        <f>INDEX(Positions!$E$2:$E$4694,MATCH($A725&amp;"|18",Positions!$A$2:$A$4694,0))</f>
        <v>G</v>
      </c>
      <c r="G725" s="23" t="str">
        <f>INDEX(Positions!$E$2:$E$4694,MATCH($A725&amp;"|55",Positions!$A$2:$A$4694,0))</f>
        <v>U</v>
      </c>
      <c r="H725" s="24" t="str">
        <f t="shared" si="44"/>
        <v>G-U</v>
      </c>
      <c r="I725" s="23">
        <f t="shared" si="45"/>
        <v>1</v>
      </c>
      <c r="J725" s="23">
        <f t="shared" si="46"/>
        <v>0</v>
      </c>
      <c r="K725" s="24">
        <f t="shared" si="47"/>
        <v>1</v>
      </c>
    </row>
    <row r="726" spans="1:11">
      <c r="A726" s="23" t="s">
        <v>62</v>
      </c>
      <c r="B726" s="23" t="s">
        <v>241</v>
      </c>
      <c r="C726" s="23" t="s">
        <v>245</v>
      </c>
      <c r="D726" s="23">
        <f>INDEX(Positions!$D$2:$D$4694,MATCH($A726&amp;"|19",Positions!$A$2:$A$4694,0))</f>
        <v>18</v>
      </c>
      <c r="E726" s="23">
        <f>INDEX(Positions!$D$2:$D$4694,MATCH($A726&amp;"|56",Positions!$A$2:$A$4694,0))</f>
        <v>55</v>
      </c>
      <c r="F726" s="23" t="str">
        <f>INDEX(Positions!$E$2:$E$4694,MATCH($A726&amp;"|19",Positions!$A$2:$A$4694,0))</f>
        <v>G</v>
      </c>
      <c r="G726" s="23" t="str">
        <f>INDEX(Positions!$E$2:$E$4694,MATCH($A726&amp;"|56",Positions!$A$2:$A$4694,0))</f>
        <v>C</v>
      </c>
      <c r="H726" s="24" t="str">
        <f t="shared" si="44"/>
        <v>G-C</v>
      </c>
      <c r="I726" s="23">
        <f t="shared" si="45"/>
        <v>1</v>
      </c>
      <c r="J726" s="23">
        <f t="shared" si="46"/>
        <v>1</v>
      </c>
      <c r="K726" s="24">
        <f t="shared" si="47"/>
        <v>2</v>
      </c>
    </row>
    <row r="727" spans="1:11">
      <c r="A727" s="23" t="s">
        <v>62</v>
      </c>
      <c r="B727" s="23" t="s">
        <v>241</v>
      </c>
      <c r="C727" s="23" t="s">
        <v>246</v>
      </c>
      <c r="D727" s="23">
        <f>INDEX(Positions!$D$2:$D$4694,MATCH($A727&amp;"|26",Positions!$A$2:$A$4694,0))</f>
        <v>26</v>
      </c>
      <c r="E727" s="23">
        <f>INDEX(Positions!$D$2:$D$4694,MATCH($A727&amp;"|44",Positions!$A$2:$A$4694,0))</f>
        <v>44</v>
      </c>
      <c r="F727" s="23" t="str">
        <f>INDEX(Positions!$E$2:$E$4694,MATCH($A727&amp;"|26",Positions!$A$2:$A$4694,0))</f>
        <v>G</v>
      </c>
      <c r="G727" s="23" t="str">
        <f>INDEX(Positions!$E$2:$E$4694,MATCH($A727&amp;"|44",Positions!$A$2:$A$4694,0))</f>
        <v>C</v>
      </c>
      <c r="H727" s="24" t="str">
        <f t="shared" si="44"/>
        <v>G-C</v>
      </c>
      <c r="I727" s="23">
        <f t="shared" si="45"/>
        <v>1</v>
      </c>
      <c r="J727" s="23">
        <f t="shared" si="46"/>
        <v>1</v>
      </c>
      <c r="K727" s="24">
        <f t="shared" si="47"/>
        <v>2</v>
      </c>
    </row>
    <row r="728" spans="1:11">
      <c r="A728" s="23" t="s">
        <v>62</v>
      </c>
      <c r="B728" s="23" t="s">
        <v>241</v>
      </c>
      <c r="C728" s="23" t="s">
        <v>247</v>
      </c>
      <c r="D728" s="23">
        <f>INDEX(Positions!$D$2:$D$4694,MATCH($A728&amp;"|32",Positions!$A$2:$A$4694,0))</f>
        <v>32</v>
      </c>
      <c r="E728" s="23">
        <f>INDEX(Positions!$D$2:$D$4694,MATCH($A728&amp;"|38",Positions!$A$2:$A$4694,0))</f>
        <v>38</v>
      </c>
      <c r="F728" s="23" t="str">
        <f>INDEX(Positions!$E$2:$E$4694,MATCH($A728&amp;"|32",Positions!$A$2:$A$4694,0))</f>
        <v>C</v>
      </c>
      <c r="G728" s="23" t="str">
        <f>INDEX(Positions!$E$2:$E$4694,MATCH($A728&amp;"|38",Positions!$A$2:$A$4694,0))</f>
        <v>A</v>
      </c>
      <c r="H728" s="24" t="str">
        <f t="shared" si="44"/>
        <v>C-A</v>
      </c>
      <c r="I728" s="23">
        <f t="shared" si="45"/>
        <v>0</v>
      </c>
      <c r="J728" s="23">
        <f t="shared" si="46"/>
        <v>1</v>
      </c>
      <c r="K728" s="24">
        <f t="shared" si="47"/>
        <v>1</v>
      </c>
    </row>
    <row r="729" spans="1:11">
      <c r="A729" s="23" t="s">
        <v>62</v>
      </c>
      <c r="B729" s="23" t="s">
        <v>241</v>
      </c>
      <c r="C729" s="23" t="s">
        <v>248</v>
      </c>
      <c r="D729" s="23">
        <f>INDEX(Positions!$D$2:$D$4694,MATCH($A729&amp;"|54",Positions!$A$2:$A$4694,0))</f>
        <v>53</v>
      </c>
      <c r="E729" s="23">
        <f>INDEX(Positions!$D$2:$D$4694,MATCH($A729&amp;"|58",Positions!$A$2:$A$4694,0))</f>
        <v>57</v>
      </c>
      <c r="F729" s="23" t="str">
        <f>INDEX(Positions!$E$2:$E$4694,MATCH($A729&amp;"|54",Positions!$A$2:$A$4694,0))</f>
        <v>U</v>
      </c>
      <c r="G729" s="23" t="str">
        <f>INDEX(Positions!$E$2:$E$4694,MATCH($A729&amp;"|58",Positions!$A$2:$A$4694,0))</f>
        <v>A</v>
      </c>
      <c r="H729" s="24" t="str">
        <f t="shared" si="44"/>
        <v>U-A</v>
      </c>
      <c r="I729" s="23">
        <f t="shared" si="45"/>
        <v>0</v>
      </c>
      <c r="J729" s="23">
        <f t="shared" si="46"/>
        <v>0</v>
      </c>
      <c r="K729" s="24">
        <f t="shared" si="47"/>
        <v>0</v>
      </c>
    </row>
    <row r="730" spans="1:11">
      <c r="A730" s="4" t="s">
        <v>63</v>
      </c>
      <c r="B730" s="4" t="s">
        <v>110</v>
      </c>
      <c r="C730" s="4" t="s">
        <v>220</v>
      </c>
      <c r="D730" s="4">
        <f>INDEX(Positions!$D$2:$D$4694,MATCH($A730&amp;"|1",Positions!$A$2:$A$4694,0))</f>
        <v>1</v>
      </c>
      <c r="E730" s="4">
        <f>INDEX(Positions!$D$2:$D$4694,MATCH($A730&amp;"|72",Positions!$A$2:$A$4694,0))</f>
        <v>73</v>
      </c>
      <c r="F730" s="4" t="str">
        <f>INDEX(Positions!$E$2:$E$4694,MATCH($A730&amp;"|1",Positions!$A$2:$A$4694,0))</f>
        <v>G</v>
      </c>
      <c r="G730" s="4" t="str">
        <f>INDEX(Positions!$E$2:$E$4694,MATCH($A730&amp;"|72",Positions!$A$2:$A$4694,0))</f>
        <v>C</v>
      </c>
      <c r="H730" s="3" t="str">
        <f t="shared" si="44"/>
        <v>G-C</v>
      </c>
      <c r="I730" s="4">
        <f t="shared" si="45"/>
        <v>1</v>
      </c>
      <c r="J730" s="4">
        <f t="shared" si="46"/>
        <v>1</v>
      </c>
      <c r="K730" s="3">
        <f t="shared" si="47"/>
        <v>2</v>
      </c>
    </row>
    <row r="731" spans="1:11">
      <c r="A731" s="4" t="s">
        <v>63</v>
      </c>
      <c r="B731" s="4" t="s">
        <v>110</v>
      </c>
      <c r="C731" s="4" t="s">
        <v>221</v>
      </c>
      <c r="D731" s="4">
        <f>INDEX(Positions!$D$2:$D$4694,MATCH($A731&amp;"|2",Positions!$A$2:$A$4694,0))</f>
        <v>2</v>
      </c>
      <c r="E731" s="4">
        <f>INDEX(Positions!$D$2:$D$4694,MATCH($A731&amp;"|71",Positions!$A$2:$A$4694,0))</f>
        <v>72</v>
      </c>
      <c r="F731" s="4" t="str">
        <f>INDEX(Positions!$E$2:$E$4694,MATCH($A731&amp;"|2",Positions!$A$2:$A$4694,0))</f>
        <v>G</v>
      </c>
      <c r="G731" s="4" t="str">
        <f>INDEX(Positions!$E$2:$E$4694,MATCH($A731&amp;"|71",Positions!$A$2:$A$4694,0))</f>
        <v>C</v>
      </c>
      <c r="H731" s="3" t="str">
        <f t="shared" si="44"/>
        <v>G-C</v>
      </c>
      <c r="I731" s="4">
        <f t="shared" si="45"/>
        <v>1</v>
      </c>
      <c r="J731" s="4">
        <f t="shared" si="46"/>
        <v>1</v>
      </c>
      <c r="K731" s="3">
        <f t="shared" si="47"/>
        <v>2</v>
      </c>
    </row>
    <row r="732" spans="1:11">
      <c r="A732" s="4" t="s">
        <v>63</v>
      </c>
      <c r="B732" s="4" t="s">
        <v>110</v>
      </c>
      <c r="C732" s="4" t="s">
        <v>222</v>
      </c>
      <c r="D732" s="4">
        <f>INDEX(Positions!$D$2:$D$4694,MATCH($A732&amp;"|3",Positions!$A$2:$A$4694,0))</f>
        <v>3</v>
      </c>
      <c r="E732" s="4">
        <f>INDEX(Positions!$D$2:$D$4694,MATCH($A732&amp;"|70",Positions!$A$2:$A$4694,0))</f>
        <v>71</v>
      </c>
      <c r="F732" s="4" t="str">
        <f>INDEX(Positions!$E$2:$E$4694,MATCH($A732&amp;"|3",Positions!$A$2:$A$4694,0))</f>
        <v>G</v>
      </c>
      <c r="G732" s="4" t="str">
        <f>INDEX(Positions!$E$2:$E$4694,MATCH($A732&amp;"|70",Positions!$A$2:$A$4694,0))</f>
        <v>C</v>
      </c>
      <c r="H732" s="3" t="str">
        <f t="shared" si="44"/>
        <v>G-C</v>
      </c>
      <c r="I732" s="4">
        <f t="shared" si="45"/>
        <v>1</v>
      </c>
      <c r="J732" s="4">
        <f t="shared" si="46"/>
        <v>1</v>
      </c>
      <c r="K732" s="3">
        <f t="shared" si="47"/>
        <v>2</v>
      </c>
    </row>
    <row r="733" spans="1:11">
      <c r="A733" s="4" t="s">
        <v>63</v>
      </c>
      <c r="B733" s="4" t="s">
        <v>110</v>
      </c>
      <c r="C733" s="4" t="s">
        <v>223</v>
      </c>
      <c r="D733" s="4">
        <f>INDEX(Positions!$D$2:$D$4694,MATCH($A733&amp;"|4",Positions!$A$2:$A$4694,0))</f>
        <v>4</v>
      </c>
      <c r="E733" s="4">
        <f>INDEX(Positions!$D$2:$D$4694,MATCH($A733&amp;"|69",Positions!$A$2:$A$4694,0))</f>
        <v>70</v>
      </c>
      <c r="F733" s="4" t="str">
        <f>INDEX(Positions!$E$2:$E$4694,MATCH($A733&amp;"|4",Positions!$A$2:$A$4694,0))</f>
        <v>C</v>
      </c>
      <c r="G733" s="4" t="str">
        <f>INDEX(Positions!$E$2:$E$4694,MATCH($A733&amp;"|69",Positions!$A$2:$A$4694,0))</f>
        <v>G</v>
      </c>
      <c r="H733" s="3" t="str">
        <f t="shared" si="44"/>
        <v>C-G</v>
      </c>
      <c r="I733" s="4">
        <f t="shared" si="45"/>
        <v>1</v>
      </c>
      <c r="J733" s="4">
        <f t="shared" si="46"/>
        <v>1</v>
      </c>
      <c r="K733" s="3">
        <f t="shared" si="47"/>
        <v>2</v>
      </c>
    </row>
    <row r="734" spans="1:11">
      <c r="A734" s="4" t="s">
        <v>63</v>
      </c>
      <c r="B734" s="4" t="s">
        <v>110</v>
      </c>
      <c r="C734" s="4" t="s">
        <v>224</v>
      </c>
      <c r="D734" s="4">
        <f>INDEX(Positions!$D$2:$D$4694,MATCH($A734&amp;"|5",Positions!$A$2:$A$4694,0))</f>
        <v>5</v>
      </c>
      <c r="E734" s="4">
        <f>INDEX(Positions!$D$2:$D$4694,MATCH($A734&amp;"|68",Positions!$A$2:$A$4694,0))</f>
        <v>69</v>
      </c>
      <c r="F734" s="4" t="str">
        <f>INDEX(Positions!$E$2:$E$4694,MATCH($A734&amp;"|5",Positions!$A$2:$A$4694,0))</f>
        <v>C</v>
      </c>
      <c r="G734" s="4" t="str">
        <f>INDEX(Positions!$E$2:$E$4694,MATCH($A734&amp;"|68",Positions!$A$2:$A$4694,0))</f>
        <v>G</v>
      </c>
      <c r="H734" s="3" t="str">
        <f t="shared" si="44"/>
        <v>C-G</v>
      </c>
      <c r="I734" s="4">
        <f t="shared" si="45"/>
        <v>1</v>
      </c>
      <c r="J734" s="4">
        <f t="shared" si="46"/>
        <v>1</v>
      </c>
      <c r="K734" s="3">
        <f t="shared" si="47"/>
        <v>2</v>
      </c>
    </row>
    <row r="735" spans="1:11">
      <c r="A735" s="4" t="s">
        <v>63</v>
      </c>
      <c r="B735" s="4" t="s">
        <v>110</v>
      </c>
      <c r="C735" s="4" t="s">
        <v>225</v>
      </c>
      <c r="D735" s="4">
        <f>INDEX(Positions!$D$2:$D$4694,MATCH($A735&amp;"|6",Positions!$A$2:$A$4694,0))</f>
        <v>6</v>
      </c>
      <c r="E735" s="4">
        <f>INDEX(Positions!$D$2:$D$4694,MATCH($A735&amp;"|67",Positions!$A$2:$A$4694,0))</f>
        <v>68</v>
      </c>
      <c r="F735" s="4" t="str">
        <f>INDEX(Positions!$E$2:$E$4694,MATCH($A735&amp;"|6",Positions!$A$2:$A$4694,0))</f>
        <v>C</v>
      </c>
      <c r="G735" s="4" t="str">
        <f>INDEX(Positions!$E$2:$E$4694,MATCH($A735&amp;"|67",Positions!$A$2:$A$4694,0))</f>
        <v>G</v>
      </c>
      <c r="H735" s="3" t="str">
        <f t="shared" si="44"/>
        <v>C-G</v>
      </c>
      <c r="I735" s="4">
        <f t="shared" si="45"/>
        <v>1</v>
      </c>
      <c r="J735" s="4">
        <f t="shared" si="46"/>
        <v>1</v>
      </c>
      <c r="K735" s="3">
        <f t="shared" si="47"/>
        <v>2</v>
      </c>
    </row>
    <row r="736" spans="1:11">
      <c r="A736" s="4" t="s">
        <v>63</v>
      </c>
      <c r="B736" s="4" t="s">
        <v>110</v>
      </c>
      <c r="C736" s="4" t="s">
        <v>226</v>
      </c>
      <c r="D736" s="4">
        <f>INDEX(Positions!$D$2:$D$4694,MATCH($A736&amp;"|7",Positions!$A$2:$A$4694,0))</f>
        <v>7</v>
      </c>
      <c r="E736" s="4">
        <f>INDEX(Positions!$D$2:$D$4694,MATCH($A736&amp;"|66",Positions!$A$2:$A$4694,0))</f>
        <v>67</v>
      </c>
      <c r="F736" s="4" t="str">
        <f>INDEX(Positions!$E$2:$E$4694,MATCH($A736&amp;"|7",Positions!$A$2:$A$4694,0))</f>
        <v>G</v>
      </c>
      <c r="G736" s="4" t="str">
        <f>INDEX(Positions!$E$2:$E$4694,MATCH($A736&amp;"|66",Positions!$A$2:$A$4694,0))</f>
        <v>C</v>
      </c>
      <c r="H736" s="3" t="str">
        <f t="shared" si="44"/>
        <v>G-C</v>
      </c>
      <c r="I736" s="4">
        <f t="shared" si="45"/>
        <v>1</v>
      </c>
      <c r="J736" s="4">
        <f t="shared" si="46"/>
        <v>1</v>
      </c>
      <c r="K736" s="3">
        <f t="shared" si="47"/>
        <v>2</v>
      </c>
    </row>
    <row r="737" spans="1:11">
      <c r="A737" s="4" t="s">
        <v>63</v>
      </c>
      <c r="B737" s="4" t="s">
        <v>125</v>
      </c>
      <c r="C737" s="4" t="s">
        <v>227</v>
      </c>
      <c r="D737" s="4">
        <f>INDEX(Positions!$D$2:$D$4694,MATCH($A737&amp;"|10",Positions!$A$2:$A$4694,0))</f>
        <v>10</v>
      </c>
      <c r="E737" s="4">
        <f>INDEX(Positions!$D$2:$D$4694,MATCH($A737&amp;"|25",Positions!$A$2:$A$4694,0))</f>
        <v>26</v>
      </c>
      <c r="F737" s="4" t="str">
        <f>INDEX(Positions!$E$2:$E$4694,MATCH($A737&amp;"|10",Positions!$A$2:$A$4694,0))</f>
        <v>G</v>
      </c>
      <c r="G737" s="4" t="str">
        <f>INDEX(Positions!$E$2:$E$4694,MATCH($A737&amp;"|25",Positions!$A$2:$A$4694,0))</f>
        <v>C</v>
      </c>
      <c r="H737" s="3" t="str">
        <f t="shared" si="44"/>
        <v>G-C</v>
      </c>
      <c r="I737" s="4">
        <f t="shared" si="45"/>
        <v>1</v>
      </c>
      <c r="J737" s="4">
        <f t="shared" si="46"/>
        <v>1</v>
      </c>
      <c r="K737" s="3">
        <f t="shared" si="47"/>
        <v>2</v>
      </c>
    </row>
    <row r="738" spans="1:11">
      <c r="A738" s="4" t="s">
        <v>63</v>
      </c>
      <c r="B738" s="4" t="s">
        <v>125</v>
      </c>
      <c r="C738" s="4" t="s">
        <v>228</v>
      </c>
      <c r="D738" s="4">
        <f>INDEX(Positions!$D$2:$D$4694,MATCH($A738&amp;"|11",Positions!$A$2:$A$4694,0))</f>
        <v>11</v>
      </c>
      <c r="E738" s="4">
        <f>INDEX(Positions!$D$2:$D$4694,MATCH($A738&amp;"|24",Positions!$A$2:$A$4694,0))</f>
        <v>25</v>
      </c>
      <c r="F738" s="4" t="str">
        <f>INDEX(Positions!$E$2:$E$4694,MATCH($A738&amp;"|11",Positions!$A$2:$A$4694,0))</f>
        <v>C</v>
      </c>
      <c r="G738" s="4" t="str">
        <f>INDEX(Positions!$E$2:$E$4694,MATCH($A738&amp;"|24",Positions!$A$2:$A$4694,0))</f>
        <v>G</v>
      </c>
      <c r="H738" s="3" t="str">
        <f t="shared" si="44"/>
        <v>C-G</v>
      </c>
      <c r="I738" s="4">
        <f t="shared" si="45"/>
        <v>1</v>
      </c>
      <c r="J738" s="4">
        <f t="shared" si="46"/>
        <v>1</v>
      </c>
      <c r="K738" s="3">
        <f t="shared" si="47"/>
        <v>2</v>
      </c>
    </row>
    <row r="739" spans="1:11">
      <c r="A739" s="4" t="s">
        <v>63</v>
      </c>
      <c r="B739" s="4" t="s">
        <v>125</v>
      </c>
      <c r="C739" s="4" t="s">
        <v>229</v>
      </c>
      <c r="D739" s="4">
        <f>INDEX(Positions!$D$2:$D$4694,MATCH($A739&amp;"|12",Positions!$A$2:$A$4694,0))</f>
        <v>12</v>
      </c>
      <c r="E739" s="4">
        <f>INDEX(Positions!$D$2:$D$4694,MATCH($A739&amp;"|23",Positions!$A$2:$A$4694,0))</f>
        <v>24</v>
      </c>
      <c r="F739" s="4" t="str">
        <f>INDEX(Positions!$E$2:$E$4694,MATCH($A739&amp;"|12",Positions!$A$2:$A$4694,0))</f>
        <v>U</v>
      </c>
      <c r="G739" s="4" t="str">
        <f>INDEX(Positions!$E$2:$E$4694,MATCH($A739&amp;"|23",Positions!$A$2:$A$4694,0))</f>
        <v>A</v>
      </c>
      <c r="H739" s="3" t="str">
        <f t="shared" si="44"/>
        <v>U-A</v>
      </c>
      <c r="I739" s="4">
        <f t="shared" si="45"/>
        <v>0</v>
      </c>
      <c r="J739" s="4">
        <f t="shared" si="46"/>
        <v>0</v>
      </c>
      <c r="K739" s="3">
        <f t="shared" si="47"/>
        <v>0</v>
      </c>
    </row>
    <row r="740" spans="1:11">
      <c r="A740" s="4" t="s">
        <v>63</v>
      </c>
      <c r="B740" s="4" t="s">
        <v>125</v>
      </c>
      <c r="C740" s="4" t="s">
        <v>230</v>
      </c>
      <c r="D740" s="4">
        <f>INDEX(Positions!$D$2:$D$4694,MATCH($A740&amp;"|13",Positions!$A$2:$A$4694,0))</f>
        <v>13</v>
      </c>
      <c r="E740" s="4">
        <f>INDEX(Positions!$D$2:$D$4694,MATCH($A740&amp;"|22",Positions!$A$2:$A$4694,0))</f>
        <v>23</v>
      </c>
      <c r="F740" s="4" t="str">
        <f>INDEX(Positions!$E$2:$E$4694,MATCH($A740&amp;"|13",Positions!$A$2:$A$4694,0))</f>
        <v>U</v>
      </c>
      <c r="G740" s="4" t="str">
        <f>INDEX(Positions!$E$2:$E$4694,MATCH($A740&amp;"|22",Positions!$A$2:$A$4694,0))</f>
        <v>G</v>
      </c>
      <c r="H740" s="3" t="str">
        <f t="shared" si="44"/>
        <v>U-G</v>
      </c>
      <c r="I740" s="4">
        <f t="shared" si="45"/>
        <v>1</v>
      </c>
      <c r="J740" s="4">
        <f t="shared" si="46"/>
        <v>0</v>
      </c>
      <c r="K740" s="3">
        <f t="shared" si="47"/>
        <v>1</v>
      </c>
    </row>
    <row r="741" spans="1:11">
      <c r="A741" s="4" t="s">
        <v>63</v>
      </c>
      <c r="B741" s="4" t="s">
        <v>144</v>
      </c>
      <c r="C741" s="4" t="s">
        <v>231</v>
      </c>
      <c r="D741" s="4">
        <f>INDEX(Positions!$D$2:$D$4694,MATCH($A741&amp;"|27",Positions!$A$2:$A$4694,0))</f>
        <v>28</v>
      </c>
      <c r="E741" s="4">
        <f>INDEX(Positions!$D$2:$D$4694,MATCH($A741&amp;"|43",Positions!$A$2:$A$4694,0))</f>
        <v>44</v>
      </c>
      <c r="F741" s="4" t="str">
        <f>INDEX(Positions!$E$2:$E$4694,MATCH($A741&amp;"|27",Positions!$A$2:$A$4694,0))</f>
        <v>C</v>
      </c>
      <c r="G741" s="4" t="str">
        <f>INDEX(Positions!$E$2:$E$4694,MATCH($A741&amp;"|43",Positions!$A$2:$A$4694,0))</f>
        <v>G</v>
      </c>
      <c r="H741" s="3" t="str">
        <f t="shared" si="44"/>
        <v>C-G</v>
      </c>
      <c r="I741" s="4">
        <f t="shared" si="45"/>
        <v>1</v>
      </c>
      <c r="J741" s="4">
        <f t="shared" si="46"/>
        <v>1</v>
      </c>
      <c r="K741" s="3">
        <f t="shared" si="47"/>
        <v>2</v>
      </c>
    </row>
    <row r="742" spans="1:11">
      <c r="A742" s="4" t="s">
        <v>63</v>
      </c>
      <c r="B742" s="4" t="s">
        <v>144</v>
      </c>
      <c r="C742" s="4" t="s">
        <v>232</v>
      </c>
      <c r="D742" s="4">
        <f>INDEX(Positions!$D$2:$D$4694,MATCH($A742&amp;"|28",Positions!$A$2:$A$4694,0))</f>
        <v>29</v>
      </c>
      <c r="E742" s="4">
        <f>INDEX(Positions!$D$2:$D$4694,MATCH($A742&amp;"|42",Positions!$A$2:$A$4694,0))</f>
        <v>43</v>
      </c>
      <c r="F742" s="4" t="str">
        <f>INDEX(Positions!$E$2:$E$4694,MATCH($A742&amp;"|28",Positions!$A$2:$A$4694,0))</f>
        <v>A</v>
      </c>
      <c r="G742" s="4" t="str">
        <f>INDEX(Positions!$E$2:$E$4694,MATCH($A742&amp;"|42",Positions!$A$2:$A$4694,0))</f>
        <v>U</v>
      </c>
      <c r="H742" s="3" t="str">
        <f t="shared" si="44"/>
        <v>A-U</v>
      </c>
      <c r="I742" s="4">
        <f t="shared" si="45"/>
        <v>0</v>
      </c>
      <c r="J742" s="4">
        <f t="shared" si="46"/>
        <v>0</v>
      </c>
      <c r="K742" s="3">
        <f t="shared" si="47"/>
        <v>0</v>
      </c>
    </row>
    <row r="743" spans="1:11">
      <c r="A743" s="4" t="s">
        <v>63</v>
      </c>
      <c r="B743" s="4" t="s">
        <v>144</v>
      </c>
      <c r="C743" s="4" t="s">
        <v>233</v>
      </c>
      <c r="D743" s="4">
        <f>INDEX(Positions!$D$2:$D$4694,MATCH($A743&amp;"|29",Positions!$A$2:$A$4694,0))</f>
        <v>30</v>
      </c>
      <c r="E743" s="4">
        <f>INDEX(Positions!$D$2:$D$4694,MATCH($A743&amp;"|41",Positions!$A$2:$A$4694,0))</f>
        <v>42</v>
      </c>
      <c r="F743" s="4" t="str">
        <f>INDEX(Positions!$E$2:$E$4694,MATCH($A743&amp;"|29",Positions!$A$2:$A$4694,0))</f>
        <v>C</v>
      </c>
      <c r="G743" s="4" t="str">
        <f>INDEX(Positions!$E$2:$E$4694,MATCH($A743&amp;"|41",Positions!$A$2:$A$4694,0))</f>
        <v>G</v>
      </c>
      <c r="H743" s="3" t="str">
        <f t="shared" si="44"/>
        <v>C-G</v>
      </c>
      <c r="I743" s="4">
        <f t="shared" si="45"/>
        <v>1</v>
      </c>
      <c r="J743" s="4">
        <f t="shared" si="46"/>
        <v>1</v>
      </c>
      <c r="K743" s="3">
        <f t="shared" si="47"/>
        <v>2</v>
      </c>
    </row>
    <row r="744" spans="1:11">
      <c r="A744" s="4" t="s">
        <v>63</v>
      </c>
      <c r="B744" s="4" t="s">
        <v>144</v>
      </c>
      <c r="C744" s="4" t="s">
        <v>234</v>
      </c>
      <c r="D744" s="4">
        <f>INDEX(Positions!$D$2:$D$4694,MATCH($A744&amp;"|30",Positions!$A$2:$A$4694,0))</f>
        <v>31</v>
      </c>
      <c r="E744" s="4">
        <f>INDEX(Positions!$D$2:$D$4694,MATCH($A744&amp;"|40",Positions!$A$2:$A$4694,0))</f>
        <v>41</v>
      </c>
      <c r="F744" s="4" t="str">
        <f>INDEX(Positions!$E$2:$E$4694,MATCH($A744&amp;"|30",Positions!$A$2:$A$4694,0))</f>
        <v>G</v>
      </c>
      <c r="G744" s="4" t="str">
        <f>INDEX(Positions!$E$2:$E$4694,MATCH($A744&amp;"|40",Positions!$A$2:$A$4694,0))</f>
        <v>C</v>
      </c>
      <c r="H744" s="3" t="str">
        <f t="shared" si="44"/>
        <v>G-C</v>
      </c>
      <c r="I744" s="4">
        <f t="shared" si="45"/>
        <v>1</v>
      </c>
      <c r="J744" s="4">
        <f t="shared" si="46"/>
        <v>1</v>
      </c>
      <c r="K744" s="3">
        <f t="shared" si="47"/>
        <v>2</v>
      </c>
    </row>
    <row r="745" spans="1:11">
      <c r="A745" s="4" t="s">
        <v>63</v>
      </c>
      <c r="B745" s="4" t="s">
        <v>144</v>
      </c>
      <c r="C745" s="4" t="s">
        <v>235</v>
      </c>
      <c r="D745" s="4">
        <f>INDEX(Positions!$D$2:$D$4694,MATCH($A745&amp;"|31",Positions!$A$2:$A$4694,0))</f>
        <v>32</v>
      </c>
      <c r="E745" s="4">
        <f>INDEX(Positions!$D$2:$D$4694,MATCH($A745&amp;"|39",Positions!$A$2:$A$4694,0))</f>
        <v>40</v>
      </c>
      <c r="F745" s="4" t="str">
        <f>INDEX(Positions!$E$2:$E$4694,MATCH($A745&amp;"|31",Positions!$A$2:$A$4694,0))</f>
        <v>G</v>
      </c>
      <c r="G745" s="4" t="str">
        <f>INDEX(Positions!$E$2:$E$4694,MATCH($A745&amp;"|39",Positions!$A$2:$A$4694,0))</f>
        <v>C</v>
      </c>
      <c r="H745" s="3" t="str">
        <f t="shared" si="44"/>
        <v>G-C</v>
      </c>
      <c r="I745" s="4">
        <f t="shared" si="45"/>
        <v>1</v>
      </c>
      <c r="J745" s="4">
        <f t="shared" si="46"/>
        <v>1</v>
      </c>
      <c r="K745" s="3">
        <f t="shared" si="47"/>
        <v>2</v>
      </c>
    </row>
    <row r="746" spans="1:11">
      <c r="A746" s="4" t="s">
        <v>63</v>
      </c>
      <c r="B746" s="4" t="s">
        <v>169</v>
      </c>
      <c r="C746" s="4" t="s">
        <v>236</v>
      </c>
      <c r="D746" s="4">
        <f>INDEX(Positions!$D$2:$D$4694,MATCH($A746&amp;"|49",Positions!$A$2:$A$4694,0))</f>
        <v>50</v>
      </c>
      <c r="E746" s="4">
        <f>INDEX(Positions!$D$2:$D$4694,MATCH($A746&amp;"|65",Positions!$A$2:$A$4694,0))</f>
        <v>66</v>
      </c>
      <c r="F746" s="4" t="str">
        <f>INDEX(Positions!$E$2:$E$4694,MATCH($A746&amp;"|49",Positions!$A$2:$A$4694,0))</f>
        <v>C</v>
      </c>
      <c r="G746" s="4" t="str">
        <f>INDEX(Positions!$E$2:$E$4694,MATCH($A746&amp;"|65",Positions!$A$2:$A$4694,0))</f>
        <v>G</v>
      </c>
      <c r="H746" s="3" t="str">
        <f t="shared" si="44"/>
        <v>C-G</v>
      </c>
      <c r="I746" s="4">
        <f t="shared" si="45"/>
        <v>1</v>
      </c>
      <c r="J746" s="4">
        <f t="shared" si="46"/>
        <v>1</v>
      </c>
      <c r="K746" s="3">
        <f t="shared" si="47"/>
        <v>2</v>
      </c>
    </row>
    <row r="747" spans="1:11">
      <c r="A747" s="4" t="s">
        <v>63</v>
      </c>
      <c r="B747" s="4" t="s">
        <v>169</v>
      </c>
      <c r="C747" s="4" t="s">
        <v>237</v>
      </c>
      <c r="D747" s="4">
        <f>INDEX(Positions!$D$2:$D$4694,MATCH($A747&amp;"|50",Positions!$A$2:$A$4694,0))</f>
        <v>51</v>
      </c>
      <c r="E747" s="4">
        <f>INDEX(Positions!$D$2:$D$4694,MATCH($A747&amp;"|64",Positions!$A$2:$A$4694,0))</f>
        <v>65</v>
      </c>
      <c r="F747" s="4" t="str">
        <f>INDEX(Positions!$E$2:$E$4694,MATCH($A747&amp;"|50",Positions!$A$2:$A$4694,0))</f>
        <v>U</v>
      </c>
      <c r="G747" s="4" t="str">
        <f>INDEX(Positions!$E$2:$E$4694,MATCH($A747&amp;"|64",Positions!$A$2:$A$4694,0))</f>
        <v>A</v>
      </c>
      <c r="H747" s="3" t="str">
        <f t="shared" si="44"/>
        <v>U-A</v>
      </c>
      <c r="I747" s="4">
        <f t="shared" si="45"/>
        <v>0</v>
      </c>
      <c r="J747" s="4">
        <f t="shared" si="46"/>
        <v>0</v>
      </c>
      <c r="K747" s="3">
        <f t="shared" si="47"/>
        <v>0</v>
      </c>
    </row>
    <row r="748" spans="1:11">
      <c r="A748" s="4" t="s">
        <v>63</v>
      </c>
      <c r="B748" s="4" t="s">
        <v>169</v>
      </c>
      <c r="C748" s="4" t="s">
        <v>238</v>
      </c>
      <c r="D748" s="4">
        <f>INDEX(Positions!$D$2:$D$4694,MATCH($A748&amp;"|51",Positions!$A$2:$A$4694,0))</f>
        <v>52</v>
      </c>
      <c r="E748" s="4">
        <f>INDEX(Positions!$D$2:$D$4694,MATCH($A748&amp;"|63",Positions!$A$2:$A$4694,0))</f>
        <v>64</v>
      </c>
      <c r="F748" s="4" t="str">
        <f>INDEX(Positions!$E$2:$E$4694,MATCH($A748&amp;"|51",Positions!$A$2:$A$4694,0))</f>
        <v>G</v>
      </c>
      <c r="G748" s="4" t="str">
        <f>INDEX(Positions!$E$2:$E$4694,MATCH($A748&amp;"|63",Positions!$A$2:$A$4694,0))</f>
        <v>C</v>
      </c>
      <c r="H748" s="3" t="str">
        <f t="shared" si="44"/>
        <v>G-C</v>
      </c>
      <c r="I748" s="4">
        <f t="shared" si="45"/>
        <v>1</v>
      </c>
      <c r="J748" s="4">
        <f t="shared" si="46"/>
        <v>1</v>
      </c>
      <c r="K748" s="3">
        <f t="shared" si="47"/>
        <v>2</v>
      </c>
    </row>
    <row r="749" spans="1:11">
      <c r="A749" s="4" t="s">
        <v>63</v>
      </c>
      <c r="B749" s="4" t="s">
        <v>169</v>
      </c>
      <c r="C749" s="4" t="s">
        <v>239</v>
      </c>
      <c r="D749" s="4">
        <f>INDEX(Positions!$D$2:$D$4694,MATCH($A749&amp;"|52",Positions!$A$2:$A$4694,0))</f>
        <v>53</v>
      </c>
      <c r="E749" s="4">
        <f>INDEX(Positions!$D$2:$D$4694,MATCH($A749&amp;"|62",Positions!$A$2:$A$4694,0))</f>
        <v>63</v>
      </c>
      <c r="F749" s="4" t="str">
        <f>INDEX(Positions!$E$2:$E$4694,MATCH($A749&amp;"|52",Positions!$A$2:$A$4694,0))</f>
        <v>C</v>
      </c>
      <c r="G749" s="4" t="str">
        <f>INDEX(Positions!$E$2:$E$4694,MATCH($A749&amp;"|62",Positions!$A$2:$A$4694,0))</f>
        <v>G</v>
      </c>
      <c r="H749" s="3" t="str">
        <f t="shared" si="44"/>
        <v>C-G</v>
      </c>
      <c r="I749" s="4">
        <f t="shared" si="45"/>
        <v>1</v>
      </c>
      <c r="J749" s="4">
        <f t="shared" si="46"/>
        <v>1</v>
      </c>
      <c r="K749" s="3">
        <f t="shared" si="47"/>
        <v>2</v>
      </c>
    </row>
    <row r="750" spans="1:11">
      <c r="A750" s="4" t="s">
        <v>63</v>
      </c>
      <c r="B750" s="4" t="s">
        <v>169</v>
      </c>
      <c r="C750" s="4" t="s">
        <v>240</v>
      </c>
      <c r="D750" s="4">
        <f>INDEX(Positions!$D$2:$D$4694,MATCH($A750&amp;"|53",Positions!$A$2:$A$4694,0))</f>
        <v>54</v>
      </c>
      <c r="E750" s="4">
        <f>INDEX(Positions!$D$2:$D$4694,MATCH($A750&amp;"|61",Positions!$A$2:$A$4694,0))</f>
        <v>62</v>
      </c>
      <c r="F750" s="4" t="str">
        <f>INDEX(Positions!$E$2:$E$4694,MATCH($A750&amp;"|53",Positions!$A$2:$A$4694,0))</f>
        <v>G</v>
      </c>
      <c r="G750" s="4" t="str">
        <f>INDEX(Positions!$E$2:$E$4694,MATCH($A750&amp;"|61",Positions!$A$2:$A$4694,0))</f>
        <v>C</v>
      </c>
      <c r="H750" s="3" t="str">
        <f t="shared" si="44"/>
        <v>G-C</v>
      </c>
      <c r="I750" s="4">
        <f t="shared" si="45"/>
        <v>1</v>
      </c>
      <c r="J750" s="4">
        <f t="shared" si="46"/>
        <v>1</v>
      </c>
      <c r="K750" s="3">
        <f t="shared" si="47"/>
        <v>2</v>
      </c>
    </row>
    <row r="751" spans="1:11">
      <c r="A751" s="23" t="s">
        <v>63</v>
      </c>
      <c r="B751" s="23" t="s">
        <v>241</v>
      </c>
      <c r="C751" s="23" t="s">
        <v>242</v>
      </c>
      <c r="D751" s="23">
        <f>INDEX(Positions!$D$2:$D$4694,MATCH($A751&amp;"|8",Positions!$A$2:$A$4694,0))</f>
        <v>8</v>
      </c>
      <c r="E751" s="23">
        <f>INDEX(Positions!$D$2:$D$4694,MATCH($A751&amp;"|14",Positions!$A$2:$A$4694,0))</f>
        <v>14</v>
      </c>
      <c r="F751" s="23" t="str">
        <f>INDEX(Positions!$E$2:$E$4694,MATCH($A751&amp;"|8",Positions!$A$2:$A$4694,0))</f>
        <v>U</v>
      </c>
      <c r="G751" s="23" t="str">
        <f>INDEX(Positions!$E$2:$E$4694,MATCH($A751&amp;"|14",Positions!$A$2:$A$4694,0))</f>
        <v>A</v>
      </c>
      <c r="H751" s="24" t="str">
        <f t="shared" si="44"/>
        <v>U-A</v>
      </c>
      <c r="I751" s="23">
        <f t="shared" si="45"/>
        <v>0</v>
      </c>
      <c r="J751" s="23">
        <f t="shared" si="46"/>
        <v>0</v>
      </c>
      <c r="K751" s="24">
        <f t="shared" si="47"/>
        <v>0</v>
      </c>
    </row>
    <row r="752" spans="1:11">
      <c r="A752" s="23" t="s">
        <v>63</v>
      </c>
      <c r="B752" s="23" t="s">
        <v>241</v>
      </c>
      <c r="C752" s="23" t="s">
        <v>243</v>
      </c>
      <c r="D752" s="23">
        <f>INDEX(Positions!$D$2:$D$4694,MATCH($A752&amp;"|15",Positions!$A$2:$A$4694,0))</f>
        <v>15</v>
      </c>
      <c r="E752" s="23">
        <f>INDEX(Positions!$D$2:$D$4694,MATCH($A752&amp;"|48",Positions!$A$2:$A$4694,0))</f>
        <v>49</v>
      </c>
      <c r="F752" s="23" t="str">
        <f>INDEX(Positions!$E$2:$E$4694,MATCH($A752&amp;"|15",Positions!$A$2:$A$4694,0))</f>
        <v>G</v>
      </c>
      <c r="G752" s="23" t="str">
        <f>INDEX(Positions!$E$2:$E$4694,MATCH($A752&amp;"|48",Positions!$A$2:$A$4694,0))</f>
        <v>C</v>
      </c>
      <c r="H752" s="24" t="str">
        <f t="shared" si="44"/>
        <v>G-C</v>
      </c>
      <c r="I752" s="23">
        <f t="shared" si="45"/>
        <v>1</v>
      </c>
      <c r="J752" s="23">
        <f t="shared" si="46"/>
        <v>1</v>
      </c>
      <c r="K752" s="24">
        <f t="shared" si="47"/>
        <v>2</v>
      </c>
    </row>
    <row r="753" spans="1:11">
      <c r="A753" s="23" t="s">
        <v>63</v>
      </c>
      <c r="B753" s="23" t="s">
        <v>241</v>
      </c>
      <c r="C753" s="23" t="s">
        <v>244</v>
      </c>
      <c r="D753" s="23">
        <f>INDEX(Positions!$D$2:$D$4694,MATCH($A753&amp;"|18",Positions!$A$2:$A$4694,0))</f>
        <v>19</v>
      </c>
      <c r="E753" s="23">
        <f>INDEX(Positions!$D$2:$D$4694,MATCH($A753&amp;"|55",Positions!$A$2:$A$4694,0))</f>
        <v>56</v>
      </c>
      <c r="F753" s="23" t="str">
        <f>INDEX(Positions!$E$2:$E$4694,MATCH($A753&amp;"|18",Positions!$A$2:$A$4694,0))</f>
        <v>G</v>
      </c>
      <c r="G753" s="23" t="str">
        <f>INDEX(Positions!$E$2:$E$4694,MATCH($A753&amp;"|55",Positions!$A$2:$A$4694,0))</f>
        <v>U</v>
      </c>
      <c r="H753" s="24" t="str">
        <f t="shared" si="44"/>
        <v>G-U</v>
      </c>
      <c r="I753" s="23">
        <f t="shared" si="45"/>
        <v>1</v>
      </c>
      <c r="J753" s="23">
        <f t="shared" si="46"/>
        <v>0</v>
      </c>
      <c r="K753" s="24">
        <f t="shared" si="47"/>
        <v>1</v>
      </c>
    </row>
    <row r="754" spans="1:11">
      <c r="A754" s="23" t="s">
        <v>63</v>
      </c>
      <c r="B754" s="23" t="s">
        <v>241</v>
      </c>
      <c r="C754" s="23" t="s">
        <v>245</v>
      </c>
      <c r="D754" s="23">
        <f>INDEX(Positions!$D$2:$D$4694,MATCH($A754&amp;"|19",Positions!$A$2:$A$4694,0))</f>
        <v>20</v>
      </c>
      <c r="E754" s="23">
        <f>INDEX(Positions!$D$2:$D$4694,MATCH($A754&amp;"|56",Positions!$A$2:$A$4694,0))</f>
        <v>57</v>
      </c>
      <c r="F754" s="23" t="str">
        <f>INDEX(Positions!$E$2:$E$4694,MATCH($A754&amp;"|19",Positions!$A$2:$A$4694,0))</f>
        <v>G</v>
      </c>
      <c r="G754" s="23" t="str">
        <f>INDEX(Positions!$E$2:$E$4694,MATCH($A754&amp;"|56",Positions!$A$2:$A$4694,0))</f>
        <v>C</v>
      </c>
      <c r="H754" s="24" t="str">
        <f t="shared" si="44"/>
        <v>G-C</v>
      </c>
      <c r="I754" s="23">
        <f t="shared" si="45"/>
        <v>1</v>
      </c>
      <c r="J754" s="23">
        <f t="shared" si="46"/>
        <v>1</v>
      </c>
      <c r="K754" s="24">
        <f t="shared" si="47"/>
        <v>2</v>
      </c>
    </row>
    <row r="755" spans="1:11">
      <c r="A755" s="23" t="s">
        <v>63</v>
      </c>
      <c r="B755" s="23" t="s">
        <v>241</v>
      </c>
      <c r="C755" s="23" t="s">
        <v>246</v>
      </c>
      <c r="D755" s="23">
        <f>INDEX(Positions!$D$2:$D$4694,MATCH($A755&amp;"|26",Positions!$A$2:$A$4694,0))</f>
        <v>27</v>
      </c>
      <c r="E755" s="23">
        <f>INDEX(Positions!$D$2:$D$4694,MATCH($A755&amp;"|44",Positions!$A$2:$A$4694,0))</f>
        <v>45</v>
      </c>
      <c r="F755" s="23" t="str">
        <f>INDEX(Positions!$E$2:$E$4694,MATCH($A755&amp;"|26",Positions!$A$2:$A$4694,0))</f>
        <v>G</v>
      </c>
      <c r="G755" s="23" t="str">
        <f>INDEX(Positions!$E$2:$E$4694,MATCH($A755&amp;"|44",Positions!$A$2:$A$4694,0))</f>
        <v>A</v>
      </c>
      <c r="H755" s="24" t="str">
        <f t="shared" si="44"/>
        <v>G-A</v>
      </c>
      <c r="I755" s="23">
        <f t="shared" si="45"/>
        <v>1</v>
      </c>
      <c r="J755" s="23">
        <f t="shared" si="46"/>
        <v>0</v>
      </c>
      <c r="K755" s="24">
        <f t="shared" si="47"/>
        <v>1</v>
      </c>
    </row>
    <row r="756" spans="1:11">
      <c r="A756" s="23" t="s">
        <v>63</v>
      </c>
      <c r="B756" s="23" t="s">
        <v>241</v>
      </c>
      <c r="C756" s="23" t="s">
        <v>247</v>
      </c>
      <c r="D756" s="23">
        <f>INDEX(Positions!$D$2:$D$4694,MATCH($A756&amp;"|32",Positions!$A$2:$A$4694,0))</f>
        <v>33</v>
      </c>
      <c r="E756" s="23">
        <f>INDEX(Positions!$D$2:$D$4694,MATCH($A756&amp;"|38",Positions!$A$2:$A$4694,0))</f>
        <v>39</v>
      </c>
      <c r="F756" s="23" t="str">
        <f>INDEX(Positions!$E$2:$E$4694,MATCH($A756&amp;"|32",Positions!$A$2:$A$4694,0))</f>
        <v>C</v>
      </c>
      <c r="G756" s="23" t="str">
        <f>INDEX(Positions!$E$2:$E$4694,MATCH($A756&amp;"|38",Positions!$A$2:$A$4694,0))</f>
        <v>A</v>
      </c>
      <c r="H756" s="24" t="str">
        <f t="shared" si="44"/>
        <v>C-A</v>
      </c>
      <c r="I756" s="23">
        <f t="shared" si="45"/>
        <v>0</v>
      </c>
      <c r="J756" s="23">
        <f t="shared" si="46"/>
        <v>1</v>
      </c>
      <c r="K756" s="24">
        <f t="shared" si="47"/>
        <v>1</v>
      </c>
    </row>
    <row r="757" spans="1:11">
      <c r="A757" s="23" t="s">
        <v>63</v>
      </c>
      <c r="B757" s="23" t="s">
        <v>241</v>
      </c>
      <c r="C757" s="23" t="s">
        <v>248</v>
      </c>
      <c r="D757" s="23">
        <f>INDEX(Positions!$D$2:$D$4694,MATCH($A757&amp;"|54",Positions!$A$2:$A$4694,0))</f>
        <v>55</v>
      </c>
      <c r="E757" s="23">
        <f>INDEX(Positions!$D$2:$D$4694,MATCH($A757&amp;"|58",Positions!$A$2:$A$4694,0))</f>
        <v>59</v>
      </c>
      <c r="F757" s="23" t="str">
        <f>INDEX(Positions!$E$2:$E$4694,MATCH($A757&amp;"|54",Positions!$A$2:$A$4694,0))</f>
        <v>U</v>
      </c>
      <c r="G757" s="23" t="str">
        <f>INDEX(Positions!$E$2:$E$4694,MATCH($A757&amp;"|58",Positions!$A$2:$A$4694,0))</f>
        <v>A</v>
      </c>
      <c r="H757" s="24" t="str">
        <f t="shared" si="44"/>
        <v>U-A</v>
      </c>
      <c r="I757" s="23">
        <f t="shared" si="45"/>
        <v>0</v>
      </c>
      <c r="J757" s="23">
        <f t="shared" si="46"/>
        <v>0</v>
      </c>
      <c r="K757" s="24">
        <f t="shared" si="47"/>
        <v>0</v>
      </c>
    </row>
    <row r="758" spans="1:11">
      <c r="A758" s="4" t="s">
        <v>64</v>
      </c>
      <c r="B758" s="4" t="s">
        <v>110</v>
      </c>
      <c r="C758" s="4" t="s">
        <v>220</v>
      </c>
      <c r="D758" s="4">
        <f>INDEX(Positions!$D$2:$D$4694,MATCH($A758&amp;"|1",Positions!$A$2:$A$4694,0))</f>
        <v>1</v>
      </c>
      <c r="E758" s="4">
        <f>INDEX(Positions!$D$2:$D$4694,MATCH($A758&amp;"|72",Positions!$A$2:$A$4694,0))</f>
        <v>73</v>
      </c>
      <c r="F758" s="4" t="str">
        <f>INDEX(Positions!$E$2:$E$4694,MATCH($A758&amp;"|1",Positions!$A$2:$A$4694,0))</f>
        <v>G</v>
      </c>
      <c r="G758" s="4" t="str">
        <f>INDEX(Positions!$E$2:$E$4694,MATCH($A758&amp;"|72",Positions!$A$2:$A$4694,0))</f>
        <v>C</v>
      </c>
      <c r="H758" s="3" t="str">
        <f t="shared" si="44"/>
        <v>G-C</v>
      </c>
      <c r="I758" s="4">
        <f t="shared" si="45"/>
        <v>1</v>
      </c>
      <c r="J758" s="4">
        <f t="shared" si="46"/>
        <v>1</v>
      </c>
      <c r="K758" s="3">
        <f t="shared" si="47"/>
        <v>2</v>
      </c>
    </row>
    <row r="759" spans="1:11">
      <c r="A759" s="4" t="s">
        <v>64</v>
      </c>
      <c r="B759" s="4" t="s">
        <v>110</v>
      </c>
      <c r="C759" s="4" t="s">
        <v>221</v>
      </c>
      <c r="D759" s="4">
        <f>INDEX(Positions!$D$2:$D$4694,MATCH($A759&amp;"|2",Positions!$A$2:$A$4694,0))</f>
        <v>2</v>
      </c>
      <c r="E759" s="4">
        <f>INDEX(Positions!$D$2:$D$4694,MATCH($A759&amp;"|71",Positions!$A$2:$A$4694,0))</f>
        <v>72</v>
      </c>
      <c r="F759" s="4" t="str">
        <f>INDEX(Positions!$E$2:$E$4694,MATCH($A759&amp;"|2",Positions!$A$2:$A$4694,0))</f>
        <v>G</v>
      </c>
      <c r="G759" s="4" t="str">
        <f>INDEX(Positions!$E$2:$E$4694,MATCH($A759&amp;"|71",Positions!$A$2:$A$4694,0))</f>
        <v>C</v>
      </c>
      <c r="H759" s="3" t="str">
        <f t="shared" si="44"/>
        <v>G-C</v>
      </c>
      <c r="I759" s="4">
        <f t="shared" si="45"/>
        <v>1</v>
      </c>
      <c r="J759" s="4">
        <f t="shared" si="46"/>
        <v>1</v>
      </c>
      <c r="K759" s="3">
        <f t="shared" si="47"/>
        <v>2</v>
      </c>
    </row>
    <row r="760" spans="1:11">
      <c r="A760" s="4" t="s">
        <v>64</v>
      </c>
      <c r="B760" s="4" t="s">
        <v>110</v>
      </c>
      <c r="C760" s="4" t="s">
        <v>222</v>
      </c>
      <c r="D760" s="4">
        <f>INDEX(Positions!$D$2:$D$4694,MATCH($A760&amp;"|3",Positions!$A$2:$A$4694,0))</f>
        <v>3</v>
      </c>
      <c r="E760" s="4">
        <f>INDEX(Positions!$D$2:$D$4694,MATCH($A760&amp;"|70",Positions!$A$2:$A$4694,0))</f>
        <v>71</v>
      </c>
      <c r="F760" s="4" t="str">
        <f>INDEX(Positions!$E$2:$E$4694,MATCH($A760&amp;"|3",Positions!$A$2:$A$4694,0))</f>
        <v>G</v>
      </c>
      <c r="G760" s="4" t="str">
        <f>INDEX(Positions!$E$2:$E$4694,MATCH($A760&amp;"|70",Positions!$A$2:$A$4694,0))</f>
        <v>C</v>
      </c>
      <c r="H760" s="3" t="str">
        <f t="shared" si="44"/>
        <v>G-C</v>
      </c>
      <c r="I760" s="4">
        <f t="shared" si="45"/>
        <v>1</v>
      </c>
      <c r="J760" s="4">
        <f t="shared" si="46"/>
        <v>1</v>
      </c>
      <c r="K760" s="3">
        <f t="shared" si="47"/>
        <v>2</v>
      </c>
    </row>
    <row r="761" spans="1:11">
      <c r="A761" s="4" t="s">
        <v>64</v>
      </c>
      <c r="B761" s="4" t="s">
        <v>110</v>
      </c>
      <c r="C761" s="4" t="s">
        <v>223</v>
      </c>
      <c r="D761" s="4">
        <f>INDEX(Positions!$D$2:$D$4694,MATCH($A761&amp;"|4",Positions!$A$2:$A$4694,0))</f>
        <v>4</v>
      </c>
      <c r="E761" s="4">
        <f>INDEX(Positions!$D$2:$D$4694,MATCH($A761&amp;"|69",Positions!$A$2:$A$4694,0))</f>
        <v>70</v>
      </c>
      <c r="F761" s="4" t="str">
        <f>INDEX(Positions!$E$2:$E$4694,MATCH($A761&amp;"|4",Positions!$A$2:$A$4694,0))</f>
        <v>C</v>
      </c>
      <c r="G761" s="4" t="str">
        <f>INDEX(Positions!$E$2:$E$4694,MATCH($A761&amp;"|69",Positions!$A$2:$A$4694,0))</f>
        <v>G</v>
      </c>
      <c r="H761" s="3" t="str">
        <f t="shared" si="44"/>
        <v>C-G</v>
      </c>
      <c r="I761" s="4">
        <f t="shared" si="45"/>
        <v>1</v>
      </c>
      <c r="J761" s="4">
        <f t="shared" si="46"/>
        <v>1</v>
      </c>
      <c r="K761" s="3">
        <f t="shared" si="47"/>
        <v>2</v>
      </c>
    </row>
    <row r="762" spans="1:11">
      <c r="A762" s="4" t="s">
        <v>64</v>
      </c>
      <c r="B762" s="4" t="s">
        <v>110</v>
      </c>
      <c r="C762" s="4" t="s">
        <v>224</v>
      </c>
      <c r="D762" s="4">
        <f>INDEX(Positions!$D$2:$D$4694,MATCH($A762&amp;"|5",Positions!$A$2:$A$4694,0))</f>
        <v>5</v>
      </c>
      <c r="E762" s="4">
        <f>INDEX(Positions!$D$2:$D$4694,MATCH($A762&amp;"|68",Positions!$A$2:$A$4694,0))</f>
        <v>69</v>
      </c>
      <c r="F762" s="4" t="str">
        <f>INDEX(Positions!$E$2:$E$4694,MATCH($A762&amp;"|5",Positions!$A$2:$A$4694,0))</f>
        <v>C</v>
      </c>
      <c r="G762" s="4" t="str">
        <f>INDEX(Positions!$E$2:$E$4694,MATCH($A762&amp;"|68",Positions!$A$2:$A$4694,0))</f>
        <v>G</v>
      </c>
      <c r="H762" s="3" t="str">
        <f t="shared" si="44"/>
        <v>C-G</v>
      </c>
      <c r="I762" s="4">
        <f t="shared" si="45"/>
        <v>1</v>
      </c>
      <c r="J762" s="4">
        <f t="shared" si="46"/>
        <v>1</v>
      </c>
      <c r="K762" s="3">
        <f t="shared" si="47"/>
        <v>2</v>
      </c>
    </row>
    <row r="763" spans="1:11">
      <c r="A763" s="4" t="s">
        <v>64</v>
      </c>
      <c r="B763" s="4" t="s">
        <v>110</v>
      </c>
      <c r="C763" s="4" t="s">
        <v>225</v>
      </c>
      <c r="D763" s="4">
        <f>INDEX(Positions!$D$2:$D$4694,MATCH($A763&amp;"|6",Positions!$A$2:$A$4694,0))</f>
        <v>6</v>
      </c>
      <c r="E763" s="4">
        <f>INDEX(Positions!$D$2:$D$4694,MATCH($A763&amp;"|67",Positions!$A$2:$A$4694,0))</f>
        <v>68</v>
      </c>
      <c r="F763" s="4" t="str">
        <f>INDEX(Positions!$E$2:$E$4694,MATCH($A763&amp;"|6",Positions!$A$2:$A$4694,0))</f>
        <v>C</v>
      </c>
      <c r="G763" s="4" t="str">
        <f>INDEX(Positions!$E$2:$E$4694,MATCH($A763&amp;"|67",Positions!$A$2:$A$4694,0))</f>
        <v>G</v>
      </c>
      <c r="H763" s="3" t="str">
        <f t="shared" si="44"/>
        <v>C-G</v>
      </c>
      <c r="I763" s="4">
        <f t="shared" si="45"/>
        <v>1</v>
      </c>
      <c r="J763" s="4">
        <f t="shared" si="46"/>
        <v>1</v>
      </c>
      <c r="K763" s="3">
        <f t="shared" si="47"/>
        <v>2</v>
      </c>
    </row>
    <row r="764" spans="1:11">
      <c r="A764" s="4" t="s">
        <v>64</v>
      </c>
      <c r="B764" s="4" t="s">
        <v>110</v>
      </c>
      <c r="C764" s="4" t="s">
        <v>226</v>
      </c>
      <c r="D764" s="4">
        <f>INDEX(Positions!$D$2:$D$4694,MATCH($A764&amp;"|7",Positions!$A$2:$A$4694,0))</f>
        <v>7</v>
      </c>
      <c r="E764" s="4">
        <f>INDEX(Positions!$D$2:$D$4694,MATCH($A764&amp;"|66",Positions!$A$2:$A$4694,0))</f>
        <v>67</v>
      </c>
      <c r="F764" s="4" t="str">
        <f>INDEX(Positions!$E$2:$E$4694,MATCH($A764&amp;"|7",Positions!$A$2:$A$4694,0))</f>
        <v>G</v>
      </c>
      <c r="G764" s="4" t="str">
        <f>INDEX(Positions!$E$2:$E$4694,MATCH($A764&amp;"|66",Positions!$A$2:$A$4694,0))</f>
        <v>C</v>
      </c>
      <c r="H764" s="3" t="str">
        <f t="shared" si="44"/>
        <v>G-C</v>
      </c>
      <c r="I764" s="4">
        <f t="shared" si="45"/>
        <v>1</v>
      </c>
      <c r="J764" s="4">
        <f t="shared" si="46"/>
        <v>1</v>
      </c>
      <c r="K764" s="3">
        <f t="shared" si="47"/>
        <v>2</v>
      </c>
    </row>
    <row r="765" spans="1:11">
      <c r="A765" s="4" t="s">
        <v>64</v>
      </c>
      <c r="B765" s="4" t="s">
        <v>125</v>
      </c>
      <c r="C765" s="4" t="s">
        <v>227</v>
      </c>
      <c r="D765" s="4">
        <f>INDEX(Positions!$D$2:$D$4694,MATCH($A765&amp;"|10",Positions!$A$2:$A$4694,0))</f>
        <v>10</v>
      </c>
      <c r="E765" s="4">
        <f>INDEX(Positions!$D$2:$D$4694,MATCH($A765&amp;"|25",Positions!$A$2:$A$4694,0))</f>
        <v>26</v>
      </c>
      <c r="F765" s="4" t="str">
        <f>INDEX(Positions!$E$2:$E$4694,MATCH($A765&amp;"|10",Positions!$A$2:$A$4694,0))</f>
        <v>G</v>
      </c>
      <c r="G765" s="4" t="str">
        <f>INDEX(Positions!$E$2:$E$4694,MATCH($A765&amp;"|25",Positions!$A$2:$A$4694,0))</f>
        <v>C</v>
      </c>
      <c r="H765" s="3" t="str">
        <f t="shared" si="44"/>
        <v>G-C</v>
      </c>
      <c r="I765" s="4">
        <f t="shared" si="45"/>
        <v>1</v>
      </c>
      <c r="J765" s="4">
        <f t="shared" si="46"/>
        <v>1</v>
      </c>
      <c r="K765" s="3">
        <f t="shared" si="47"/>
        <v>2</v>
      </c>
    </row>
    <row r="766" spans="1:11">
      <c r="A766" s="4" t="s">
        <v>64</v>
      </c>
      <c r="B766" s="4" t="s">
        <v>125</v>
      </c>
      <c r="C766" s="4" t="s">
        <v>228</v>
      </c>
      <c r="D766" s="4">
        <f>INDEX(Positions!$D$2:$D$4694,MATCH($A766&amp;"|11",Positions!$A$2:$A$4694,0))</f>
        <v>11</v>
      </c>
      <c r="E766" s="4">
        <f>INDEX(Positions!$D$2:$D$4694,MATCH($A766&amp;"|24",Positions!$A$2:$A$4694,0))</f>
        <v>25</v>
      </c>
      <c r="F766" s="4" t="str">
        <f>INDEX(Positions!$E$2:$E$4694,MATCH($A766&amp;"|11",Positions!$A$2:$A$4694,0))</f>
        <v>C</v>
      </c>
      <c r="G766" s="4" t="str">
        <f>INDEX(Positions!$E$2:$E$4694,MATCH($A766&amp;"|24",Positions!$A$2:$A$4694,0))</f>
        <v>G</v>
      </c>
      <c r="H766" s="3" t="str">
        <f t="shared" si="44"/>
        <v>C-G</v>
      </c>
      <c r="I766" s="4">
        <f t="shared" si="45"/>
        <v>1</v>
      </c>
      <c r="J766" s="4">
        <f t="shared" si="46"/>
        <v>1</v>
      </c>
      <c r="K766" s="3">
        <f t="shared" si="47"/>
        <v>2</v>
      </c>
    </row>
    <row r="767" spans="1:11">
      <c r="A767" s="4" t="s">
        <v>64</v>
      </c>
      <c r="B767" s="4" t="s">
        <v>125</v>
      </c>
      <c r="C767" s="4" t="s">
        <v>229</v>
      </c>
      <c r="D767" s="4">
        <f>INDEX(Positions!$D$2:$D$4694,MATCH($A767&amp;"|12",Positions!$A$2:$A$4694,0))</f>
        <v>12</v>
      </c>
      <c r="E767" s="4">
        <f>INDEX(Positions!$D$2:$D$4694,MATCH($A767&amp;"|23",Positions!$A$2:$A$4694,0))</f>
        <v>24</v>
      </c>
      <c r="F767" s="4" t="str">
        <f>INDEX(Positions!$E$2:$E$4694,MATCH($A767&amp;"|12",Positions!$A$2:$A$4694,0))</f>
        <v>U</v>
      </c>
      <c r="G767" s="4" t="str">
        <f>INDEX(Positions!$E$2:$E$4694,MATCH($A767&amp;"|23",Positions!$A$2:$A$4694,0))</f>
        <v>A</v>
      </c>
      <c r="H767" s="3" t="str">
        <f t="shared" si="44"/>
        <v>U-A</v>
      </c>
      <c r="I767" s="4">
        <f t="shared" si="45"/>
        <v>0</v>
      </c>
      <c r="J767" s="4">
        <f t="shared" si="46"/>
        <v>0</v>
      </c>
      <c r="K767" s="3">
        <f t="shared" si="47"/>
        <v>0</v>
      </c>
    </row>
    <row r="768" spans="1:11">
      <c r="A768" s="4" t="s">
        <v>64</v>
      </c>
      <c r="B768" s="4" t="s">
        <v>125</v>
      </c>
      <c r="C768" s="4" t="s">
        <v>230</v>
      </c>
      <c r="D768" s="4">
        <f>INDEX(Positions!$D$2:$D$4694,MATCH($A768&amp;"|13",Positions!$A$2:$A$4694,0))</f>
        <v>13</v>
      </c>
      <c r="E768" s="4">
        <f>INDEX(Positions!$D$2:$D$4694,MATCH($A768&amp;"|22",Positions!$A$2:$A$4694,0))</f>
        <v>23</v>
      </c>
      <c r="F768" s="4" t="str">
        <f>INDEX(Positions!$E$2:$E$4694,MATCH($A768&amp;"|13",Positions!$A$2:$A$4694,0))</f>
        <v>U</v>
      </c>
      <c r="G768" s="4" t="str">
        <f>INDEX(Positions!$E$2:$E$4694,MATCH($A768&amp;"|22",Positions!$A$2:$A$4694,0))</f>
        <v>G</v>
      </c>
      <c r="H768" s="3" t="str">
        <f t="shared" si="44"/>
        <v>U-G</v>
      </c>
      <c r="I768" s="4">
        <f t="shared" si="45"/>
        <v>1</v>
      </c>
      <c r="J768" s="4">
        <f t="shared" si="46"/>
        <v>0</v>
      </c>
      <c r="K768" s="3">
        <f t="shared" si="47"/>
        <v>1</v>
      </c>
    </row>
    <row r="769" spans="1:11">
      <c r="A769" s="4" t="s">
        <v>64</v>
      </c>
      <c r="B769" s="4" t="s">
        <v>144</v>
      </c>
      <c r="C769" s="4" t="s">
        <v>231</v>
      </c>
      <c r="D769" s="4">
        <f>INDEX(Positions!$D$2:$D$4694,MATCH($A769&amp;"|27",Positions!$A$2:$A$4694,0))</f>
        <v>28</v>
      </c>
      <c r="E769" s="4">
        <f>INDEX(Positions!$D$2:$D$4694,MATCH($A769&amp;"|43",Positions!$A$2:$A$4694,0))</f>
        <v>44</v>
      </c>
      <c r="F769" s="4" t="str">
        <f>INDEX(Positions!$E$2:$E$4694,MATCH($A769&amp;"|27",Positions!$A$2:$A$4694,0))</f>
        <v>C</v>
      </c>
      <c r="G769" s="4" t="str">
        <f>INDEX(Positions!$E$2:$E$4694,MATCH($A769&amp;"|43",Positions!$A$2:$A$4694,0))</f>
        <v>G</v>
      </c>
      <c r="H769" s="3" t="str">
        <f t="shared" si="44"/>
        <v>C-G</v>
      </c>
      <c r="I769" s="4">
        <f t="shared" si="45"/>
        <v>1</v>
      </c>
      <c r="J769" s="4">
        <f t="shared" si="46"/>
        <v>1</v>
      </c>
      <c r="K769" s="3">
        <f t="shared" si="47"/>
        <v>2</v>
      </c>
    </row>
    <row r="770" spans="1:11">
      <c r="A770" s="4" t="s">
        <v>64</v>
      </c>
      <c r="B770" s="4" t="s">
        <v>144</v>
      </c>
      <c r="C770" s="4" t="s">
        <v>232</v>
      </c>
      <c r="D770" s="4">
        <f>INDEX(Positions!$D$2:$D$4694,MATCH($A770&amp;"|28",Positions!$A$2:$A$4694,0))</f>
        <v>29</v>
      </c>
      <c r="E770" s="4">
        <f>INDEX(Positions!$D$2:$D$4694,MATCH($A770&amp;"|42",Positions!$A$2:$A$4694,0))</f>
        <v>43</v>
      </c>
      <c r="F770" s="4" t="str">
        <f>INDEX(Positions!$E$2:$E$4694,MATCH($A770&amp;"|28",Positions!$A$2:$A$4694,0))</f>
        <v>A</v>
      </c>
      <c r="G770" s="4" t="str">
        <f>INDEX(Positions!$E$2:$E$4694,MATCH($A770&amp;"|42",Positions!$A$2:$A$4694,0))</f>
        <v>U</v>
      </c>
      <c r="H770" s="3" t="str">
        <f t="shared" ref="H770:H833" si="48">F770&amp;"-"&amp;G770</f>
        <v>A-U</v>
      </c>
      <c r="I770" s="4">
        <f t="shared" ref="I770:I833" si="49">(F770="G")+(G770="G")</f>
        <v>0</v>
      </c>
      <c r="J770" s="4">
        <f t="shared" ref="J770:J833" si="50">(F770="C")+(G770="C")</f>
        <v>0</v>
      </c>
      <c r="K770" s="3">
        <f t="shared" ref="K770:K833" si="51">I770+J770</f>
        <v>0</v>
      </c>
    </row>
    <row r="771" spans="1:11">
      <c r="A771" s="4" t="s">
        <v>64</v>
      </c>
      <c r="B771" s="4" t="s">
        <v>144</v>
      </c>
      <c r="C771" s="4" t="s">
        <v>233</v>
      </c>
      <c r="D771" s="4">
        <f>INDEX(Positions!$D$2:$D$4694,MATCH($A771&amp;"|29",Positions!$A$2:$A$4694,0))</f>
        <v>30</v>
      </c>
      <c r="E771" s="4">
        <f>INDEX(Positions!$D$2:$D$4694,MATCH($A771&amp;"|41",Positions!$A$2:$A$4694,0))</f>
        <v>42</v>
      </c>
      <c r="F771" s="4" t="str">
        <f>INDEX(Positions!$E$2:$E$4694,MATCH($A771&amp;"|29",Positions!$A$2:$A$4694,0))</f>
        <v>C</v>
      </c>
      <c r="G771" s="4" t="str">
        <f>INDEX(Positions!$E$2:$E$4694,MATCH($A771&amp;"|41",Positions!$A$2:$A$4694,0))</f>
        <v>G</v>
      </c>
      <c r="H771" s="3" t="str">
        <f t="shared" si="48"/>
        <v>C-G</v>
      </c>
      <c r="I771" s="4">
        <f t="shared" si="49"/>
        <v>1</v>
      </c>
      <c r="J771" s="4">
        <f t="shared" si="50"/>
        <v>1</v>
      </c>
      <c r="K771" s="3">
        <f t="shared" si="51"/>
        <v>2</v>
      </c>
    </row>
    <row r="772" spans="1:11">
      <c r="A772" s="4" t="s">
        <v>64</v>
      </c>
      <c r="B772" s="4" t="s">
        <v>144</v>
      </c>
      <c r="C772" s="4" t="s">
        <v>234</v>
      </c>
      <c r="D772" s="4">
        <f>INDEX(Positions!$D$2:$D$4694,MATCH($A772&amp;"|30",Positions!$A$2:$A$4694,0))</f>
        <v>31</v>
      </c>
      <c r="E772" s="4">
        <f>INDEX(Positions!$D$2:$D$4694,MATCH($A772&amp;"|40",Positions!$A$2:$A$4694,0))</f>
        <v>41</v>
      </c>
      <c r="F772" s="4" t="str">
        <f>INDEX(Positions!$E$2:$E$4694,MATCH($A772&amp;"|30",Positions!$A$2:$A$4694,0))</f>
        <v>G</v>
      </c>
      <c r="G772" s="4" t="str">
        <f>INDEX(Positions!$E$2:$E$4694,MATCH($A772&amp;"|40",Positions!$A$2:$A$4694,0))</f>
        <v>C</v>
      </c>
      <c r="H772" s="3" t="str">
        <f t="shared" si="48"/>
        <v>G-C</v>
      </c>
      <c r="I772" s="4">
        <f t="shared" si="49"/>
        <v>1</v>
      </c>
      <c r="J772" s="4">
        <f t="shared" si="50"/>
        <v>1</v>
      </c>
      <c r="K772" s="3">
        <f t="shared" si="51"/>
        <v>2</v>
      </c>
    </row>
    <row r="773" spans="1:11">
      <c r="A773" s="4" t="s">
        <v>64</v>
      </c>
      <c r="B773" s="4" t="s">
        <v>144</v>
      </c>
      <c r="C773" s="4" t="s">
        <v>235</v>
      </c>
      <c r="D773" s="4">
        <f>INDEX(Positions!$D$2:$D$4694,MATCH($A773&amp;"|31",Positions!$A$2:$A$4694,0))</f>
        <v>32</v>
      </c>
      <c r="E773" s="4">
        <f>INDEX(Positions!$D$2:$D$4694,MATCH($A773&amp;"|39",Positions!$A$2:$A$4694,0))</f>
        <v>40</v>
      </c>
      <c r="F773" s="4" t="str">
        <f>INDEX(Positions!$E$2:$E$4694,MATCH($A773&amp;"|31",Positions!$A$2:$A$4694,0))</f>
        <v>G</v>
      </c>
      <c r="G773" s="4" t="str">
        <f>INDEX(Positions!$E$2:$E$4694,MATCH($A773&amp;"|39",Positions!$A$2:$A$4694,0))</f>
        <v>C</v>
      </c>
      <c r="H773" s="3" t="str">
        <f t="shared" si="48"/>
        <v>G-C</v>
      </c>
      <c r="I773" s="4">
        <f t="shared" si="49"/>
        <v>1</v>
      </c>
      <c r="J773" s="4">
        <f t="shared" si="50"/>
        <v>1</v>
      </c>
      <c r="K773" s="3">
        <f t="shared" si="51"/>
        <v>2</v>
      </c>
    </row>
    <row r="774" spans="1:11">
      <c r="A774" s="4" t="s">
        <v>64</v>
      </c>
      <c r="B774" s="4" t="s">
        <v>169</v>
      </c>
      <c r="C774" s="4" t="s">
        <v>236</v>
      </c>
      <c r="D774" s="4">
        <f>INDEX(Positions!$D$2:$D$4694,MATCH($A774&amp;"|49",Positions!$A$2:$A$4694,0))</f>
        <v>50</v>
      </c>
      <c r="E774" s="4">
        <f>INDEX(Positions!$D$2:$D$4694,MATCH($A774&amp;"|65",Positions!$A$2:$A$4694,0))</f>
        <v>66</v>
      </c>
      <c r="F774" s="4" t="str">
        <f>INDEX(Positions!$E$2:$E$4694,MATCH($A774&amp;"|49",Positions!$A$2:$A$4694,0))</f>
        <v>C</v>
      </c>
      <c r="G774" s="4" t="str">
        <f>INDEX(Positions!$E$2:$E$4694,MATCH($A774&amp;"|65",Positions!$A$2:$A$4694,0))</f>
        <v>G</v>
      </c>
      <c r="H774" s="3" t="str">
        <f t="shared" si="48"/>
        <v>C-G</v>
      </c>
      <c r="I774" s="4">
        <f t="shared" si="49"/>
        <v>1</v>
      </c>
      <c r="J774" s="4">
        <f t="shared" si="50"/>
        <v>1</v>
      </c>
      <c r="K774" s="3">
        <f t="shared" si="51"/>
        <v>2</v>
      </c>
    </row>
    <row r="775" spans="1:11">
      <c r="A775" s="4" t="s">
        <v>64</v>
      </c>
      <c r="B775" s="4" t="s">
        <v>169</v>
      </c>
      <c r="C775" s="4" t="s">
        <v>237</v>
      </c>
      <c r="D775" s="4">
        <f>INDEX(Positions!$D$2:$D$4694,MATCH($A775&amp;"|50",Positions!$A$2:$A$4694,0))</f>
        <v>51</v>
      </c>
      <c r="E775" s="4">
        <f>INDEX(Positions!$D$2:$D$4694,MATCH($A775&amp;"|64",Positions!$A$2:$A$4694,0))</f>
        <v>65</v>
      </c>
      <c r="F775" s="4" t="str">
        <f>INDEX(Positions!$E$2:$E$4694,MATCH($A775&amp;"|50",Positions!$A$2:$A$4694,0))</f>
        <v>U</v>
      </c>
      <c r="G775" s="4" t="str">
        <f>INDEX(Positions!$E$2:$E$4694,MATCH($A775&amp;"|64",Positions!$A$2:$A$4694,0))</f>
        <v>A</v>
      </c>
      <c r="H775" s="3" t="str">
        <f t="shared" si="48"/>
        <v>U-A</v>
      </c>
      <c r="I775" s="4">
        <f t="shared" si="49"/>
        <v>0</v>
      </c>
      <c r="J775" s="4">
        <f t="shared" si="50"/>
        <v>0</v>
      </c>
      <c r="K775" s="3">
        <f t="shared" si="51"/>
        <v>0</v>
      </c>
    </row>
    <row r="776" spans="1:11">
      <c r="A776" s="4" t="s">
        <v>64</v>
      </c>
      <c r="B776" s="4" t="s">
        <v>169</v>
      </c>
      <c r="C776" s="4" t="s">
        <v>238</v>
      </c>
      <c r="D776" s="4">
        <f>INDEX(Positions!$D$2:$D$4694,MATCH($A776&amp;"|51",Positions!$A$2:$A$4694,0))</f>
        <v>52</v>
      </c>
      <c r="E776" s="4">
        <f>INDEX(Positions!$D$2:$D$4694,MATCH($A776&amp;"|63",Positions!$A$2:$A$4694,0))</f>
        <v>64</v>
      </c>
      <c r="F776" s="4" t="str">
        <f>INDEX(Positions!$E$2:$E$4694,MATCH($A776&amp;"|51",Positions!$A$2:$A$4694,0))</f>
        <v>G</v>
      </c>
      <c r="G776" s="4" t="str">
        <f>INDEX(Positions!$E$2:$E$4694,MATCH($A776&amp;"|63",Positions!$A$2:$A$4694,0))</f>
        <v>C</v>
      </c>
      <c r="H776" s="3" t="str">
        <f t="shared" si="48"/>
        <v>G-C</v>
      </c>
      <c r="I776" s="4">
        <f t="shared" si="49"/>
        <v>1</v>
      </c>
      <c r="J776" s="4">
        <f t="shared" si="50"/>
        <v>1</v>
      </c>
      <c r="K776" s="3">
        <f t="shared" si="51"/>
        <v>2</v>
      </c>
    </row>
    <row r="777" spans="1:11">
      <c r="A777" s="4" t="s">
        <v>64</v>
      </c>
      <c r="B777" s="4" t="s">
        <v>169</v>
      </c>
      <c r="C777" s="4" t="s">
        <v>239</v>
      </c>
      <c r="D777" s="4">
        <f>INDEX(Positions!$D$2:$D$4694,MATCH($A777&amp;"|52",Positions!$A$2:$A$4694,0))</f>
        <v>53</v>
      </c>
      <c r="E777" s="4">
        <f>INDEX(Positions!$D$2:$D$4694,MATCH($A777&amp;"|62",Positions!$A$2:$A$4694,0))</f>
        <v>63</v>
      </c>
      <c r="F777" s="4" t="str">
        <f>INDEX(Positions!$E$2:$E$4694,MATCH($A777&amp;"|52",Positions!$A$2:$A$4694,0))</f>
        <v>C</v>
      </c>
      <c r="G777" s="4" t="str">
        <f>INDEX(Positions!$E$2:$E$4694,MATCH($A777&amp;"|62",Positions!$A$2:$A$4694,0))</f>
        <v>G</v>
      </c>
      <c r="H777" s="3" t="str">
        <f t="shared" si="48"/>
        <v>C-G</v>
      </c>
      <c r="I777" s="4">
        <f t="shared" si="49"/>
        <v>1</v>
      </c>
      <c r="J777" s="4">
        <f t="shared" si="50"/>
        <v>1</v>
      </c>
      <c r="K777" s="3">
        <f t="shared" si="51"/>
        <v>2</v>
      </c>
    </row>
    <row r="778" spans="1:11">
      <c r="A778" s="4" t="s">
        <v>64</v>
      </c>
      <c r="B778" s="4" t="s">
        <v>169</v>
      </c>
      <c r="C778" s="4" t="s">
        <v>240</v>
      </c>
      <c r="D778" s="4">
        <f>INDEX(Positions!$D$2:$D$4694,MATCH($A778&amp;"|53",Positions!$A$2:$A$4694,0))</f>
        <v>54</v>
      </c>
      <c r="E778" s="4">
        <f>INDEX(Positions!$D$2:$D$4694,MATCH($A778&amp;"|61",Positions!$A$2:$A$4694,0))</f>
        <v>62</v>
      </c>
      <c r="F778" s="4" t="str">
        <f>INDEX(Positions!$E$2:$E$4694,MATCH($A778&amp;"|53",Positions!$A$2:$A$4694,0))</f>
        <v>G</v>
      </c>
      <c r="G778" s="4" t="str">
        <f>INDEX(Positions!$E$2:$E$4694,MATCH($A778&amp;"|61",Positions!$A$2:$A$4694,0))</f>
        <v>C</v>
      </c>
      <c r="H778" s="3" t="str">
        <f t="shared" si="48"/>
        <v>G-C</v>
      </c>
      <c r="I778" s="4">
        <f t="shared" si="49"/>
        <v>1</v>
      </c>
      <c r="J778" s="4">
        <f t="shared" si="50"/>
        <v>1</v>
      </c>
      <c r="K778" s="3">
        <f t="shared" si="51"/>
        <v>2</v>
      </c>
    </row>
    <row r="779" spans="1:11">
      <c r="A779" s="23" t="s">
        <v>64</v>
      </c>
      <c r="B779" s="23" t="s">
        <v>241</v>
      </c>
      <c r="C779" s="23" t="s">
        <v>242</v>
      </c>
      <c r="D779" s="23">
        <f>INDEX(Positions!$D$2:$D$4694,MATCH($A779&amp;"|8",Positions!$A$2:$A$4694,0))</f>
        <v>8</v>
      </c>
      <c r="E779" s="23">
        <f>INDEX(Positions!$D$2:$D$4694,MATCH($A779&amp;"|14",Positions!$A$2:$A$4694,0))</f>
        <v>14</v>
      </c>
      <c r="F779" s="23" t="str">
        <f>INDEX(Positions!$E$2:$E$4694,MATCH($A779&amp;"|8",Positions!$A$2:$A$4694,0))</f>
        <v>U</v>
      </c>
      <c r="G779" s="23" t="str">
        <f>INDEX(Positions!$E$2:$E$4694,MATCH($A779&amp;"|14",Positions!$A$2:$A$4694,0))</f>
        <v>A</v>
      </c>
      <c r="H779" s="24" t="str">
        <f t="shared" si="48"/>
        <v>U-A</v>
      </c>
      <c r="I779" s="23">
        <f t="shared" si="49"/>
        <v>0</v>
      </c>
      <c r="J779" s="23">
        <f t="shared" si="50"/>
        <v>0</v>
      </c>
      <c r="K779" s="24">
        <f t="shared" si="51"/>
        <v>0</v>
      </c>
    </row>
    <row r="780" spans="1:11">
      <c r="A780" s="23" t="s">
        <v>64</v>
      </c>
      <c r="B780" s="23" t="s">
        <v>241</v>
      </c>
      <c r="C780" s="23" t="s">
        <v>243</v>
      </c>
      <c r="D780" s="23">
        <f>INDEX(Positions!$D$2:$D$4694,MATCH($A780&amp;"|15",Positions!$A$2:$A$4694,0))</f>
        <v>15</v>
      </c>
      <c r="E780" s="23">
        <f>INDEX(Positions!$D$2:$D$4694,MATCH($A780&amp;"|48",Positions!$A$2:$A$4694,0))</f>
        <v>49</v>
      </c>
      <c r="F780" s="23" t="str">
        <f>INDEX(Positions!$E$2:$E$4694,MATCH($A780&amp;"|15",Positions!$A$2:$A$4694,0))</f>
        <v>G</v>
      </c>
      <c r="G780" s="23" t="str">
        <f>INDEX(Positions!$E$2:$E$4694,MATCH($A780&amp;"|48",Positions!$A$2:$A$4694,0))</f>
        <v>C</v>
      </c>
      <c r="H780" s="24" t="str">
        <f t="shared" si="48"/>
        <v>G-C</v>
      </c>
      <c r="I780" s="23">
        <f t="shared" si="49"/>
        <v>1</v>
      </c>
      <c r="J780" s="23">
        <f t="shared" si="50"/>
        <v>1</v>
      </c>
      <c r="K780" s="24">
        <f t="shared" si="51"/>
        <v>2</v>
      </c>
    </row>
    <row r="781" spans="1:11">
      <c r="A781" s="23" t="s">
        <v>64</v>
      </c>
      <c r="B781" s="23" t="s">
        <v>241</v>
      </c>
      <c r="C781" s="23" t="s">
        <v>244</v>
      </c>
      <c r="D781" s="23">
        <f>INDEX(Positions!$D$2:$D$4694,MATCH($A781&amp;"|18",Positions!$A$2:$A$4694,0))</f>
        <v>19</v>
      </c>
      <c r="E781" s="23">
        <f>INDEX(Positions!$D$2:$D$4694,MATCH($A781&amp;"|55",Positions!$A$2:$A$4694,0))</f>
        <v>56</v>
      </c>
      <c r="F781" s="23" t="str">
        <f>INDEX(Positions!$E$2:$E$4694,MATCH($A781&amp;"|18",Positions!$A$2:$A$4694,0))</f>
        <v>G</v>
      </c>
      <c r="G781" s="23" t="str">
        <f>INDEX(Positions!$E$2:$E$4694,MATCH($A781&amp;"|55",Positions!$A$2:$A$4694,0))</f>
        <v>U</v>
      </c>
      <c r="H781" s="24" t="str">
        <f t="shared" si="48"/>
        <v>G-U</v>
      </c>
      <c r="I781" s="23">
        <f t="shared" si="49"/>
        <v>1</v>
      </c>
      <c r="J781" s="23">
        <f t="shared" si="50"/>
        <v>0</v>
      </c>
      <c r="K781" s="24">
        <f t="shared" si="51"/>
        <v>1</v>
      </c>
    </row>
    <row r="782" spans="1:11">
      <c r="A782" s="23" t="s">
        <v>64</v>
      </c>
      <c r="B782" s="23" t="s">
        <v>241</v>
      </c>
      <c r="C782" s="23" t="s">
        <v>245</v>
      </c>
      <c r="D782" s="23">
        <f>INDEX(Positions!$D$2:$D$4694,MATCH($A782&amp;"|19",Positions!$A$2:$A$4694,0))</f>
        <v>20</v>
      </c>
      <c r="E782" s="23">
        <f>INDEX(Positions!$D$2:$D$4694,MATCH($A782&amp;"|56",Positions!$A$2:$A$4694,0))</f>
        <v>57</v>
      </c>
      <c r="F782" s="23" t="str">
        <f>INDEX(Positions!$E$2:$E$4694,MATCH($A782&amp;"|19",Positions!$A$2:$A$4694,0))</f>
        <v>G</v>
      </c>
      <c r="G782" s="23" t="str">
        <f>INDEX(Positions!$E$2:$E$4694,MATCH($A782&amp;"|56",Positions!$A$2:$A$4694,0))</f>
        <v>C</v>
      </c>
      <c r="H782" s="24" t="str">
        <f t="shared" si="48"/>
        <v>G-C</v>
      </c>
      <c r="I782" s="23">
        <f t="shared" si="49"/>
        <v>1</v>
      </c>
      <c r="J782" s="23">
        <f t="shared" si="50"/>
        <v>1</v>
      </c>
      <c r="K782" s="24">
        <f t="shared" si="51"/>
        <v>2</v>
      </c>
    </row>
    <row r="783" spans="1:11">
      <c r="A783" s="23" t="s">
        <v>64</v>
      </c>
      <c r="B783" s="23" t="s">
        <v>241</v>
      </c>
      <c r="C783" s="23" t="s">
        <v>246</v>
      </c>
      <c r="D783" s="23">
        <f>INDEX(Positions!$D$2:$D$4694,MATCH($A783&amp;"|26",Positions!$A$2:$A$4694,0))</f>
        <v>27</v>
      </c>
      <c r="E783" s="23">
        <f>INDEX(Positions!$D$2:$D$4694,MATCH($A783&amp;"|44",Positions!$A$2:$A$4694,0))</f>
        <v>45</v>
      </c>
      <c r="F783" s="23" t="str">
        <f>INDEX(Positions!$E$2:$E$4694,MATCH($A783&amp;"|26",Positions!$A$2:$A$4694,0))</f>
        <v>G</v>
      </c>
      <c r="G783" s="23" t="str">
        <f>INDEX(Positions!$E$2:$E$4694,MATCH($A783&amp;"|44",Positions!$A$2:$A$4694,0))</f>
        <v>A</v>
      </c>
      <c r="H783" s="24" t="str">
        <f t="shared" si="48"/>
        <v>G-A</v>
      </c>
      <c r="I783" s="23">
        <f t="shared" si="49"/>
        <v>1</v>
      </c>
      <c r="J783" s="23">
        <f t="shared" si="50"/>
        <v>0</v>
      </c>
      <c r="K783" s="24">
        <f t="shared" si="51"/>
        <v>1</v>
      </c>
    </row>
    <row r="784" spans="1:11">
      <c r="A784" s="23" t="s">
        <v>64</v>
      </c>
      <c r="B784" s="23" t="s">
        <v>241</v>
      </c>
      <c r="C784" s="23" t="s">
        <v>247</v>
      </c>
      <c r="D784" s="23">
        <f>INDEX(Positions!$D$2:$D$4694,MATCH($A784&amp;"|32",Positions!$A$2:$A$4694,0))</f>
        <v>33</v>
      </c>
      <c r="E784" s="23">
        <f>INDEX(Positions!$D$2:$D$4694,MATCH($A784&amp;"|38",Positions!$A$2:$A$4694,0))</f>
        <v>39</v>
      </c>
      <c r="F784" s="23" t="str">
        <f>INDEX(Positions!$E$2:$E$4694,MATCH($A784&amp;"|32",Positions!$A$2:$A$4694,0))</f>
        <v>C</v>
      </c>
      <c r="G784" s="23" t="str">
        <f>INDEX(Positions!$E$2:$E$4694,MATCH($A784&amp;"|38",Positions!$A$2:$A$4694,0))</f>
        <v>A</v>
      </c>
      <c r="H784" s="24" t="str">
        <f t="shared" si="48"/>
        <v>C-A</v>
      </c>
      <c r="I784" s="23">
        <f t="shared" si="49"/>
        <v>0</v>
      </c>
      <c r="J784" s="23">
        <f t="shared" si="50"/>
        <v>1</v>
      </c>
      <c r="K784" s="24">
        <f t="shared" si="51"/>
        <v>1</v>
      </c>
    </row>
    <row r="785" spans="1:11">
      <c r="A785" s="23" t="s">
        <v>64</v>
      </c>
      <c r="B785" s="23" t="s">
        <v>241</v>
      </c>
      <c r="C785" s="23" t="s">
        <v>248</v>
      </c>
      <c r="D785" s="23">
        <f>INDEX(Positions!$D$2:$D$4694,MATCH($A785&amp;"|54",Positions!$A$2:$A$4694,0))</f>
        <v>55</v>
      </c>
      <c r="E785" s="23">
        <f>INDEX(Positions!$D$2:$D$4694,MATCH($A785&amp;"|58",Positions!$A$2:$A$4694,0))</f>
        <v>59</v>
      </c>
      <c r="F785" s="23" t="str">
        <f>INDEX(Positions!$E$2:$E$4694,MATCH($A785&amp;"|54",Positions!$A$2:$A$4694,0))</f>
        <v>U</v>
      </c>
      <c r="G785" s="23" t="str">
        <f>INDEX(Positions!$E$2:$E$4694,MATCH($A785&amp;"|58",Positions!$A$2:$A$4694,0))</f>
        <v>A</v>
      </c>
      <c r="H785" s="24" t="str">
        <f t="shared" si="48"/>
        <v>U-A</v>
      </c>
      <c r="I785" s="23">
        <f t="shared" si="49"/>
        <v>0</v>
      </c>
      <c r="J785" s="23">
        <f t="shared" si="50"/>
        <v>0</v>
      </c>
      <c r="K785" s="24">
        <f t="shared" si="51"/>
        <v>0</v>
      </c>
    </row>
    <row r="786" spans="1:11">
      <c r="A786" s="4" t="s">
        <v>65</v>
      </c>
      <c r="B786" s="4" t="s">
        <v>110</v>
      </c>
      <c r="C786" s="4" t="s">
        <v>220</v>
      </c>
      <c r="D786" s="4">
        <f>INDEX(Positions!$D$2:$D$4694,MATCH($A786&amp;"|1",Positions!$A$2:$A$4694,0))</f>
        <v>1</v>
      </c>
      <c r="E786" s="4">
        <f>INDEX(Positions!$D$2:$D$4694,MATCH($A786&amp;"|72",Positions!$A$2:$A$4694,0))</f>
        <v>74</v>
      </c>
      <c r="F786" s="4" t="str">
        <f>INDEX(Positions!$E$2:$E$4694,MATCH($A786&amp;"|1",Positions!$A$2:$A$4694,0))</f>
        <v>G</v>
      </c>
      <c r="G786" s="4" t="str">
        <f>INDEX(Positions!$E$2:$E$4694,MATCH($A786&amp;"|72",Positions!$A$2:$A$4694,0))</f>
        <v>C</v>
      </c>
      <c r="H786" s="3" t="str">
        <f t="shared" si="48"/>
        <v>G-C</v>
      </c>
      <c r="I786" s="4">
        <f t="shared" si="49"/>
        <v>1</v>
      </c>
      <c r="J786" s="4">
        <f t="shared" si="50"/>
        <v>1</v>
      </c>
      <c r="K786" s="3">
        <f t="shared" si="51"/>
        <v>2</v>
      </c>
    </row>
    <row r="787" spans="1:11">
      <c r="A787" s="4" t="s">
        <v>65</v>
      </c>
      <c r="B787" s="4" t="s">
        <v>110</v>
      </c>
      <c r="C787" s="4" t="s">
        <v>221</v>
      </c>
      <c r="D787" s="4">
        <f>INDEX(Positions!$D$2:$D$4694,MATCH($A787&amp;"|2",Positions!$A$2:$A$4694,0))</f>
        <v>2</v>
      </c>
      <c r="E787" s="4">
        <f>INDEX(Positions!$D$2:$D$4694,MATCH($A787&amp;"|71",Positions!$A$2:$A$4694,0))</f>
        <v>73</v>
      </c>
      <c r="F787" s="4" t="str">
        <f>INDEX(Positions!$E$2:$E$4694,MATCH($A787&amp;"|2",Positions!$A$2:$A$4694,0))</f>
        <v>G</v>
      </c>
      <c r="G787" s="4" t="str">
        <f>INDEX(Positions!$E$2:$E$4694,MATCH($A787&amp;"|71",Positions!$A$2:$A$4694,0))</f>
        <v>C</v>
      </c>
      <c r="H787" s="3" t="str">
        <f t="shared" si="48"/>
        <v>G-C</v>
      </c>
      <c r="I787" s="4">
        <f t="shared" si="49"/>
        <v>1</v>
      </c>
      <c r="J787" s="4">
        <f t="shared" si="50"/>
        <v>1</v>
      </c>
      <c r="K787" s="3">
        <f t="shared" si="51"/>
        <v>2</v>
      </c>
    </row>
    <row r="788" spans="1:11">
      <c r="A788" s="4" t="s">
        <v>65</v>
      </c>
      <c r="B788" s="4" t="s">
        <v>110</v>
      </c>
      <c r="C788" s="4" t="s">
        <v>222</v>
      </c>
      <c r="D788" s="4">
        <f>INDEX(Positions!$D$2:$D$4694,MATCH($A788&amp;"|3",Positions!$A$2:$A$4694,0))</f>
        <v>3</v>
      </c>
      <c r="E788" s="4">
        <f>INDEX(Positions!$D$2:$D$4694,MATCH($A788&amp;"|70",Positions!$A$2:$A$4694,0))</f>
        <v>72</v>
      </c>
      <c r="F788" s="4" t="str">
        <f>INDEX(Positions!$E$2:$E$4694,MATCH($A788&amp;"|3",Positions!$A$2:$A$4694,0))</f>
        <v>G</v>
      </c>
      <c r="G788" s="4" t="str">
        <f>INDEX(Positions!$E$2:$E$4694,MATCH($A788&amp;"|70",Positions!$A$2:$A$4694,0))</f>
        <v>C</v>
      </c>
      <c r="H788" s="3" t="str">
        <f t="shared" si="48"/>
        <v>G-C</v>
      </c>
      <c r="I788" s="4">
        <f t="shared" si="49"/>
        <v>1</v>
      </c>
      <c r="J788" s="4">
        <f t="shared" si="50"/>
        <v>1</v>
      </c>
      <c r="K788" s="3">
        <f t="shared" si="51"/>
        <v>2</v>
      </c>
    </row>
    <row r="789" spans="1:11">
      <c r="A789" s="4" t="s">
        <v>65</v>
      </c>
      <c r="B789" s="4" t="s">
        <v>110</v>
      </c>
      <c r="C789" s="4" t="s">
        <v>223</v>
      </c>
      <c r="D789" s="4">
        <f>INDEX(Positions!$D$2:$D$4694,MATCH($A789&amp;"|4",Positions!$A$2:$A$4694,0))</f>
        <v>4</v>
      </c>
      <c r="E789" s="4">
        <f>INDEX(Positions!$D$2:$D$4694,MATCH($A789&amp;"|69",Positions!$A$2:$A$4694,0))</f>
        <v>71</v>
      </c>
      <c r="F789" s="4" t="str">
        <f>INDEX(Positions!$E$2:$E$4694,MATCH($A789&amp;"|4",Positions!$A$2:$A$4694,0))</f>
        <v>C</v>
      </c>
      <c r="G789" s="4" t="str">
        <f>INDEX(Positions!$E$2:$E$4694,MATCH($A789&amp;"|69",Positions!$A$2:$A$4694,0))</f>
        <v>G</v>
      </c>
      <c r="H789" s="3" t="str">
        <f t="shared" si="48"/>
        <v>C-G</v>
      </c>
      <c r="I789" s="4">
        <f t="shared" si="49"/>
        <v>1</v>
      </c>
      <c r="J789" s="4">
        <f t="shared" si="50"/>
        <v>1</v>
      </c>
      <c r="K789" s="3">
        <f t="shared" si="51"/>
        <v>2</v>
      </c>
    </row>
    <row r="790" spans="1:11">
      <c r="A790" s="4" t="s">
        <v>65</v>
      </c>
      <c r="B790" s="4" t="s">
        <v>110</v>
      </c>
      <c r="C790" s="4" t="s">
        <v>224</v>
      </c>
      <c r="D790" s="4">
        <f>INDEX(Positions!$D$2:$D$4694,MATCH($A790&amp;"|5",Positions!$A$2:$A$4694,0))</f>
        <v>5</v>
      </c>
      <c r="E790" s="4">
        <f>INDEX(Positions!$D$2:$D$4694,MATCH($A790&amp;"|68",Positions!$A$2:$A$4694,0))</f>
        <v>70</v>
      </c>
      <c r="F790" s="4" t="str">
        <f>INDEX(Positions!$E$2:$E$4694,MATCH($A790&amp;"|5",Positions!$A$2:$A$4694,0))</f>
        <v>C</v>
      </c>
      <c r="G790" s="4" t="str">
        <f>INDEX(Positions!$E$2:$E$4694,MATCH($A790&amp;"|68",Positions!$A$2:$A$4694,0))</f>
        <v>G</v>
      </c>
      <c r="H790" s="3" t="str">
        <f t="shared" si="48"/>
        <v>C-G</v>
      </c>
      <c r="I790" s="4">
        <f t="shared" si="49"/>
        <v>1</v>
      </c>
      <c r="J790" s="4">
        <f t="shared" si="50"/>
        <v>1</v>
      </c>
      <c r="K790" s="3">
        <f t="shared" si="51"/>
        <v>2</v>
      </c>
    </row>
    <row r="791" spans="1:11">
      <c r="A791" s="4" t="s">
        <v>65</v>
      </c>
      <c r="B791" s="4" t="s">
        <v>110</v>
      </c>
      <c r="C791" s="4" t="s">
        <v>225</v>
      </c>
      <c r="D791" s="4">
        <f>INDEX(Positions!$D$2:$D$4694,MATCH($A791&amp;"|6",Positions!$A$2:$A$4694,0))</f>
        <v>6</v>
      </c>
      <c r="E791" s="4">
        <f>INDEX(Positions!$D$2:$D$4694,MATCH($A791&amp;"|67",Positions!$A$2:$A$4694,0))</f>
        <v>69</v>
      </c>
      <c r="F791" s="4" t="str">
        <f>INDEX(Positions!$E$2:$E$4694,MATCH($A791&amp;"|6",Positions!$A$2:$A$4694,0))</f>
        <v>U</v>
      </c>
      <c r="G791" s="4" t="str">
        <f>INDEX(Positions!$E$2:$E$4694,MATCH($A791&amp;"|67",Positions!$A$2:$A$4694,0))</f>
        <v>A</v>
      </c>
      <c r="H791" s="3" t="str">
        <f t="shared" si="48"/>
        <v>U-A</v>
      </c>
      <c r="I791" s="4">
        <f t="shared" si="49"/>
        <v>0</v>
      </c>
      <c r="J791" s="4">
        <f t="shared" si="50"/>
        <v>0</v>
      </c>
      <c r="K791" s="3">
        <f t="shared" si="51"/>
        <v>0</v>
      </c>
    </row>
    <row r="792" spans="1:11">
      <c r="A792" s="4" t="s">
        <v>65</v>
      </c>
      <c r="B792" s="4" t="s">
        <v>110</v>
      </c>
      <c r="C792" s="4" t="s">
        <v>226</v>
      </c>
      <c r="D792" s="4">
        <f>INDEX(Positions!$D$2:$D$4694,MATCH($A792&amp;"|7",Positions!$A$2:$A$4694,0))</f>
        <v>7</v>
      </c>
      <c r="E792" s="4">
        <f>INDEX(Positions!$D$2:$D$4694,MATCH($A792&amp;"|66",Positions!$A$2:$A$4694,0))</f>
        <v>68</v>
      </c>
      <c r="F792" s="4" t="str">
        <f>INDEX(Positions!$E$2:$E$4694,MATCH($A792&amp;"|7",Positions!$A$2:$A$4694,0))</f>
        <v>G</v>
      </c>
      <c r="G792" s="4" t="str">
        <f>INDEX(Positions!$E$2:$E$4694,MATCH($A792&amp;"|66",Positions!$A$2:$A$4694,0))</f>
        <v>C</v>
      </c>
      <c r="H792" s="3" t="str">
        <f t="shared" si="48"/>
        <v>G-C</v>
      </c>
      <c r="I792" s="4">
        <f t="shared" si="49"/>
        <v>1</v>
      </c>
      <c r="J792" s="4">
        <f t="shared" si="50"/>
        <v>1</v>
      </c>
      <c r="K792" s="3">
        <f t="shared" si="51"/>
        <v>2</v>
      </c>
    </row>
    <row r="793" spans="1:11">
      <c r="A793" s="4" t="s">
        <v>65</v>
      </c>
      <c r="B793" s="4" t="s">
        <v>125</v>
      </c>
      <c r="C793" s="4" t="s">
        <v>227</v>
      </c>
      <c r="D793" s="4">
        <f>INDEX(Positions!$D$2:$D$4694,MATCH($A793&amp;"|10",Positions!$A$2:$A$4694,0))</f>
        <v>10</v>
      </c>
      <c r="E793" s="4">
        <f>INDEX(Positions!$D$2:$D$4694,MATCH($A793&amp;"|25",Positions!$A$2:$A$4694,0))</f>
        <v>27</v>
      </c>
      <c r="F793" s="4" t="str">
        <f>INDEX(Positions!$E$2:$E$4694,MATCH($A793&amp;"|10",Positions!$A$2:$A$4694,0))</f>
        <v>G</v>
      </c>
      <c r="G793" s="4" t="str">
        <f>INDEX(Positions!$E$2:$E$4694,MATCH($A793&amp;"|25",Positions!$A$2:$A$4694,0))</f>
        <v>C</v>
      </c>
      <c r="H793" s="3" t="str">
        <f t="shared" si="48"/>
        <v>G-C</v>
      </c>
      <c r="I793" s="4">
        <f t="shared" si="49"/>
        <v>1</v>
      </c>
      <c r="J793" s="4">
        <f t="shared" si="50"/>
        <v>1</v>
      </c>
      <c r="K793" s="3">
        <f t="shared" si="51"/>
        <v>2</v>
      </c>
    </row>
    <row r="794" spans="1:11">
      <c r="A794" s="4" t="s">
        <v>65</v>
      </c>
      <c r="B794" s="4" t="s">
        <v>125</v>
      </c>
      <c r="C794" s="4" t="s">
        <v>228</v>
      </c>
      <c r="D794" s="4">
        <f>INDEX(Positions!$D$2:$D$4694,MATCH($A794&amp;"|11",Positions!$A$2:$A$4694,0))</f>
        <v>11</v>
      </c>
      <c r="E794" s="4">
        <f>INDEX(Positions!$D$2:$D$4694,MATCH($A794&amp;"|24",Positions!$A$2:$A$4694,0))</f>
        <v>26</v>
      </c>
      <c r="F794" s="4" t="str">
        <f>INDEX(Positions!$E$2:$E$4694,MATCH($A794&amp;"|11",Positions!$A$2:$A$4694,0))</f>
        <v>C</v>
      </c>
      <c r="G794" s="4" t="str">
        <f>INDEX(Positions!$E$2:$E$4694,MATCH($A794&amp;"|24",Positions!$A$2:$A$4694,0))</f>
        <v>G</v>
      </c>
      <c r="H794" s="3" t="str">
        <f t="shared" si="48"/>
        <v>C-G</v>
      </c>
      <c r="I794" s="4">
        <f t="shared" si="49"/>
        <v>1</v>
      </c>
      <c r="J794" s="4">
        <f t="shared" si="50"/>
        <v>1</v>
      </c>
      <c r="K794" s="3">
        <f t="shared" si="51"/>
        <v>2</v>
      </c>
    </row>
    <row r="795" spans="1:11">
      <c r="A795" s="4" t="s">
        <v>65</v>
      </c>
      <c r="B795" s="4" t="s">
        <v>125</v>
      </c>
      <c r="C795" s="4" t="s">
        <v>229</v>
      </c>
      <c r="D795" s="4">
        <f>INDEX(Positions!$D$2:$D$4694,MATCH($A795&amp;"|12",Positions!$A$2:$A$4694,0))</f>
        <v>12</v>
      </c>
      <c r="E795" s="4">
        <f>INDEX(Positions!$D$2:$D$4694,MATCH($A795&amp;"|23",Positions!$A$2:$A$4694,0))</f>
        <v>25</v>
      </c>
      <c r="F795" s="4" t="str">
        <f>INDEX(Positions!$E$2:$E$4694,MATCH($A795&amp;"|12",Positions!$A$2:$A$4694,0))</f>
        <v>U</v>
      </c>
      <c r="G795" s="4" t="str">
        <f>INDEX(Positions!$E$2:$E$4694,MATCH($A795&amp;"|23",Positions!$A$2:$A$4694,0))</f>
        <v>A</v>
      </c>
      <c r="H795" s="3" t="str">
        <f t="shared" si="48"/>
        <v>U-A</v>
      </c>
      <c r="I795" s="4">
        <f t="shared" si="49"/>
        <v>0</v>
      </c>
      <c r="J795" s="4">
        <f t="shared" si="50"/>
        <v>0</v>
      </c>
      <c r="K795" s="3">
        <f t="shared" si="51"/>
        <v>0</v>
      </c>
    </row>
    <row r="796" spans="1:11">
      <c r="A796" s="4" t="s">
        <v>65</v>
      </c>
      <c r="B796" s="4" t="s">
        <v>125</v>
      </c>
      <c r="C796" s="4" t="s">
        <v>230</v>
      </c>
      <c r="D796" s="4">
        <f>INDEX(Positions!$D$2:$D$4694,MATCH($A796&amp;"|13",Positions!$A$2:$A$4694,0))</f>
        <v>13</v>
      </c>
      <c r="E796" s="4">
        <f>INDEX(Positions!$D$2:$D$4694,MATCH($A796&amp;"|22",Positions!$A$2:$A$4694,0))</f>
        <v>24</v>
      </c>
      <c r="F796" s="4" t="str">
        <f>INDEX(Positions!$E$2:$E$4694,MATCH($A796&amp;"|13",Positions!$A$2:$A$4694,0))</f>
        <v>C</v>
      </c>
      <c r="G796" s="4" t="str">
        <f>INDEX(Positions!$E$2:$E$4694,MATCH($A796&amp;"|22",Positions!$A$2:$A$4694,0))</f>
        <v>G</v>
      </c>
      <c r="H796" s="3" t="str">
        <f t="shared" si="48"/>
        <v>C-G</v>
      </c>
      <c r="I796" s="4">
        <f t="shared" si="49"/>
        <v>1</v>
      </c>
      <c r="J796" s="4">
        <f t="shared" si="50"/>
        <v>1</v>
      </c>
      <c r="K796" s="3">
        <f t="shared" si="51"/>
        <v>2</v>
      </c>
    </row>
    <row r="797" spans="1:11">
      <c r="A797" s="4" t="s">
        <v>65</v>
      </c>
      <c r="B797" s="4" t="s">
        <v>144</v>
      </c>
      <c r="C797" s="4" t="s">
        <v>231</v>
      </c>
      <c r="D797" s="4">
        <f>INDEX(Positions!$D$2:$D$4694,MATCH($A797&amp;"|27",Positions!$A$2:$A$4694,0))</f>
        <v>29</v>
      </c>
      <c r="E797" s="4">
        <f>INDEX(Positions!$D$2:$D$4694,MATCH($A797&amp;"|43",Positions!$A$2:$A$4694,0))</f>
        <v>45</v>
      </c>
      <c r="F797" s="4" t="str">
        <f>INDEX(Positions!$E$2:$E$4694,MATCH($A797&amp;"|27",Positions!$A$2:$A$4694,0))</f>
        <v>C</v>
      </c>
      <c r="G797" s="4" t="str">
        <f>INDEX(Positions!$E$2:$E$4694,MATCH($A797&amp;"|43",Positions!$A$2:$A$4694,0))</f>
        <v>G</v>
      </c>
      <c r="H797" s="3" t="str">
        <f t="shared" si="48"/>
        <v>C-G</v>
      </c>
      <c r="I797" s="4">
        <f t="shared" si="49"/>
        <v>1</v>
      </c>
      <c r="J797" s="4">
        <f t="shared" si="50"/>
        <v>1</v>
      </c>
      <c r="K797" s="3">
        <f t="shared" si="51"/>
        <v>2</v>
      </c>
    </row>
    <row r="798" spans="1:11">
      <c r="A798" s="4" t="s">
        <v>65</v>
      </c>
      <c r="B798" s="4" t="s">
        <v>144</v>
      </c>
      <c r="C798" s="4" t="s">
        <v>232</v>
      </c>
      <c r="D798" s="4">
        <f>INDEX(Positions!$D$2:$D$4694,MATCH($A798&amp;"|28",Positions!$A$2:$A$4694,0))</f>
        <v>30</v>
      </c>
      <c r="E798" s="4">
        <f>INDEX(Positions!$D$2:$D$4694,MATCH($A798&amp;"|42",Positions!$A$2:$A$4694,0))</f>
        <v>44</v>
      </c>
      <c r="F798" s="4" t="str">
        <f>INDEX(Positions!$E$2:$E$4694,MATCH($A798&amp;"|28",Positions!$A$2:$A$4694,0))</f>
        <v>U</v>
      </c>
      <c r="G798" s="4" t="str">
        <f>INDEX(Positions!$E$2:$E$4694,MATCH($A798&amp;"|42",Positions!$A$2:$A$4694,0))</f>
        <v>A</v>
      </c>
      <c r="H798" s="3" t="str">
        <f t="shared" si="48"/>
        <v>U-A</v>
      </c>
      <c r="I798" s="4">
        <f t="shared" si="49"/>
        <v>0</v>
      </c>
      <c r="J798" s="4">
        <f t="shared" si="50"/>
        <v>0</v>
      </c>
      <c r="K798" s="3">
        <f t="shared" si="51"/>
        <v>0</v>
      </c>
    </row>
    <row r="799" spans="1:11">
      <c r="A799" s="4" t="s">
        <v>65</v>
      </c>
      <c r="B799" s="4" t="s">
        <v>144</v>
      </c>
      <c r="C799" s="4" t="s">
        <v>233</v>
      </c>
      <c r="D799" s="4">
        <f>INDEX(Positions!$D$2:$D$4694,MATCH($A799&amp;"|29",Positions!$A$2:$A$4694,0))</f>
        <v>31</v>
      </c>
      <c r="E799" s="4">
        <f>INDEX(Positions!$D$2:$D$4694,MATCH($A799&amp;"|41",Positions!$A$2:$A$4694,0))</f>
        <v>43</v>
      </c>
      <c r="F799" s="4" t="str">
        <f>INDEX(Positions!$E$2:$E$4694,MATCH($A799&amp;"|29",Positions!$A$2:$A$4694,0))</f>
        <v>C</v>
      </c>
      <c r="G799" s="4" t="str">
        <f>INDEX(Positions!$E$2:$E$4694,MATCH($A799&amp;"|41",Positions!$A$2:$A$4694,0))</f>
        <v>G</v>
      </c>
      <c r="H799" s="3" t="str">
        <f t="shared" si="48"/>
        <v>C-G</v>
      </c>
      <c r="I799" s="4">
        <f t="shared" si="49"/>
        <v>1</v>
      </c>
      <c r="J799" s="4">
        <f t="shared" si="50"/>
        <v>1</v>
      </c>
      <c r="K799" s="3">
        <f t="shared" si="51"/>
        <v>2</v>
      </c>
    </row>
    <row r="800" spans="1:11">
      <c r="A800" s="4" t="s">
        <v>65</v>
      </c>
      <c r="B800" s="4" t="s">
        <v>144</v>
      </c>
      <c r="C800" s="4" t="s">
        <v>234</v>
      </c>
      <c r="D800" s="4">
        <f>INDEX(Positions!$D$2:$D$4694,MATCH($A800&amp;"|30",Positions!$A$2:$A$4694,0))</f>
        <v>32</v>
      </c>
      <c r="E800" s="4">
        <f>INDEX(Positions!$D$2:$D$4694,MATCH($A800&amp;"|40",Positions!$A$2:$A$4694,0))</f>
        <v>42</v>
      </c>
      <c r="F800" s="4" t="str">
        <f>INDEX(Positions!$E$2:$E$4694,MATCH($A800&amp;"|30",Positions!$A$2:$A$4694,0))</f>
        <v>G</v>
      </c>
      <c r="G800" s="4" t="str">
        <f>INDEX(Positions!$E$2:$E$4694,MATCH($A800&amp;"|40",Positions!$A$2:$A$4694,0))</f>
        <v>C</v>
      </c>
      <c r="H800" s="3" t="str">
        <f t="shared" si="48"/>
        <v>G-C</v>
      </c>
      <c r="I800" s="4">
        <f t="shared" si="49"/>
        <v>1</v>
      </c>
      <c r="J800" s="4">
        <f t="shared" si="50"/>
        <v>1</v>
      </c>
      <c r="K800" s="3">
        <f t="shared" si="51"/>
        <v>2</v>
      </c>
    </row>
    <row r="801" spans="1:11">
      <c r="A801" s="4" t="s">
        <v>65</v>
      </c>
      <c r="B801" s="4" t="s">
        <v>144</v>
      </c>
      <c r="C801" s="4" t="s">
        <v>235</v>
      </c>
      <c r="D801" s="4">
        <f>INDEX(Positions!$D$2:$D$4694,MATCH($A801&amp;"|31",Positions!$A$2:$A$4694,0))</f>
        <v>33</v>
      </c>
      <c r="E801" s="4">
        <f>INDEX(Positions!$D$2:$D$4694,MATCH($A801&amp;"|39",Positions!$A$2:$A$4694,0))</f>
        <v>41</v>
      </c>
      <c r="F801" s="4" t="str">
        <f>INDEX(Positions!$E$2:$E$4694,MATCH($A801&amp;"|31",Positions!$A$2:$A$4694,0))</f>
        <v>G</v>
      </c>
      <c r="G801" s="4" t="str">
        <f>INDEX(Positions!$E$2:$E$4694,MATCH($A801&amp;"|39",Positions!$A$2:$A$4694,0))</f>
        <v>C</v>
      </c>
      <c r="H801" s="3" t="str">
        <f t="shared" si="48"/>
        <v>G-C</v>
      </c>
      <c r="I801" s="4">
        <f t="shared" si="49"/>
        <v>1</v>
      </c>
      <c r="J801" s="4">
        <f t="shared" si="50"/>
        <v>1</v>
      </c>
      <c r="K801" s="3">
        <f t="shared" si="51"/>
        <v>2</v>
      </c>
    </row>
    <row r="802" spans="1:11">
      <c r="A802" s="4" t="s">
        <v>65</v>
      </c>
      <c r="B802" s="4" t="s">
        <v>169</v>
      </c>
      <c r="C802" s="4" t="s">
        <v>236</v>
      </c>
      <c r="D802" s="4">
        <f>INDEX(Positions!$D$2:$D$4694,MATCH($A802&amp;"|49",Positions!$A$2:$A$4694,0))</f>
        <v>51</v>
      </c>
      <c r="E802" s="4">
        <f>INDEX(Positions!$D$2:$D$4694,MATCH($A802&amp;"|65",Positions!$A$2:$A$4694,0))</f>
        <v>67</v>
      </c>
      <c r="F802" s="4" t="str">
        <f>INDEX(Positions!$E$2:$E$4694,MATCH($A802&amp;"|49",Positions!$A$2:$A$4694,0))</f>
        <v>A</v>
      </c>
      <c r="G802" s="4" t="str">
        <f>INDEX(Positions!$E$2:$E$4694,MATCH($A802&amp;"|65",Positions!$A$2:$A$4694,0))</f>
        <v>U</v>
      </c>
      <c r="H802" s="3" t="str">
        <f t="shared" si="48"/>
        <v>A-U</v>
      </c>
      <c r="I802" s="4">
        <f t="shared" si="49"/>
        <v>0</v>
      </c>
      <c r="J802" s="4">
        <f t="shared" si="50"/>
        <v>0</v>
      </c>
      <c r="K802" s="3">
        <f t="shared" si="51"/>
        <v>0</v>
      </c>
    </row>
    <row r="803" spans="1:11">
      <c r="A803" s="4" t="s">
        <v>65</v>
      </c>
      <c r="B803" s="4" t="s">
        <v>169</v>
      </c>
      <c r="C803" s="4" t="s">
        <v>237</v>
      </c>
      <c r="D803" s="4">
        <f>INDEX(Positions!$D$2:$D$4694,MATCH($A803&amp;"|50",Positions!$A$2:$A$4694,0))</f>
        <v>52</v>
      </c>
      <c r="E803" s="4">
        <f>INDEX(Positions!$D$2:$D$4694,MATCH($A803&amp;"|64",Positions!$A$2:$A$4694,0))</f>
        <v>66</v>
      </c>
      <c r="F803" s="4" t="str">
        <f>INDEX(Positions!$E$2:$E$4694,MATCH($A803&amp;"|50",Positions!$A$2:$A$4694,0))</f>
        <v>C</v>
      </c>
      <c r="G803" s="4" t="str">
        <f>INDEX(Positions!$E$2:$E$4694,MATCH($A803&amp;"|64",Positions!$A$2:$A$4694,0))</f>
        <v>G</v>
      </c>
      <c r="H803" s="3" t="str">
        <f t="shared" si="48"/>
        <v>C-G</v>
      </c>
      <c r="I803" s="4">
        <f t="shared" si="49"/>
        <v>1</v>
      </c>
      <c r="J803" s="4">
        <f t="shared" si="50"/>
        <v>1</v>
      </c>
      <c r="K803" s="3">
        <f t="shared" si="51"/>
        <v>2</v>
      </c>
    </row>
    <row r="804" spans="1:11">
      <c r="A804" s="4" t="s">
        <v>65</v>
      </c>
      <c r="B804" s="4" t="s">
        <v>169</v>
      </c>
      <c r="C804" s="4" t="s">
        <v>238</v>
      </c>
      <c r="D804" s="4">
        <f>INDEX(Positions!$D$2:$D$4694,MATCH($A804&amp;"|51",Positions!$A$2:$A$4694,0))</f>
        <v>53</v>
      </c>
      <c r="E804" s="4">
        <f>INDEX(Positions!$D$2:$D$4694,MATCH($A804&amp;"|63",Positions!$A$2:$A$4694,0))</f>
        <v>65</v>
      </c>
      <c r="F804" s="4" t="str">
        <f>INDEX(Positions!$E$2:$E$4694,MATCH($A804&amp;"|51",Positions!$A$2:$A$4694,0))</f>
        <v>C</v>
      </c>
      <c r="G804" s="4" t="str">
        <f>INDEX(Positions!$E$2:$E$4694,MATCH($A804&amp;"|63",Positions!$A$2:$A$4694,0))</f>
        <v>G</v>
      </c>
      <c r="H804" s="3" t="str">
        <f t="shared" si="48"/>
        <v>C-G</v>
      </c>
      <c r="I804" s="4">
        <f t="shared" si="49"/>
        <v>1</v>
      </c>
      <c r="J804" s="4">
        <f t="shared" si="50"/>
        <v>1</v>
      </c>
      <c r="K804" s="3">
        <f t="shared" si="51"/>
        <v>2</v>
      </c>
    </row>
    <row r="805" spans="1:11">
      <c r="A805" s="4" t="s">
        <v>65</v>
      </c>
      <c r="B805" s="4" t="s">
        <v>169</v>
      </c>
      <c r="C805" s="4" t="s">
        <v>239</v>
      </c>
      <c r="D805" s="4">
        <f>INDEX(Positions!$D$2:$D$4694,MATCH($A805&amp;"|52",Positions!$A$2:$A$4694,0))</f>
        <v>54</v>
      </c>
      <c r="E805" s="4">
        <f>INDEX(Positions!$D$2:$D$4694,MATCH($A805&amp;"|62",Positions!$A$2:$A$4694,0))</f>
        <v>64</v>
      </c>
      <c r="F805" s="4" t="str">
        <f>INDEX(Positions!$E$2:$E$4694,MATCH($A805&amp;"|52",Positions!$A$2:$A$4694,0))</f>
        <v>G</v>
      </c>
      <c r="G805" s="4" t="str">
        <f>INDEX(Positions!$E$2:$E$4694,MATCH($A805&amp;"|62",Positions!$A$2:$A$4694,0))</f>
        <v>C</v>
      </c>
      <c r="H805" s="3" t="str">
        <f t="shared" si="48"/>
        <v>G-C</v>
      </c>
      <c r="I805" s="4">
        <f t="shared" si="49"/>
        <v>1</v>
      </c>
      <c r="J805" s="4">
        <f t="shared" si="50"/>
        <v>1</v>
      </c>
      <c r="K805" s="3">
        <f t="shared" si="51"/>
        <v>2</v>
      </c>
    </row>
    <row r="806" spans="1:11">
      <c r="A806" s="4" t="s">
        <v>65</v>
      </c>
      <c r="B806" s="4" t="s">
        <v>169</v>
      </c>
      <c r="C806" s="4" t="s">
        <v>240</v>
      </c>
      <c r="D806" s="4">
        <f>INDEX(Positions!$D$2:$D$4694,MATCH($A806&amp;"|53",Positions!$A$2:$A$4694,0))</f>
        <v>55</v>
      </c>
      <c r="E806" s="4">
        <f>INDEX(Positions!$D$2:$D$4694,MATCH($A806&amp;"|61",Positions!$A$2:$A$4694,0))</f>
        <v>63</v>
      </c>
      <c r="F806" s="4" t="str">
        <f>INDEX(Positions!$E$2:$E$4694,MATCH($A806&amp;"|53",Positions!$A$2:$A$4694,0))</f>
        <v>G</v>
      </c>
      <c r="G806" s="4" t="str">
        <f>INDEX(Positions!$E$2:$E$4694,MATCH($A806&amp;"|61",Positions!$A$2:$A$4694,0))</f>
        <v>C</v>
      </c>
      <c r="H806" s="3" t="str">
        <f t="shared" si="48"/>
        <v>G-C</v>
      </c>
      <c r="I806" s="4">
        <f t="shared" si="49"/>
        <v>1</v>
      </c>
      <c r="J806" s="4">
        <f t="shared" si="50"/>
        <v>1</v>
      </c>
      <c r="K806" s="3">
        <f t="shared" si="51"/>
        <v>2</v>
      </c>
    </row>
    <row r="807" spans="1:11">
      <c r="A807" s="23" t="s">
        <v>65</v>
      </c>
      <c r="B807" s="23" t="s">
        <v>241</v>
      </c>
      <c r="C807" s="23" t="s">
        <v>242</v>
      </c>
      <c r="D807" s="23">
        <f>INDEX(Positions!$D$2:$D$4694,MATCH($A807&amp;"|8",Positions!$A$2:$A$4694,0))</f>
        <v>8</v>
      </c>
      <c r="E807" s="23">
        <f>INDEX(Positions!$D$2:$D$4694,MATCH($A807&amp;"|14",Positions!$A$2:$A$4694,0))</f>
        <v>14</v>
      </c>
      <c r="F807" s="23" t="str">
        <f>INDEX(Positions!$E$2:$E$4694,MATCH($A807&amp;"|8",Positions!$A$2:$A$4694,0))</f>
        <v>U</v>
      </c>
      <c r="G807" s="23" t="str">
        <f>INDEX(Positions!$E$2:$E$4694,MATCH($A807&amp;"|14",Positions!$A$2:$A$4694,0))</f>
        <v>A</v>
      </c>
      <c r="H807" s="24" t="str">
        <f t="shared" si="48"/>
        <v>U-A</v>
      </c>
      <c r="I807" s="23">
        <f t="shared" si="49"/>
        <v>0</v>
      </c>
      <c r="J807" s="23">
        <f t="shared" si="50"/>
        <v>0</v>
      </c>
      <c r="K807" s="24">
        <f t="shared" si="51"/>
        <v>0</v>
      </c>
    </row>
    <row r="808" spans="1:11">
      <c r="A808" s="23" t="s">
        <v>65</v>
      </c>
      <c r="B808" s="23" t="s">
        <v>241</v>
      </c>
      <c r="C808" s="23" t="s">
        <v>243</v>
      </c>
      <c r="D808" s="23">
        <f>INDEX(Positions!$D$2:$D$4694,MATCH($A808&amp;"|15",Positions!$A$2:$A$4694,0))</f>
        <v>15</v>
      </c>
      <c r="E808" s="23">
        <f>INDEX(Positions!$D$2:$D$4694,MATCH($A808&amp;"|48",Positions!$A$2:$A$4694,0))</f>
        <v>50</v>
      </c>
      <c r="F808" s="23" t="str">
        <f>INDEX(Positions!$E$2:$E$4694,MATCH($A808&amp;"|15",Positions!$A$2:$A$4694,0))</f>
        <v>G</v>
      </c>
      <c r="G808" s="23" t="str">
        <f>INDEX(Positions!$E$2:$E$4694,MATCH($A808&amp;"|48",Positions!$A$2:$A$4694,0))</f>
        <v>C</v>
      </c>
      <c r="H808" s="24" t="str">
        <f t="shared" si="48"/>
        <v>G-C</v>
      </c>
      <c r="I808" s="23">
        <f t="shared" si="49"/>
        <v>1</v>
      </c>
      <c r="J808" s="23">
        <f t="shared" si="50"/>
        <v>1</v>
      </c>
      <c r="K808" s="24">
        <f t="shared" si="51"/>
        <v>2</v>
      </c>
    </row>
    <row r="809" spans="1:11">
      <c r="A809" s="23" t="s">
        <v>65</v>
      </c>
      <c r="B809" s="23" t="s">
        <v>241</v>
      </c>
      <c r="C809" s="23" t="s">
        <v>244</v>
      </c>
      <c r="D809" s="23">
        <f>INDEX(Positions!$D$2:$D$4694,MATCH($A809&amp;"|18",Positions!$A$2:$A$4694,0))</f>
        <v>19</v>
      </c>
      <c r="E809" s="23">
        <f>INDEX(Positions!$D$2:$D$4694,MATCH($A809&amp;"|55",Positions!$A$2:$A$4694,0))</f>
        <v>57</v>
      </c>
      <c r="F809" s="23" t="str">
        <f>INDEX(Positions!$E$2:$E$4694,MATCH($A809&amp;"|18",Positions!$A$2:$A$4694,0))</f>
        <v>G</v>
      </c>
      <c r="G809" s="23" t="str">
        <f>INDEX(Positions!$E$2:$E$4694,MATCH($A809&amp;"|55",Positions!$A$2:$A$4694,0))</f>
        <v>U</v>
      </c>
      <c r="H809" s="24" t="str">
        <f t="shared" si="48"/>
        <v>G-U</v>
      </c>
      <c r="I809" s="23">
        <f t="shared" si="49"/>
        <v>1</v>
      </c>
      <c r="J809" s="23">
        <f t="shared" si="50"/>
        <v>0</v>
      </c>
      <c r="K809" s="24">
        <f t="shared" si="51"/>
        <v>1</v>
      </c>
    </row>
    <row r="810" spans="1:11">
      <c r="A810" s="23" t="s">
        <v>65</v>
      </c>
      <c r="B810" s="23" t="s">
        <v>241</v>
      </c>
      <c r="C810" s="23" t="s">
        <v>245</v>
      </c>
      <c r="D810" s="23">
        <f>INDEX(Positions!$D$2:$D$4694,MATCH($A810&amp;"|19",Positions!$A$2:$A$4694,0))</f>
        <v>20</v>
      </c>
      <c r="E810" s="23">
        <f>INDEX(Positions!$D$2:$D$4694,MATCH($A810&amp;"|56",Positions!$A$2:$A$4694,0))</f>
        <v>58</v>
      </c>
      <c r="F810" s="23" t="str">
        <f>INDEX(Positions!$E$2:$E$4694,MATCH($A810&amp;"|19",Positions!$A$2:$A$4694,0))</f>
        <v>G</v>
      </c>
      <c r="G810" s="23" t="str">
        <f>INDEX(Positions!$E$2:$E$4694,MATCH($A810&amp;"|56",Positions!$A$2:$A$4694,0))</f>
        <v>C</v>
      </c>
      <c r="H810" s="24" t="str">
        <f t="shared" si="48"/>
        <v>G-C</v>
      </c>
      <c r="I810" s="23">
        <f t="shared" si="49"/>
        <v>1</v>
      </c>
      <c r="J810" s="23">
        <f t="shared" si="50"/>
        <v>1</v>
      </c>
      <c r="K810" s="24">
        <f t="shared" si="51"/>
        <v>2</v>
      </c>
    </row>
    <row r="811" spans="1:11">
      <c r="A811" s="23" t="s">
        <v>65</v>
      </c>
      <c r="B811" s="23" t="s">
        <v>241</v>
      </c>
      <c r="C811" s="23" t="s">
        <v>246</v>
      </c>
      <c r="D811" s="23">
        <f>INDEX(Positions!$D$2:$D$4694,MATCH($A811&amp;"|26",Positions!$A$2:$A$4694,0))</f>
        <v>28</v>
      </c>
      <c r="E811" s="23">
        <f>INDEX(Positions!$D$2:$D$4694,MATCH($A811&amp;"|44",Positions!$A$2:$A$4694,0))</f>
        <v>46</v>
      </c>
      <c r="F811" s="23" t="str">
        <f>INDEX(Positions!$E$2:$E$4694,MATCH($A811&amp;"|26",Positions!$A$2:$A$4694,0))</f>
        <v>G</v>
      </c>
      <c r="G811" s="23" t="str">
        <f>INDEX(Positions!$E$2:$E$4694,MATCH($A811&amp;"|44",Positions!$A$2:$A$4694,0))</f>
        <v>C</v>
      </c>
      <c r="H811" s="24" t="str">
        <f t="shared" si="48"/>
        <v>G-C</v>
      </c>
      <c r="I811" s="23">
        <f t="shared" si="49"/>
        <v>1</v>
      </c>
      <c r="J811" s="23">
        <f t="shared" si="50"/>
        <v>1</v>
      </c>
      <c r="K811" s="24">
        <f t="shared" si="51"/>
        <v>2</v>
      </c>
    </row>
    <row r="812" spans="1:11">
      <c r="A812" s="23" t="s">
        <v>65</v>
      </c>
      <c r="B812" s="23" t="s">
        <v>241</v>
      </c>
      <c r="C812" s="23" t="s">
        <v>247</v>
      </c>
      <c r="D812" s="23">
        <f>INDEX(Positions!$D$2:$D$4694,MATCH($A812&amp;"|32",Positions!$A$2:$A$4694,0))</f>
        <v>34</v>
      </c>
      <c r="E812" s="23">
        <f>INDEX(Positions!$D$2:$D$4694,MATCH($A812&amp;"|38",Positions!$A$2:$A$4694,0))</f>
        <v>40</v>
      </c>
      <c r="F812" s="23" t="str">
        <f>INDEX(Positions!$E$2:$E$4694,MATCH($A812&amp;"|32",Positions!$A$2:$A$4694,0))</f>
        <v>C</v>
      </c>
      <c r="G812" s="23" t="str">
        <f>INDEX(Positions!$E$2:$E$4694,MATCH($A812&amp;"|38",Positions!$A$2:$A$4694,0))</f>
        <v>A</v>
      </c>
      <c r="H812" s="24" t="str">
        <f t="shared" si="48"/>
        <v>C-A</v>
      </c>
      <c r="I812" s="23">
        <f t="shared" si="49"/>
        <v>0</v>
      </c>
      <c r="J812" s="23">
        <f t="shared" si="50"/>
        <v>1</v>
      </c>
      <c r="K812" s="24">
        <f t="shared" si="51"/>
        <v>1</v>
      </c>
    </row>
    <row r="813" spans="1:11">
      <c r="A813" s="23" t="s">
        <v>65</v>
      </c>
      <c r="B813" s="23" t="s">
        <v>241</v>
      </c>
      <c r="C813" s="23" t="s">
        <v>248</v>
      </c>
      <c r="D813" s="23">
        <f>INDEX(Positions!$D$2:$D$4694,MATCH($A813&amp;"|54",Positions!$A$2:$A$4694,0))</f>
        <v>56</v>
      </c>
      <c r="E813" s="23">
        <f>INDEX(Positions!$D$2:$D$4694,MATCH($A813&amp;"|58",Positions!$A$2:$A$4694,0))</f>
        <v>60</v>
      </c>
      <c r="F813" s="23" t="str">
        <f>INDEX(Positions!$E$2:$E$4694,MATCH($A813&amp;"|54",Positions!$A$2:$A$4694,0))</f>
        <v>U</v>
      </c>
      <c r="G813" s="23" t="str">
        <f>INDEX(Positions!$E$2:$E$4694,MATCH($A813&amp;"|58",Positions!$A$2:$A$4694,0))</f>
        <v>A</v>
      </c>
      <c r="H813" s="24" t="str">
        <f t="shared" si="48"/>
        <v>U-A</v>
      </c>
      <c r="I813" s="23">
        <f t="shared" si="49"/>
        <v>0</v>
      </c>
      <c r="J813" s="23">
        <f t="shared" si="50"/>
        <v>0</v>
      </c>
      <c r="K813" s="24">
        <f t="shared" si="51"/>
        <v>0</v>
      </c>
    </row>
    <row r="814" spans="1:11">
      <c r="A814" s="4" t="s">
        <v>66</v>
      </c>
      <c r="B814" s="4" t="s">
        <v>110</v>
      </c>
      <c r="C814" s="4" t="s">
        <v>220</v>
      </c>
      <c r="D814" s="4">
        <f>INDEX(Positions!$D$2:$D$4694,MATCH($A814&amp;"|1",Positions!$A$2:$A$4694,0))</f>
        <v>1</v>
      </c>
      <c r="E814" s="4">
        <f>INDEX(Positions!$D$2:$D$4694,MATCH($A814&amp;"|72",Positions!$A$2:$A$4694,0))</f>
        <v>74</v>
      </c>
      <c r="F814" s="4" t="str">
        <f>INDEX(Positions!$E$2:$E$4694,MATCH($A814&amp;"|1",Positions!$A$2:$A$4694,0))</f>
        <v>A</v>
      </c>
      <c r="G814" s="4" t="str">
        <f>INDEX(Positions!$E$2:$E$4694,MATCH($A814&amp;"|72",Positions!$A$2:$A$4694,0))</f>
        <v>U</v>
      </c>
      <c r="H814" s="3" t="str">
        <f t="shared" si="48"/>
        <v>A-U</v>
      </c>
      <c r="I814" s="4">
        <f t="shared" si="49"/>
        <v>0</v>
      </c>
      <c r="J814" s="4">
        <f t="shared" si="50"/>
        <v>0</v>
      </c>
      <c r="K814" s="3">
        <f t="shared" si="51"/>
        <v>0</v>
      </c>
    </row>
    <row r="815" spans="1:11">
      <c r="A815" s="4" t="s">
        <v>66</v>
      </c>
      <c r="B815" s="4" t="s">
        <v>110</v>
      </c>
      <c r="C815" s="4" t="s">
        <v>221</v>
      </c>
      <c r="D815" s="4">
        <f>INDEX(Positions!$D$2:$D$4694,MATCH($A815&amp;"|2",Positions!$A$2:$A$4694,0))</f>
        <v>2</v>
      </c>
      <c r="E815" s="4">
        <f>INDEX(Positions!$D$2:$D$4694,MATCH($A815&amp;"|71",Positions!$A$2:$A$4694,0))</f>
        <v>73</v>
      </c>
      <c r="F815" s="4" t="str">
        <f>INDEX(Positions!$E$2:$E$4694,MATCH($A815&amp;"|2",Positions!$A$2:$A$4694,0))</f>
        <v>G</v>
      </c>
      <c r="G815" s="4" t="str">
        <f>INDEX(Positions!$E$2:$E$4694,MATCH($A815&amp;"|71",Positions!$A$2:$A$4694,0))</f>
        <v>C</v>
      </c>
      <c r="H815" s="3" t="str">
        <f t="shared" si="48"/>
        <v>G-C</v>
      </c>
      <c r="I815" s="4">
        <f t="shared" si="49"/>
        <v>1</v>
      </c>
      <c r="J815" s="4">
        <f t="shared" si="50"/>
        <v>1</v>
      </c>
      <c r="K815" s="3">
        <f t="shared" si="51"/>
        <v>2</v>
      </c>
    </row>
    <row r="816" spans="1:11">
      <c r="A816" s="4" t="s">
        <v>66</v>
      </c>
      <c r="B816" s="4" t="s">
        <v>110</v>
      </c>
      <c r="C816" s="4" t="s">
        <v>222</v>
      </c>
      <c r="D816" s="4">
        <f>INDEX(Positions!$D$2:$D$4694,MATCH($A816&amp;"|3",Positions!$A$2:$A$4694,0))</f>
        <v>3</v>
      </c>
      <c r="E816" s="4">
        <f>INDEX(Positions!$D$2:$D$4694,MATCH($A816&amp;"|70",Positions!$A$2:$A$4694,0))</f>
        <v>72</v>
      </c>
      <c r="F816" s="4" t="str">
        <f>INDEX(Positions!$E$2:$E$4694,MATCH($A816&amp;"|3",Positions!$A$2:$A$4694,0))</f>
        <v>C</v>
      </c>
      <c r="G816" s="4" t="str">
        <f>INDEX(Positions!$E$2:$E$4694,MATCH($A816&amp;"|70",Positions!$A$2:$A$4694,0))</f>
        <v>G</v>
      </c>
      <c r="H816" s="3" t="str">
        <f t="shared" si="48"/>
        <v>C-G</v>
      </c>
      <c r="I816" s="4">
        <f t="shared" si="49"/>
        <v>1</v>
      </c>
      <c r="J816" s="4">
        <f t="shared" si="50"/>
        <v>1</v>
      </c>
      <c r="K816" s="3">
        <f t="shared" si="51"/>
        <v>2</v>
      </c>
    </row>
    <row r="817" spans="1:11">
      <c r="A817" s="4" t="s">
        <v>66</v>
      </c>
      <c r="B817" s="4" t="s">
        <v>110</v>
      </c>
      <c r="C817" s="4" t="s">
        <v>223</v>
      </c>
      <c r="D817" s="4">
        <f>INDEX(Positions!$D$2:$D$4694,MATCH($A817&amp;"|4",Positions!$A$2:$A$4694,0))</f>
        <v>4</v>
      </c>
      <c r="E817" s="4">
        <f>INDEX(Positions!$D$2:$D$4694,MATCH($A817&amp;"|69",Positions!$A$2:$A$4694,0))</f>
        <v>71</v>
      </c>
      <c r="F817" s="4" t="str">
        <f>INDEX(Positions!$E$2:$E$4694,MATCH($A817&amp;"|4",Positions!$A$2:$A$4694,0))</f>
        <v>G</v>
      </c>
      <c r="G817" s="4" t="str">
        <f>INDEX(Positions!$E$2:$E$4694,MATCH($A817&amp;"|69",Positions!$A$2:$A$4694,0))</f>
        <v>C</v>
      </c>
      <c r="H817" s="3" t="str">
        <f t="shared" si="48"/>
        <v>G-C</v>
      </c>
      <c r="I817" s="4">
        <f t="shared" si="49"/>
        <v>1</v>
      </c>
      <c r="J817" s="4">
        <f t="shared" si="50"/>
        <v>1</v>
      </c>
      <c r="K817" s="3">
        <f t="shared" si="51"/>
        <v>2</v>
      </c>
    </row>
    <row r="818" spans="1:11">
      <c r="A818" s="4" t="s">
        <v>66</v>
      </c>
      <c r="B818" s="4" t="s">
        <v>110</v>
      </c>
      <c r="C818" s="4" t="s">
        <v>224</v>
      </c>
      <c r="D818" s="4">
        <f>INDEX(Positions!$D$2:$D$4694,MATCH($A818&amp;"|5",Positions!$A$2:$A$4694,0))</f>
        <v>5</v>
      </c>
      <c r="E818" s="4">
        <f>INDEX(Positions!$D$2:$D$4694,MATCH($A818&amp;"|68",Positions!$A$2:$A$4694,0))</f>
        <v>70</v>
      </c>
      <c r="F818" s="4" t="str">
        <f>INDEX(Positions!$E$2:$E$4694,MATCH($A818&amp;"|5",Positions!$A$2:$A$4694,0))</f>
        <v>G</v>
      </c>
      <c r="G818" s="4" t="str">
        <f>INDEX(Positions!$E$2:$E$4694,MATCH($A818&amp;"|68",Positions!$A$2:$A$4694,0))</f>
        <v>C</v>
      </c>
      <c r="H818" s="3" t="str">
        <f t="shared" si="48"/>
        <v>G-C</v>
      </c>
      <c r="I818" s="4">
        <f t="shared" si="49"/>
        <v>1</v>
      </c>
      <c r="J818" s="4">
        <f t="shared" si="50"/>
        <v>1</v>
      </c>
      <c r="K818" s="3">
        <f t="shared" si="51"/>
        <v>2</v>
      </c>
    </row>
    <row r="819" spans="1:11">
      <c r="A819" s="4" t="s">
        <v>66</v>
      </c>
      <c r="B819" s="4" t="s">
        <v>110</v>
      </c>
      <c r="C819" s="4" t="s">
        <v>225</v>
      </c>
      <c r="D819" s="4">
        <f>INDEX(Positions!$D$2:$D$4694,MATCH($A819&amp;"|6",Positions!$A$2:$A$4694,0))</f>
        <v>6</v>
      </c>
      <c r="E819" s="4">
        <f>INDEX(Positions!$D$2:$D$4694,MATCH($A819&amp;"|67",Positions!$A$2:$A$4694,0))</f>
        <v>69</v>
      </c>
      <c r="F819" s="4" t="str">
        <f>INDEX(Positions!$E$2:$E$4694,MATCH($A819&amp;"|6",Positions!$A$2:$A$4694,0))</f>
        <v>G</v>
      </c>
      <c r="G819" s="4" t="str">
        <f>INDEX(Positions!$E$2:$E$4694,MATCH($A819&amp;"|67",Positions!$A$2:$A$4694,0))</f>
        <v>C</v>
      </c>
      <c r="H819" s="3" t="str">
        <f t="shared" si="48"/>
        <v>G-C</v>
      </c>
      <c r="I819" s="4">
        <f t="shared" si="49"/>
        <v>1</v>
      </c>
      <c r="J819" s="4">
        <f t="shared" si="50"/>
        <v>1</v>
      </c>
      <c r="K819" s="3">
        <f t="shared" si="51"/>
        <v>2</v>
      </c>
    </row>
    <row r="820" spans="1:11">
      <c r="A820" s="4" t="s">
        <v>66</v>
      </c>
      <c r="B820" s="4" t="s">
        <v>110</v>
      </c>
      <c r="C820" s="4" t="s">
        <v>226</v>
      </c>
      <c r="D820" s="4">
        <f>INDEX(Positions!$D$2:$D$4694,MATCH($A820&amp;"|7",Positions!$A$2:$A$4694,0))</f>
        <v>7</v>
      </c>
      <c r="E820" s="4">
        <f>INDEX(Positions!$D$2:$D$4694,MATCH($A820&amp;"|66",Positions!$A$2:$A$4694,0))</f>
        <v>68</v>
      </c>
      <c r="F820" s="4" t="str">
        <f>INDEX(Positions!$E$2:$E$4694,MATCH($A820&amp;"|7",Positions!$A$2:$A$4694,0))</f>
        <v>G</v>
      </c>
      <c r="G820" s="4" t="str">
        <f>INDEX(Positions!$E$2:$E$4694,MATCH($A820&amp;"|66",Positions!$A$2:$A$4694,0))</f>
        <v>C</v>
      </c>
      <c r="H820" s="3" t="str">
        <f t="shared" si="48"/>
        <v>G-C</v>
      </c>
      <c r="I820" s="4">
        <f t="shared" si="49"/>
        <v>1</v>
      </c>
      <c r="J820" s="4">
        <f t="shared" si="50"/>
        <v>1</v>
      </c>
      <c r="K820" s="3">
        <f t="shared" si="51"/>
        <v>2</v>
      </c>
    </row>
    <row r="821" spans="1:11">
      <c r="A821" s="4" t="s">
        <v>66</v>
      </c>
      <c r="B821" s="4" t="s">
        <v>125</v>
      </c>
      <c r="C821" s="4" t="s">
        <v>227</v>
      </c>
      <c r="D821" s="4">
        <f>INDEX(Positions!$D$2:$D$4694,MATCH($A821&amp;"|10",Positions!$A$2:$A$4694,0))</f>
        <v>10</v>
      </c>
      <c r="E821" s="4">
        <f>INDEX(Positions!$D$2:$D$4694,MATCH($A821&amp;"|25",Positions!$A$2:$A$4694,0))</f>
        <v>27</v>
      </c>
      <c r="F821" s="4" t="str">
        <f>INDEX(Positions!$E$2:$E$4694,MATCH($A821&amp;"|10",Positions!$A$2:$A$4694,0))</f>
        <v>G</v>
      </c>
      <c r="G821" s="4" t="str">
        <f>INDEX(Positions!$E$2:$E$4694,MATCH($A821&amp;"|25",Positions!$A$2:$A$4694,0))</f>
        <v>C</v>
      </c>
      <c r="H821" s="3" t="str">
        <f t="shared" si="48"/>
        <v>G-C</v>
      </c>
      <c r="I821" s="4">
        <f t="shared" si="49"/>
        <v>1</v>
      </c>
      <c r="J821" s="4">
        <f t="shared" si="50"/>
        <v>1</v>
      </c>
      <c r="K821" s="3">
        <f t="shared" si="51"/>
        <v>2</v>
      </c>
    </row>
    <row r="822" spans="1:11">
      <c r="A822" s="4" t="s">
        <v>66</v>
      </c>
      <c r="B822" s="4" t="s">
        <v>125</v>
      </c>
      <c r="C822" s="4" t="s">
        <v>228</v>
      </c>
      <c r="D822" s="4">
        <f>INDEX(Positions!$D$2:$D$4694,MATCH($A822&amp;"|11",Positions!$A$2:$A$4694,0))</f>
        <v>11</v>
      </c>
      <c r="E822" s="4">
        <f>INDEX(Positions!$D$2:$D$4694,MATCH($A822&amp;"|24",Positions!$A$2:$A$4694,0))</f>
        <v>26</v>
      </c>
      <c r="F822" s="4" t="str">
        <f>INDEX(Positions!$E$2:$E$4694,MATCH($A822&amp;"|11",Positions!$A$2:$A$4694,0))</f>
        <v>G</v>
      </c>
      <c r="G822" s="4" t="str">
        <f>INDEX(Positions!$E$2:$E$4694,MATCH($A822&amp;"|24",Positions!$A$2:$A$4694,0))</f>
        <v>C</v>
      </c>
      <c r="H822" s="3" t="str">
        <f t="shared" si="48"/>
        <v>G-C</v>
      </c>
      <c r="I822" s="4">
        <f t="shared" si="49"/>
        <v>1</v>
      </c>
      <c r="J822" s="4">
        <f t="shared" si="50"/>
        <v>1</v>
      </c>
      <c r="K822" s="3">
        <f t="shared" si="51"/>
        <v>2</v>
      </c>
    </row>
    <row r="823" spans="1:11">
      <c r="A823" s="4" t="s">
        <v>66</v>
      </c>
      <c r="B823" s="4" t="s">
        <v>125</v>
      </c>
      <c r="C823" s="4" t="s">
        <v>229</v>
      </c>
      <c r="D823" s="4">
        <f>INDEX(Positions!$D$2:$D$4694,MATCH($A823&amp;"|12",Positions!$A$2:$A$4694,0))</f>
        <v>12</v>
      </c>
      <c r="E823" s="4">
        <f>INDEX(Positions!$D$2:$D$4694,MATCH($A823&amp;"|23",Positions!$A$2:$A$4694,0))</f>
        <v>25</v>
      </c>
      <c r="F823" s="4" t="str">
        <f>INDEX(Positions!$E$2:$E$4694,MATCH($A823&amp;"|12",Positions!$A$2:$A$4694,0))</f>
        <v>G</v>
      </c>
      <c r="G823" s="4" t="str">
        <f>INDEX(Positions!$E$2:$E$4694,MATCH($A823&amp;"|23",Positions!$A$2:$A$4694,0))</f>
        <v>C</v>
      </c>
      <c r="H823" s="3" t="str">
        <f t="shared" si="48"/>
        <v>G-C</v>
      </c>
      <c r="I823" s="4">
        <f t="shared" si="49"/>
        <v>1</v>
      </c>
      <c r="J823" s="4">
        <f t="shared" si="50"/>
        <v>1</v>
      </c>
      <c r="K823" s="3">
        <f t="shared" si="51"/>
        <v>2</v>
      </c>
    </row>
    <row r="824" spans="1:11">
      <c r="A824" s="4" t="s">
        <v>66</v>
      </c>
      <c r="B824" s="4" t="s">
        <v>125</v>
      </c>
      <c r="C824" s="4" t="s">
        <v>230</v>
      </c>
      <c r="D824" s="4">
        <f>INDEX(Positions!$D$2:$D$4694,MATCH($A824&amp;"|13",Positions!$A$2:$A$4694,0))</f>
        <v>13</v>
      </c>
      <c r="E824" s="4">
        <f>INDEX(Positions!$D$2:$D$4694,MATCH($A824&amp;"|22",Positions!$A$2:$A$4694,0))</f>
        <v>24</v>
      </c>
      <c r="F824" s="4" t="str">
        <f>INDEX(Positions!$E$2:$E$4694,MATCH($A824&amp;"|13",Positions!$A$2:$A$4694,0))</f>
        <v>U</v>
      </c>
      <c r="G824" s="4" t="str">
        <f>INDEX(Positions!$E$2:$E$4694,MATCH($A824&amp;"|22",Positions!$A$2:$A$4694,0))</f>
        <v>U</v>
      </c>
      <c r="H824" s="3" t="str">
        <f t="shared" si="48"/>
        <v>U-U</v>
      </c>
      <c r="I824" s="4">
        <f t="shared" si="49"/>
        <v>0</v>
      </c>
      <c r="J824" s="4">
        <f t="shared" si="50"/>
        <v>0</v>
      </c>
      <c r="K824" s="3">
        <f t="shared" si="51"/>
        <v>0</v>
      </c>
    </row>
    <row r="825" spans="1:11">
      <c r="A825" s="4" t="s">
        <v>66</v>
      </c>
      <c r="B825" s="4" t="s">
        <v>144</v>
      </c>
      <c r="C825" s="4" t="s">
        <v>231</v>
      </c>
      <c r="D825" s="4">
        <f>INDEX(Positions!$D$2:$D$4694,MATCH($A825&amp;"|27",Positions!$A$2:$A$4694,0))</f>
        <v>29</v>
      </c>
      <c r="E825" s="4">
        <f>INDEX(Positions!$D$2:$D$4694,MATCH($A825&amp;"|43",Positions!$A$2:$A$4694,0))</f>
        <v>45</v>
      </c>
      <c r="F825" s="4" t="str">
        <f>INDEX(Positions!$E$2:$E$4694,MATCH($A825&amp;"|27",Positions!$A$2:$A$4694,0))</f>
        <v>A</v>
      </c>
      <c r="G825" s="4" t="str">
        <f>INDEX(Positions!$E$2:$E$4694,MATCH($A825&amp;"|43",Positions!$A$2:$A$4694,0))</f>
        <v>U</v>
      </c>
      <c r="H825" s="3" t="str">
        <f t="shared" si="48"/>
        <v>A-U</v>
      </c>
      <c r="I825" s="4">
        <f t="shared" si="49"/>
        <v>0</v>
      </c>
      <c r="J825" s="4">
        <f t="shared" si="50"/>
        <v>0</v>
      </c>
      <c r="K825" s="3">
        <f t="shared" si="51"/>
        <v>0</v>
      </c>
    </row>
    <row r="826" spans="1:11">
      <c r="A826" s="4" t="s">
        <v>66</v>
      </c>
      <c r="B826" s="4" t="s">
        <v>144</v>
      </c>
      <c r="C826" s="4" t="s">
        <v>232</v>
      </c>
      <c r="D826" s="4">
        <f>INDEX(Positions!$D$2:$D$4694,MATCH($A826&amp;"|28",Positions!$A$2:$A$4694,0))</f>
        <v>30</v>
      </c>
      <c r="E826" s="4">
        <f>INDEX(Positions!$D$2:$D$4694,MATCH($A826&amp;"|42",Positions!$A$2:$A$4694,0))</f>
        <v>44</v>
      </c>
      <c r="F826" s="4" t="str">
        <f>INDEX(Positions!$E$2:$E$4694,MATCH($A826&amp;"|28",Positions!$A$2:$A$4694,0))</f>
        <v>C</v>
      </c>
      <c r="G826" s="4" t="str">
        <f>INDEX(Positions!$E$2:$E$4694,MATCH($A826&amp;"|42",Positions!$A$2:$A$4694,0))</f>
        <v>G</v>
      </c>
      <c r="H826" s="3" t="str">
        <f t="shared" si="48"/>
        <v>C-G</v>
      </c>
      <c r="I826" s="4">
        <f t="shared" si="49"/>
        <v>1</v>
      </c>
      <c r="J826" s="4">
        <f t="shared" si="50"/>
        <v>1</v>
      </c>
      <c r="K826" s="3">
        <f t="shared" si="51"/>
        <v>2</v>
      </c>
    </row>
    <row r="827" spans="1:11">
      <c r="A827" s="4" t="s">
        <v>66</v>
      </c>
      <c r="B827" s="4" t="s">
        <v>144</v>
      </c>
      <c r="C827" s="4" t="s">
        <v>233</v>
      </c>
      <c r="D827" s="4">
        <f>INDEX(Positions!$D$2:$D$4694,MATCH($A827&amp;"|29",Positions!$A$2:$A$4694,0))</f>
        <v>31</v>
      </c>
      <c r="E827" s="4">
        <f>INDEX(Positions!$D$2:$D$4694,MATCH($A827&amp;"|41",Positions!$A$2:$A$4694,0))</f>
        <v>43</v>
      </c>
      <c r="F827" s="4" t="str">
        <f>INDEX(Positions!$E$2:$E$4694,MATCH($A827&amp;"|29",Positions!$A$2:$A$4694,0))</f>
        <v>G</v>
      </c>
      <c r="G827" s="4" t="str">
        <f>INDEX(Positions!$E$2:$E$4694,MATCH($A827&amp;"|41",Positions!$A$2:$A$4694,0))</f>
        <v>C</v>
      </c>
      <c r="H827" s="3" t="str">
        <f t="shared" si="48"/>
        <v>G-C</v>
      </c>
      <c r="I827" s="4">
        <f t="shared" si="49"/>
        <v>1</v>
      </c>
      <c r="J827" s="4">
        <f t="shared" si="50"/>
        <v>1</v>
      </c>
      <c r="K827" s="3">
        <f t="shared" si="51"/>
        <v>2</v>
      </c>
    </row>
    <row r="828" spans="1:11">
      <c r="A828" s="4" t="s">
        <v>66</v>
      </c>
      <c r="B828" s="4" t="s">
        <v>144</v>
      </c>
      <c r="C828" s="4" t="s">
        <v>234</v>
      </c>
      <c r="D828" s="4">
        <f>INDEX(Positions!$D$2:$D$4694,MATCH($A828&amp;"|30",Positions!$A$2:$A$4694,0))</f>
        <v>32</v>
      </c>
      <c r="E828" s="4">
        <f>INDEX(Positions!$D$2:$D$4694,MATCH($A828&amp;"|40",Positions!$A$2:$A$4694,0))</f>
        <v>42</v>
      </c>
      <c r="F828" s="4" t="str">
        <f>INDEX(Positions!$E$2:$E$4694,MATCH($A828&amp;"|30",Positions!$A$2:$A$4694,0))</f>
        <v>G</v>
      </c>
      <c r="G828" s="4" t="str">
        <f>INDEX(Positions!$E$2:$E$4694,MATCH($A828&amp;"|40",Positions!$A$2:$A$4694,0))</f>
        <v>C</v>
      </c>
      <c r="H828" s="3" t="str">
        <f t="shared" si="48"/>
        <v>G-C</v>
      </c>
      <c r="I828" s="4">
        <f t="shared" si="49"/>
        <v>1</v>
      </c>
      <c r="J828" s="4">
        <f t="shared" si="50"/>
        <v>1</v>
      </c>
      <c r="K828" s="3">
        <f t="shared" si="51"/>
        <v>2</v>
      </c>
    </row>
    <row r="829" spans="1:11">
      <c r="A829" s="4" t="s">
        <v>66</v>
      </c>
      <c r="B829" s="4" t="s">
        <v>144</v>
      </c>
      <c r="C829" s="4" t="s">
        <v>235</v>
      </c>
      <c r="D829" s="4">
        <f>INDEX(Positions!$D$2:$D$4694,MATCH($A829&amp;"|31",Positions!$A$2:$A$4694,0))</f>
        <v>33</v>
      </c>
      <c r="E829" s="4">
        <f>INDEX(Positions!$D$2:$D$4694,MATCH($A829&amp;"|39",Positions!$A$2:$A$4694,0))</f>
        <v>41</v>
      </c>
      <c r="F829" s="4" t="str">
        <f>INDEX(Positions!$E$2:$E$4694,MATCH($A829&amp;"|31",Positions!$A$2:$A$4694,0))</f>
        <v>G</v>
      </c>
      <c r="G829" s="4" t="str">
        <f>INDEX(Positions!$E$2:$E$4694,MATCH($A829&amp;"|39",Positions!$A$2:$A$4694,0))</f>
        <v>C</v>
      </c>
      <c r="H829" s="3" t="str">
        <f t="shared" si="48"/>
        <v>G-C</v>
      </c>
      <c r="I829" s="4">
        <f t="shared" si="49"/>
        <v>1</v>
      </c>
      <c r="J829" s="4">
        <f t="shared" si="50"/>
        <v>1</v>
      </c>
      <c r="K829" s="3">
        <f t="shared" si="51"/>
        <v>2</v>
      </c>
    </row>
    <row r="830" spans="1:11">
      <c r="A830" s="4" t="s">
        <v>66</v>
      </c>
      <c r="B830" s="4" t="s">
        <v>169</v>
      </c>
      <c r="C830" s="4" t="s">
        <v>236</v>
      </c>
      <c r="D830" s="4">
        <f>INDEX(Positions!$D$2:$D$4694,MATCH($A830&amp;"|49",Positions!$A$2:$A$4694,0))</f>
        <v>51</v>
      </c>
      <c r="E830" s="4">
        <f>INDEX(Positions!$D$2:$D$4694,MATCH($A830&amp;"|65",Positions!$A$2:$A$4694,0))</f>
        <v>67</v>
      </c>
      <c r="F830" s="4" t="str">
        <f>INDEX(Positions!$E$2:$E$4694,MATCH($A830&amp;"|49",Positions!$A$2:$A$4694,0))</f>
        <v>G</v>
      </c>
      <c r="G830" s="4" t="str">
        <f>INDEX(Positions!$E$2:$E$4694,MATCH($A830&amp;"|65",Positions!$A$2:$A$4694,0))</f>
        <v>C</v>
      </c>
      <c r="H830" s="3" t="str">
        <f t="shared" si="48"/>
        <v>G-C</v>
      </c>
      <c r="I830" s="4">
        <f t="shared" si="49"/>
        <v>1</v>
      </c>
      <c r="J830" s="4">
        <f t="shared" si="50"/>
        <v>1</v>
      </c>
      <c r="K830" s="3">
        <f t="shared" si="51"/>
        <v>2</v>
      </c>
    </row>
    <row r="831" spans="1:11">
      <c r="A831" s="4" t="s">
        <v>66</v>
      </c>
      <c r="B831" s="4" t="s">
        <v>169</v>
      </c>
      <c r="C831" s="4" t="s">
        <v>237</v>
      </c>
      <c r="D831" s="4">
        <f>INDEX(Positions!$D$2:$D$4694,MATCH($A831&amp;"|50",Positions!$A$2:$A$4694,0))</f>
        <v>52</v>
      </c>
      <c r="E831" s="4">
        <f>INDEX(Positions!$D$2:$D$4694,MATCH($A831&amp;"|64",Positions!$A$2:$A$4694,0))</f>
        <v>66</v>
      </c>
      <c r="F831" s="4" t="str">
        <f>INDEX(Positions!$E$2:$E$4694,MATCH($A831&amp;"|50",Positions!$A$2:$A$4694,0))</f>
        <v>A</v>
      </c>
      <c r="G831" s="4" t="str">
        <f>INDEX(Positions!$E$2:$E$4694,MATCH($A831&amp;"|64",Positions!$A$2:$A$4694,0))</f>
        <v>U</v>
      </c>
      <c r="H831" s="3" t="str">
        <f t="shared" si="48"/>
        <v>A-U</v>
      </c>
      <c r="I831" s="4">
        <f t="shared" si="49"/>
        <v>0</v>
      </c>
      <c r="J831" s="4">
        <f t="shared" si="50"/>
        <v>0</v>
      </c>
      <c r="K831" s="3">
        <f t="shared" si="51"/>
        <v>0</v>
      </c>
    </row>
    <row r="832" spans="1:11">
      <c r="A832" s="4" t="s">
        <v>66</v>
      </c>
      <c r="B832" s="4" t="s">
        <v>169</v>
      </c>
      <c r="C832" s="4" t="s">
        <v>238</v>
      </c>
      <c r="D832" s="4">
        <f>INDEX(Positions!$D$2:$D$4694,MATCH($A832&amp;"|51",Positions!$A$2:$A$4694,0))</f>
        <v>53</v>
      </c>
      <c r="E832" s="4">
        <f>INDEX(Positions!$D$2:$D$4694,MATCH($A832&amp;"|63",Positions!$A$2:$A$4694,0))</f>
        <v>65</v>
      </c>
      <c r="F832" s="4" t="str">
        <f>INDEX(Positions!$E$2:$E$4694,MATCH($A832&amp;"|51",Positions!$A$2:$A$4694,0))</f>
        <v>U</v>
      </c>
      <c r="G832" s="4" t="str">
        <f>INDEX(Positions!$E$2:$E$4694,MATCH($A832&amp;"|63",Positions!$A$2:$A$4694,0))</f>
        <v>A</v>
      </c>
      <c r="H832" s="3" t="str">
        <f t="shared" si="48"/>
        <v>U-A</v>
      </c>
      <c r="I832" s="4">
        <f t="shared" si="49"/>
        <v>0</v>
      </c>
      <c r="J832" s="4">
        <f t="shared" si="50"/>
        <v>0</v>
      </c>
      <c r="K832" s="3">
        <f t="shared" si="51"/>
        <v>0</v>
      </c>
    </row>
    <row r="833" spans="1:11">
      <c r="A833" s="4" t="s">
        <v>66</v>
      </c>
      <c r="B833" s="4" t="s">
        <v>169</v>
      </c>
      <c r="C833" s="4" t="s">
        <v>239</v>
      </c>
      <c r="D833" s="4">
        <f>INDEX(Positions!$D$2:$D$4694,MATCH($A833&amp;"|52",Positions!$A$2:$A$4694,0))</f>
        <v>54</v>
      </c>
      <c r="E833" s="4">
        <f>INDEX(Positions!$D$2:$D$4694,MATCH($A833&amp;"|62",Positions!$A$2:$A$4694,0))</f>
        <v>64</v>
      </c>
      <c r="F833" s="4" t="str">
        <f>INDEX(Positions!$E$2:$E$4694,MATCH($A833&amp;"|52",Positions!$A$2:$A$4694,0))</f>
        <v>G</v>
      </c>
      <c r="G833" s="4" t="str">
        <f>INDEX(Positions!$E$2:$E$4694,MATCH($A833&amp;"|62",Positions!$A$2:$A$4694,0))</f>
        <v>C</v>
      </c>
      <c r="H833" s="3" t="str">
        <f t="shared" si="48"/>
        <v>G-C</v>
      </c>
      <c r="I833" s="4">
        <f t="shared" si="49"/>
        <v>1</v>
      </c>
      <c r="J833" s="4">
        <f t="shared" si="50"/>
        <v>1</v>
      </c>
      <c r="K833" s="3">
        <f t="shared" si="51"/>
        <v>2</v>
      </c>
    </row>
    <row r="834" spans="1:11">
      <c r="A834" s="4" t="s">
        <v>66</v>
      </c>
      <c r="B834" s="4" t="s">
        <v>169</v>
      </c>
      <c r="C834" s="4" t="s">
        <v>240</v>
      </c>
      <c r="D834" s="4">
        <f>INDEX(Positions!$D$2:$D$4694,MATCH($A834&amp;"|53",Positions!$A$2:$A$4694,0))</f>
        <v>55</v>
      </c>
      <c r="E834" s="4">
        <f>INDEX(Positions!$D$2:$D$4694,MATCH($A834&amp;"|61",Positions!$A$2:$A$4694,0))</f>
        <v>63</v>
      </c>
      <c r="F834" s="4" t="str">
        <f>INDEX(Positions!$E$2:$E$4694,MATCH($A834&amp;"|53",Positions!$A$2:$A$4694,0))</f>
        <v>G</v>
      </c>
      <c r="G834" s="4" t="str">
        <f>INDEX(Positions!$E$2:$E$4694,MATCH($A834&amp;"|61",Positions!$A$2:$A$4694,0))</f>
        <v>C</v>
      </c>
      <c r="H834" s="3" t="str">
        <f t="shared" ref="H834:H897" si="52">F834&amp;"-"&amp;G834</f>
        <v>G-C</v>
      </c>
      <c r="I834" s="4">
        <f t="shared" ref="I834:I897" si="53">(F834="G")+(G834="G")</f>
        <v>1</v>
      </c>
      <c r="J834" s="4">
        <f t="shared" ref="J834:J897" si="54">(F834="C")+(G834="C")</f>
        <v>1</v>
      </c>
      <c r="K834" s="3">
        <f t="shared" ref="K834:K897" si="55">I834+J834</f>
        <v>2</v>
      </c>
    </row>
    <row r="835" spans="1:11">
      <c r="A835" s="23" t="s">
        <v>66</v>
      </c>
      <c r="B835" s="23" t="s">
        <v>241</v>
      </c>
      <c r="C835" s="23" t="s">
        <v>242</v>
      </c>
      <c r="D835" s="23">
        <f>INDEX(Positions!$D$2:$D$4694,MATCH($A835&amp;"|8",Positions!$A$2:$A$4694,0))</f>
        <v>8</v>
      </c>
      <c r="E835" s="23">
        <f>INDEX(Positions!$D$2:$D$4694,MATCH($A835&amp;"|14",Positions!$A$2:$A$4694,0))</f>
        <v>14</v>
      </c>
      <c r="F835" s="23" t="str">
        <f>INDEX(Positions!$E$2:$E$4694,MATCH($A835&amp;"|8",Positions!$A$2:$A$4694,0))</f>
        <v>U</v>
      </c>
      <c r="G835" s="23" t="str">
        <f>INDEX(Positions!$E$2:$E$4694,MATCH($A835&amp;"|14",Positions!$A$2:$A$4694,0))</f>
        <v>A</v>
      </c>
      <c r="H835" s="24" t="str">
        <f t="shared" si="52"/>
        <v>U-A</v>
      </c>
      <c r="I835" s="23">
        <f t="shared" si="53"/>
        <v>0</v>
      </c>
      <c r="J835" s="23">
        <f t="shared" si="54"/>
        <v>0</v>
      </c>
      <c r="K835" s="24">
        <f t="shared" si="55"/>
        <v>0</v>
      </c>
    </row>
    <row r="836" spans="1:11">
      <c r="A836" s="23" t="s">
        <v>66</v>
      </c>
      <c r="B836" s="23" t="s">
        <v>241</v>
      </c>
      <c r="C836" s="23" t="s">
        <v>243</v>
      </c>
      <c r="D836" s="23">
        <f>INDEX(Positions!$D$2:$D$4694,MATCH($A836&amp;"|15",Positions!$A$2:$A$4694,0))</f>
        <v>15</v>
      </c>
      <c r="E836" s="23">
        <f>INDEX(Positions!$D$2:$D$4694,MATCH($A836&amp;"|48",Positions!$A$2:$A$4694,0))</f>
        <v>50</v>
      </c>
      <c r="F836" s="23" t="str">
        <f>INDEX(Positions!$E$2:$E$4694,MATCH($A836&amp;"|15",Positions!$A$2:$A$4694,0))</f>
        <v>G</v>
      </c>
      <c r="G836" s="23" t="str">
        <f>INDEX(Positions!$E$2:$E$4694,MATCH($A836&amp;"|48",Positions!$A$2:$A$4694,0))</f>
        <v>C</v>
      </c>
      <c r="H836" s="24" t="str">
        <f t="shared" si="52"/>
        <v>G-C</v>
      </c>
      <c r="I836" s="23">
        <f t="shared" si="53"/>
        <v>1</v>
      </c>
      <c r="J836" s="23">
        <f t="shared" si="54"/>
        <v>1</v>
      </c>
      <c r="K836" s="24">
        <f t="shared" si="55"/>
        <v>2</v>
      </c>
    </row>
    <row r="837" spans="1:11">
      <c r="A837" s="23" t="s">
        <v>66</v>
      </c>
      <c r="B837" s="23" t="s">
        <v>241</v>
      </c>
      <c r="C837" s="23" t="s">
        <v>244</v>
      </c>
      <c r="D837" s="23">
        <f>INDEX(Positions!$D$2:$D$4694,MATCH($A837&amp;"|18",Positions!$A$2:$A$4694,0))</f>
        <v>19</v>
      </c>
      <c r="E837" s="23">
        <f>INDEX(Positions!$D$2:$D$4694,MATCH($A837&amp;"|55",Positions!$A$2:$A$4694,0))</f>
        <v>57</v>
      </c>
      <c r="F837" s="23" t="str">
        <f>INDEX(Positions!$E$2:$E$4694,MATCH($A837&amp;"|18",Positions!$A$2:$A$4694,0))</f>
        <v>G</v>
      </c>
      <c r="G837" s="23" t="str">
        <f>INDEX(Positions!$E$2:$E$4694,MATCH($A837&amp;"|55",Positions!$A$2:$A$4694,0))</f>
        <v>U</v>
      </c>
      <c r="H837" s="24" t="str">
        <f t="shared" si="52"/>
        <v>G-U</v>
      </c>
      <c r="I837" s="23">
        <f t="shared" si="53"/>
        <v>1</v>
      </c>
      <c r="J837" s="23">
        <f t="shared" si="54"/>
        <v>0</v>
      </c>
      <c r="K837" s="24">
        <f t="shared" si="55"/>
        <v>1</v>
      </c>
    </row>
    <row r="838" spans="1:11">
      <c r="A838" s="23" t="s">
        <v>66</v>
      </c>
      <c r="B838" s="23" t="s">
        <v>241</v>
      </c>
      <c r="C838" s="23" t="s">
        <v>245</v>
      </c>
      <c r="D838" s="23">
        <f>INDEX(Positions!$D$2:$D$4694,MATCH($A838&amp;"|19",Positions!$A$2:$A$4694,0))</f>
        <v>20</v>
      </c>
      <c r="E838" s="23">
        <f>INDEX(Positions!$D$2:$D$4694,MATCH($A838&amp;"|56",Positions!$A$2:$A$4694,0))</f>
        <v>58</v>
      </c>
      <c r="F838" s="23" t="str">
        <f>INDEX(Positions!$E$2:$E$4694,MATCH($A838&amp;"|19",Positions!$A$2:$A$4694,0))</f>
        <v>G</v>
      </c>
      <c r="G838" s="23" t="str">
        <f>INDEX(Positions!$E$2:$E$4694,MATCH($A838&amp;"|56",Positions!$A$2:$A$4694,0))</f>
        <v>C</v>
      </c>
      <c r="H838" s="24" t="str">
        <f t="shared" si="52"/>
        <v>G-C</v>
      </c>
      <c r="I838" s="23">
        <f t="shared" si="53"/>
        <v>1</v>
      </c>
      <c r="J838" s="23">
        <f t="shared" si="54"/>
        <v>1</v>
      </c>
      <c r="K838" s="24">
        <f t="shared" si="55"/>
        <v>2</v>
      </c>
    </row>
    <row r="839" spans="1:11">
      <c r="A839" s="23" t="s">
        <v>66</v>
      </c>
      <c r="B839" s="23" t="s">
        <v>241</v>
      </c>
      <c r="C839" s="23" t="s">
        <v>246</v>
      </c>
      <c r="D839" s="23">
        <f>INDEX(Positions!$D$2:$D$4694,MATCH($A839&amp;"|26",Positions!$A$2:$A$4694,0))</f>
        <v>28</v>
      </c>
      <c r="E839" s="23">
        <f>INDEX(Positions!$D$2:$D$4694,MATCH($A839&amp;"|44",Positions!$A$2:$A$4694,0))</f>
        <v>46</v>
      </c>
      <c r="F839" s="23" t="str">
        <f>INDEX(Positions!$E$2:$E$4694,MATCH($A839&amp;"|26",Positions!$A$2:$A$4694,0))</f>
        <v>G</v>
      </c>
      <c r="G839" s="23" t="str">
        <f>INDEX(Positions!$E$2:$E$4694,MATCH($A839&amp;"|44",Positions!$A$2:$A$4694,0))</f>
        <v>A</v>
      </c>
      <c r="H839" s="24" t="str">
        <f t="shared" si="52"/>
        <v>G-A</v>
      </c>
      <c r="I839" s="23">
        <f t="shared" si="53"/>
        <v>1</v>
      </c>
      <c r="J839" s="23">
        <f t="shared" si="54"/>
        <v>0</v>
      </c>
      <c r="K839" s="24">
        <f t="shared" si="55"/>
        <v>1</v>
      </c>
    </row>
    <row r="840" spans="1:11">
      <c r="A840" s="23" t="s">
        <v>66</v>
      </c>
      <c r="B840" s="23" t="s">
        <v>241</v>
      </c>
      <c r="C840" s="23" t="s">
        <v>247</v>
      </c>
      <c r="D840" s="23">
        <f>INDEX(Positions!$D$2:$D$4694,MATCH($A840&amp;"|32",Positions!$A$2:$A$4694,0))</f>
        <v>34</v>
      </c>
      <c r="E840" s="23">
        <f>INDEX(Positions!$D$2:$D$4694,MATCH($A840&amp;"|38",Positions!$A$2:$A$4694,0))</f>
        <v>40</v>
      </c>
      <c r="F840" s="23" t="str">
        <f>INDEX(Positions!$E$2:$E$4694,MATCH($A840&amp;"|32",Positions!$A$2:$A$4694,0))</f>
        <v>C</v>
      </c>
      <c r="G840" s="23" t="str">
        <f>INDEX(Positions!$E$2:$E$4694,MATCH($A840&amp;"|38",Positions!$A$2:$A$4694,0))</f>
        <v>A</v>
      </c>
      <c r="H840" s="24" t="str">
        <f t="shared" si="52"/>
        <v>C-A</v>
      </c>
      <c r="I840" s="23">
        <f t="shared" si="53"/>
        <v>0</v>
      </c>
      <c r="J840" s="23">
        <f t="shared" si="54"/>
        <v>1</v>
      </c>
      <c r="K840" s="24">
        <f t="shared" si="55"/>
        <v>1</v>
      </c>
    </row>
    <row r="841" spans="1:11">
      <c r="A841" s="23" t="s">
        <v>66</v>
      </c>
      <c r="B841" s="23" t="s">
        <v>241</v>
      </c>
      <c r="C841" s="23" t="s">
        <v>248</v>
      </c>
      <c r="D841" s="23">
        <f>INDEX(Positions!$D$2:$D$4694,MATCH($A841&amp;"|54",Positions!$A$2:$A$4694,0))</f>
        <v>56</v>
      </c>
      <c r="E841" s="23">
        <f>INDEX(Positions!$D$2:$D$4694,MATCH($A841&amp;"|58",Positions!$A$2:$A$4694,0))</f>
        <v>60</v>
      </c>
      <c r="F841" s="23" t="str">
        <f>INDEX(Positions!$E$2:$E$4694,MATCH($A841&amp;"|54",Positions!$A$2:$A$4694,0))</f>
        <v>U</v>
      </c>
      <c r="G841" s="23" t="str">
        <f>INDEX(Positions!$E$2:$E$4694,MATCH($A841&amp;"|58",Positions!$A$2:$A$4694,0))</f>
        <v>A</v>
      </c>
      <c r="H841" s="24" t="str">
        <f t="shared" si="52"/>
        <v>U-A</v>
      </c>
      <c r="I841" s="23">
        <f t="shared" si="53"/>
        <v>0</v>
      </c>
      <c r="J841" s="23">
        <f t="shared" si="54"/>
        <v>0</v>
      </c>
      <c r="K841" s="24">
        <f t="shared" si="55"/>
        <v>0</v>
      </c>
    </row>
    <row r="842" spans="1:11">
      <c r="A842" s="4" t="s">
        <v>67</v>
      </c>
      <c r="B842" s="4" t="s">
        <v>110</v>
      </c>
      <c r="C842" s="4" t="s">
        <v>220</v>
      </c>
      <c r="D842" s="4">
        <f>INDEX(Positions!$D$2:$D$4694,MATCH($A842&amp;"|1",Positions!$A$2:$A$4694,0))</f>
        <v>1</v>
      </c>
      <c r="E842" s="4">
        <f>INDEX(Positions!$D$2:$D$4694,MATCH($A842&amp;"|72",Positions!$A$2:$A$4694,0))</f>
        <v>74</v>
      </c>
      <c r="F842" s="4" t="str">
        <f>INDEX(Positions!$E$2:$E$4694,MATCH($A842&amp;"|1",Positions!$A$2:$A$4694,0))</f>
        <v>A</v>
      </c>
      <c r="G842" s="4" t="str">
        <f>INDEX(Positions!$E$2:$E$4694,MATCH($A842&amp;"|72",Positions!$A$2:$A$4694,0))</f>
        <v>U</v>
      </c>
      <c r="H842" s="3" t="str">
        <f t="shared" si="52"/>
        <v>A-U</v>
      </c>
      <c r="I842" s="4">
        <f t="shared" si="53"/>
        <v>0</v>
      </c>
      <c r="J842" s="4">
        <f t="shared" si="54"/>
        <v>0</v>
      </c>
      <c r="K842" s="3">
        <f t="shared" si="55"/>
        <v>0</v>
      </c>
    </row>
    <row r="843" spans="1:11">
      <c r="A843" s="4" t="s">
        <v>67</v>
      </c>
      <c r="B843" s="4" t="s">
        <v>110</v>
      </c>
      <c r="C843" s="4" t="s">
        <v>221</v>
      </c>
      <c r="D843" s="4">
        <f>INDEX(Positions!$D$2:$D$4694,MATCH($A843&amp;"|2",Positions!$A$2:$A$4694,0))</f>
        <v>2</v>
      </c>
      <c r="E843" s="4">
        <f>INDEX(Positions!$D$2:$D$4694,MATCH($A843&amp;"|71",Positions!$A$2:$A$4694,0))</f>
        <v>73</v>
      </c>
      <c r="F843" s="4" t="str">
        <f>INDEX(Positions!$E$2:$E$4694,MATCH($A843&amp;"|2",Positions!$A$2:$A$4694,0))</f>
        <v>G</v>
      </c>
      <c r="G843" s="4" t="str">
        <f>INDEX(Positions!$E$2:$E$4694,MATCH($A843&amp;"|71",Positions!$A$2:$A$4694,0))</f>
        <v>C</v>
      </c>
      <c r="H843" s="3" t="str">
        <f t="shared" si="52"/>
        <v>G-C</v>
      </c>
      <c r="I843" s="4">
        <f t="shared" si="53"/>
        <v>1</v>
      </c>
      <c r="J843" s="4">
        <f t="shared" si="54"/>
        <v>1</v>
      </c>
      <c r="K843" s="3">
        <f t="shared" si="55"/>
        <v>2</v>
      </c>
    </row>
    <row r="844" spans="1:11">
      <c r="A844" s="4" t="s">
        <v>67</v>
      </c>
      <c r="B844" s="4" t="s">
        <v>110</v>
      </c>
      <c r="C844" s="4" t="s">
        <v>222</v>
      </c>
      <c r="D844" s="4">
        <f>INDEX(Positions!$D$2:$D$4694,MATCH($A844&amp;"|3",Positions!$A$2:$A$4694,0))</f>
        <v>3</v>
      </c>
      <c r="E844" s="4">
        <f>INDEX(Positions!$D$2:$D$4694,MATCH($A844&amp;"|70",Positions!$A$2:$A$4694,0))</f>
        <v>72</v>
      </c>
      <c r="F844" s="4" t="str">
        <f>INDEX(Positions!$E$2:$E$4694,MATCH($A844&amp;"|3",Positions!$A$2:$A$4694,0))</f>
        <v>C</v>
      </c>
      <c r="G844" s="4" t="str">
        <f>INDEX(Positions!$E$2:$E$4694,MATCH($A844&amp;"|70",Positions!$A$2:$A$4694,0))</f>
        <v>G</v>
      </c>
      <c r="H844" s="3" t="str">
        <f t="shared" si="52"/>
        <v>C-G</v>
      </c>
      <c r="I844" s="4">
        <f t="shared" si="53"/>
        <v>1</v>
      </c>
      <c r="J844" s="4">
        <f t="shared" si="54"/>
        <v>1</v>
      </c>
      <c r="K844" s="3">
        <f t="shared" si="55"/>
        <v>2</v>
      </c>
    </row>
    <row r="845" spans="1:11">
      <c r="A845" s="4" t="s">
        <v>67</v>
      </c>
      <c r="B845" s="4" t="s">
        <v>110</v>
      </c>
      <c r="C845" s="4" t="s">
        <v>223</v>
      </c>
      <c r="D845" s="4">
        <f>INDEX(Positions!$D$2:$D$4694,MATCH($A845&amp;"|4",Positions!$A$2:$A$4694,0))</f>
        <v>4</v>
      </c>
      <c r="E845" s="4">
        <f>INDEX(Positions!$D$2:$D$4694,MATCH($A845&amp;"|69",Positions!$A$2:$A$4694,0))</f>
        <v>71</v>
      </c>
      <c r="F845" s="4" t="str">
        <f>INDEX(Positions!$E$2:$E$4694,MATCH($A845&amp;"|4",Positions!$A$2:$A$4694,0))</f>
        <v>G</v>
      </c>
      <c r="G845" s="4" t="str">
        <f>INDEX(Positions!$E$2:$E$4694,MATCH($A845&amp;"|69",Positions!$A$2:$A$4694,0))</f>
        <v>C</v>
      </c>
      <c r="H845" s="3" t="str">
        <f t="shared" si="52"/>
        <v>G-C</v>
      </c>
      <c r="I845" s="4">
        <f t="shared" si="53"/>
        <v>1</v>
      </c>
      <c r="J845" s="4">
        <f t="shared" si="54"/>
        <v>1</v>
      </c>
      <c r="K845" s="3">
        <f t="shared" si="55"/>
        <v>2</v>
      </c>
    </row>
    <row r="846" spans="1:11">
      <c r="A846" s="4" t="s">
        <v>67</v>
      </c>
      <c r="B846" s="4" t="s">
        <v>110</v>
      </c>
      <c r="C846" s="4" t="s">
        <v>224</v>
      </c>
      <c r="D846" s="4">
        <f>INDEX(Positions!$D$2:$D$4694,MATCH($A846&amp;"|5",Positions!$A$2:$A$4694,0))</f>
        <v>5</v>
      </c>
      <c r="E846" s="4">
        <f>INDEX(Positions!$D$2:$D$4694,MATCH($A846&amp;"|68",Positions!$A$2:$A$4694,0))</f>
        <v>70</v>
      </c>
      <c r="F846" s="4" t="str">
        <f>INDEX(Positions!$E$2:$E$4694,MATCH($A846&amp;"|5",Positions!$A$2:$A$4694,0))</f>
        <v>G</v>
      </c>
      <c r="G846" s="4" t="str">
        <f>INDEX(Positions!$E$2:$E$4694,MATCH($A846&amp;"|68",Positions!$A$2:$A$4694,0))</f>
        <v>C</v>
      </c>
      <c r="H846" s="3" t="str">
        <f t="shared" si="52"/>
        <v>G-C</v>
      </c>
      <c r="I846" s="4">
        <f t="shared" si="53"/>
        <v>1</v>
      </c>
      <c r="J846" s="4">
        <f t="shared" si="54"/>
        <v>1</v>
      </c>
      <c r="K846" s="3">
        <f t="shared" si="55"/>
        <v>2</v>
      </c>
    </row>
    <row r="847" spans="1:11">
      <c r="A847" s="4" t="s">
        <v>67</v>
      </c>
      <c r="B847" s="4" t="s">
        <v>110</v>
      </c>
      <c r="C847" s="4" t="s">
        <v>225</v>
      </c>
      <c r="D847" s="4">
        <f>INDEX(Positions!$D$2:$D$4694,MATCH($A847&amp;"|6",Positions!$A$2:$A$4694,0))</f>
        <v>6</v>
      </c>
      <c r="E847" s="4">
        <f>INDEX(Positions!$D$2:$D$4694,MATCH($A847&amp;"|67",Positions!$A$2:$A$4694,0))</f>
        <v>69</v>
      </c>
      <c r="F847" s="4" t="str">
        <f>INDEX(Positions!$E$2:$E$4694,MATCH($A847&amp;"|6",Positions!$A$2:$A$4694,0))</f>
        <v>G</v>
      </c>
      <c r="G847" s="4" t="str">
        <f>INDEX(Positions!$E$2:$E$4694,MATCH($A847&amp;"|67",Positions!$A$2:$A$4694,0))</f>
        <v>C</v>
      </c>
      <c r="H847" s="3" t="str">
        <f t="shared" si="52"/>
        <v>G-C</v>
      </c>
      <c r="I847" s="4">
        <f t="shared" si="53"/>
        <v>1</v>
      </c>
      <c r="J847" s="4">
        <f t="shared" si="54"/>
        <v>1</v>
      </c>
      <c r="K847" s="3">
        <f t="shared" si="55"/>
        <v>2</v>
      </c>
    </row>
    <row r="848" spans="1:11">
      <c r="A848" s="4" t="s">
        <v>67</v>
      </c>
      <c r="B848" s="4" t="s">
        <v>110</v>
      </c>
      <c r="C848" s="4" t="s">
        <v>226</v>
      </c>
      <c r="D848" s="4">
        <f>INDEX(Positions!$D$2:$D$4694,MATCH($A848&amp;"|7",Positions!$A$2:$A$4694,0))</f>
        <v>7</v>
      </c>
      <c r="E848" s="4">
        <f>INDEX(Positions!$D$2:$D$4694,MATCH($A848&amp;"|66",Positions!$A$2:$A$4694,0))</f>
        <v>68</v>
      </c>
      <c r="F848" s="4" t="str">
        <f>INDEX(Positions!$E$2:$E$4694,MATCH($A848&amp;"|7",Positions!$A$2:$A$4694,0))</f>
        <v>G</v>
      </c>
      <c r="G848" s="4" t="str">
        <f>INDEX(Positions!$E$2:$E$4694,MATCH($A848&amp;"|66",Positions!$A$2:$A$4694,0))</f>
        <v>C</v>
      </c>
      <c r="H848" s="3" t="str">
        <f t="shared" si="52"/>
        <v>G-C</v>
      </c>
      <c r="I848" s="4">
        <f t="shared" si="53"/>
        <v>1</v>
      </c>
      <c r="J848" s="4">
        <f t="shared" si="54"/>
        <v>1</v>
      </c>
      <c r="K848" s="3">
        <f t="shared" si="55"/>
        <v>2</v>
      </c>
    </row>
    <row r="849" spans="1:11">
      <c r="A849" s="4" t="s">
        <v>67</v>
      </c>
      <c r="B849" s="4" t="s">
        <v>125</v>
      </c>
      <c r="C849" s="4" t="s">
        <v>227</v>
      </c>
      <c r="D849" s="4">
        <f>INDEX(Positions!$D$2:$D$4694,MATCH($A849&amp;"|10",Positions!$A$2:$A$4694,0))</f>
        <v>10</v>
      </c>
      <c r="E849" s="4">
        <f>INDEX(Positions!$D$2:$D$4694,MATCH($A849&amp;"|25",Positions!$A$2:$A$4694,0))</f>
        <v>27</v>
      </c>
      <c r="F849" s="4" t="str">
        <f>INDEX(Positions!$E$2:$E$4694,MATCH($A849&amp;"|10",Positions!$A$2:$A$4694,0))</f>
        <v>G</v>
      </c>
      <c r="G849" s="4" t="str">
        <f>INDEX(Positions!$E$2:$E$4694,MATCH($A849&amp;"|25",Positions!$A$2:$A$4694,0))</f>
        <v>C</v>
      </c>
      <c r="H849" s="3" t="str">
        <f t="shared" si="52"/>
        <v>G-C</v>
      </c>
      <c r="I849" s="4">
        <f t="shared" si="53"/>
        <v>1</v>
      </c>
      <c r="J849" s="4">
        <f t="shared" si="54"/>
        <v>1</v>
      </c>
      <c r="K849" s="3">
        <f t="shared" si="55"/>
        <v>2</v>
      </c>
    </row>
    <row r="850" spans="1:11">
      <c r="A850" s="4" t="s">
        <v>67</v>
      </c>
      <c r="B850" s="4" t="s">
        <v>125</v>
      </c>
      <c r="C850" s="4" t="s">
        <v>228</v>
      </c>
      <c r="D850" s="4">
        <f>INDEX(Positions!$D$2:$D$4694,MATCH($A850&amp;"|11",Positions!$A$2:$A$4694,0))</f>
        <v>11</v>
      </c>
      <c r="E850" s="4">
        <f>INDEX(Positions!$D$2:$D$4694,MATCH($A850&amp;"|24",Positions!$A$2:$A$4694,0))</f>
        <v>26</v>
      </c>
      <c r="F850" s="4" t="str">
        <f>INDEX(Positions!$E$2:$E$4694,MATCH($A850&amp;"|11",Positions!$A$2:$A$4694,0))</f>
        <v>G</v>
      </c>
      <c r="G850" s="4" t="str">
        <f>INDEX(Positions!$E$2:$E$4694,MATCH($A850&amp;"|24",Positions!$A$2:$A$4694,0))</f>
        <v>C</v>
      </c>
      <c r="H850" s="3" t="str">
        <f t="shared" si="52"/>
        <v>G-C</v>
      </c>
      <c r="I850" s="4">
        <f t="shared" si="53"/>
        <v>1</v>
      </c>
      <c r="J850" s="4">
        <f t="shared" si="54"/>
        <v>1</v>
      </c>
      <c r="K850" s="3">
        <f t="shared" si="55"/>
        <v>2</v>
      </c>
    </row>
    <row r="851" spans="1:11">
      <c r="A851" s="4" t="s">
        <v>67</v>
      </c>
      <c r="B851" s="4" t="s">
        <v>125</v>
      </c>
      <c r="C851" s="4" t="s">
        <v>229</v>
      </c>
      <c r="D851" s="4">
        <f>INDEX(Positions!$D$2:$D$4694,MATCH($A851&amp;"|12",Positions!$A$2:$A$4694,0))</f>
        <v>12</v>
      </c>
      <c r="E851" s="4">
        <f>INDEX(Positions!$D$2:$D$4694,MATCH($A851&amp;"|23",Positions!$A$2:$A$4694,0))</f>
        <v>25</v>
      </c>
      <c r="F851" s="4" t="str">
        <f>INDEX(Positions!$E$2:$E$4694,MATCH($A851&amp;"|12",Positions!$A$2:$A$4694,0))</f>
        <v>G</v>
      </c>
      <c r="G851" s="4" t="str">
        <f>INDEX(Positions!$E$2:$E$4694,MATCH($A851&amp;"|23",Positions!$A$2:$A$4694,0))</f>
        <v>C</v>
      </c>
      <c r="H851" s="3" t="str">
        <f t="shared" si="52"/>
        <v>G-C</v>
      </c>
      <c r="I851" s="4">
        <f t="shared" si="53"/>
        <v>1</v>
      </c>
      <c r="J851" s="4">
        <f t="shared" si="54"/>
        <v>1</v>
      </c>
      <c r="K851" s="3">
        <f t="shared" si="55"/>
        <v>2</v>
      </c>
    </row>
    <row r="852" spans="1:11">
      <c r="A852" s="4" t="s">
        <v>67</v>
      </c>
      <c r="B852" s="4" t="s">
        <v>125</v>
      </c>
      <c r="C852" s="4" t="s">
        <v>230</v>
      </c>
      <c r="D852" s="4">
        <f>INDEX(Positions!$D$2:$D$4694,MATCH($A852&amp;"|13",Positions!$A$2:$A$4694,0))</f>
        <v>13</v>
      </c>
      <c r="E852" s="4">
        <f>INDEX(Positions!$D$2:$D$4694,MATCH($A852&amp;"|22",Positions!$A$2:$A$4694,0))</f>
        <v>24</v>
      </c>
      <c r="F852" s="4" t="str">
        <f>INDEX(Positions!$E$2:$E$4694,MATCH($A852&amp;"|13",Positions!$A$2:$A$4694,0))</f>
        <v>U</v>
      </c>
      <c r="G852" s="4" t="str">
        <f>INDEX(Positions!$E$2:$E$4694,MATCH($A852&amp;"|22",Positions!$A$2:$A$4694,0))</f>
        <v>U</v>
      </c>
      <c r="H852" s="3" t="str">
        <f t="shared" si="52"/>
        <v>U-U</v>
      </c>
      <c r="I852" s="4">
        <f t="shared" si="53"/>
        <v>0</v>
      </c>
      <c r="J852" s="4">
        <f t="shared" si="54"/>
        <v>0</v>
      </c>
      <c r="K852" s="3">
        <f t="shared" si="55"/>
        <v>0</v>
      </c>
    </row>
    <row r="853" spans="1:11">
      <c r="A853" s="4" t="s">
        <v>67</v>
      </c>
      <c r="B853" s="4" t="s">
        <v>144</v>
      </c>
      <c r="C853" s="4" t="s">
        <v>231</v>
      </c>
      <c r="D853" s="4">
        <f>INDEX(Positions!$D$2:$D$4694,MATCH($A853&amp;"|27",Positions!$A$2:$A$4694,0))</f>
        <v>29</v>
      </c>
      <c r="E853" s="4">
        <f>INDEX(Positions!$D$2:$D$4694,MATCH($A853&amp;"|43",Positions!$A$2:$A$4694,0))</f>
        <v>45</v>
      </c>
      <c r="F853" s="4" t="str">
        <f>INDEX(Positions!$E$2:$E$4694,MATCH($A853&amp;"|27",Positions!$A$2:$A$4694,0))</f>
        <v>A</v>
      </c>
      <c r="G853" s="4" t="str">
        <f>INDEX(Positions!$E$2:$E$4694,MATCH($A853&amp;"|43",Positions!$A$2:$A$4694,0))</f>
        <v>U</v>
      </c>
      <c r="H853" s="3" t="str">
        <f t="shared" si="52"/>
        <v>A-U</v>
      </c>
      <c r="I853" s="4">
        <f t="shared" si="53"/>
        <v>0</v>
      </c>
      <c r="J853" s="4">
        <f t="shared" si="54"/>
        <v>0</v>
      </c>
      <c r="K853" s="3">
        <f t="shared" si="55"/>
        <v>0</v>
      </c>
    </row>
    <row r="854" spans="1:11">
      <c r="A854" s="4" t="s">
        <v>67</v>
      </c>
      <c r="B854" s="4" t="s">
        <v>144</v>
      </c>
      <c r="C854" s="4" t="s">
        <v>232</v>
      </c>
      <c r="D854" s="4">
        <f>INDEX(Positions!$D$2:$D$4694,MATCH($A854&amp;"|28",Positions!$A$2:$A$4694,0))</f>
        <v>30</v>
      </c>
      <c r="E854" s="4">
        <f>INDEX(Positions!$D$2:$D$4694,MATCH($A854&amp;"|42",Positions!$A$2:$A$4694,0))</f>
        <v>44</v>
      </c>
      <c r="F854" s="4" t="str">
        <f>INDEX(Positions!$E$2:$E$4694,MATCH($A854&amp;"|28",Positions!$A$2:$A$4694,0))</f>
        <v>C</v>
      </c>
      <c r="G854" s="4" t="str">
        <f>INDEX(Positions!$E$2:$E$4694,MATCH($A854&amp;"|42",Positions!$A$2:$A$4694,0))</f>
        <v>G</v>
      </c>
      <c r="H854" s="3" t="str">
        <f t="shared" si="52"/>
        <v>C-G</v>
      </c>
      <c r="I854" s="4">
        <f t="shared" si="53"/>
        <v>1</v>
      </c>
      <c r="J854" s="4">
        <f t="shared" si="54"/>
        <v>1</v>
      </c>
      <c r="K854" s="3">
        <f t="shared" si="55"/>
        <v>2</v>
      </c>
    </row>
    <row r="855" spans="1:11">
      <c r="A855" s="4" t="s">
        <v>67</v>
      </c>
      <c r="B855" s="4" t="s">
        <v>144</v>
      </c>
      <c r="C855" s="4" t="s">
        <v>233</v>
      </c>
      <c r="D855" s="4">
        <f>INDEX(Positions!$D$2:$D$4694,MATCH($A855&amp;"|29",Positions!$A$2:$A$4694,0))</f>
        <v>31</v>
      </c>
      <c r="E855" s="4">
        <f>INDEX(Positions!$D$2:$D$4694,MATCH($A855&amp;"|41",Positions!$A$2:$A$4694,0))</f>
        <v>43</v>
      </c>
      <c r="F855" s="4" t="str">
        <f>INDEX(Positions!$E$2:$E$4694,MATCH($A855&amp;"|29",Positions!$A$2:$A$4694,0))</f>
        <v>G</v>
      </c>
      <c r="G855" s="4" t="str">
        <f>INDEX(Positions!$E$2:$E$4694,MATCH($A855&amp;"|41",Positions!$A$2:$A$4694,0))</f>
        <v>C</v>
      </c>
      <c r="H855" s="3" t="str">
        <f t="shared" si="52"/>
        <v>G-C</v>
      </c>
      <c r="I855" s="4">
        <f t="shared" si="53"/>
        <v>1</v>
      </c>
      <c r="J855" s="4">
        <f t="shared" si="54"/>
        <v>1</v>
      </c>
      <c r="K855" s="3">
        <f t="shared" si="55"/>
        <v>2</v>
      </c>
    </row>
    <row r="856" spans="1:11">
      <c r="A856" s="4" t="s">
        <v>67</v>
      </c>
      <c r="B856" s="4" t="s">
        <v>144</v>
      </c>
      <c r="C856" s="4" t="s">
        <v>234</v>
      </c>
      <c r="D856" s="4">
        <f>INDEX(Positions!$D$2:$D$4694,MATCH($A856&amp;"|30",Positions!$A$2:$A$4694,0))</f>
        <v>32</v>
      </c>
      <c r="E856" s="4">
        <f>INDEX(Positions!$D$2:$D$4694,MATCH($A856&amp;"|40",Positions!$A$2:$A$4694,0))</f>
        <v>42</v>
      </c>
      <c r="F856" s="4" t="str">
        <f>INDEX(Positions!$E$2:$E$4694,MATCH($A856&amp;"|30",Positions!$A$2:$A$4694,0))</f>
        <v>G</v>
      </c>
      <c r="G856" s="4" t="str">
        <f>INDEX(Positions!$E$2:$E$4694,MATCH($A856&amp;"|40",Positions!$A$2:$A$4694,0))</f>
        <v>C</v>
      </c>
      <c r="H856" s="3" t="str">
        <f t="shared" si="52"/>
        <v>G-C</v>
      </c>
      <c r="I856" s="4">
        <f t="shared" si="53"/>
        <v>1</v>
      </c>
      <c r="J856" s="4">
        <f t="shared" si="54"/>
        <v>1</v>
      </c>
      <c r="K856" s="3">
        <f t="shared" si="55"/>
        <v>2</v>
      </c>
    </row>
    <row r="857" spans="1:11">
      <c r="A857" s="4" t="s">
        <v>67</v>
      </c>
      <c r="B857" s="4" t="s">
        <v>144</v>
      </c>
      <c r="C857" s="4" t="s">
        <v>235</v>
      </c>
      <c r="D857" s="4">
        <f>INDEX(Positions!$D$2:$D$4694,MATCH($A857&amp;"|31",Positions!$A$2:$A$4694,0))</f>
        <v>33</v>
      </c>
      <c r="E857" s="4">
        <f>INDEX(Positions!$D$2:$D$4694,MATCH($A857&amp;"|39",Positions!$A$2:$A$4694,0))</f>
        <v>41</v>
      </c>
      <c r="F857" s="4" t="str">
        <f>INDEX(Positions!$E$2:$E$4694,MATCH($A857&amp;"|31",Positions!$A$2:$A$4694,0))</f>
        <v>G</v>
      </c>
      <c r="G857" s="4" t="str">
        <f>INDEX(Positions!$E$2:$E$4694,MATCH($A857&amp;"|39",Positions!$A$2:$A$4694,0))</f>
        <v>C</v>
      </c>
      <c r="H857" s="3" t="str">
        <f t="shared" si="52"/>
        <v>G-C</v>
      </c>
      <c r="I857" s="4">
        <f t="shared" si="53"/>
        <v>1</v>
      </c>
      <c r="J857" s="4">
        <f t="shared" si="54"/>
        <v>1</v>
      </c>
      <c r="K857" s="3">
        <f t="shared" si="55"/>
        <v>2</v>
      </c>
    </row>
    <row r="858" spans="1:11">
      <c r="A858" s="4" t="s">
        <v>67</v>
      </c>
      <c r="B858" s="4" t="s">
        <v>169</v>
      </c>
      <c r="C858" s="4" t="s">
        <v>236</v>
      </c>
      <c r="D858" s="4">
        <f>INDEX(Positions!$D$2:$D$4694,MATCH($A858&amp;"|49",Positions!$A$2:$A$4694,0))</f>
        <v>51</v>
      </c>
      <c r="E858" s="4">
        <f>INDEX(Positions!$D$2:$D$4694,MATCH($A858&amp;"|65",Positions!$A$2:$A$4694,0))</f>
        <v>67</v>
      </c>
      <c r="F858" s="4" t="str">
        <f>INDEX(Positions!$E$2:$E$4694,MATCH($A858&amp;"|49",Positions!$A$2:$A$4694,0))</f>
        <v>G</v>
      </c>
      <c r="G858" s="4" t="str">
        <f>INDEX(Positions!$E$2:$E$4694,MATCH($A858&amp;"|65",Positions!$A$2:$A$4694,0))</f>
        <v>C</v>
      </c>
      <c r="H858" s="3" t="str">
        <f t="shared" si="52"/>
        <v>G-C</v>
      </c>
      <c r="I858" s="4">
        <f t="shared" si="53"/>
        <v>1</v>
      </c>
      <c r="J858" s="4">
        <f t="shared" si="54"/>
        <v>1</v>
      </c>
      <c r="K858" s="3">
        <f t="shared" si="55"/>
        <v>2</v>
      </c>
    </row>
    <row r="859" spans="1:11">
      <c r="A859" s="4" t="s">
        <v>67</v>
      </c>
      <c r="B859" s="4" t="s">
        <v>169</v>
      </c>
      <c r="C859" s="4" t="s">
        <v>237</v>
      </c>
      <c r="D859" s="4">
        <f>INDEX(Positions!$D$2:$D$4694,MATCH($A859&amp;"|50",Positions!$A$2:$A$4694,0))</f>
        <v>52</v>
      </c>
      <c r="E859" s="4">
        <f>INDEX(Positions!$D$2:$D$4694,MATCH($A859&amp;"|64",Positions!$A$2:$A$4694,0))</f>
        <v>66</v>
      </c>
      <c r="F859" s="4" t="str">
        <f>INDEX(Positions!$E$2:$E$4694,MATCH($A859&amp;"|50",Positions!$A$2:$A$4694,0))</f>
        <v>A</v>
      </c>
      <c r="G859" s="4" t="str">
        <f>INDEX(Positions!$E$2:$E$4694,MATCH($A859&amp;"|64",Positions!$A$2:$A$4694,0))</f>
        <v>U</v>
      </c>
      <c r="H859" s="3" t="str">
        <f t="shared" si="52"/>
        <v>A-U</v>
      </c>
      <c r="I859" s="4">
        <f t="shared" si="53"/>
        <v>0</v>
      </c>
      <c r="J859" s="4">
        <f t="shared" si="54"/>
        <v>0</v>
      </c>
      <c r="K859" s="3">
        <f t="shared" si="55"/>
        <v>0</v>
      </c>
    </row>
    <row r="860" spans="1:11">
      <c r="A860" s="4" t="s">
        <v>67</v>
      </c>
      <c r="B860" s="4" t="s">
        <v>169</v>
      </c>
      <c r="C860" s="4" t="s">
        <v>238</v>
      </c>
      <c r="D860" s="4">
        <f>INDEX(Positions!$D$2:$D$4694,MATCH($A860&amp;"|51",Positions!$A$2:$A$4694,0))</f>
        <v>53</v>
      </c>
      <c r="E860" s="4">
        <f>INDEX(Positions!$D$2:$D$4694,MATCH($A860&amp;"|63",Positions!$A$2:$A$4694,0))</f>
        <v>65</v>
      </c>
      <c r="F860" s="4" t="str">
        <f>INDEX(Positions!$E$2:$E$4694,MATCH($A860&amp;"|51",Positions!$A$2:$A$4694,0))</f>
        <v>U</v>
      </c>
      <c r="G860" s="4" t="str">
        <f>INDEX(Positions!$E$2:$E$4694,MATCH($A860&amp;"|63",Positions!$A$2:$A$4694,0))</f>
        <v>A</v>
      </c>
      <c r="H860" s="3" t="str">
        <f t="shared" si="52"/>
        <v>U-A</v>
      </c>
      <c r="I860" s="4">
        <f t="shared" si="53"/>
        <v>0</v>
      </c>
      <c r="J860" s="4">
        <f t="shared" si="54"/>
        <v>0</v>
      </c>
      <c r="K860" s="3">
        <f t="shared" si="55"/>
        <v>0</v>
      </c>
    </row>
    <row r="861" spans="1:11">
      <c r="A861" s="4" t="s">
        <v>67</v>
      </c>
      <c r="B861" s="4" t="s">
        <v>169</v>
      </c>
      <c r="C861" s="4" t="s">
        <v>239</v>
      </c>
      <c r="D861" s="4">
        <f>INDEX(Positions!$D$2:$D$4694,MATCH($A861&amp;"|52",Positions!$A$2:$A$4694,0))</f>
        <v>54</v>
      </c>
      <c r="E861" s="4">
        <f>INDEX(Positions!$D$2:$D$4694,MATCH($A861&amp;"|62",Positions!$A$2:$A$4694,0))</f>
        <v>64</v>
      </c>
      <c r="F861" s="4" t="str">
        <f>INDEX(Positions!$E$2:$E$4694,MATCH($A861&amp;"|52",Positions!$A$2:$A$4694,0))</f>
        <v>G</v>
      </c>
      <c r="G861" s="4" t="str">
        <f>INDEX(Positions!$E$2:$E$4694,MATCH($A861&amp;"|62",Positions!$A$2:$A$4694,0))</f>
        <v>C</v>
      </c>
      <c r="H861" s="3" t="str">
        <f t="shared" si="52"/>
        <v>G-C</v>
      </c>
      <c r="I861" s="4">
        <f t="shared" si="53"/>
        <v>1</v>
      </c>
      <c r="J861" s="4">
        <f t="shared" si="54"/>
        <v>1</v>
      </c>
      <c r="K861" s="3">
        <f t="shared" si="55"/>
        <v>2</v>
      </c>
    </row>
    <row r="862" spans="1:11">
      <c r="A862" s="4" t="s">
        <v>67</v>
      </c>
      <c r="B862" s="4" t="s">
        <v>169</v>
      </c>
      <c r="C862" s="4" t="s">
        <v>240</v>
      </c>
      <c r="D862" s="4">
        <f>INDEX(Positions!$D$2:$D$4694,MATCH($A862&amp;"|53",Positions!$A$2:$A$4694,0))</f>
        <v>55</v>
      </c>
      <c r="E862" s="4">
        <f>INDEX(Positions!$D$2:$D$4694,MATCH($A862&amp;"|61",Positions!$A$2:$A$4694,0))</f>
        <v>63</v>
      </c>
      <c r="F862" s="4" t="str">
        <f>INDEX(Positions!$E$2:$E$4694,MATCH($A862&amp;"|53",Positions!$A$2:$A$4694,0))</f>
        <v>G</v>
      </c>
      <c r="G862" s="4" t="str">
        <f>INDEX(Positions!$E$2:$E$4694,MATCH($A862&amp;"|61",Positions!$A$2:$A$4694,0))</f>
        <v>C</v>
      </c>
      <c r="H862" s="3" t="str">
        <f t="shared" si="52"/>
        <v>G-C</v>
      </c>
      <c r="I862" s="4">
        <f t="shared" si="53"/>
        <v>1</v>
      </c>
      <c r="J862" s="4">
        <f t="shared" si="54"/>
        <v>1</v>
      </c>
      <c r="K862" s="3">
        <f t="shared" si="55"/>
        <v>2</v>
      </c>
    </row>
    <row r="863" spans="1:11">
      <c r="A863" s="23" t="s">
        <v>67</v>
      </c>
      <c r="B863" s="23" t="s">
        <v>241</v>
      </c>
      <c r="C863" s="23" t="s">
        <v>242</v>
      </c>
      <c r="D863" s="23">
        <f>INDEX(Positions!$D$2:$D$4694,MATCH($A863&amp;"|8",Positions!$A$2:$A$4694,0))</f>
        <v>8</v>
      </c>
      <c r="E863" s="23">
        <f>INDEX(Positions!$D$2:$D$4694,MATCH($A863&amp;"|14",Positions!$A$2:$A$4694,0))</f>
        <v>14</v>
      </c>
      <c r="F863" s="23" t="str">
        <f>INDEX(Positions!$E$2:$E$4694,MATCH($A863&amp;"|8",Positions!$A$2:$A$4694,0))</f>
        <v>U</v>
      </c>
      <c r="G863" s="23" t="str">
        <f>INDEX(Positions!$E$2:$E$4694,MATCH($A863&amp;"|14",Positions!$A$2:$A$4694,0))</f>
        <v>A</v>
      </c>
      <c r="H863" s="24" t="str">
        <f t="shared" si="52"/>
        <v>U-A</v>
      </c>
      <c r="I863" s="23">
        <f t="shared" si="53"/>
        <v>0</v>
      </c>
      <c r="J863" s="23">
        <f t="shared" si="54"/>
        <v>0</v>
      </c>
      <c r="K863" s="24">
        <f t="shared" si="55"/>
        <v>0</v>
      </c>
    </row>
    <row r="864" spans="1:11">
      <c r="A864" s="23" t="s">
        <v>67</v>
      </c>
      <c r="B864" s="23" t="s">
        <v>241</v>
      </c>
      <c r="C864" s="23" t="s">
        <v>243</v>
      </c>
      <c r="D864" s="23">
        <f>INDEX(Positions!$D$2:$D$4694,MATCH($A864&amp;"|15",Positions!$A$2:$A$4694,0))</f>
        <v>15</v>
      </c>
      <c r="E864" s="23">
        <f>INDEX(Positions!$D$2:$D$4694,MATCH($A864&amp;"|48",Positions!$A$2:$A$4694,0))</f>
        <v>50</v>
      </c>
      <c r="F864" s="23" t="str">
        <f>INDEX(Positions!$E$2:$E$4694,MATCH($A864&amp;"|15",Positions!$A$2:$A$4694,0))</f>
        <v>G</v>
      </c>
      <c r="G864" s="23" t="str">
        <f>INDEX(Positions!$E$2:$E$4694,MATCH($A864&amp;"|48",Positions!$A$2:$A$4694,0))</f>
        <v>C</v>
      </c>
      <c r="H864" s="24" t="str">
        <f t="shared" si="52"/>
        <v>G-C</v>
      </c>
      <c r="I864" s="23">
        <f t="shared" si="53"/>
        <v>1</v>
      </c>
      <c r="J864" s="23">
        <f t="shared" si="54"/>
        <v>1</v>
      </c>
      <c r="K864" s="24">
        <f t="shared" si="55"/>
        <v>2</v>
      </c>
    </row>
    <row r="865" spans="1:11">
      <c r="A865" s="23" t="s">
        <v>67</v>
      </c>
      <c r="B865" s="23" t="s">
        <v>241</v>
      </c>
      <c r="C865" s="23" t="s">
        <v>244</v>
      </c>
      <c r="D865" s="23">
        <f>INDEX(Positions!$D$2:$D$4694,MATCH($A865&amp;"|18",Positions!$A$2:$A$4694,0))</f>
        <v>19</v>
      </c>
      <c r="E865" s="23">
        <f>INDEX(Positions!$D$2:$D$4694,MATCH($A865&amp;"|55",Positions!$A$2:$A$4694,0))</f>
        <v>57</v>
      </c>
      <c r="F865" s="23" t="str">
        <f>INDEX(Positions!$E$2:$E$4694,MATCH($A865&amp;"|18",Positions!$A$2:$A$4694,0))</f>
        <v>G</v>
      </c>
      <c r="G865" s="23" t="str">
        <f>INDEX(Positions!$E$2:$E$4694,MATCH($A865&amp;"|55",Positions!$A$2:$A$4694,0))</f>
        <v>U</v>
      </c>
      <c r="H865" s="24" t="str">
        <f t="shared" si="52"/>
        <v>G-U</v>
      </c>
      <c r="I865" s="23">
        <f t="shared" si="53"/>
        <v>1</v>
      </c>
      <c r="J865" s="23">
        <f t="shared" si="54"/>
        <v>0</v>
      </c>
      <c r="K865" s="24">
        <f t="shared" si="55"/>
        <v>1</v>
      </c>
    </row>
    <row r="866" spans="1:11">
      <c r="A866" s="23" t="s">
        <v>67</v>
      </c>
      <c r="B866" s="23" t="s">
        <v>241</v>
      </c>
      <c r="C866" s="23" t="s">
        <v>245</v>
      </c>
      <c r="D866" s="23">
        <f>INDEX(Positions!$D$2:$D$4694,MATCH($A866&amp;"|19",Positions!$A$2:$A$4694,0))</f>
        <v>20</v>
      </c>
      <c r="E866" s="23">
        <f>INDEX(Positions!$D$2:$D$4694,MATCH($A866&amp;"|56",Positions!$A$2:$A$4694,0))</f>
        <v>58</v>
      </c>
      <c r="F866" s="23" t="str">
        <f>INDEX(Positions!$E$2:$E$4694,MATCH($A866&amp;"|19",Positions!$A$2:$A$4694,0))</f>
        <v>G</v>
      </c>
      <c r="G866" s="23" t="str">
        <f>INDEX(Positions!$E$2:$E$4694,MATCH($A866&amp;"|56",Positions!$A$2:$A$4694,0))</f>
        <v>C</v>
      </c>
      <c r="H866" s="24" t="str">
        <f t="shared" si="52"/>
        <v>G-C</v>
      </c>
      <c r="I866" s="23">
        <f t="shared" si="53"/>
        <v>1</v>
      </c>
      <c r="J866" s="23">
        <f t="shared" si="54"/>
        <v>1</v>
      </c>
      <c r="K866" s="24">
        <f t="shared" si="55"/>
        <v>2</v>
      </c>
    </row>
    <row r="867" spans="1:11">
      <c r="A867" s="23" t="s">
        <v>67</v>
      </c>
      <c r="B867" s="23" t="s">
        <v>241</v>
      </c>
      <c r="C867" s="23" t="s">
        <v>246</v>
      </c>
      <c r="D867" s="23">
        <f>INDEX(Positions!$D$2:$D$4694,MATCH($A867&amp;"|26",Positions!$A$2:$A$4694,0))</f>
        <v>28</v>
      </c>
      <c r="E867" s="23">
        <f>INDEX(Positions!$D$2:$D$4694,MATCH($A867&amp;"|44",Positions!$A$2:$A$4694,0))</f>
        <v>46</v>
      </c>
      <c r="F867" s="23" t="str">
        <f>INDEX(Positions!$E$2:$E$4694,MATCH($A867&amp;"|26",Positions!$A$2:$A$4694,0))</f>
        <v>G</v>
      </c>
      <c r="G867" s="23" t="str">
        <f>INDEX(Positions!$E$2:$E$4694,MATCH($A867&amp;"|44",Positions!$A$2:$A$4694,0))</f>
        <v>A</v>
      </c>
      <c r="H867" s="24" t="str">
        <f t="shared" si="52"/>
        <v>G-A</v>
      </c>
      <c r="I867" s="23">
        <f t="shared" si="53"/>
        <v>1</v>
      </c>
      <c r="J867" s="23">
        <f t="shared" si="54"/>
        <v>0</v>
      </c>
      <c r="K867" s="24">
        <f t="shared" si="55"/>
        <v>1</v>
      </c>
    </row>
    <row r="868" spans="1:11">
      <c r="A868" s="23" t="s">
        <v>67</v>
      </c>
      <c r="B868" s="23" t="s">
        <v>241</v>
      </c>
      <c r="C868" s="23" t="s">
        <v>247</v>
      </c>
      <c r="D868" s="23">
        <f>INDEX(Positions!$D$2:$D$4694,MATCH($A868&amp;"|32",Positions!$A$2:$A$4694,0))</f>
        <v>34</v>
      </c>
      <c r="E868" s="23">
        <f>INDEX(Positions!$D$2:$D$4694,MATCH($A868&amp;"|38",Positions!$A$2:$A$4694,0))</f>
        <v>40</v>
      </c>
      <c r="F868" s="23" t="str">
        <f>INDEX(Positions!$E$2:$E$4694,MATCH($A868&amp;"|32",Positions!$A$2:$A$4694,0))</f>
        <v>C</v>
      </c>
      <c r="G868" s="23" t="str">
        <f>INDEX(Positions!$E$2:$E$4694,MATCH($A868&amp;"|38",Positions!$A$2:$A$4694,0))</f>
        <v>A</v>
      </c>
      <c r="H868" s="24" t="str">
        <f t="shared" si="52"/>
        <v>C-A</v>
      </c>
      <c r="I868" s="23">
        <f t="shared" si="53"/>
        <v>0</v>
      </c>
      <c r="J868" s="23">
        <f t="shared" si="54"/>
        <v>1</v>
      </c>
      <c r="K868" s="24">
        <f t="shared" si="55"/>
        <v>1</v>
      </c>
    </row>
    <row r="869" spans="1:11">
      <c r="A869" s="23" t="s">
        <v>67</v>
      </c>
      <c r="B869" s="23" t="s">
        <v>241</v>
      </c>
      <c r="C869" s="23" t="s">
        <v>248</v>
      </c>
      <c r="D869" s="23">
        <f>INDEX(Positions!$D$2:$D$4694,MATCH($A869&amp;"|54",Positions!$A$2:$A$4694,0))</f>
        <v>56</v>
      </c>
      <c r="E869" s="23">
        <f>INDEX(Positions!$D$2:$D$4694,MATCH($A869&amp;"|58",Positions!$A$2:$A$4694,0))</f>
        <v>60</v>
      </c>
      <c r="F869" s="23" t="str">
        <f>INDEX(Positions!$E$2:$E$4694,MATCH($A869&amp;"|54",Positions!$A$2:$A$4694,0))</f>
        <v>U</v>
      </c>
      <c r="G869" s="23" t="str">
        <f>INDEX(Positions!$E$2:$E$4694,MATCH($A869&amp;"|58",Positions!$A$2:$A$4694,0))</f>
        <v>A</v>
      </c>
      <c r="H869" s="24" t="str">
        <f t="shared" si="52"/>
        <v>U-A</v>
      </c>
      <c r="I869" s="23">
        <f t="shared" si="53"/>
        <v>0</v>
      </c>
      <c r="J869" s="23">
        <f t="shared" si="54"/>
        <v>0</v>
      </c>
      <c r="K869" s="24">
        <f t="shared" si="55"/>
        <v>0</v>
      </c>
    </row>
    <row r="870" spans="1:11">
      <c r="A870" s="4" t="s">
        <v>68</v>
      </c>
      <c r="B870" s="4" t="s">
        <v>110</v>
      </c>
      <c r="C870" s="4" t="s">
        <v>220</v>
      </c>
      <c r="D870" s="4">
        <f>INDEX(Positions!$D$2:$D$4694,MATCH($A870&amp;"|1",Positions!$A$2:$A$4694,0))</f>
        <v>1</v>
      </c>
      <c r="E870" s="4">
        <f>INDEX(Positions!$D$2:$D$4694,MATCH($A870&amp;"|72",Positions!$A$2:$A$4694,0))</f>
        <v>74</v>
      </c>
      <c r="F870" s="4" t="str">
        <f>INDEX(Positions!$E$2:$E$4694,MATCH($A870&amp;"|1",Positions!$A$2:$A$4694,0))</f>
        <v>A</v>
      </c>
      <c r="G870" s="4" t="str">
        <f>INDEX(Positions!$E$2:$E$4694,MATCH($A870&amp;"|72",Positions!$A$2:$A$4694,0))</f>
        <v>U</v>
      </c>
      <c r="H870" s="3" t="str">
        <f t="shared" si="52"/>
        <v>A-U</v>
      </c>
      <c r="I870" s="4">
        <f t="shared" si="53"/>
        <v>0</v>
      </c>
      <c r="J870" s="4">
        <f t="shared" si="54"/>
        <v>0</v>
      </c>
      <c r="K870" s="3">
        <f t="shared" si="55"/>
        <v>0</v>
      </c>
    </row>
    <row r="871" spans="1:11">
      <c r="A871" s="4" t="s">
        <v>68</v>
      </c>
      <c r="B871" s="4" t="s">
        <v>110</v>
      </c>
      <c r="C871" s="4" t="s">
        <v>221</v>
      </c>
      <c r="D871" s="4">
        <f>INDEX(Positions!$D$2:$D$4694,MATCH($A871&amp;"|2",Positions!$A$2:$A$4694,0))</f>
        <v>2</v>
      </c>
      <c r="E871" s="4">
        <f>INDEX(Positions!$D$2:$D$4694,MATCH($A871&amp;"|71",Positions!$A$2:$A$4694,0))</f>
        <v>73</v>
      </c>
      <c r="F871" s="4" t="str">
        <f>INDEX(Positions!$E$2:$E$4694,MATCH($A871&amp;"|2",Positions!$A$2:$A$4694,0))</f>
        <v>G</v>
      </c>
      <c r="G871" s="4" t="str">
        <f>INDEX(Positions!$E$2:$E$4694,MATCH($A871&amp;"|71",Positions!$A$2:$A$4694,0))</f>
        <v>C</v>
      </c>
      <c r="H871" s="3" t="str">
        <f t="shared" si="52"/>
        <v>G-C</v>
      </c>
      <c r="I871" s="4">
        <f t="shared" si="53"/>
        <v>1</v>
      </c>
      <c r="J871" s="4">
        <f t="shared" si="54"/>
        <v>1</v>
      </c>
      <c r="K871" s="3">
        <f t="shared" si="55"/>
        <v>2</v>
      </c>
    </row>
    <row r="872" spans="1:11">
      <c r="A872" s="4" t="s">
        <v>68</v>
      </c>
      <c r="B872" s="4" t="s">
        <v>110</v>
      </c>
      <c r="C872" s="4" t="s">
        <v>222</v>
      </c>
      <c r="D872" s="4">
        <f>INDEX(Positions!$D$2:$D$4694,MATCH($A872&amp;"|3",Positions!$A$2:$A$4694,0))</f>
        <v>3</v>
      </c>
      <c r="E872" s="4">
        <f>INDEX(Positions!$D$2:$D$4694,MATCH($A872&amp;"|70",Positions!$A$2:$A$4694,0))</f>
        <v>72</v>
      </c>
      <c r="F872" s="4" t="str">
        <f>INDEX(Positions!$E$2:$E$4694,MATCH($A872&amp;"|3",Positions!$A$2:$A$4694,0))</f>
        <v>C</v>
      </c>
      <c r="G872" s="4" t="str">
        <f>INDEX(Positions!$E$2:$E$4694,MATCH($A872&amp;"|70",Positions!$A$2:$A$4694,0))</f>
        <v>G</v>
      </c>
      <c r="H872" s="3" t="str">
        <f t="shared" si="52"/>
        <v>C-G</v>
      </c>
      <c r="I872" s="4">
        <f t="shared" si="53"/>
        <v>1</v>
      </c>
      <c r="J872" s="4">
        <f t="shared" si="54"/>
        <v>1</v>
      </c>
      <c r="K872" s="3">
        <f t="shared" si="55"/>
        <v>2</v>
      </c>
    </row>
    <row r="873" spans="1:11">
      <c r="A873" s="4" t="s">
        <v>68</v>
      </c>
      <c r="B873" s="4" t="s">
        <v>110</v>
      </c>
      <c r="C873" s="4" t="s">
        <v>223</v>
      </c>
      <c r="D873" s="4">
        <f>INDEX(Positions!$D$2:$D$4694,MATCH($A873&amp;"|4",Positions!$A$2:$A$4694,0))</f>
        <v>4</v>
      </c>
      <c r="E873" s="4">
        <f>INDEX(Positions!$D$2:$D$4694,MATCH($A873&amp;"|69",Positions!$A$2:$A$4694,0))</f>
        <v>71</v>
      </c>
      <c r="F873" s="4" t="str">
        <f>INDEX(Positions!$E$2:$E$4694,MATCH($A873&amp;"|4",Positions!$A$2:$A$4694,0))</f>
        <v>G</v>
      </c>
      <c r="G873" s="4" t="str">
        <f>INDEX(Positions!$E$2:$E$4694,MATCH($A873&amp;"|69",Positions!$A$2:$A$4694,0))</f>
        <v>C</v>
      </c>
      <c r="H873" s="3" t="str">
        <f t="shared" si="52"/>
        <v>G-C</v>
      </c>
      <c r="I873" s="4">
        <f t="shared" si="53"/>
        <v>1</v>
      </c>
      <c r="J873" s="4">
        <f t="shared" si="54"/>
        <v>1</v>
      </c>
      <c r="K873" s="3">
        <f t="shared" si="55"/>
        <v>2</v>
      </c>
    </row>
    <row r="874" spans="1:11">
      <c r="A874" s="4" t="s">
        <v>68</v>
      </c>
      <c r="B874" s="4" t="s">
        <v>110</v>
      </c>
      <c r="C874" s="4" t="s">
        <v>224</v>
      </c>
      <c r="D874" s="4">
        <f>INDEX(Positions!$D$2:$D$4694,MATCH($A874&amp;"|5",Positions!$A$2:$A$4694,0))</f>
        <v>5</v>
      </c>
      <c r="E874" s="4">
        <f>INDEX(Positions!$D$2:$D$4694,MATCH($A874&amp;"|68",Positions!$A$2:$A$4694,0))</f>
        <v>70</v>
      </c>
      <c r="F874" s="4" t="str">
        <f>INDEX(Positions!$E$2:$E$4694,MATCH($A874&amp;"|5",Positions!$A$2:$A$4694,0))</f>
        <v>G</v>
      </c>
      <c r="G874" s="4" t="str">
        <f>INDEX(Positions!$E$2:$E$4694,MATCH($A874&amp;"|68",Positions!$A$2:$A$4694,0))</f>
        <v>C</v>
      </c>
      <c r="H874" s="3" t="str">
        <f t="shared" si="52"/>
        <v>G-C</v>
      </c>
      <c r="I874" s="4">
        <f t="shared" si="53"/>
        <v>1</v>
      </c>
      <c r="J874" s="4">
        <f t="shared" si="54"/>
        <v>1</v>
      </c>
      <c r="K874" s="3">
        <f t="shared" si="55"/>
        <v>2</v>
      </c>
    </row>
    <row r="875" spans="1:11">
      <c r="A875" s="4" t="s">
        <v>68</v>
      </c>
      <c r="B875" s="4" t="s">
        <v>110</v>
      </c>
      <c r="C875" s="4" t="s">
        <v>225</v>
      </c>
      <c r="D875" s="4">
        <f>INDEX(Positions!$D$2:$D$4694,MATCH($A875&amp;"|6",Positions!$A$2:$A$4694,0))</f>
        <v>6</v>
      </c>
      <c r="E875" s="4">
        <f>INDEX(Positions!$D$2:$D$4694,MATCH($A875&amp;"|67",Positions!$A$2:$A$4694,0))</f>
        <v>69</v>
      </c>
      <c r="F875" s="4" t="str">
        <f>INDEX(Positions!$E$2:$E$4694,MATCH($A875&amp;"|6",Positions!$A$2:$A$4694,0))</f>
        <v>G</v>
      </c>
      <c r="G875" s="4" t="str">
        <f>INDEX(Positions!$E$2:$E$4694,MATCH($A875&amp;"|67",Positions!$A$2:$A$4694,0))</f>
        <v>C</v>
      </c>
      <c r="H875" s="3" t="str">
        <f t="shared" si="52"/>
        <v>G-C</v>
      </c>
      <c r="I875" s="4">
        <f t="shared" si="53"/>
        <v>1</v>
      </c>
      <c r="J875" s="4">
        <f t="shared" si="54"/>
        <v>1</v>
      </c>
      <c r="K875" s="3">
        <f t="shared" si="55"/>
        <v>2</v>
      </c>
    </row>
    <row r="876" spans="1:11">
      <c r="A876" s="4" t="s">
        <v>68</v>
      </c>
      <c r="B876" s="4" t="s">
        <v>110</v>
      </c>
      <c r="C876" s="4" t="s">
        <v>226</v>
      </c>
      <c r="D876" s="4">
        <f>INDEX(Positions!$D$2:$D$4694,MATCH($A876&amp;"|7",Positions!$A$2:$A$4694,0))</f>
        <v>7</v>
      </c>
      <c r="E876" s="4">
        <f>INDEX(Positions!$D$2:$D$4694,MATCH($A876&amp;"|66",Positions!$A$2:$A$4694,0))</f>
        <v>68</v>
      </c>
      <c r="F876" s="4" t="str">
        <f>INDEX(Positions!$E$2:$E$4694,MATCH($A876&amp;"|7",Positions!$A$2:$A$4694,0))</f>
        <v>G</v>
      </c>
      <c r="G876" s="4" t="str">
        <f>INDEX(Positions!$E$2:$E$4694,MATCH($A876&amp;"|66",Positions!$A$2:$A$4694,0))</f>
        <v>C</v>
      </c>
      <c r="H876" s="3" t="str">
        <f t="shared" si="52"/>
        <v>G-C</v>
      </c>
      <c r="I876" s="4">
        <f t="shared" si="53"/>
        <v>1</v>
      </c>
      <c r="J876" s="4">
        <f t="shared" si="54"/>
        <v>1</v>
      </c>
      <c r="K876" s="3">
        <f t="shared" si="55"/>
        <v>2</v>
      </c>
    </row>
    <row r="877" spans="1:11">
      <c r="A877" s="4" t="s">
        <v>68</v>
      </c>
      <c r="B877" s="4" t="s">
        <v>125</v>
      </c>
      <c r="C877" s="4" t="s">
        <v>227</v>
      </c>
      <c r="D877" s="4">
        <f>INDEX(Positions!$D$2:$D$4694,MATCH($A877&amp;"|10",Positions!$A$2:$A$4694,0))</f>
        <v>10</v>
      </c>
      <c r="E877" s="4">
        <f>INDEX(Positions!$D$2:$D$4694,MATCH($A877&amp;"|25",Positions!$A$2:$A$4694,0))</f>
        <v>27</v>
      </c>
      <c r="F877" s="4" t="str">
        <f>INDEX(Positions!$E$2:$E$4694,MATCH($A877&amp;"|10",Positions!$A$2:$A$4694,0))</f>
        <v>G</v>
      </c>
      <c r="G877" s="4" t="str">
        <f>INDEX(Positions!$E$2:$E$4694,MATCH($A877&amp;"|25",Positions!$A$2:$A$4694,0))</f>
        <v>C</v>
      </c>
      <c r="H877" s="3" t="str">
        <f t="shared" si="52"/>
        <v>G-C</v>
      </c>
      <c r="I877" s="4">
        <f t="shared" si="53"/>
        <v>1</v>
      </c>
      <c r="J877" s="4">
        <f t="shared" si="54"/>
        <v>1</v>
      </c>
      <c r="K877" s="3">
        <f t="shared" si="55"/>
        <v>2</v>
      </c>
    </row>
    <row r="878" spans="1:11">
      <c r="A878" s="4" t="s">
        <v>68</v>
      </c>
      <c r="B878" s="4" t="s">
        <v>125</v>
      </c>
      <c r="C878" s="4" t="s">
        <v>228</v>
      </c>
      <c r="D878" s="4">
        <f>INDEX(Positions!$D$2:$D$4694,MATCH($A878&amp;"|11",Positions!$A$2:$A$4694,0))</f>
        <v>11</v>
      </c>
      <c r="E878" s="4">
        <f>INDEX(Positions!$D$2:$D$4694,MATCH($A878&amp;"|24",Positions!$A$2:$A$4694,0))</f>
        <v>26</v>
      </c>
      <c r="F878" s="4" t="str">
        <f>INDEX(Positions!$E$2:$E$4694,MATCH($A878&amp;"|11",Positions!$A$2:$A$4694,0))</f>
        <v>G</v>
      </c>
      <c r="G878" s="4" t="str">
        <f>INDEX(Positions!$E$2:$E$4694,MATCH($A878&amp;"|24",Positions!$A$2:$A$4694,0))</f>
        <v>C</v>
      </c>
      <c r="H878" s="3" t="str">
        <f t="shared" si="52"/>
        <v>G-C</v>
      </c>
      <c r="I878" s="4">
        <f t="shared" si="53"/>
        <v>1</v>
      </c>
      <c r="J878" s="4">
        <f t="shared" si="54"/>
        <v>1</v>
      </c>
      <c r="K878" s="3">
        <f t="shared" si="55"/>
        <v>2</v>
      </c>
    </row>
    <row r="879" spans="1:11">
      <c r="A879" s="4" t="s">
        <v>68</v>
      </c>
      <c r="B879" s="4" t="s">
        <v>125</v>
      </c>
      <c r="C879" s="4" t="s">
        <v>229</v>
      </c>
      <c r="D879" s="4">
        <f>INDEX(Positions!$D$2:$D$4694,MATCH($A879&amp;"|12",Positions!$A$2:$A$4694,0))</f>
        <v>12</v>
      </c>
      <c r="E879" s="4">
        <f>INDEX(Positions!$D$2:$D$4694,MATCH($A879&amp;"|23",Positions!$A$2:$A$4694,0))</f>
        <v>25</v>
      </c>
      <c r="F879" s="4" t="str">
        <f>INDEX(Positions!$E$2:$E$4694,MATCH($A879&amp;"|12",Positions!$A$2:$A$4694,0))</f>
        <v>G</v>
      </c>
      <c r="G879" s="4" t="str">
        <f>INDEX(Positions!$E$2:$E$4694,MATCH($A879&amp;"|23",Positions!$A$2:$A$4694,0))</f>
        <v>C</v>
      </c>
      <c r="H879" s="3" t="str">
        <f t="shared" si="52"/>
        <v>G-C</v>
      </c>
      <c r="I879" s="4">
        <f t="shared" si="53"/>
        <v>1</v>
      </c>
      <c r="J879" s="4">
        <f t="shared" si="54"/>
        <v>1</v>
      </c>
      <c r="K879" s="3">
        <f t="shared" si="55"/>
        <v>2</v>
      </c>
    </row>
    <row r="880" spans="1:11">
      <c r="A880" s="4" t="s">
        <v>68</v>
      </c>
      <c r="B880" s="4" t="s">
        <v>125</v>
      </c>
      <c r="C880" s="4" t="s">
        <v>230</v>
      </c>
      <c r="D880" s="4">
        <f>INDEX(Positions!$D$2:$D$4694,MATCH($A880&amp;"|13",Positions!$A$2:$A$4694,0))</f>
        <v>13</v>
      </c>
      <c r="E880" s="4">
        <f>INDEX(Positions!$D$2:$D$4694,MATCH($A880&amp;"|22",Positions!$A$2:$A$4694,0))</f>
        <v>24</v>
      </c>
      <c r="F880" s="4" t="str">
        <f>INDEX(Positions!$E$2:$E$4694,MATCH($A880&amp;"|13",Positions!$A$2:$A$4694,0))</f>
        <v>U</v>
      </c>
      <c r="G880" s="4" t="str">
        <f>INDEX(Positions!$E$2:$E$4694,MATCH($A880&amp;"|22",Positions!$A$2:$A$4694,0))</f>
        <v>U</v>
      </c>
      <c r="H880" s="3" t="str">
        <f t="shared" si="52"/>
        <v>U-U</v>
      </c>
      <c r="I880" s="4">
        <f t="shared" si="53"/>
        <v>0</v>
      </c>
      <c r="J880" s="4">
        <f t="shared" si="54"/>
        <v>0</v>
      </c>
      <c r="K880" s="3">
        <f t="shared" si="55"/>
        <v>0</v>
      </c>
    </row>
    <row r="881" spans="1:11">
      <c r="A881" s="4" t="s">
        <v>68</v>
      </c>
      <c r="B881" s="4" t="s">
        <v>144</v>
      </c>
      <c r="C881" s="4" t="s">
        <v>231</v>
      </c>
      <c r="D881" s="4">
        <f>INDEX(Positions!$D$2:$D$4694,MATCH($A881&amp;"|27",Positions!$A$2:$A$4694,0))</f>
        <v>29</v>
      </c>
      <c r="E881" s="4">
        <f>INDEX(Positions!$D$2:$D$4694,MATCH($A881&amp;"|43",Positions!$A$2:$A$4694,0))</f>
        <v>45</v>
      </c>
      <c r="F881" s="4" t="str">
        <f>INDEX(Positions!$E$2:$E$4694,MATCH($A881&amp;"|27",Positions!$A$2:$A$4694,0))</f>
        <v>A</v>
      </c>
      <c r="G881" s="4" t="str">
        <f>INDEX(Positions!$E$2:$E$4694,MATCH($A881&amp;"|43",Positions!$A$2:$A$4694,0))</f>
        <v>U</v>
      </c>
      <c r="H881" s="3" t="str">
        <f t="shared" si="52"/>
        <v>A-U</v>
      </c>
      <c r="I881" s="4">
        <f t="shared" si="53"/>
        <v>0</v>
      </c>
      <c r="J881" s="4">
        <f t="shared" si="54"/>
        <v>0</v>
      </c>
      <c r="K881" s="3">
        <f t="shared" si="55"/>
        <v>0</v>
      </c>
    </row>
    <row r="882" spans="1:11">
      <c r="A882" s="4" t="s">
        <v>68</v>
      </c>
      <c r="B882" s="4" t="s">
        <v>144</v>
      </c>
      <c r="C882" s="4" t="s">
        <v>232</v>
      </c>
      <c r="D882" s="4">
        <f>INDEX(Positions!$D$2:$D$4694,MATCH($A882&amp;"|28",Positions!$A$2:$A$4694,0))</f>
        <v>30</v>
      </c>
      <c r="E882" s="4">
        <f>INDEX(Positions!$D$2:$D$4694,MATCH($A882&amp;"|42",Positions!$A$2:$A$4694,0))</f>
        <v>44</v>
      </c>
      <c r="F882" s="4" t="str">
        <f>INDEX(Positions!$E$2:$E$4694,MATCH($A882&amp;"|28",Positions!$A$2:$A$4694,0))</f>
        <v>C</v>
      </c>
      <c r="G882" s="4" t="str">
        <f>INDEX(Positions!$E$2:$E$4694,MATCH($A882&amp;"|42",Positions!$A$2:$A$4694,0))</f>
        <v>G</v>
      </c>
      <c r="H882" s="3" t="str">
        <f t="shared" si="52"/>
        <v>C-G</v>
      </c>
      <c r="I882" s="4">
        <f t="shared" si="53"/>
        <v>1</v>
      </c>
      <c r="J882" s="4">
        <f t="shared" si="54"/>
        <v>1</v>
      </c>
      <c r="K882" s="3">
        <f t="shared" si="55"/>
        <v>2</v>
      </c>
    </row>
    <row r="883" spans="1:11">
      <c r="A883" s="4" t="s">
        <v>68</v>
      </c>
      <c r="B883" s="4" t="s">
        <v>144</v>
      </c>
      <c r="C883" s="4" t="s">
        <v>233</v>
      </c>
      <c r="D883" s="4">
        <f>INDEX(Positions!$D$2:$D$4694,MATCH($A883&amp;"|29",Positions!$A$2:$A$4694,0))</f>
        <v>31</v>
      </c>
      <c r="E883" s="4">
        <f>INDEX(Positions!$D$2:$D$4694,MATCH($A883&amp;"|41",Positions!$A$2:$A$4694,0))</f>
        <v>43</v>
      </c>
      <c r="F883" s="4" t="str">
        <f>INDEX(Positions!$E$2:$E$4694,MATCH($A883&amp;"|29",Positions!$A$2:$A$4694,0))</f>
        <v>G</v>
      </c>
      <c r="G883" s="4" t="str">
        <f>INDEX(Positions!$E$2:$E$4694,MATCH($A883&amp;"|41",Positions!$A$2:$A$4694,0))</f>
        <v>C</v>
      </c>
      <c r="H883" s="3" t="str">
        <f t="shared" si="52"/>
        <v>G-C</v>
      </c>
      <c r="I883" s="4">
        <f t="shared" si="53"/>
        <v>1</v>
      </c>
      <c r="J883" s="4">
        <f t="shared" si="54"/>
        <v>1</v>
      </c>
      <c r="K883" s="3">
        <f t="shared" si="55"/>
        <v>2</v>
      </c>
    </row>
    <row r="884" spans="1:11">
      <c r="A884" s="4" t="s">
        <v>68</v>
      </c>
      <c r="B884" s="4" t="s">
        <v>144</v>
      </c>
      <c r="C884" s="4" t="s">
        <v>234</v>
      </c>
      <c r="D884" s="4">
        <f>INDEX(Positions!$D$2:$D$4694,MATCH($A884&amp;"|30",Positions!$A$2:$A$4694,0))</f>
        <v>32</v>
      </c>
      <c r="E884" s="4">
        <f>INDEX(Positions!$D$2:$D$4694,MATCH($A884&amp;"|40",Positions!$A$2:$A$4694,0))</f>
        <v>42</v>
      </c>
      <c r="F884" s="4" t="str">
        <f>INDEX(Positions!$E$2:$E$4694,MATCH($A884&amp;"|30",Positions!$A$2:$A$4694,0))</f>
        <v>G</v>
      </c>
      <c r="G884" s="4" t="str">
        <f>INDEX(Positions!$E$2:$E$4694,MATCH($A884&amp;"|40",Positions!$A$2:$A$4694,0))</f>
        <v>C</v>
      </c>
      <c r="H884" s="3" t="str">
        <f t="shared" si="52"/>
        <v>G-C</v>
      </c>
      <c r="I884" s="4">
        <f t="shared" si="53"/>
        <v>1</v>
      </c>
      <c r="J884" s="4">
        <f t="shared" si="54"/>
        <v>1</v>
      </c>
      <c r="K884" s="3">
        <f t="shared" si="55"/>
        <v>2</v>
      </c>
    </row>
    <row r="885" spans="1:11">
      <c r="A885" s="4" t="s">
        <v>68</v>
      </c>
      <c r="B885" s="4" t="s">
        <v>144</v>
      </c>
      <c r="C885" s="4" t="s">
        <v>235</v>
      </c>
      <c r="D885" s="4">
        <f>INDEX(Positions!$D$2:$D$4694,MATCH($A885&amp;"|31",Positions!$A$2:$A$4694,0))</f>
        <v>33</v>
      </c>
      <c r="E885" s="4">
        <f>INDEX(Positions!$D$2:$D$4694,MATCH($A885&amp;"|39",Positions!$A$2:$A$4694,0))</f>
        <v>41</v>
      </c>
      <c r="F885" s="4" t="str">
        <f>INDEX(Positions!$E$2:$E$4694,MATCH($A885&amp;"|31",Positions!$A$2:$A$4694,0))</f>
        <v>G</v>
      </c>
      <c r="G885" s="4" t="str">
        <f>INDEX(Positions!$E$2:$E$4694,MATCH($A885&amp;"|39",Positions!$A$2:$A$4694,0))</f>
        <v>C</v>
      </c>
      <c r="H885" s="3" t="str">
        <f t="shared" si="52"/>
        <v>G-C</v>
      </c>
      <c r="I885" s="4">
        <f t="shared" si="53"/>
        <v>1</v>
      </c>
      <c r="J885" s="4">
        <f t="shared" si="54"/>
        <v>1</v>
      </c>
      <c r="K885" s="3">
        <f t="shared" si="55"/>
        <v>2</v>
      </c>
    </row>
    <row r="886" spans="1:11">
      <c r="A886" s="4" t="s">
        <v>68</v>
      </c>
      <c r="B886" s="4" t="s">
        <v>169</v>
      </c>
      <c r="C886" s="4" t="s">
        <v>236</v>
      </c>
      <c r="D886" s="4">
        <f>INDEX(Positions!$D$2:$D$4694,MATCH($A886&amp;"|49",Positions!$A$2:$A$4694,0))</f>
        <v>51</v>
      </c>
      <c r="E886" s="4">
        <f>INDEX(Positions!$D$2:$D$4694,MATCH($A886&amp;"|65",Positions!$A$2:$A$4694,0))</f>
        <v>67</v>
      </c>
      <c r="F886" s="4" t="str">
        <f>INDEX(Positions!$E$2:$E$4694,MATCH($A886&amp;"|49",Positions!$A$2:$A$4694,0))</f>
        <v>G</v>
      </c>
      <c r="G886" s="4" t="str">
        <f>INDEX(Positions!$E$2:$E$4694,MATCH($A886&amp;"|65",Positions!$A$2:$A$4694,0))</f>
        <v>C</v>
      </c>
      <c r="H886" s="3" t="str">
        <f t="shared" si="52"/>
        <v>G-C</v>
      </c>
      <c r="I886" s="4">
        <f t="shared" si="53"/>
        <v>1</v>
      </c>
      <c r="J886" s="4">
        <f t="shared" si="54"/>
        <v>1</v>
      </c>
      <c r="K886" s="3">
        <f t="shared" si="55"/>
        <v>2</v>
      </c>
    </row>
    <row r="887" spans="1:11">
      <c r="A887" s="4" t="s">
        <v>68</v>
      </c>
      <c r="B887" s="4" t="s">
        <v>169</v>
      </c>
      <c r="C887" s="4" t="s">
        <v>237</v>
      </c>
      <c r="D887" s="4">
        <f>INDEX(Positions!$D$2:$D$4694,MATCH($A887&amp;"|50",Positions!$A$2:$A$4694,0))</f>
        <v>52</v>
      </c>
      <c r="E887" s="4">
        <f>INDEX(Positions!$D$2:$D$4694,MATCH($A887&amp;"|64",Positions!$A$2:$A$4694,0))</f>
        <v>66</v>
      </c>
      <c r="F887" s="4" t="str">
        <f>INDEX(Positions!$E$2:$E$4694,MATCH($A887&amp;"|50",Positions!$A$2:$A$4694,0))</f>
        <v>A</v>
      </c>
      <c r="G887" s="4" t="str">
        <f>INDEX(Positions!$E$2:$E$4694,MATCH($A887&amp;"|64",Positions!$A$2:$A$4694,0))</f>
        <v>U</v>
      </c>
      <c r="H887" s="3" t="str">
        <f t="shared" si="52"/>
        <v>A-U</v>
      </c>
      <c r="I887" s="4">
        <f t="shared" si="53"/>
        <v>0</v>
      </c>
      <c r="J887" s="4">
        <f t="shared" si="54"/>
        <v>0</v>
      </c>
      <c r="K887" s="3">
        <f t="shared" si="55"/>
        <v>0</v>
      </c>
    </row>
    <row r="888" spans="1:11">
      <c r="A888" s="4" t="s">
        <v>68</v>
      </c>
      <c r="B888" s="4" t="s">
        <v>169</v>
      </c>
      <c r="C888" s="4" t="s">
        <v>238</v>
      </c>
      <c r="D888" s="4">
        <f>INDEX(Positions!$D$2:$D$4694,MATCH($A888&amp;"|51",Positions!$A$2:$A$4694,0))</f>
        <v>53</v>
      </c>
      <c r="E888" s="4">
        <f>INDEX(Positions!$D$2:$D$4694,MATCH($A888&amp;"|63",Positions!$A$2:$A$4694,0))</f>
        <v>65</v>
      </c>
      <c r="F888" s="4" t="str">
        <f>INDEX(Positions!$E$2:$E$4694,MATCH($A888&amp;"|51",Positions!$A$2:$A$4694,0))</f>
        <v>U</v>
      </c>
      <c r="G888" s="4" t="str">
        <f>INDEX(Positions!$E$2:$E$4694,MATCH($A888&amp;"|63",Positions!$A$2:$A$4694,0))</f>
        <v>A</v>
      </c>
      <c r="H888" s="3" t="str">
        <f t="shared" si="52"/>
        <v>U-A</v>
      </c>
      <c r="I888" s="4">
        <f t="shared" si="53"/>
        <v>0</v>
      </c>
      <c r="J888" s="4">
        <f t="shared" si="54"/>
        <v>0</v>
      </c>
      <c r="K888" s="3">
        <f t="shared" si="55"/>
        <v>0</v>
      </c>
    </row>
    <row r="889" spans="1:11">
      <c r="A889" s="4" t="s">
        <v>68</v>
      </c>
      <c r="B889" s="4" t="s">
        <v>169</v>
      </c>
      <c r="C889" s="4" t="s">
        <v>239</v>
      </c>
      <c r="D889" s="4">
        <f>INDEX(Positions!$D$2:$D$4694,MATCH($A889&amp;"|52",Positions!$A$2:$A$4694,0))</f>
        <v>54</v>
      </c>
      <c r="E889" s="4">
        <f>INDEX(Positions!$D$2:$D$4694,MATCH($A889&amp;"|62",Positions!$A$2:$A$4694,0))</f>
        <v>64</v>
      </c>
      <c r="F889" s="4" t="str">
        <f>INDEX(Positions!$E$2:$E$4694,MATCH($A889&amp;"|52",Positions!$A$2:$A$4694,0))</f>
        <v>G</v>
      </c>
      <c r="G889" s="4" t="str">
        <f>INDEX(Positions!$E$2:$E$4694,MATCH($A889&amp;"|62",Positions!$A$2:$A$4694,0))</f>
        <v>C</v>
      </c>
      <c r="H889" s="3" t="str">
        <f t="shared" si="52"/>
        <v>G-C</v>
      </c>
      <c r="I889" s="4">
        <f t="shared" si="53"/>
        <v>1</v>
      </c>
      <c r="J889" s="4">
        <f t="shared" si="54"/>
        <v>1</v>
      </c>
      <c r="K889" s="3">
        <f t="shared" si="55"/>
        <v>2</v>
      </c>
    </row>
    <row r="890" spans="1:11">
      <c r="A890" s="4" t="s">
        <v>68</v>
      </c>
      <c r="B890" s="4" t="s">
        <v>169</v>
      </c>
      <c r="C890" s="4" t="s">
        <v>240</v>
      </c>
      <c r="D890" s="4">
        <f>INDEX(Positions!$D$2:$D$4694,MATCH($A890&amp;"|53",Positions!$A$2:$A$4694,0))</f>
        <v>55</v>
      </c>
      <c r="E890" s="4">
        <f>INDEX(Positions!$D$2:$D$4694,MATCH($A890&amp;"|61",Positions!$A$2:$A$4694,0))</f>
        <v>63</v>
      </c>
      <c r="F890" s="4" t="str">
        <f>INDEX(Positions!$E$2:$E$4694,MATCH($A890&amp;"|53",Positions!$A$2:$A$4694,0))</f>
        <v>G</v>
      </c>
      <c r="G890" s="4" t="str">
        <f>INDEX(Positions!$E$2:$E$4694,MATCH($A890&amp;"|61",Positions!$A$2:$A$4694,0))</f>
        <v>C</v>
      </c>
      <c r="H890" s="3" t="str">
        <f t="shared" si="52"/>
        <v>G-C</v>
      </c>
      <c r="I890" s="4">
        <f t="shared" si="53"/>
        <v>1</v>
      </c>
      <c r="J890" s="4">
        <f t="shared" si="54"/>
        <v>1</v>
      </c>
      <c r="K890" s="3">
        <f t="shared" si="55"/>
        <v>2</v>
      </c>
    </row>
    <row r="891" spans="1:11">
      <c r="A891" s="23" t="s">
        <v>68</v>
      </c>
      <c r="B891" s="23" t="s">
        <v>241</v>
      </c>
      <c r="C891" s="23" t="s">
        <v>242</v>
      </c>
      <c r="D891" s="23">
        <f>INDEX(Positions!$D$2:$D$4694,MATCH($A891&amp;"|8",Positions!$A$2:$A$4694,0))</f>
        <v>8</v>
      </c>
      <c r="E891" s="23">
        <f>INDEX(Positions!$D$2:$D$4694,MATCH($A891&amp;"|14",Positions!$A$2:$A$4694,0))</f>
        <v>14</v>
      </c>
      <c r="F891" s="23" t="str">
        <f>INDEX(Positions!$E$2:$E$4694,MATCH($A891&amp;"|8",Positions!$A$2:$A$4694,0))</f>
        <v>U</v>
      </c>
      <c r="G891" s="23" t="str">
        <f>INDEX(Positions!$E$2:$E$4694,MATCH($A891&amp;"|14",Positions!$A$2:$A$4694,0))</f>
        <v>A</v>
      </c>
      <c r="H891" s="24" t="str">
        <f t="shared" si="52"/>
        <v>U-A</v>
      </c>
      <c r="I891" s="23">
        <f t="shared" si="53"/>
        <v>0</v>
      </c>
      <c r="J891" s="23">
        <f t="shared" si="54"/>
        <v>0</v>
      </c>
      <c r="K891" s="24">
        <f t="shared" si="55"/>
        <v>0</v>
      </c>
    </row>
    <row r="892" spans="1:11">
      <c r="A892" s="23" t="s">
        <v>68</v>
      </c>
      <c r="B892" s="23" t="s">
        <v>241</v>
      </c>
      <c r="C892" s="23" t="s">
        <v>243</v>
      </c>
      <c r="D892" s="23">
        <f>INDEX(Positions!$D$2:$D$4694,MATCH($A892&amp;"|15",Positions!$A$2:$A$4694,0))</f>
        <v>15</v>
      </c>
      <c r="E892" s="23">
        <f>INDEX(Positions!$D$2:$D$4694,MATCH($A892&amp;"|48",Positions!$A$2:$A$4694,0))</f>
        <v>50</v>
      </c>
      <c r="F892" s="23" t="str">
        <f>INDEX(Positions!$E$2:$E$4694,MATCH($A892&amp;"|15",Positions!$A$2:$A$4694,0))</f>
        <v>G</v>
      </c>
      <c r="G892" s="23" t="str">
        <f>INDEX(Positions!$E$2:$E$4694,MATCH($A892&amp;"|48",Positions!$A$2:$A$4694,0))</f>
        <v>C</v>
      </c>
      <c r="H892" s="24" t="str">
        <f t="shared" si="52"/>
        <v>G-C</v>
      </c>
      <c r="I892" s="23">
        <f t="shared" si="53"/>
        <v>1</v>
      </c>
      <c r="J892" s="23">
        <f t="shared" si="54"/>
        <v>1</v>
      </c>
      <c r="K892" s="24">
        <f t="shared" si="55"/>
        <v>2</v>
      </c>
    </row>
    <row r="893" spans="1:11">
      <c r="A893" s="23" t="s">
        <v>68</v>
      </c>
      <c r="B893" s="23" t="s">
        <v>241</v>
      </c>
      <c r="C893" s="23" t="s">
        <v>244</v>
      </c>
      <c r="D893" s="23">
        <f>INDEX(Positions!$D$2:$D$4694,MATCH($A893&amp;"|18",Positions!$A$2:$A$4694,0))</f>
        <v>19</v>
      </c>
      <c r="E893" s="23">
        <f>INDEX(Positions!$D$2:$D$4694,MATCH($A893&amp;"|55",Positions!$A$2:$A$4694,0))</f>
        <v>57</v>
      </c>
      <c r="F893" s="23" t="str">
        <f>INDEX(Positions!$E$2:$E$4694,MATCH($A893&amp;"|18",Positions!$A$2:$A$4694,0))</f>
        <v>G</v>
      </c>
      <c r="G893" s="23" t="str">
        <f>INDEX(Positions!$E$2:$E$4694,MATCH($A893&amp;"|55",Positions!$A$2:$A$4694,0))</f>
        <v>U</v>
      </c>
      <c r="H893" s="24" t="str">
        <f t="shared" si="52"/>
        <v>G-U</v>
      </c>
      <c r="I893" s="23">
        <f t="shared" si="53"/>
        <v>1</v>
      </c>
      <c r="J893" s="23">
        <f t="shared" si="54"/>
        <v>0</v>
      </c>
      <c r="K893" s="24">
        <f t="shared" si="55"/>
        <v>1</v>
      </c>
    </row>
    <row r="894" spans="1:11">
      <c r="A894" s="23" t="s">
        <v>68</v>
      </c>
      <c r="B894" s="23" t="s">
        <v>241</v>
      </c>
      <c r="C894" s="23" t="s">
        <v>245</v>
      </c>
      <c r="D894" s="23">
        <f>INDEX(Positions!$D$2:$D$4694,MATCH($A894&amp;"|19",Positions!$A$2:$A$4694,0))</f>
        <v>20</v>
      </c>
      <c r="E894" s="23">
        <f>INDEX(Positions!$D$2:$D$4694,MATCH($A894&amp;"|56",Positions!$A$2:$A$4694,0))</f>
        <v>58</v>
      </c>
      <c r="F894" s="23" t="str">
        <f>INDEX(Positions!$E$2:$E$4694,MATCH($A894&amp;"|19",Positions!$A$2:$A$4694,0))</f>
        <v>G</v>
      </c>
      <c r="G894" s="23" t="str">
        <f>INDEX(Positions!$E$2:$E$4694,MATCH($A894&amp;"|56",Positions!$A$2:$A$4694,0))</f>
        <v>C</v>
      </c>
      <c r="H894" s="24" t="str">
        <f t="shared" si="52"/>
        <v>G-C</v>
      </c>
      <c r="I894" s="23">
        <f t="shared" si="53"/>
        <v>1</v>
      </c>
      <c r="J894" s="23">
        <f t="shared" si="54"/>
        <v>1</v>
      </c>
      <c r="K894" s="24">
        <f t="shared" si="55"/>
        <v>2</v>
      </c>
    </row>
    <row r="895" spans="1:11">
      <c r="A895" s="23" t="s">
        <v>68</v>
      </c>
      <c r="B895" s="23" t="s">
        <v>241</v>
      </c>
      <c r="C895" s="23" t="s">
        <v>246</v>
      </c>
      <c r="D895" s="23">
        <f>INDEX(Positions!$D$2:$D$4694,MATCH($A895&amp;"|26",Positions!$A$2:$A$4694,0))</f>
        <v>28</v>
      </c>
      <c r="E895" s="23">
        <f>INDEX(Positions!$D$2:$D$4694,MATCH($A895&amp;"|44",Positions!$A$2:$A$4694,0))</f>
        <v>46</v>
      </c>
      <c r="F895" s="23" t="str">
        <f>INDEX(Positions!$E$2:$E$4694,MATCH($A895&amp;"|26",Positions!$A$2:$A$4694,0))</f>
        <v>G</v>
      </c>
      <c r="G895" s="23" t="str">
        <f>INDEX(Positions!$E$2:$E$4694,MATCH($A895&amp;"|44",Positions!$A$2:$A$4694,0))</f>
        <v>A</v>
      </c>
      <c r="H895" s="24" t="str">
        <f t="shared" si="52"/>
        <v>G-A</v>
      </c>
      <c r="I895" s="23">
        <f t="shared" si="53"/>
        <v>1</v>
      </c>
      <c r="J895" s="23">
        <f t="shared" si="54"/>
        <v>0</v>
      </c>
      <c r="K895" s="24">
        <f t="shared" si="55"/>
        <v>1</v>
      </c>
    </row>
    <row r="896" spans="1:11">
      <c r="A896" s="23" t="s">
        <v>68</v>
      </c>
      <c r="B896" s="23" t="s">
        <v>241</v>
      </c>
      <c r="C896" s="23" t="s">
        <v>247</v>
      </c>
      <c r="D896" s="23">
        <f>INDEX(Positions!$D$2:$D$4694,MATCH($A896&amp;"|32",Positions!$A$2:$A$4694,0))</f>
        <v>34</v>
      </c>
      <c r="E896" s="23">
        <f>INDEX(Positions!$D$2:$D$4694,MATCH($A896&amp;"|38",Positions!$A$2:$A$4694,0))</f>
        <v>40</v>
      </c>
      <c r="F896" s="23" t="str">
        <f>INDEX(Positions!$E$2:$E$4694,MATCH($A896&amp;"|32",Positions!$A$2:$A$4694,0))</f>
        <v>C</v>
      </c>
      <c r="G896" s="23" t="str">
        <f>INDEX(Positions!$E$2:$E$4694,MATCH($A896&amp;"|38",Positions!$A$2:$A$4694,0))</f>
        <v>A</v>
      </c>
      <c r="H896" s="24" t="str">
        <f t="shared" si="52"/>
        <v>C-A</v>
      </c>
      <c r="I896" s="23">
        <f t="shared" si="53"/>
        <v>0</v>
      </c>
      <c r="J896" s="23">
        <f t="shared" si="54"/>
        <v>1</v>
      </c>
      <c r="K896" s="24">
        <f t="shared" si="55"/>
        <v>1</v>
      </c>
    </row>
    <row r="897" spans="1:11">
      <c r="A897" s="23" t="s">
        <v>68</v>
      </c>
      <c r="B897" s="23" t="s">
        <v>241</v>
      </c>
      <c r="C897" s="23" t="s">
        <v>248</v>
      </c>
      <c r="D897" s="23">
        <f>INDEX(Positions!$D$2:$D$4694,MATCH($A897&amp;"|54",Positions!$A$2:$A$4694,0))</f>
        <v>56</v>
      </c>
      <c r="E897" s="23">
        <f>INDEX(Positions!$D$2:$D$4694,MATCH($A897&amp;"|58",Positions!$A$2:$A$4694,0))</f>
        <v>60</v>
      </c>
      <c r="F897" s="23" t="str">
        <f>INDEX(Positions!$E$2:$E$4694,MATCH($A897&amp;"|54",Positions!$A$2:$A$4694,0))</f>
        <v>U</v>
      </c>
      <c r="G897" s="23" t="str">
        <f>INDEX(Positions!$E$2:$E$4694,MATCH($A897&amp;"|58",Positions!$A$2:$A$4694,0))</f>
        <v>A</v>
      </c>
      <c r="H897" s="24" t="str">
        <f t="shared" si="52"/>
        <v>U-A</v>
      </c>
      <c r="I897" s="23">
        <f t="shared" si="53"/>
        <v>0</v>
      </c>
      <c r="J897" s="23">
        <f t="shared" si="54"/>
        <v>0</v>
      </c>
      <c r="K897" s="24">
        <f t="shared" si="55"/>
        <v>0</v>
      </c>
    </row>
    <row r="898" spans="1:11">
      <c r="A898" s="4" t="s">
        <v>69</v>
      </c>
      <c r="B898" s="4" t="s">
        <v>110</v>
      </c>
      <c r="C898" s="4" t="s">
        <v>220</v>
      </c>
      <c r="D898" s="4">
        <f>INDEX(Positions!$D$2:$D$4694,MATCH($A898&amp;"|1",Positions!$A$2:$A$4694,0))</f>
        <v>1</v>
      </c>
      <c r="E898" s="4">
        <f>INDEX(Positions!$D$2:$D$4694,MATCH($A898&amp;"|72",Positions!$A$2:$A$4694,0))</f>
        <v>82</v>
      </c>
      <c r="F898" s="4" t="str">
        <f>INDEX(Positions!$E$2:$E$4694,MATCH($A898&amp;"|1",Positions!$A$2:$A$4694,0))</f>
        <v>G</v>
      </c>
      <c r="G898" s="4" t="str">
        <f>INDEX(Positions!$E$2:$E$4694,MATCH($A898&amp;"|72",Positions!$A$2:$A$4694,0))</f>
        <v>C</v>
      </c>
      <c r="H898" s="3" t="str">
        <f t="shared" ref="H898:H961" si="56">F898&amp;"-"&amp;G898</f>
        <v>G-C</v>
      </c>
      <c r="I898" s="4">
        <f t="shared" ref="I898:I961" si="57">(F898="G")+(G898="G")</f>
        <v>1</v>
      </c>
      <c r="J898" s="4">
        <f t="shared" ref="J898:J961" si="58">(F898="C")+(G898="C")</f>
        <v>1</v>
      </c>
      <c r="K898" s="3">
        <f t="shared" ref="K898:K961" si="59">I898+J898</f>
        <v>2</v>
      </c>
    </row>
    <row r="899" spans="1:11">
      <c r="A899" s="4" t="s">
        <v>69</v>
      </c>
      <c r="B899" s="4" t="s">
        <v>110</v>
      </c>
      <c r="C899" s="4" t="s">
        <v>221</v>
      </c>
      <c r="D899" s="4">
        <f>INDEX(Positions!$D$2:$D$4694,MATCH($A899&amp;"|2",Positions!$A$2:$A$4694,0))</f>
        <v>2</v>
      </c>
      <c r="E899" s="4">
        <f>INDEX(Positions!$D$2:$D$4694,MATCH($A899&amp;"|71",Positions!$A$2:$A$4694,0))</f>
        <v>81</v>
      </c>
      <c r="F899" s="4" t="str">
        <f>INDEX(Positions!$E$2:$E$4694,MATCH($A899&amp;"|2",Positions!$A$2:$A$4694,0))</f>
        <v>C</v>
      </c>
      <c r="G899" s="4" t="str">
        <f>INDEX(Positions!$E$2:$E$4694,MATCH($A899&amp;"|71",Positions!$A$2:$A$4694,0))</f>
        <v>G</v>
      </c>
      <c r="H899" s="3" t="str">
        <f t="shared" si="56"/>
        <v>C-G</v>
      </c>
      <c r="I899" s="4">
        <f t="shared" si="57"/>
        <v>1</v>
      </c>
      <c r="J899" s="4">
        <f t="shared" si="58"/>
        <v>1</v>
      </c>
      <c r="K899" s="3">
        <f t="shared" si="59"/>
        <v>2</v>
      </c>
    </row>
    <row r="900" spans="1:11">
      <c r="A900" s="4" t="s">
        <v>69</v>
      </c>
      <c r="B900" s="4" t="s">
        <v>110</v>
      </c>
      <c r="C900" s="4" t="s">
        <v>222</v>
      </c>
      <c r="D900" s="4">
        <f>INDEX(Positions!$D$2:$D$4694,MATCH($A900&amp;"|3",Positions!$A$2:$A$4694,0))</f>
        <v>3</v>
      </c>
      <c r="E900" s="4">
        <f>INDEX(Positions!$D$2:$D$4694,MATCH($A900&amp;"|70",Positions!$A$2:$A$4694,0))</f>
        <v>80</v>
      </c>
      <c r="F900" s="4" t="str">
        <f>INDEX(Positions!$E$2:$E$4694,MATCH($A900&amp;"|3",Positions!$A$2:$A$4694,0))</f>
        <v>G</v>
      </c>
      <c r="G900" s="4" t="str">
        <f>INDEX(Positions!$E$2:$E$4694,MATCH($A900&amp;"|70",Positions!$A$2:$A$4694,0))</f>
        <v>C</v>
      </c>
      <c r="H900" s="3" t="str">
        <f t="shared" si="56"/>
        <v>G-C</v>
      </c>
      <c r="I900" s="4">
        <f t="shared" si="57"/>
        <v>1</v>
      </c>
      <c r="J900" s="4">
        <f t="shared" si="58"/>
        <v>1</v>
      </c>
      <c r="K900" s="3">
        <f t="shared" si="59"/>
        <v>2</v>
      </c>
    </row>
    <row r="901" spans="1:11">
      <c r="A901" s="4" t="s">
        <v>69</v>
      </c>
      <c r="B901" s="4" t="s">
        <v>110</v>
      </c>
      <c r="C901" s="4" t="s">
        <v>223</v>
      </c>
      <c r="D901" s="4">
        <f>INDEX(Positions!$D$2:$D$4694,MATCH($A901&amp;"|4",Positions!$A$2:$A$4694,0))</f>
        <v>4</v>
      </c>
      <c r="E901" s="4">
        <f>INDEX(Positions!$D$2:$D$4694,MATCH($A901&amp;"|69",Positions!$A$2:$A$4694,0))</f>
        <v>79</v>
      </c>
      <c r="F901" s="4" t="str">
        <f>INDEX(Positions!$E$2:$E$4694,MATCH($A901&amp;"|4",Positions!$A$2:$A$4694,0))</f>
        <v>G</v>
      </c>
      <c r="G901" s="4" t="str">
        <f>INDEX(Positions!$E$2:$E$4694,MATCH($A901&amp;"|69",Positions!$A$2:$A$4694,0))</f>
        <v>C</v>
      </c>
      <c r="H901" s="3" t="str">
        <f t="shared" si="56"/>
        <v>G-C</v>
      </c>
      <c r="I901" s="4">
        <f t="shared" si="57"/>
        <v>1</v>
      </c>
      <c r="J901" s="4">
        <f t="shared" si="58"/>
        <v>1</v>
      </c>
      <c r="K901" s="3">
        <f t="shared" si="59"/>
        <v>2</v>
      </c>
    </row>
    <row r="902" spans="1:11">
      <c r="A902" s="4" t="s">
        <v>69</v>
      </c>
      <c r="B902" s="4" t="s">
        <v>110</v>
      </c>
      <c r="C902" s="4" t="s">
        <v>224</v>
      </c>
      <c r="D902" s="4">
        <f>INDEX(Positions!$D$2:$D$4694,MATCH($A902&amp;"|5",Positions!$A$2:$A$4694,0))</f>
        <v>5</v>
      </c>
      <c r="E902" s="4">
        <f>INDEX(Positions!$D$2:$D$4694,MATCH($A902&amp;"|68",Positions!$A$2:$A$4694,0))</f>
        <v>78</v>
      </c>
      <c r="F902" s="4" t="str">
        <f>INDEX(Positions!$E$2:$E$4694,MATCH($A902&amp;"|5",Positions!$A$2:$A$4694,0))</f>
        <v>G</v>
      </c>
      <c r="G902" s="4" t="str">
        <f>INDEX(Positions!$E$2:$E$4694,MATCH($A902&amp;"|68",Positions!$A$2:$A$4694,0))</f>
        <v>C</v>
      </c>
      <c r="H902" s="3" t="str">
        <f t="shared" si="56"/>
        <v>G-C</v>
      </c>
      <c r="I902" s="4">
        <f t="shared" si="57"/>
        <v>1</v>
      </c>
      <c r="J902" s="4">
        <f t="shared" si="58"/>
        <v>1</v>
      </c>
      <c r="K902" s="3">
        <f t="shared" si="59"/>
        <v>2</v>
      </c>
    </row>
    <row r="903" spans="1:11">
      <c r="A903" s="4" t="s">
        <v>69</v>
      </c>
      <c r="B903" s="4" t="s">
        <v>110</v>
      </c>
      <c r="C903" s="4" t="s">
        <v>225</v>
      </c>
      <c r="D903" s="4">
        <f>INDEX(Positions!$D$2:$D$4694,MATCH($A903&amp;"|6",Positions!$A$2:$A$4694,0))</f>
        <v>6</v>
      </c>
      <c r="E903" s="4">
        <f>INDEX(Positions!$D$2:$D$4694,MATCH($A903&amp;"|67",Positions!$A$2:$A$4694,0))</f>
        <v>77</v>
      </c>
      <c r="F903" s="4" t="str">
        <f>INDEX(Positions!$E$2:$E$4694,MATCH($A903&amp;"|6",Positions!$A$2:$A$4694,0))</f>
        <v>A</v>
      </c>
      <c r="G903" s="4" t="str">
        <f>INDEX(Positions!$E$2:$E$4694,MATCH($A903&amp;"|67",Positions!$A$2:$A$4694,0))</f>
        <v>U</v>
      </c>
      <c r="H903" s="3" t="str">
        <f t="shared" si="56"/>
        <v>A-U</v>
      </c>
      <c r="I903" s="4">
        <f t="shared" si="57"/>
        <v>0</v>
      </c>
      <c r="J903" s="4">
        <f t="shared" si="58"/>
        <v>0</v>
      </c>
      <c r="K903" s="3">
        <f t="shared" si="59"/>
        <v>0</v>
      </c>
    </row>
    <row r="904" spans="1:11">
      <c r="A904" s="4" t="s">
        <v>69</v>
      </c>
      <c r="B904" s="4" t="s">
        <v>110</v>
      </c>
      <c r="C904" s="4" t="s">
        <v>226</v>
      </c>
      <c r="D904" s="4">
        <f>INDEX(Positions!$D$2:$D$4694,MATCH($A904&amp;"|7",Positions!$A$2:$A$4694,0))</f>
        <v>7</v>
      </c>
      <c r="E904" s="4">
        <f>INDEX(Positions!$D$2:$D$4694,MATCH($A904&amp;"|66",Positions!$A$2:$A$4694,0))</f>
        <v>76</v>
      </c>
      <c r="F904" s="4" t="str">
        <f>INDEX(Positions!$E$2:$E$4694,MATCH($A904&amp;"|7",Positions!$A$2:$A$4694,0))</f>
        <v>G</v>
      </c>
      <c r="G904" s="4" t="str">
        <f>INDEX(Positions!$E$2:$E$4694,MATCH($A904&amp;"|66",Positions!$A$2:$A$4694,0))</f>
        <v>C</v>
      </c>
      <c r="H904" s="3" t="str">
        <f t="shared" si="56"/>
        <v>G-C</v>
      </c>
      <c r="I904" s="4">
        <f t="shared" si="57"/>
        <v>1</v>
      </c>
      <c r="J904" s="4">
        <f t="shared" si="58"/>
        <v>1</v>
      </c>
      <c r="K904" s="3">
        <f t="shared" si="59"/>
        <v>2</v>
      </c>
    </row>
    <row r="905" spans="1:11">
      <c r="A905" s="4" t="s">
        <v>69</v>
      </c>
      <c r="B905" s="4" t="s">
        <v>125</v>
      </c>
      <c r="C905" s="4" t="s">
        <v>227</v>
      </c>
      <c r="D905" s="4">
        <f>INDEX(Positions!$D$2:$D$4694,MATCH($A905&amp;"|10",Positions!$A$2:$A$4694,0))</f>
        <v>10</v>
      </c>
      <c r="E905" s="4">
        <f>INDEX(Positions!$D$2:$D$4694,MATCH($A905&amp;"|25",Positions!$A$2:$A$4694,0))</f>
        <v>26</v>
      </c>
      <c r="F905" s="4" t="str">
        <f>INDEX(Positions!$E$2:$E$4694,MATCH($A905&amp;"|10",Positions!$A$2:$A$4694,0))</f>
        <v>A</v>
      </c>
      <c r="G905" s="4" t="str">
        <f>INDEX(Positions!$E$2:$E$4694,MATCH($A905&amp;"|25",Positions!$A$2:$A$4694,0))</f>
        <v>U</v>
      </c>
      <c r="H905" s="3" t="str">
        <f t="shared" si="56"/>
        <v>A-U</v>
      </c>
      <c r="I905" s="4">
        <f t="shared" si="57"/>
        <v>0</v>
      </c>
      <c r="J905" s="4">
        <f t="shared" si="58"/>
        <v>0</v>
      </c>
      <c r="K905" s="3">
        <f t="shared" si="59"/>
        <v>0</v>
      </c>
    </row>
    <row r="906" spans="1:11">
      <c r="A906" s="4" t="s">
        <v>69</v>
      </c>
      <c r="B906" s="4" t="s">
        <v>125</v>
      </c>
      <c r="C906" s="4" t="s">
        <v>228</v>
      </c>
      <c r="D906" s="4">
        <f>INDEX(Positions!$D$2:$D$4694,MATCH($A906&amp;"|11",Positions!$A$2:$A$4694,0))</f>
        <v>11</v>
      </c>
      <c r="E906" s="4">
        <f>INDEX(Positions!$D$2:$D$4694,MATCH($A906&amp;"|24",Positions!$A$2:$A$4694,0))</f>
        <v>25</v>
      </c>
      <c r="F906" s="4" t="str">
        <f>INDEX(Positions!$E$2:$E$4694,MATCH($A906&amp;"|11",Positions!$A$2:$A$4694,0))</f>
        <v>C</v>
      </c>
      <c r="G906" s="4" t="str">
        <f>INDEX(Positions!$E$2:$E$4694,MATCH($A906&amp;"|24",Positions!$A$2:$A$4694,0))</f>
        <v>G</v>
      </c>
      <c r="H906" s="3" t="str">
        <f t="shared" si="56"/>
        <v>C-G</v>
      </c>
      <c r="I906" s="4">
        <f t="shared" si="57"/>
        <v>1</v>
      </c>
      <c r="J906" s="4">
        <f t="shared" si="58"/>
        <v>1</v>
      </c>
      <c r="K906" s="3">
        <f t="shared" si="59"/>
        <v>2</v>
      </c>
    </row>
    <row r="907" spans="1:11">
      <c r="A907" s="4" t="s">
        <v>69</v>
      </c>
      <c r="B907" s="4" t="s">
        <v>125</v>
      </c>
      <c r="C907" s="4" t="s">
        <v>229</v>
      </c>
      <c r="D907" s="4">
        <f>INDEX(Positions!$D$2:$D$4694,MATCH($A907&amp;"|12",Positions!$A$2:$A$4694,0))</f>
        <v>12</v>
      </c>
      <c r="E907" s="4">
        <f>INDEX(Positions!$D$2:$D$4694,MATCH($A907&amp;"|23",Positions!$A$2:$A$4694,0))</f>
        <v>24</v>
      </c>
      <c r="F907" s="4" t="str">
        <f>INDEX(Positions!$E$2:$E$4694,MATCH($A907&amp;"|12",Positions!$A$2:$A$4694,0))</f>
        <v>C</v>
      </c>
      <c r="G907" s="4" t="str">
        <f>INDEX(Positions!$E$2:$E$4694,MATCH($A907&amp;"|23",Positions!$A$2:$A$4694,0))</f>
        <v>G</v>
      </c>
      <c r="H907" s="3" t="str">
        <f t="shared" si="56"/>
        <v>C-G</v>
      </c>
      <c r="I907" s="4">
        <f t="shared" si="57"/>
        <v>1</v>
      </c>
      <c r="J907" s="4">
        <f t="shared" si="58"/>
        <v>1</v>
      </c>
      <c r="K907" s="3">
        <f t="shared" si="59"/>
        <v>2</v>
      </c>
    </row>
    <row r="908" spans="1:11">
      <c r="A908" s="4" t="s">
        <v>69</v>
      </c>
      <c r="B908" s="4" t="s">
        <v>125</v>
      </c>
      <c r="C908" s="4" t="s">
        <v>230</v>
      </c>
      <c r="D908" s="4">
        <f>INDEX(Positions!$D$2:$D$4694,MATCH($A908&amp;"|13",Positions!$A$2:$A$4694,0))</f>
        <v>13</v>
      </c>
      <c r="E908" s="4">
        <f>INDEX(Positions!$D$2:$D$4694,MATCH($A908&amp;"|22",Positions!$A$2:$A$4694,0))</f>
        <v>23</v>
      </c>
      <c r="F908" s="4" t="str">
        <f>INDEX(Positions!$E$2:$E$4694,MATCH($A908&amp;"|13",Positions!$A$2:$A$4694,0))</f>
        <v>A</v>
      </c>
      <c r="G908" s="4" t="str">
        <f>INDEX(Positions!$E$2:$E$4694,MATCH($A908&amp;"|22",Positions!$A$2:$A$4694,0))</f>
        <v>C</v>
      </c>
      <c r="H908" s="3" t="str">
        <f t="shared" si="56"/>
        <v>A-C</v>
      </c>
      <c r="I908" s="4">
        <f t="shared" si="57"/>
        <v>0</v>
      </c>
      <c r="J908" s="4">
        <f t="shared" si="58"/>
        <v>1</v>
      </c>
      <c r="K908" s="3">
        <f t="shared" si="59"/>
        <v>1</v>
      </c>
    </row>
    <row r="909" spans="1:11">
      <c r="A909" s="4" t="s">
        <v>69</v>
      </c>
      <c r="B909" s="4" t="s">
        <v>144</v>
      </c>
      <c r="C909" s="4" t="s">
        <v>231</v>
      </c>
      <c r="D909" s="4">
        <f>INDEX(Positions!$D$2:$D$4694,MATCH($A909&amp;"|27",Positions!$A$2:$A$4694,0))</f>
        <v>28</v>
      </c>
      <c r="E909" s="4">
        <f>INDEX(Positions!$D$2:$D$4694,MATCH($A909&amp;"|43",Positions!$A$2:$A$4694,0))</f>
        <v>44</v>
      </c>
      <c r="F909" s="4" t="str">
        <f>INDEX(Positions!$E$2:$E$4694,MATCH($A909&amp;"|27",Positions!$A$2:$A$4694,0))</f>
        <v>G</v>
      </c>
      <c r="G909" s="4" t="str">
        <f>INDEX(Positions!$E$2:$E$4694,MATCH($A909&amp;"|43",Positions!$A$2:$A$4694,0))</f>
        <v>U</v>
      </c>
      <c r="H909" s="3" t="str">
        <f t="shared" si="56"/>
        <v>G-U</v>
      </c>
      <c r="I909" s="4">
        <f t="shared" si="57"/>
        <v>1</v>
      </c>
      <c r="J909" s="4">
        <f t="shared" si="58"/>
        <v>0</v>
      </c>
      <c r="K909" s="3">
        <f t="shared" si="59"/>
        <v>1</v>
      </c>
    </row>
    <row r="910" spans="1:11">
      <c r="A910" s="4" t="s">
        <v>69</v>
      </c>
      <c r="B910" s="4" t="s">
        <v>144</v>
      </c>
      <c r="C910" s="4" t="s">
        <v>232</v>
      </c>
      <c r="D910" s="4">
        <f>INDEX(Positions!$D$2:$D$4694,MATCH($A910&amp;"|28",Positions!$A$2:$A$4694,0))</f>
        <v>29</v>
      </c>
      <c r="E910" s="4">
        <f>INDEX(Positions!$D$2:$D$4694,MATCH($A910&amp;"|42",Positions!$A$2:$A$4694,0))</f>
        <v>43</v>
      </c>
      <c r="F910" s="4" t="str">
        <f>INDEX(Positions!$E$2:$E$4694,MATCH($A910&amp;"|28",Positions!$A$2:$A$4694,0))</f>
        <v>C</v>
      </c>
      <c r="G910" s="4" t="str">
        <f>INDEX(Positions!$E$2:$E$4694,MATCH($A910&amp;"|42",Positions!$A$2:$A$4694,0))</f>
        <v>G</v>
      </c>
      <c r="H910" s="3" t="str">
        <f t="shared" si="56"/>
        <v>C-G</v>
      </c>
      <c r="I910" s="4">
        <f t="shared" si="57"/>
        <v>1</v>
      </c>
      <c r="J910" s="4">
        <f t="shared" si="58"/>
        <v>1</v>
      </c>
      <c r="K910" s="3">
        <f t="shared" si="59"/>
        <v>2</v>
      </c>
    </row>
    <row r="911" spans="1:11">
      <c r="A911" s="4" t="s">
        <v>69</v>
      </c>
      <c r="B911" s="4" t="s">
        <v>144</v>
      </c>
      <c r="C911" s="4" t="s">
        <v>233</v>
      </c>
      <c r="D911" s="4">
        <f>INDEX(Positions!$D$2:$D$4694,MATCH($A911&amp;"|29",Positions!$A$2:$A$4694,0))</f>
        <v>30</v>
      </c>
      <c r="E911" s="4">
        <f>INDEX(Positions!$D$2:$D$4694,MATCH($A911&amp;"|41",Positions!$A$2:$A$4694,0))</f>
        <v>42</v>
      </c>
      <c r="F911" s="4" t="str">
        <f>INDEX(Positions!$E$2:$E$4694,MATCH($A911&amp;"|29",Positions!$A$2:$A$4694,0))</f>
        <v>A</v>
      </c>
      <c r="G911" s="4" t="str">
        <f>INDEX(Positions!$E$2:$E$4694,MATCH($A911&amp;"|41",Positions!$A$2:$A$4694,0))</f>
        <v>U</v>
      </c>
      <c r="H911" s="3" t="str">
        <f t="shared" si="56"/>
        <v>A-U</v>
      </c>
      <c r="I911" s="4">
        <f t="shared" si="57"/>
        <v>0</v>
      </c>
      <c r="J911" s="4">
        <f t="shared" si="58"/>
        <v>0</v>
      </c>
      <c r="K911" s="3">
        <f t="shared" si="59"/>
        <v>0</v>
      </c>
    </row>
    <row r="912" spans="1:11">
      <c r="A912" s="4" t="s">
        <v>69</v>
      </c>
      <c r="B912" s="4" t="s">
        <v>144</v>
      </c>
      <c r="C912" s="4" t="s">
        <v>234</v>
      </c>
      <c r="D912" s="4">
        <f>INDEX(Positions!$D$2:$D$4694,MATCH($A912&amp;"|30",Positions!$A$2:$A$4694,0))</f>
        <v>31</v>
      </c>
      <c r="E912" s="4">
        <f>INDEX(Positions!$D$2:$D$4694,MATCH($A912&amp;"|40",Positions!$A$2:$A$4694,0))</f>
        <v>41</v>
      </c>
      <c r="F912" s="4" t="str">
        <f>INDEX(Positions!$E$2:$E$4694,MATCH($A912&amp;"|30",Positions!$A$2:$A$4694,0))</f>
        <v>G</v>
      </c>
      <c r="G912" s="4" t="str">
        <f>INDEX(Positions!$E$2:$E$4694,MATCH($A912&amp;"|40",Positions!$A$2:$A$4694,0))</f>
        <v>C</v>
      </c>
      <c r="H912" s="3" t="str">
        <f t="shared" si="56"/>
        <v>G-C</v>
      </c>
      <c r="I912" s="4">
        <f t="shared" si="57"/>
        <v>1</v>
      </c>
      <c r="J912" s="4">
        <f t="shared" si="58"/>
        <v>1</v>
      </c>
      <c r="K912" s="3">
        <f t="shared" si="59"/>
        <v>2</v>
      </c>
    </row>
    <row r="913" spans="1:11">
      <c r="A913" s="4" t="s">
        <v>69</v>
      </c>
      <c r="B913" s="4" t="s">
        <v>144</v>
      </c>
      <c r="C913" s="4" t="s">
        <v>235</v>
      </c>
      <c r="D913" s="4">
        <f>INDEX(Positions!$D$2:$D$4694,MATCH($A913&amp;"|31",Positions!$A$2:$A$4694,0))</f>
        <v>32</v>
      </c>
      <c r="E913" s="4">
        <f>INDEX(Positions!$D$2:$D$4694,MATCH($A913&amp;"|39",Positions!$A$2:$A$4694,0))</f>
        <v>40</v>
      </c>
      <c r="F913" s="4" t="str">
        <f>INDEX(Positions!$E$2:$E$4694,MATCH($A913&amp;"|31",Positions!$A$2:$A$4694,0))</f>
        <v>A</v>
      </c>
      <c r="G913" s="4" t="str">
        <f>INDEX(Positions!$E$2:$E$4694,MATCH($A913&amp;"|39",Positions!$A$2:$A$4694,0))</f>
        <v>U</v>
      </c>
      <c r="H913" s="3" t="str">
        <f t="shared" si="56"/>
        <v>A-U</v>
      </c>
      <c r="I913" s="4">
        <f t="shared" si="57"/>
        <v>0</v>
      </c>
      <c r="J913" s="4">
        <f t="shared" si="58"/>
        <v>0</v>
      </c>
      <c r="K913" s="3">
        <f t="shared" si="59"/>
        <v>0</v>
      </c>
    </row>
    <row r="914" spans="1:11">
      <c r="A914" s="4" t="s">
        <v>69</v>
      </c>
      <c r="B914" s="4" t="s">
        <v>169</v>
      </c>
      <c r="C914" s="4" t="s">
        <v>236</v>
      </c>
      <c r="D914" s="4">
        <f>INDEX(Positions!$D$2:$D$4694,MATCH($A914&amp;"|49",Positions!$A$2:$A$4694,0))</f>
        <v>59</v>
      </c>
      <c r="E914" s="4">
        <f>INDEX(Positions!$D$2:$D$4694,MATCH($A914&amp;"|65",Positions!$A$2:$A$4694,0))</f>
        <v>75</v>
      </c>
      <c r="F914" s="4" t="str">
        <f>INDEX(Positions!$E$2:$E$4694,MATCH($A914&amp;"|49",Positions!$A$2:$A$4694,0))</f>
        <v>A</v>
      </c>
      <c r="G914" s="4" t="str">
        <f>INDEX(Positions!$E$2:$E$4694,MATCH($A914&amp;"|65",Positions!$A$2:$A$4694,0))</f>
        <v>U</v>
      </c>
      <c r="H914" s="3" t="str">
        <f t="shared" si="56"/>
        <v>A-U</v>
      </c>
      <c r="I914" s="4">
        <f t="shared" si="57"/>
        <v>0</v>
      </c>
      <c r="J914" s="4">
        <f t="shared" si="58"/>
        <v>0</v>
      </c>
      <c r="K914" s="3">
        <f t="shared" si="59"/>
        <v>0</v>
      </c>
    </row>
    <row r="915" spans="1:11">
      <c r="A915" s="4" t="s">
        <v>69</v>
      </c>
      <c r="B915" s="4" t="s">
        <v>169</v>
      </c>
      <c r="C915" s="4" t="s">
        <v>237</v>
      </c>
      <c r="D915" s="4">
        <f>INDEX(Positions!$D$2:$D$4694,MATCH($A915&amp;"|50",Positions!$A$2:$A$4694,0))</f>
        <v>60</v>
      </c>
      <c r="E915" s="4">
        <f>INDEX(Positions!$D$2:$D$4694,MATCH($A915&amp;"|64",Positions!$A$2:$A$4694,0))</f>
        <v>74</v>
      </c>
      <c r="F915" s="4" t="str">
        <f>INDEX(Positions!$E$2:$E$4694,MATCH($A915&amp;"|50",Positions!$A$2:$A$4694,0))</f>
        <v>G</v>
      </c>
      <c r="G915" s="4" t="str">
        <f>INDEX(Positions!$E$2:$E$4694,MATCH($A915&amp;"|64",Positions!$A$2:$A$4694,0))</f>
        <v>U</v>
      </c>
      <c r="H915" s="3" t="str">
        <f t="shared" si="56"/>
        <v>G-U</v>
      </c>
      <c r="I915" s="4">
        <f t="shared" si="57"/>
        <v>1</v>
      </c>
      <c r="J915" s="4">
        <f t="shared" si="58"/>
        <v>0</v>
      </c>
      <c r="K915" s="3">
        <f t="shared" si="59"/>
        <v>1</v>
      </c>
    </row>
    <row r="916" spans="1:11">
      <c r="A916" s="4" t="s">
        <v>69</v>
      </c>
      <c r="B916" s="4" t="s">
        <v>169</v>
      </c>
      <c r="C916" s="4" t="s">
        <v>238</v>
      </c>
      <c r="D916" s="4">
        <f>INDEX(Positions!$D$2:$D$4694,MATCH($A916&amp;"|51",Positions!$A$2:$A$4694,0))</f>
        <v>61</v>
      </c>
      <c r="E916" s="4">
        <f>INDEX(Positions!$D$2:$D$4694,MATCH($A916&amp;"|63",Positions!$A$2:$A$4694,0))</f>
        <v>73</v>
      </c>
      <c r="F916" s="4" t="str">
        <f>INDEX(Positions!$E$2:$E$4694,MATCH($A916&amp;"|51",Positions!$A$2:$A$4694,0))</f>
        <v>G</v>
      </c>
      <c r="G916" s="4" t="str">
        <f>INDEX(Positions!$E$2:$E$4694,MATCH($A916&amp;"|63",Positions!$A$2:$A$4694,0))</f>
        <v>C</v>
      </c>
      <c r="H916" s="3" t="str">
        <f t="shared" si="56"/>
        <v>G-C</v>
      </c>
      <c r="I916" s="4">
        <f t="shared" si="57"/>
        <v>1</v>
      </c>
      <c r="J916" s="4">
        <f t="shared" si="58"/>
        <v>1</v>
      </c>
      <c r="K916" s="3">
        <f t="shared" si="59"/>
        <v>2</v>
      </c>
    </row>
    <row r="917" spans="1:11">
      <c r="A917" s="4" t="s">
        <v>69</v>
      </c>
      <c r="B917" s="4" t="s">
        <v>169</v>
      </c>
      <c r="C917" s="4" t="s">
        <v>239</v>
      </c>
      <c r="D917" s="4">
        <f>INDEX(Positions!$D$2:$D$4694,MATCH($A917&amp;"|52",Positions!$A$2:$A$4694,0))</f>
        <v>62</v>
      </c>
      <c r="E917" s="4">
        <f>INDEX(Positions!$D$2:$D$4694,MATCH($A917&amp;"|62",Positions!$A$2:$A$4694,0))</f>
        <v>72</v>
      </c>
      <c r="F917" s="4" t="str">
        <f>INDEX(Positions!$E$2:$E$4694,MATCH($A917&amp;"|52",Positions!$A$2:$A$4694,0))</f>
        <v>G</v>
      </c>
      <c r="G917" s="4" t="str">
        <f>INDEX(Positions!$E$2:$E$4694,MATCH($A917&amp;"|62",Positions!$A$2:$A$4694,0))</f>
        <v>C</v>
      </c>
      <c r="H917" s="3" t="str">
        <f t="shared" si="56"/>
        <v>G-C</v>
      </c>
      <c r="I917" s="4">
        <f t="shared" si="57"/>
        <v>1</v>
      </c>
      <c r="J917" s="4">
        <f t="shared" si="58"/>
        <v>1</v>
      </c>
      <c r="K917" s="3">
        <f t="shared" si="59"/>
        <v>2</v>
      </c>
    </row>
    <row r="918" spans="1:11">
      <c r="A918" s="4" t="s">
        <v>69</v>
      </c>
      <c r="B918" s="4" t="s">
        <v>169</v>
      </c>
      <c r="C918" s="4" t="s">
        <v>240</v>
      </c>
      <c r="D918" s="4">
        <f>INDEX(Positions!$D$2:$D$4694,MATCH($A918&amp;"|53",Positions!$A$2:$A$4694,0))</f>
        <v>63</v>
      </c>
      <c r="E918" s="4">
        <f>INDEX(Positions!$D$2:$D$4694,MATCH($A918&amp;"|61",Positions!$A$2:$A$4694,0))</f>
        <v>71</v>
      </c>
      <c r="F918" s="4" t="str">
        <f>INDEX(Positions!$E$2:$E$4694,MATCH($A918&amp;"|53",Positions!$A$2:$A$4694,0))</f>
        <v>G</v>
      </c>
      <c r="G918" s="4" t="str">
        <f>INDEX(Positions!$E$2:$E$4694,MATCH($A918&amp;"|61",Positions!$A$2:$A$4694,0))</f>
        <v>C</v>
      </c>
      <c r="H918" s="3" t="str">
        <f t="shared" si="56"/>
        <v>G-C</v>
      </c>
      <c r="I918" s="4">
        <f t="shared" si="57"/>
        <v>1</v>
      </c>
      <c r="J918" s="4">
        <f t="shared" si="58"/>
        <v>1</v>
      </c>
      <c r="K918" s="3">
        <f t="shared" si="59"/>
        <v>2</v>
      </c>
    </row>
    <row r="919" spans="1:11">
      <c r="A919" s="23" t="s">
        <v>69</v>
      </c>
      <c r="B919" s="23" t="s">
        <v>241</v>
      </c>
      <c r="C919" s="23" t="s">
        <v>242</v>
      </c>
      <c r="D919" s="23">
        <f>INDEX(Positions!$D$2:$D$4694,MATCH($A919&amp;"|8",Positions!$A$2:$A$4694,0))</f>
        <v>8</v>
      </c>
      <c r="E919" s="23">
        <f>INDEX(Positions!$D$2:$D$4694,MATCH($A919&amp;"|14",Positions!$A$2:$A$4694,0))</f>
        <v>14</v>
      </c>
      <c r="F919" s="23" t="str">
        <f>INDEX(Positions!$E$2:$E$4694,MATCH($A919&amp;"|8",Positions!$A$2:$A$4694,0))</f>
        <v>U</v>
      </c>
      <c r="G919" s="23" t="str">
        <f>INDEX(Positions!$E$2:$E$4694,MATCH($A919&amp;"|14",Positions!$A$2:$A$4694,0))</f>
        <v>A</v>
      </c>
      <c r="H919" s="24" t="str">
        <f t="shared" si="56"/>
        <v>U-A</v>
      </c>
      <c r="I919" s="23">
        <f t="shared" si="57"/>
        <v>0</v>
      </c>
      <c r="J919" s="23">
        <f t="shared" si="58"/>
        <v>0</v>
      </c>
      <c r="K919" s="24">
        <f t="shared" si="59"/>
        <v>0</v>
      </c>
    </row>
    <row r="920" spans="1:11">
      <c r="A920" s="23" t="s">
        <v>69</v>
      </c>
      <c r="B920" s="23" t="s">
        <v>241</v>
      </c>
      <c r="C920" s="23" t="s">
        <v>243</v>
      </c>
      <c r="D920" s="23">
        <f>INDEX(Positions!$D$2:$D$4694,MATCH($A920&amp;"|15",Positions!$A$2:$A$4694,0))</f>
        <v>15</v>
      </c>
      <c r="E920" s="23">
        <f>INDEX(Positions!$D$2:$D$4694,MATCH($A920&amp;"|48",Positions!$A$2:$A$4694,0))</f>
        <v>58</v>
      </c>
      <c r="F920" s="23" t="str">
        <f>INDEX(Positions!$E$2:$E$4694,MATCH($A920&amp;"|15",Positions!$A$2:$A$4694,0))</f>
        <v>G</v>
      </c>
      <c r="G920" s="23" t="str">
        <f>INDEX(Positions!$E$2:$E$4694,MATCH($A920&amp;"|48",Positions!$A$2:$A$4694,0))</f>
        <v>C</v>
      </c>
      <c r="H920" s="24" t="str">
        <f t="shared" si="56"/>
        <v>G-C</v>
      </c>
      <c r="I920" s="23">
        <f t="shared" si="57"/>
        <v>1</v>
      </c>
      <c r="J920" s="23">
        <f t="shared" si="58"/>
        <v>1</v>
      </c>
      <c r="K920" s="24">
        <f t="shared" si="59"/>
        <v>2</v>
      </c>
    </row>
    <row r="921" spans="1:11">
      <c r="A921" s="23" t="s">
        <v>69</v>
      </c>
      <c r="B921" s="23" t="s">
        <v>241</v>
      </c>
      <c r="C921" s="23" t="s">
        <v>244</v>
      </c>
      <c r="D921" s="23">
        <f>INDEX(Positions!$D$2:$D$4694,MATCH($A921&amp;"|18",Positions!$A$2:$A$4694,0))</f>
        <v>17</v>
      </c>
      <c r="E921" s="23">
        <f>INDEX(Positions!$D$2:$D$4694,MATCH($A921&amp;"|55",Positions!$A$2:$A$4694,0))</f>
        <v>65</v>
      </c>
      <c r="F921" s="23" t="str">
        <f>INDEX(Positions!$E$2:$E$4694,MATCH($A921&amp;"|18",Positions!$A$2:$A$4694,0))</f>
        <v>G</v>
      </c>
      <c r="G921" s="23" t="str">
        <f>INDEX(Positions!$E$2:$E$4694,MATCH($A921&amp;"|55",Positions!$A$2:$A$4694,0))</f>
        <v>U</v>
      </c>
      <c r="H921" s="24" t="str">
        <f t="shared" si="56"/>
        <v>G-U</v>
      </c>
      <c r="I921" s="23">
        <f t="shared" si="57"/>
        <v>1</v>
      </c>
      <c r="J921" s="23">
        <f t="shared" si="58"/>
        <v>0</v>
      </c>
      <c r="K921" s="24">
        <f t="shared" si="59"/>
        <v>1</v>
      </c>
    </row>
    <row r="922" spans="1:11">
      <c r="A922" s="23" t="s">
        <v>69</v>
      </c>
      <c r="B922" s="23" t="s">
        <v>241</v>
      </c>
      <c r="C922" s="23" t="s">
        <v>245</v>
      </c>
      <c r="D922" s="23">
        <f>INDEX(Positions!$D$2:$D$4694,MATCH($A922&amp;"|19",Positions!$A$2:$A$4694,0))</f>
        <v>18</v>
      </c>
      <c r="E922" s="23">
        <f>INDEX(Positions!$D$2:$D$4694,MATCH($A922&amp;"|56",Positions!$A$2:$A$4694,0))</f>
        <v>66</v>
      </c>
      <c r="F922" s="23" t="str">
        <f>INDEX(Positions!$E$2:$E$4694,MATCH($A922&amp;"|19",Positions!$A$2:$A$4694,0))</f>
        <v>G</v>
      </c>
      <c r="G922" s="23" t="str">
        <f>INDEX(Positions!$E$2:$E$4694,MATCH($A922&amp;"|56",Positions!$A$2:$A$4694,0))</f>
        <v>C</v>
      </c>
      <c r="H922" s="24" t="str">
        <f t="shared" si="56"/>
        <v>G-C</v>
      </c>
      <c r="I922" s="23">
        <f t="shared" si="57"/>
        <v>1</v>
      </c>
      <c r="J922" s="23">
        <f t="shared" si="58"/>
        <v>1</v>
      </c>
      <c r="K922" s="24">
        <f t="shared" si="59"/>
        <v>2</v>
      </c>
    </row>
    <row r="923" spans="1:11">
      <c r="A923" s="23" t="s">
        <v>69</v>
      </c>
      <c r="B923" s="23" t="s">
        <v>241</v>
      </c>
      <c r="C923" s="23" t="s">
        <v>246</v>
      </c>
      <c r="D923" s="23">
        <f>INDEX(Positions!$D$2:$D$4694,MATCH($A923&amp;"|26",Positions!$A$2:$A$4694,0))</f>
        <v>27</v>
      </c>
      <c r="E923" s="23">
        <f>INDEX(Positions!$D$2:$D$4694,MATCH($A923&amp;"|44",Positions!$A$2:$A$4694,0))</f>
        <v>45</v>
      </c>
      <c r="F923" s="23" t="str">
        <f>INDEX(Positions!$E$2:$E$4694,MATCH($A923&amp;"|26",Positions!$A$2:$A$4694,0))</f>
        <v>G</v>
      </c>
      <c r="G923" s="23" t="str">
        <f>INDEX(Positions!$E$2:$E$4694,MATCH($A923&amp;"|44",Positions!$A$2:$A$4694,0))</f>
        <v>U</v>
      </c>
      <c r="H923" s="24" t="str">
        <f t="shared" si="56"/>
        <v>G-U</v>
      </c>
      <c r="I923" s="23">
        <f t="shared" si="57"/>
        <v>1</v>
      </c>
      <c r="J923" s="23">
        <f t="shared" si="58"/>
        <v>0</v>
      </c>
      <c r="K923" s="24">
        <f t="shared" si="59"/>
        <v>1</v>
      </c>
    </row>
    <row r="924" spans="1:11">
      <c r="A924" s="23" t="s">
        <v>69</v>
      </c>
      <c r="B924" s="23" t="s">
        <v>241</v>
      </c>
      <c r="C924" s="23" t="s">
        <v>247</v>
      </c>
      <c r="D924" s="23">
        <f>INDEX(Positions!$D$2:$D$4694,MATCH($A924&amp;"|32",Positions!$A$2:$A$4694,0))</f>
        <v>33</v>
      </c>
      <c r="E924" s="23">
        <f>INDEX(Positions!$D$2:$D$4694,MATCH($A924&amp;"|38",Positions!$A$2:$A$4694,0))</f>
        <v>39</v>
      </c>
      <c r="F924" s="23" t="str">
        <f>INDEX(Positions!$E$2:$E$4694,MATCH($A924&amp;"|32",Positions!$A$2:$A$4694,0))</f>
        <v>C</v>
      </c>
      <c r="G924" s="23" t="str">
        <f>INDEX(Positions!$E$2:$E$4694,MATCH($A924&amp;"|38",Positions!$A$2:$A$4694,0))</f>
        <v>A</v>
      </c>
      <c r="H924" s="24" t="str">
        <f t="shared" si="56"/>
        <v>C-A</v>
      </c>
      <c r="I924" s="23">
        <f t="shared" si="57"/>
        <v>0</v>
      </c>
      <c r="J924" s="23">
        <f t="shared" si="58"/>
        <v>1</v>
      </c>
      <c r="K924" s="24">
        <f t="shared" si="59"/>
        <v>1</v>
      </c>
    </row>
    <row r="925" spans="1:11">
      <c r="A925" s="23" t="s">
        <v>69</v>
      </c>
      <c r="B925" s="23" t="s">
        <v>241</v>
      </c>
      <c r="C925" s="23" t="s">
        <v>248</v>
      </c>
      <c r="D925" s="23">
        <f>INDEX(Positions!$D$2:$D$4694,MATCH($A925&amp;"|54",Positions!$A$2:$A$4694,0))</f>
        <v>64</v>
      </c>
      <c r="E925" s="23">
        <f>INDEX(Positions!$D$2:$D$4694,MATCH($A925&amp;"|58",Positions!$A$2:$A$4694,0))</f>
        <v>68</v>
      </c>
      <c r="F925" s="23" t="str">
        <f>INDEX(Positions!$E$2:$E$4694,MATCH($A925&amp;"|54",Positions!$A$2:$A$4694,0))</f>
        <v>U</v>
      </c>
      <c r="G925" s="23" t="str">
        <f>INDEX(Positions!$E$2:$E$4694,MATCH($A925&amp;"|58",Positions!$A$2:$A$4694,0))</f>
        <v>A</v>
      </c>
      <c r="H925" s="24" t="str">
        <f t="shared" si="56"/>
        <v>U-A</v>
      </c>
      <c r="I925" s="23">
        <f t="shared" si="57"/>
        <v>0</v>
      </c>
      <c r="J925" s="23">
        <f t="shared" si="58"/>
        <v>0</v>
      </c>
      <c r="K925" s="24">
        <f t="shared" si="59"/>
        <v>0</v>
      </c>
    </row>
    <row r="926" spans="1:11">
      <c r="A926" s="4" t="s">
        <v>70</v>
      </c>
      <c r="B926" s="4" t="s">
        <v>110</v>
      </c>
      <c r="C926" s="4" t="s">
        <v>220</v>
      </c>
      <c r="D926" s="4">
        <f>INDEX(Positions!$D$2:$D$4694,MATCH($A926&amp;"|1",Positions!$A$2:$A$4694,0))</f>
        <v>1</v>
      </c>
      <c r="E926" s="4">
        <f>INDEX(Positions!$D$2:$D$4694,MATCH($A926&amp;"|72",Positions!$A$2:$A$4694,0))</f>
        <v>84</v>
      </c>
      <c r="F926" s="4" t="str">
        <f>INDEX(Positions!$E$2:$E$4694,MATCH($A926&amp;"|1",Positions!$A$2:$A$4694,0))</f>
        <v>G</v>
      </c>
      <c r="G926" s="4" t="str">
        <f>INDEX(Positions!$E$2:$E$4694,MATCH($A926&amp;"|72",Positions!$A$2:$A$4694,0))</f>
        <v>C</v>
      </c>
      <c r="H926" s="3" t="str">
        <f t="shared" si="56"/>
        <v>G-C</v>
      </c>
      <c r="I926" s="4">
        <f t="shared" si="57"/>
        <v>1</v>
      </c>
      <c r="J926" s="4">
        <f t="shared" si="58"/>
        <v>1</v>
      </c>
      <c r="K926" s="3">
        <f t="shared" si="59"/>
        <v>2</v>
      </c>
    </row>
    <row r="927" spans="1:11">
      <c r="A927" s="4" t="s">
        <v>70</v>
      </c>
      <c r="B927" s="4" t="s">
        <v>110</v>
      </c>
      <c r="C927" s="4" t="s">
        <v>221</v>
      </c>
      <c r="D927" s="4">
        <f>INDEX(Positions!$D$2:$D$4694,MATCH($A927&amp;"|2",Positions!$A$2:$A$4694,0))</f>
        <v>2</v>
      </c>
      <c r="E927" s="4">
        <f>INDEX(Positions!$D$2:$D$4694,MATCH($A927&amp;"|71",Positions!$A$2:$A$4694,0))</f>
        <v>83</v>
      </c>
      <c r="F927" s="4" t="str">
        <f>INDEX(Positions!$E$2:$E$4694,MATCH($A927&amp;"|2",Positions!$A$2:$A$4694,0))</f>
        <v>C</v>
      </c>
      <c r="G927" s="4" t="str">
        <f>INDEX(Positions!$E$2:$E$4694,MATCH($A927&amp;"|71",Positions!$A$2:$A$4694,0))</f>
        <v>G</v>
      </c>
      <c r="H927" s="3" t="str">
        <f t="shared" si="56"/>
        <v>C-G</v>
      </c>
      <c r="I927" s="4">
        <f t="shared" si="57"/>
        <v>1</v>
      </c>
      <c r="J927" s="4">
        <f t="shared" si="58"/>
        <v>1</v>
      </c>
      <c r="K927" s="3">
        <f t="shared" si="59"/>
        <v>2</v>
      </c>
    </row>
    <row r="928" spans="1:11">
      <c r="A928" s="4" t="s">
        <v>70</v>
      </c>
      <c r="B928" s="4" t="s">
        <v>110</v>
      </c>
      <c r="C928" s="4" t="s">
        <v>222</v>
      </c>
      <c r="D928" s="4">
        <f>INDEX(Positions!$D$2:$D$4694,MATCH($A928&amp;"|3",Positions!$A$2:$A$4694,0))</f>
        <v>3</v>
      </c>
      <c r="E928" s="4">
        <f>INDEX(Positions!$D$2:$D$4694,MATCH($A928&amp;"|70",Positions!$A$2:$A$4694,0))</f>
        <v>82</v>
      </c>
      <c r="F928" s="4" t="str">
        <f>INDEX(Positions!$E$2:$E$4694,MATCH($A928&amp;"|3",Positions!$A$2:$A$4694,0))</f>
        <v>G</v>
      </c>
      <c r="G928" s="4" t="str">
        <f>INDEX(Positions!$E$2:$E$4694,MATCH($A928&amp;"|70",Positions!$A$2:$A$4694,0))</f>
        <v>C</v>
      </c>
      <c r="H928" s="3" t="str">
        <f t="shared" si="56"/>
        <v>G-C</v>
      </c>
      <c r="I928" s="4">
        <f t="shared" si="57"/>
        <v>1</v>
      </c>
      <c r="J928" s="4">
        <f t="shared" si="58"/>
        <v>1</v>
      </c>
      <c r="K928" s="3">
        <f t="shared" si="59"/>
        <v>2</v>
      </c>
    </row>
    <row r="929" spans="1:11">
      <c r="A929" s="4" t="s">
        <v>70</v>
      </c>
      <c r="B929" s="4" t="s">
        <v>110</v>
      </c>
      <c r="C929" s="4" t="s">
        <v>223</v>
      </c>
      <c r="D929" s="4">
        <f>INDEX(Positions!$D$2:$D$4694,MATCH($A929&amp;"|4",Positions!$A$2:$A$4694,0))</f>
        <v>4</v>
      </c>
      <c r="E929" s="4">
        <f>INDEX(Positions!$D$2:$D$4694,MATCH($A929&amp;"|69",Positions!$A$2:$A$4694,0))</f>
        <v>81</v>
      </c>
      <c r="F929" s="4" t="str">
        <f>INDEX(Positions!$E$2:$E$4694,MATCH($A929&amp;"|4",Positions!$A$2:$A$4694,0))</f>
        <v>A</v>
      </c>
      <c r="G929" s="4" t="str">
        <f>INDEX(Positions!$E$2:$E$4694,MATCH($A929&amp;"|69",Positions!$A$2:$A$4694,0))</f>
        <v>U</v>
      </c>
      <c r="H929" s="3" t="str">
        <f t="shared" si="56"/>
        <v>A-U</v>
      </c>
      <c r="I929" s="4">
        <f t="shared" si="57"/>
        <v>0</v>
      </c>
      <c r="J929" s="4">
        <f t="shared" si="58"/>
        <v>0</v>
      </c>
      <c r="K929" s="3">
        <f t="shared" si="59"/>
        <v>0</v>
      </c>
    </row>
    <row r="930" spans="1:11">
      <c r="A930" s="4" t="s">
        <v>70</v>
      </c>
      <c r="B930" s="4" t="s">
        <v>110</v>
      </c>
      <c r="C930" s="4" t="s">
        <v>224</v>
      </c>
      <c r="D930" s="4">
        <f>INDEX(Positions!$D$2:$D$4694,MATCH($A930&amp;"|5",Positions!$A$2:$A$4694,0))</f>
        <v>5</v>
      </c>
      <c r="E930" s="4">
        <f>INDEX(Positions!$D$2:$D$4694,MATCH($A930&amp;"|68",Positions!$A$2:$A$4694,0))</f>
        <v>80</v>
      </c>
      <c r="F930" s="4" t="str">
        <f>INDEX(Positions!$E$2:$E$4694,MATCH($A930&amp;"|5",Positions!$A$2:$A$4694,0))</f>
        <v>G</v>
      </c>
      <c r="G930" s="4" t="str">
        <f>INDEX(Positions!$E$2:$E$4694,MATCH($A930&amp;"|68",Positions!$A$2:$A$4694,0))</f>
        <v>C</v>
      </c>
      <c r="H930" s="3" t="str">
        <f t="shared" si="56"/>
        <v>G-C</v>
      </c>
      <c r="I930" s="4">
        <f t="shared" si="57"/>
        <v>1</v>
      </c>
      <c r="J930" s="4">
        <f t="shared" si="58"/>
        <v>1</v>
      </c>
      <c r="K930" s="3">
        <f t="shared" si="59"/>
        <v>2</v>
      </c>
    </row>
    <row r="931" spans="1:11">
      <c r="A931" s="4" t="s">
        <v>70</v>
      </c>
      <c r="B931" s="4" t="s">
        <v>110</v>
      </c>
      <c r="C931" s="4" t="s">
        <v>225</v>
      </c>
      <c r="D931" s="4">
        <f>INDEX(Positions!$D$2:$D$4694,MATCH($A931&amp;"|6",Positions!$A$2:$A$4694,0))</f>
        <v>6</v>
      </c>
      <c r="E931" s="4">
        <f>INDEX(Positions!$D$2:$D$4694,MATCH($A931&amp;"|67",Positions!$A$2:$A$4694,0))</f>
        <v>79</v>
      </c>
      <c r="F931" s="4" t="str">
        <f>INDEX(Positions!$E$2:$E$4694,MATCH($A931&amp;"|6",Positions!$A$2:$A$4694,0))</f>
        <v>A</v>
      </c>
      <c r="G931" s="4" t="str">
        <f>INDEX(Positions!$E$2:$E$4694,MATCH($A931&amp;"|67",Positions!$A$2:$A$4694,0))</f>
        <v>U</v>
      </c>
      <c r="H931" s="3" t="str">
        <f t="shared" si="56"/>
        <v>A-U</v>
      </c>
      <c r="I931" s="4">
        <f t="shared" si="57"/>
        <v>0</v>
      </c>
      <c r="J931" s="4">
        <f t="shared" si="58"/>
        <v>0</v>
      </c>
      <c r="K931" s="3">
        <f t="shared" si="59"/>
        <v>0</v>
      </c>
    </row>
    <row r="932" spans="1:11">
      <c r="A932" s="4" t="s">
        <v>70</v>
      </c>
      <c r="B932" s="4" t="s">
        <v>110</v>
      </c>
      <c r="C932" s="4" t="s">
        <v>226</v>
      </c>
      <c r="D932" s="4">
        <f>INDEX(Positions!$D$2:$D$4694,MATCH($A932&amp;"|7",Positions!$A$2:$A$4694,0))</f>
        <v>7</v>
      </c>
      <c r="E932" s="4">
        <f>INDEX(Positions!$D$2:$D$4694,MATCH($A932&amp;"|66",Positions!$A$2:$A$4694,0))</f>
        <v>78</v>
      </c>
      <c r="F932" s="4" t="str">
        <f>INDEX(Positions!$E$2:$E$4694,MATCH($A932&amp;"|7",Positions!$A$2:$A$4694,0))</f>
        <v>G</v>
      </c>
      <c r="G932" s="4" t="str">
        <f>INDEX(Positions!$E$2:$E$4694,MATCH($A932&amp;"|66",Positions!$A$2:$A$4694,0))</f>
        <v>C</v>
      </c>
      <c r="H932" s="3" t="str">
        <f t="shared" si="56"/>
        <v>G-C</v>
      </c>
      <c r="I932" s="4">
        <f t="shared" si="57"/>
        <v>1</v>
      </c>
      <c r="J932" s="4">
        <f t="shared" si="58"/>
        <v>1</v>
      </c>
      <c r="K932" s="3">
        <f t="shared" si="59"/>
        <v>2</v>
      </c>
    </row>
    <row r="933" spans="1:11">
      <c r="A933" s="4" t="s">
        <v>70</v>
      </c>
      <c r="B933" s="4" t="s">
        <v>125</v>
      </c>
      <c r="C933" s="4" t="s">
        <v>227</v>
      </c>
      <c r="D933" s="4">
        <f>INDEX(Positions!$D$2:$D$4694,MATCH($A933&amp;"|10",Positions!$A$2:$A$4694,0))</f>
        <v>10</v>
      </c>
      <c r="E933" s="4">
        <f>INDEX(Positions!$D$2:$D$4694,MATCH($A933&amp;"|25",Positions!$A$2:$A$4694,0))</f>
        <v>28</v>
      </c>
      <c r="F933" s="4" t="str">
        <f>INDEX(Positions!$E$2:$E$4694,MATCH($A933&amp;"|10",Positions!$A$2:$A$4694,0))</f>
        <v>G</v>
      </c>
      <c r="G933" s="4" t="str">
        <f>INDEX(Positions!$E$2:$E$4694,MATCH($A933&amp;"|25",Positions!$A$2:$A$4694,0))</f>
        <v>C</v>
      </c>
      <c r="H933" s="3" t="str">
        <f t="shared" si="56"/>
        <v>G-C</v>
      </c>
      <c r="I933" s="4">
        <f t="shared" si="57"/>
        <v>1</v>
      </c>
      <c r="J933" s="4">
        <f t="shared" si="58"/>
        <v>1</v>
      </c>
      <c r="K933" s="3">
        <f t="shared" si="59"/>
        <v>2</v>
      </c>
    </row>
    <row r="934" spans="1:11">
      <c r="A934" s="4" t="s">
        <v>70</v>
      </c>
      <c r="B934" s="4" t="s">
        <v>125</v>
      </c>
      <c r="C934" s="4" t="s">
        <v>228</v>
      </c>
      <c r="D934" s="4">
        <f>INDEX(Positions!$D$2:$D$4694,MATCH($A934&amp;"|11",Positions!$A$2:$A$4694,0))</f>
        <v>11</v>
      </c>
      <c r="E934" s="4">
        <f>INDEX(Positions!$D$2:$D$4694,MATCH($A934&amp;"|24",Positions!$A$2:$A$4694,0))</f>
        <v>27</v>
      </c>
      <c r="F934" s="4" t="str">
        <f>INDEX(Positions!$E$2:$E$4694,MATCH($A934&amp;"|11",Positions!$A$2:$A$4694,0))</f>
        <v>C</v>
      </c>
      <c r="G934" s="4" t="str">
        <f>INDEX(Positions!$E$2:$E$4694,MATCH($A934&amp;"|24",Positions!$A$2:$A$4694,0))</f>
        <v>G</v>
      </c>
      <c r="H934" s="3" t="str">
        <f t="shared" si="56"/>
        <v>C-G</v>
      </c>
      <c r="I934" s="4">
        <f t="shared" si="57"/>
        <v>1</v>
      </c>
      <c r="J934" s="4">
        <f t="shared" si="58"/>
        <v>1</v>
      </c>
      <c r="K934" s="3">
        <f t="shared" si="59"/>
        <v>2</v>
      </c>
    </row>
    <row r="935" spans="1:11">
      <c r="A935" s="4" t="s">
        <v>70</v>
      </c>
      <c r="B935" s="4" t="s">
        <v>125</v>
      </c>
      <c r="C935" s="4" t="s">
        <v>229</v>
      </c>
      <c r="D935" s="4">
        <f>INDEX(Positions!$D$2:$D$4694,MATCH($A935&amp;"|12",Positions!$A$2:$A$4694,0))</f>
        <v>12</v>
      </c>
      <c r="E935" s="4">
        <f>INDEX(Positions!$D$2:$D$4694,MATCH($A935&amp;"|23",Positions!$A$2:$A$4694,0))</f>
        <v>26</v>
      </c>
      <c r="F935" s="4" t="str">
        <f>INDEX(Positions!$E$2:$E$4694,MATCH($A935&amp;"|12",Positions!$A$2:$A$4694,0))</f>
        <v>C</v>
      </c>
      <c r="G935" s="4" t="str">
        <f>INDEX(Positions!$E$2:$E$4694,MATCH($A935&amp;"|23",Positions!$A$2:$A$4694,0))</f>
        <v>G</v>
      </c>
      <c r="H935" s="3" t="str">
        <f t="shared" si="56"/>
        <v>C-G</v>
      </c>
      <c r="I935" s="4">
        <f t="shared" si="57"/>
        <v>1</v>
      </c>
      <c r="J935" s="4">
        <f t="shared" si="58"/>
        <v>1</v>
      </c>
      <c r="K935" s="3">
        <f t="shared" si="59"/>
        <v>2</v>
      </c>
    </row>
    <row r="936" spans="1:11">
      <c r="A936" s="4" t="s">
        <v>70</v>
      </c>
      <c r="B936" s="4" t="s">
        <v>125</v>
      </c>
      <c r="C936" s="4" t="s">
        <v>230</v>
      </c>
      <c r="D936" s="4">
        <f>INDEX(Positions!$D$2:$D$4694,MATCH($A936&amp;"|13",Positions!$A$2:$A$4694,0))</f>
        <v>13</v>
      </c>
      <c r="E936" s="4">
        <f>INDEX(Positions!$D$2:$D$4694,MATCH($A936&amp;"|22",Positions!$A$2:$A$4694,0))</f>
        <v>25</v>
      </c>
      <c r="F936" s="4" t="str">
        <f>INDEX(Positions!$E$2:$E$4694,MATCH($A936&amp;"|13",Positions!$A$2:$A$4694,0))</f>
        <v>C</v>
      </c>
      <c r="G936" s="4" t="str">
        <f>INDEX(Positions!$E$2:$E$4694,MATCH($A936&amp;"|22",Positions!$A$2:$A$4694,0))</f>
        <v>A</v>
      </c>
      <c r="H936" s="3" t="str">
        <f t="shared" si="56"/>
        <v>C-A</v>
      </c>
      <c r="I936" s="4">
        <f t="shared" si="57"/>
        <v>0</v>
      </c>
      <c r="J936" s="4">
        <f t="shared" si="58"/>
        <v>1</v>
      </c>
      <c r="K936" s="3">
        <f t="shared" si="59"/>
        <v>1</v>
      </c>
    </row>
    <row r="937" spans="1:11">
      <c r="A937" s="4" t="s">
        <v>70</v>
      </c>
      <c r="B937" s="4" t="s">
        <v>144</v>
      </c>
      <c r="C937" s="4" t="s">
        <v>231</v>
      </c>
      <c r="D937" s="4">
        <f>INDEX(Positions!$D$2:$D$4694,MATCH($A937&amp;"|27",Positions!$A$2:$A$4694,0))</f>
        <v>30</v>
      </c>
      <c r="E937" s="4">
        <f>INDEX(Positions!$D$2:$D$4694,MATCH($A937&amp;"|43",Positions!$A$2:$A$4694,0))</f>
        <v>46</v>
      </c>
      <c r="F937" s="4" t="str">
        <f>INDEX(Positions!$E$2:$E$4694,MATCH($A937&amp;"|27",Positions!$A$2:$A$4694,0))</f>
        <v>C</v>
      </c>
      <c r="G937" s="4" t="str">
        <f>INDEX(Positions!$E$2:$E$4694,MATCH($A937&amp;"|43",Positions!$A$2:$A$4694,0))</f>
        <v>G</v>
      </c>
      <c r="H937" s="3" t="str">
        <f t="shared" si="56"/>
        <v>C-G</v>
      </c>
      <c r="I937" s="4">
        <f t="shared" si="57"/>
        <v>1</v>
      </c>
      <c r="J937" s="4">
        <f t="shared" si="58"/>
        <v>1</v>
      </c>
      <c r="K937" s="3">
        <f t="shared" si="59"/>
        <v>2</v>
      </c>
    </row>
    <row r="938" spans="1:11">
      <c r="A938" s="4" t="s">
        <v>70</v>
      </c>
      <c r="B938" s="4" t="s">
        <v>144</v>
      </c>
      <c r="C938" s="4" t="s">
        <v>232</v>
      </c>
      <c r="D938" s="4">
        <f>INDEX(Positions!$D$2:$D$4694,MATCH($A938&amp;"|28",Positions!$A$2:$A$4694,0))</f>
        <v>31</v>
      </c>
      <c r="E938" s="4">
        <f>INDEX(Positions!$D$2:$D$4694,MATCH($A938&amp;"|42",Positions!$A$2:$A$4694,0))</f>
        <v>45</v>
      </c>
      <c r="F938" s="4" t="str">
        <f>INDEX(Positions!$E$2:$E$4694,MATCH($A938&amp;"|28",Positions!$A$2:$A$4694,0))</f>
        <v>C</v>
      </c>
      <c r="G938" s="4" t="str">
        <f>INDEX(Positions!$E$2:$E$4694,MATCH($A938&amp;"|42",Positions!$A$2:$A$4694,0))</f>
        <v>G</v>
      </c>
      <c r="H938" s="3" t="str">
        <f t="shared" si="56"/>
        <v>C-G</v>
      </c>
      <c r="I938" s="4">
        <f t="shared" si="57"/>
        <v>1</v>
      </c>
      <c r="J938" s="4">
        <f t="shared" si="58"/>
        <v>1</v>
      </c>
      <c r="K938" s="3">
        <f t="shared" si="59"/>
        <v>2</v>
      </c>
    </row>
    <row r="939" spans="1:11">
      <c r="A939" s="4" t="s">
        <v>70</v>
      </c>
      <c r="B939" s="4" t="s">
        <v>144</v>
      </c>
      <c r="C939" s="4" t="s">
        <v>233</v>
      </c>
      <c r="D939" s="4">
        <f>INDEX(Positions!$D$2:$D$4694,MATCH($A939&amp;"|29",Positions!$A$2:$A$4694,0))</f>
        <v>32</v>
      </c>
      <c r="E939" s="4">
        <f>INDEX(Positions!$D$2:$D$4694,MATCH($A939&amp;"|41",Positions!$A$2:$A$4694,0))</f>
        <v>44</v>
      </c>
      <c r="F939" s="4" t="str">
        <f>INDEX(Positions!$E$2:$E$4694,MATCH($A939&amp;"|29",Positions!$A$2:$A$4694,0))</f>
        <v>A</v>
      </c>
      <c r="G939" s="4" t="str">
        <f>INDEX(Positions!$E$2:$E$4694,MATCH($A939&amp;"|41",Positions!$A$2:$A$4694,0))</f>
        <v>U</v>
      </c>
      <c r="H939" s="3" t="str">
        <f t="shared" si="56"/>
        <v>A-U</v>
      </c>
      <c r="I939" s="4">
        <f t="shared" si="57"/>
        <v>0</v>
      </c>
      <c r="J939" s="4">
        <f t="shared" si="58"/>
        <v>0</v>
      </c>
      <c r="K939" s="3">
        <f t="shared" si="59"/>
        <v>0</v>
      </c>
    </row>
    <row r="940" spans="1:11">
      <c r="A940" s="4" t="s">
        <v>70</v>
      </c>
      <c r="B940" s="4" t="s">
        <v>144</v>
      </c>
      <c r="C940" s="4" t="s">
        <v>234</v>
      </c>
      <c r="D940" s="4">
        <f>INDEX(Positions!$D$2:$D$4694,MATCH($A940&amp;"|30",Positions!$A$2:$A$4694,0))</f>
        <v>33</v>
      </c>
      <c r="E940" s="4">
        <f>INDEX(Positions!$D$2:$D$4694,MATCH($A940&amp;"|40",Positions!$A$2:$A$4694,0))</f>
        <v>43</v>
      </c>
      <c r="F940" s="4" t="str">
        <f>INDEX(Positions!$E$2:$E$4694,MATCH($A940&amp;"|30",Positions!$A$2:$A$4694,0))</f>
        <v>G</v>
      </c>
      <c r="G940" s="4" t="str">
        <f>INDEX(Positions!$E$2:$E$4694,MATCH($A940&amp;"|40",Positions!$A$2:$A$4694,0))</f>
        <v>C</v>
      </c>
      <c r="H940" s="3" t="str">
        <f t="shared" si="56"/>
        <v>G-C</v>
      </c>
      <c r="I940" s="4">
        <f t="shared" si="57"/>
        <v>1</v>
      </c>
      <c r="J940" s="4">
        <f t="shared" si="58"/>
        <v>1</v>
      </c>
      <c r="K940" s="3">
        <f t="shared" si="59"/>
        <v>2</v>
      </c>
    </row>
    <row r="941" spans="1:11">
      <c r="A941" s="4" t="s">
        <v>70</v>
      </c>
      <c r="B941" s="4" t="s">
        <v>144</v>
      </c>
      <c r="C941" s="4" t="s">
        <v>235</v>
      </c>
      <c r="D941" s="4">
        <f>INDEX(Positions!$D$2:$D$4694,MATCH($A941&amp;"|31",Positions!$A$2:$A$4694,0))</f>
        <v>34</v>
      </c>
      <c r="E941" s="4">
        <f>INDEX(Positions!$D$2:$D$4694,MATCH($A941&amp;"|39",Positions!$A$2:$A$4694,0))</f>
        <v>42</v>
      </c>
      <c r="F941" s="4" t="str">
        <f>INDEX(Positions!$E$2:$E$4694,MATCH($A941&amp;"|31",Positions!$A$2:$A$4694,0))</f>
        <v>G</v>
      </c>
      <c r="G941" s="4" t="str">
        <f>INDEX(Positions!$E$2:$E$4694,MATCH($A941&amp;"|39",Positions!$A$2:$A$4694,0))</f>
        <v>C</v>
      </c>
      <c r="H941" s="3" t="str">
        <f t="shared" si="56"/>
        <v>G-C</v>
      </c>
      <c r="I941" s="4">
        <f t="shared" si="57"/>
        <v>1</v>
      </c>
      <c r="J941" s="4">
        <f t="shared" si="58"/>
        <v>1</v>
      </c>
      <c r="K941" s="3">
        <f t="shared" si="59"/>
        <v>2</v>
      </c>
    </row>
    <row r="942" spans="1:11">
      <c r="A942" s="4" t="s">
        <v>70</v>
      </c>
      <c r="B942" s="4" t="s">
        <v>169</v>
      </c>
      <c r="C942" s="4" t="s">
        <v>236</v>
      </c>
      <c r="D942" s="4">
        <f>INDEX(Positions!$D$2:$D$4694,MATCH($A942&amp;"|49",Positions!$A$2:$A$4694,0))</f>
        <v>61</v>
      </c>
      <c r="E942" s="4">
        <f>INDEX(Positions!$D$2:$D$4694,MATCH($A942&amp;"|65",Positions!$A$2:$A$4694,0))</f>
        <v>77</v>
      </c>
      <c r="F942" s="4" t="str">
        <f>INDEX(Positions!$E$2:$E$4694,MATCH($A942&amp;"|49",Positions!$A$2:$A$4694,0))</f>
        <v>G</v>
      </c>
      <c r="G942" s="4" t="str">
        <f>INDEX(Positions!$E$2:$E$4694,MATCH($A942&amp;"|65",Positions!$A$2:$A$4694,0))</f>
        <v>C</v>
      </c>
      <c r="H942" s="3" t="str">
        <f t="shared" si="56"/>
        <v>G-C</v>
      </c>
      <c r="I942" s="4">
        <f t="shared" si="57"/>
        <v>1</v>
      </c>
      <c r="J942" s="4">
        <f t="shared" si="58"/>
        <v>1</v>
      </c>
      <c r="K942" s="3">
        <f t="shared" si="59"/>
        <v>2</v>
      </c>
    </row>
    <row r="943" spans="1:11">
      <c r="A943" s="4" t="s">
        <v>70</v>
      </c>
      <c r="B943" s="4" t="s">
        <v>169</v>
      </c>
      <c r="C943" s="4" t="s">
        <v>237</v>
      </c>
      <c r="D943" s="4">
        <f>INDEX(Positions!$D$2:$D$4694,MATCH($A943&amp;"|50",Positions!$A$2:$A$4694,0))</f>
        <v>62</v>
      </c>
      <c r="E943" s="4">
        <f>INDEX(Positions!$D$2:$D$4694,MATCH($A943&amp;"|64",Positions!$A$2:$A$4694,0))</f>
        <v>76</v>
      </c>
      <c r="F943" s="4" t="str">
        <f>INDEX(Positions!$E$2:$E$4694,MATCH($A943&amp;"|50",Positions!$A$2:$A$4694,0))</f>
        <v>U</v>
      </c>
      <c r="G943" s="4" t="str">
        <f>INDEX(Positions!$E$2:$E$4694,MATCH($A943&amp;"|64",Positions!$A$2:$A$4694,0))</f>
        <v>A</v>
      </c>
      <c r="H943" s="3" t="str">
        <f t="shared" si="56"/>
        <v>U-A</v>
      </c>
      <c r="I943" s="4">
        <f t="shared" si="57"/>
        <v>0</v>
      </c>
      <c r="J943" s="4">
        <f t="shared" si="58"/>
        <v>0</v>
      </c>
      <c r="K943" s="3">
        <f t="shared" si="59"/>
        <v>0</v>
      </c>
    </row>
    <row r="944" spans="1:11">
      <c r="A944" s="4" t="s">
        <v>70</v>
      </c>
      <c r="B944" s="4" t="s">
        <v>169</v>
      </c>
      <c r="C944" s="4" t="s">
        <v>238</v>
      </c>
      <c r="D944" s="4">
        <f>INDEX(Positions!$D$2:$D$4694,MATCH($A944&amp;"|51",Positions!$A$2:$A$4694,0))</f>
        <v>63</v>
      </c>
      <c r="E944" s="4">
        <f>INDEX(Positions!$D$2:$D$4694,MATCH($A944&amp;"|63",Positions!$A$2:$A$4694,0))</f>
        <v>75</v>
      </c>
      <c r="F944" s="4" t="str">
        <f>INDEX(Positions!$E$2:$E$4694,MATCH($A944&amp;"|51",Positions!$A$2:$A$4694,0))</f>
        <v>G</v>
      </c>
      <c r="G944" s="4" t="str">
        <f>INDEX(Positions!$E$2:$E$4694,MATCH($A944&amp;"|63",Positions!$A$2:$A$4694,0))</f>
        <v>C</v>
      </c>
      <c r="H944" s="3" t="str">
        <f t="shared" si="56"/>
        <v>G-C</v>
      </c>
      <c r="I944" s="4">
        <f t="shared" si="57"/>
        <v>1</v>
      </c>
      <c r="J944" s="4">
        <f t="shared" si="58"/>
        <v>1</v>
      </c>
      <c r="K944" s="3">
        <f t="shared" si="59"/>
        <v>2</v>
      </c>
    </row>
    <row r="945" spans="1:11">
      <c r="A945" s="4" t="s">
        <v>70</v>
      </c>
      <c r="B945" s="4" t="s">
        <v>169</v>
      </c>
      <c r="C945" s="4" t="s">
        <v>239</v>
      </c>
      <c r="D945" s="4">
        <f>INDEX(Positions!$D$2:$D$4694,MATCH($A945&amp;"|52",Positions!$A$2:$A$4694,0))</f>
        <v>64</v>
      </c>
      <c r="E945" s="4">
        <f>INDEX(Positions!$D$2:$D$4694,MATCH($A945&amp;"|62",Positions!$A$2:$A$4694,0))</f>
        <v>74</v>
      </c>
      <c r="F945" s="4" t="str">
        <f>INDEX(Positions!$E$2:$E$4694,MATCH($A945&amp;"|52",Positions!$A$2:$A$4694,0))</f>
        <v>C</v>
      </c>
      <c r="G945" s="4" t="str">
        <f>INDEX(Positions!$E$2:$E$4694,MATCH($A945&amp;"|62",Positions!$A$2:$A$4694,0))</f>
        <v>G</v>
      </c>
      <c r="H945" s="3" t="str">
        <f t="shared" si="56"/>
        <v>C-G</v>
      </c>
      <c r="I945" s="4">
        <f t="shared" si="57"/>
        <v>1</v>
      </c>
      <c r="J945" s="4">
        <f t="shared" si="58"/>
        <v>1</v>
      </c>
      <c r="K945" s="3">
        <f t="shared" si="59"/>
        <v>2</v>
      </c>
    </row>
    <row r="946" spans="1:11">
      <c r="A946" s="4" t="s">
        <v>70</v>
      </c>
      <c r="B946" s="4" t="s">
        <v>169</v>
      </c>
      <c r="C946" s="4" t="s">
        <v>240</v>
      </c>
      <c r="D946" s="4">
        <f>INDEX(Positions!$D$2:$D$4694,MATCH($A946&amp;"|53",Positions!$A$2:$A$4694,0))</f>
        <v>65</v>
      </c>
      <c r="E946" s="4">
        <f>INDEX(Positions!$D$2:$D$4694,MATCH($A946&amp;"|61",Positions!$A$2:$A$4694,0))</f>
        <v>73</v>
      </c>
      <c r="F946" s="4" t="str">
        <f>INDEX(Positions!$E$2:$E$4694,MATCH($A946&amp;"|53",Positions!$A$2:$A$4694,0))</f>
        <v>G</v>
      </c>
      <c r="G946" s="4" t="str">
        <f>INDEX(Positions!$E$2:$E$4694,MATCH($A946&amp;"|61",Positions!$A$2:$A$4694,0))</f>
        <v>C</v>
      </c>
      <c r="H946" s="3" t="str">
        <f t="shared" si="56"/>
        <v>G-C</v>
      </c>
      <c r="I946" s="4">
        <f t="shared" si="57"/>
        <v>1</v>
      </c>
      <c r="J946" s="4">
        <f t="shared" si="58"/>
        <v>1</v>
      </c>
      <c r="K946" s="3">
        <f t="shared" si="59"/>
        <v>2</v>
      </c>
    </row>
    <row r="947" spans="1:11">
      <c r="A947" s="23" t="s">
        <v>70</v>
      </c>
      <c r="B947" s="23" t="s">
        <v>241</v>
      </c>
      <c r="C947" s="23" t="s">
        <v>242</v>
      </c>
      <c r="D947" s="23">
        <f>INDEX(Positions!$D$2:$D$4694,MATCH($A947&amp;"|8",Positions!$A$2:$A$4694,0))</f>
        <v>8</v>
      </c>
      <c r="E947" s="23">
        <f>INDEX(Positions!$D$2:$D$4694,MATCH($A947&amp;"|14",Positions!$A$2:$A$4694,0))</f>
        <v>14</v>
      </c>
      <c r="F947" s="23" t="str">
        <f>INDEX(Positions!$E$2:$E$4694,MATCH($A947&amp;"|8",Positions!$A$2:$A$4694,0))</f>
        <v>U</v>
      </c>
      <c r="G947" s="23" t="str">
        <f>INDEX(Positions!$E$2:$E$4694,MATCH($A947&amp;"|14",Positions!$A$2:$A$4694,0))</f>
        <v>A</v>
      </c>
      <c r="H947" s="24" t="str">
        <f t="shared" si="56"/>
        <v>U-A</v>
      </c>
      <c r="I947" s="23">
        <f t="shared" si="57"/>
        <v>0</v>
      </c>
      <c r="J947" s="23">
        <f t="shared" si="58"/>
        <v>0</v>
      </c>
      <c r="K947" s="24">
        <f t="shared" si="59"/>
        <v>0</v>
      </c>
    </row>
    <row r="948" spans="1:11">
      <c r="A948" s="23" t="s">
        <v>70</v>
      </c>
      <c r="B948" s="23" t="s">
        <v>241</v>
      </c>
      <c r="C948" s="23" t="s">
        <v>243</v>
      </c>
      <c r="D948" s="23">
        <f>INDEX(Positions!$D$2:$D$4694,MATCH($A948&amp;"|15",Positions!$A$2:$A$4694,0))</f>
        <v>15</v>
      </c>
      <c r="E948" s="23">
        <f>INDEX(Positions!$D$2:$D$4694,MATCH($A948&amp;"|48",Positions!$A$2:$A$4694,0))</f>
        <v>60</v>
      </c>
      <c r="F948" s="23" t="str">
        <f>INDEX(Positions!$E$2:$E$4694,MATCH($A948&amp;"|15",Positions!$A$2:$A$4694,0))</f>
        <v>G</v>
      </c>
      <c r="G948" s="23" t="str">
        <f>INDEX(Positions!$E$2:$E$4694,MATCH($A948&amp;"|48",Positions!$A$2:$A$4694,0))</f>
        <v>C</v>
      </c>
      <c r="H948" s="24" t="str">
        <f t="shared" si="56"/>
        <v>G-C</v>
      </c>
      <c r="I948" s="23">
        <f t="shared" si="57"/>
        <v>1</v>
      </c>
      <c r="J948" s="23">
        <f t="shared" si="58"/>
        <v>1</v>
      </c>
      <c r="K948" s="24">
        <f t="shared" si="59"/>
        <v>2</v>
      </c>
    </row>
    <row r="949" spans="1:11">
      <c r="A949" s="23" t="s">
        <v>70</v>
      </c>
      <c r="B949" s="23" t="s">
        <v>241</v>
      </c>
      <c r="C949" s="23" t="s">
        <v>244</v>
      </c>
      <c r="D949" s="23">
        <f>INDEX(Positions!$D$2:$D$4694,MATCH($A949&amp;"|18",Positions!$A$2:$A$4694,0))</f>
        <v>19</v>
      </c>
      <c r="E949" s="23">
        <f>INDEX(Positions!$D$2:$D$4694,MATCH($A949&amp;"|55",Positions!$A$2:$A$4694,0))</f>
        <v>67</v>
      </c>
      <c r="F949" s="23" t="str">
        <f>INDEX(Positions!$E$2:$E$4694,MATCH($A949&amp;"|18",Positions!$A$2:$A$4694,0))</f>
        <v>G</v>
      </c>
      <c r="G949" s="23" t="str">
        <f>INDEX(Positions!$E$2:$E$4694,MATCH($A949&amp;"|55",Positions!$A$2:$A$4694,0))</f>
        <v>U</v>
      </c>
      <c r="H949" s="24" t="str">
        <f t="shared" si="56"/>
        <v>G-U</v>
      </c>
      <c r="I949" s="23">
        <f t="shared" si="57"/>
        <v>1</v>
      </c>
      <c r="J949" s="23">
        <f t="shared" si="58"/>
        <v>0</v>
      </c>
      <c r="K949" s="24">
        <f t="shared" si="59"/>
        <v>1</v>
      </c>
    </row>
    <row r="950" spans="1:11">
      <c r="A950" s="23" t="s">
        <v>70</v>
      </c>
      <c r="B950" s="23" t="s">
        <v>241</v>
      </c>
      <c r="C950" s="23" t="s">
        <v>245</v>
      </c>
      <c r="D950" s="23">
        <f>INDEX(Positions!$D$2:$D$4694,MATCH($A950&amp;"|19",Positions!$A$2:$A$4694,0))</f>
        <v>20</v>
      </c>
      <c r="E950" s="23">
        <f>INDEX(Positions!$D$2:$D$4694,MATCH($A950&amp;"|56",Positions!$A$2:$A$4694,0))</f>
        <v>68</v>
      </c>
      <c r="F950" s="23" t="str">
        <f>INDEX(Positions!$E$2:$E$4694,MATCH($A950&amp;"|19",Positions!$A$2:$A$4694,0))</f>
        <v>G</v>
      </c>
      <c r="G950" s="23" t="str">
        <f>INDEX(Positions!$E$2:$E$4694,MATCH($A950&amp;"|56",Positions!$A$2:$A$4694,0))</f>
        <v>C</v>
      </c>
      <c r="H950" s="24" t="str">
        <f t="shared" si="56"/>
        <v>G-C</v>
      </c>
      <c r="I950" s="23">
        <f t="shared" si="57"/>
        <v>1</v>
      </c>
      <c r="J950" s="23">
        <f t="shared" si="58"/>
        <v>1</v>
      </c>
      <c r="K950" s="24">
        <f t="shared" si="59"/>
        <v>2</v>
      </c>
    </row>
    <row r="951" spans="1:11">
      <c r="A951" s="23" t="s">
        <v>70</v>
      </c>
      <c r="B951" s="23" t="s">
        <v>241</v>
      </c>
      <c r="C951" s="23" t="s">
        <v>246</v>
      </c>
      <c r="D951" s="23">
        <f>INDEX(Positions!$D$2:$D$4694,MATCH($A951&amp;"|26",Positions!$A$2:$A$4694,0))</f>
        <v>29</v>
      </c>
      <c r="E951" s="23">
        <f>INDEX(Positions!$D$2:$D$4694,MATCH($A951&amp;"|44",Positions!$A$2:$A$4694,0))</f>
        <v>47</v>
      </c>
      <c r="F951" s="23" t="str">
        <f>INDEX(Positions!$E$2:$E$4694,MATCH($A951&amp;"|26",Positions!$A$2:$A$4694,0))</f>
        <v>G</v>
      </c>
      <c r="G951" s="23" t="str">
        <f>INDEX(Positions!$E$2:$E$4694,MATCH($A951&amp;"|44",Positions!$A$2:$A$4694,0))</f>
        <v>U</v>
      </c>
      <c r="H951" s="24" t="str">
        <f t="shared" si="56"/>
        <v>G-U</v>
      </c>
      <c r="I951" s="23">
        <f t="shared" si="57"/>
        <v>1</v>
      </c>
      <c r="J951" s="23">
        <f t="shared" si="58"/>
        <v>0</v>
      </c>
      <c r="K951" s="24">
        <f t="shared" si="59"/>
        <v>1</v>
      </c>
    </row>
    <row r="952" spans="1:11">
      <c r="A952" s="23" t="s">
        <v>70</v>
      </c>
      <c r="B952" s="23" t="s">
        <v>241</v>
      </c>
      <c r="C952" s="23" t="s">
        <v>247</v>
      </c>
      <c r="D952" s="23">
        <f>INDEX(Positions!$D$2:$D$4694,MATCH($A952&amp;"|32",Positions!$A$2:$A$4694,0))</f>
        <v>35</v>
      </c>
      <c r="E952" s="23">
        <f>INDEX(Positions!$D$2:$D$4694,MATCH($A952&amp;"|38",Positions!$A$2:$A$4694,0))</f>
        <v>41</v>
      </c>
      <c r="F952" s="23" t="str">
        <f>INDEX(Positions!$E$2:$E$4694,MATCH($A952&amp;"|32",Positions!$A$2:$A$4694,0))</f>
        <v>U</v>
      </c>
      <c r="G952" s="23" t="str">
        <f>INDEX(Positions!$E$2:$E$4694,MATCH($A952&amp;"|38",Positions!$A$2:$A$4694,0))</f>
        <v>G</v>
      </c>
      <c r="H952" s="24" t="str">
        <f t="shared" si="56"/>
        <v>U-G</v>
      </c>
      <c r="I952" s="23">
        <f t="shared" si="57"/>
        <v>1</v>
      </c>
      <c r="J952" s="23">
        <f t="shared" si="58"/>
        <v>0</v>
      </c>
      <c r="K952" s="24">
        <f t="shared" si="59"/>
        <v>1</v>
      </c>
    </row>
    <row r="953" spans="1:11">
      <c r="A953" s="23" t="s">
        <v>70</v>
      </c>
      <c r="B953" s="23" t="s">
        <v>241</v>
      </c>
      <c r="C953" s="23" t="s">
        <v>248</v>
      </c>
      <c r="D953" s="23">
        <f>INDEX(Positions!$D$2:$D$4694,MATCH($A953&amp;"|54",Positions!$A$2:$A$4694,0))</f>
        <v>66</v>
      </c>
      <c r="E953" s="23">
        <f>INDEX(Positions!$D$2:$D$4694,MATCH($A953&amp;"|58",Positions!$A$2:$A$4694,0))</f>
        <v>70</v>
      </c>
      <c r="F953" s="23" t="str">
        <f>INDEX(Positions!$E$2:$E$4694,MATCH($A953&amp;"|54",Positions!$A$2:$A$4694,0))</f>
        <v>U</v>
      </c>
      <c r="G953" s="23" t="str">
        <f>INDEX(Positions!$E$2:$E$4694,MATCH($A953&amp;"|58",Positions!$A$2:$A$4694,0))</f>
        <v>A</v>
      </c>
      <c r="H953" s="24" t="str">
        <f t="shared" si="56"/>
        <v>U-A</v>
      </c>
      <c r="I953" s="23">
        <f t="shared" si="57"/>
        <v>0</v>
      </c>
      <c r="J953" s="23">
        <f t="shared" si="58"/>
        <v>0</v>
      </c>
      <c r="K953" s="24">
        <f t="shared" si="59"/>
        <v>0</v>
      </c>
    </row>
    <row r="954" spans="1:11">
      <c r="A954" s="4" t="s">
        <v>71</v>
      </c>
      <c r="B954" s="4" t="s">
        <v>110</v>
      </c>
      <c r="C954" s="4" t="s">
        <v>220</v>
      </c>
      <c r="D954" s="4">
        <f>INDEX(Positions!$D$2:$D$4694,MATCH($A954&amp;"|1",Positions!$A$2:$A$4694,0))</f>
        <v>1</v>
      </c>
      <c r="E954" s="4">
        <f>INDEX(Positions!$D$2:$D$4694,MATCH($A954&amp;"|72",Positions!$A$2:$A$4694,0))</f>
        <v>84</v>
      </c>
      <c r="F954" s="4" t="str">
        <f>INDEX(Positions!$E$2:$E$4694,MATCH($A954&amp;"|1",Positions!$A$2:$A$4694,0))</f>
        <v>G</v>
      </c>
      <c r="G954" s="4" t="str">
        <f>INDEX(Positions!$E$2:$E$4694,MATCH($A954&amp;"|72",Positions!$A$2:$A$4694,0))</f>
        <v>C</v>
      </c>
      <c r="H954" s="3" t="str">
        <f t="shared" si="56"/>
        <v>G-C</v>
      </c>
      <c r="I954" s="4">
        <f t="shared" si="57"/>
        <v>1</v>
      </c>
      <c r="J954" s="4">
        <f t="shared" si="58"/>
        <v>1</v>
      </c>
      <c r="K954" s="3">
        <f t="shared" si="59"/>
        <v>2</v>
      </c>
    </row>
    <row r="955" spans="1:11">
      <c r="A955" s="4" t="s">
        <v>71</v>
      </c>
      <c r="B955" s="4" t="s">
        <v>110</v>
      </c>
      <c r="C955" s="4" t="s">
        <v>221</v>
      </c>
      <c r="D955" s="4">
        <f>INDEX(Positions!$D$2:$D$4694,MATCH($A955&amp;"|2",Positions!$A$2:$A$4694,0))</f>
        <v>2</v>
      </c>
      <c r="E955" s="4">
        <f>INDEX(Positions!$D$2:$D$4694,MATCH($A955&amp;"|71",Positions!$A$2:$A$4694,0))</f>
        <v>83</v>
      </c>
      <c r="F955" s="4" t="str">
        <f>INDEX(Positions!$E$2:$E$4694,MATCH($A955&amp;"|2",Positions!$A$2:$A$4694,0))</f>
        <v>C</v>
      </c>
      <c r="G955" s="4" t="str">
        <f>INDEX(Positions!$E$2:$E$4694,MATCH($A955&amp;"|71",Positions!$A$2:$A$4694,0))</f>
        <v>G</v>
      </c>
      <c r="H955" s="3" t="str">
        <f t="shared" si="56"/>
        <v>C-G</v>
      </c>
      <c r="I955" s="4">
        <f t="shared" si="57"/>
        <v>1</v>
      </c>
      <c r="J955" s="4">
        <f t="shared" si="58"/>
        <v>1</v>
      </c>
      <c r="K955" s="3">
        <f t="shared" si="59"/>
        <v>2</v>
      </c>
    </row>
    <row r="956" spans="1:11">
      <c r="A956" s="4" t="s">
        <v>71</v>
      </c>
      <c r="B956" s="4" t="s">
        <v>110</v>
      </c>
      <c r="C956" s="4" t="s">
        <v>222</v>
      </c>
      <c r="D956" s="4">
        <f>INDEX(Positions!$D$2:$D$4694,MATCH($A956&amp;"|3",Positions!$A$2:$A$4694,0))</f>
        <v>3</v>
      </c>
      <c r="E956" s="4">
        <f>INDEX(Positions!$D$2:$D$4694,MATCH($A956&amp;"|70",Positions!$A$2:$A$4694,0))</f>
        <v>82</v>
      </c>
      <c r="F956" s="4" t="str">
        <f>INDEX(Positions!$E$2:$E$4694,MATCH($A956&amp;"|3",Positions!$A$2:$A$4694,0))</f>
        <v>G</v>
      </c>
      <c r="G956" s="4" t="str">
        <f>INDEX(Positions!$E$2:$E$4694,MATCH($A956&amp;"|70",Positions!$A$2:$A$4694,0))</f>
        <v>C</v>
      </c>
      <c r="H956" s="3" t="str">
        <f t="shared" si="56"/>
        <v>G-C</v>
      </c>
      <c r="I956" s="4">
        <f t="shared" si="57"/>
        <v>1</v>
      </c>
      <c r="J956" s="4">
        <f t="shared" si="58"/>
        <v>1</v>
      </c>
      <c r="K956" s="3">
        <f t="shared" si="59"/>
        <v>2</v>
      </c>
    </row>
    <row r="957" spans="1:11">
      <c r="A957" s="4" t="s">
        <v>71</v>
      </c>
      <c r="B957" s="4" t="s">
        <v>110</v>
      </c>
      <c r="C957" s="4" t="s">
        <v>223</v>
      </c>
      <c r="D957" s="4">
        <f>INDEX(Positions!$D$2:$D$4694,MATCH($A957&amp;"|4",Positions!$A$2:$A$4694,0))</f>
        <v>4</v>
      </c>
      <c r="E957" s="4">
        <f>INDEX(Positions!$D$2:$D$4694,MATCH($A957&amp;"|69",Positions!$A$2:$A$4694,0))</f>
        <v>81</v>
      </c>
      <c r="F957" s="4" t="str">
        <f>INDEX(Positions!$E$2:$E$4694,MATCH($A957&amp;"|4",Positions!$A$2:$A$4694,0))</f>
        <v>A</v>
      </c>
      <c r="G957" s="4" t="str">
        <f>INDEX(Positions!$E$2:$E$4694,MATCH($A957&amp;"|69",Positions!$A$2:$A$4694,0))</f>
        <v>U</v>
      </c>
      <c r="H957" s="3" t="str">
        <f t="shared" si="56"/>
        <v>A-U</v>
      </c>
      <c r="I957" s="4">
        <f t="shared" si="57"/>
        <v>0</v>
      </c>
      <c r="J957" s="4">
        <f t="shared" si="58"/>
        <v>0</v>
      </c>
      <c r="K957" s="3">
        <f t="shared" si="59"/>
        <v>0</v>
      </c>
    </row>
    <row r="958" spans="1:11">
      <c r="A958" s="4" t="s">
        <v>71</v>
      </c>
      <c r="B958" s="4" t="s">
        <v>110</v>
      </c>
      <c r="C958" s="4" t="s">
        <v>224</v>
      </c>
      <c r="D958" s="4">
        <f>INDEX(Positions!$D$2:$D$4694,MATCH($A958&amp;"|5",Positions!$A$2:$A$4694,0))</f>
        <v>5</v>
      </c>
      <c r="E958" s="4">
        <f>INDEX(Positions!$D$2:$D$4694,MATCH($A958&amp;"|68",Positions!$A$2:$A$4694,0))</f>
        <v>80</v>
      </c>
      <c r="F958" s="4" t="str">
        <f>INDEX(Positions!$E$2:$E$4694,MATCH($A958&amp;"|5",Positions!$A$2:$A$4694,0))</f>
        <v>G</v>
      </c>
      <c r="G958" s="4" t="str">
        <f>INDEX(Positions!$E$2:$E$4694,MATCH($A958&amp;"|68",Positions!$A$2:$A$4694,0))</f>
        <v>C</v>
      </c>
      <c r="H958" s="3" t="str">
        <f t="shared" si="56"/>
        <v>G-C</v>
      </c>
      <c r="I958" s="4">
        <f t="shared" si="57"/>
        <v>1</v>
      </c>
      <c r="J958" s="4">
        <f t="shared" si="58"/>
        <v>1</v>
      </c>
      <c r="K958" s="3">
        <f t="shared" si="59"/>
        <v>2</v>
      </c>
    </row>
    <row r="959" spans="1:11">
      <c r="A959" s="4" t="s">
        <v>71</v>
      </c>
      <c r="B959" s="4" t="s">
        <v>110</v>
      </c>
      <c r="C959" s="4" t="s">
        <v>225</v>
      </c>
      <c r="D959" s="4">
        <f>INDEX(Positions!$D$2:$D$4694,MATCH($A959&amp;"|6",Positions!$A$2:$A$4694,0))</f>
        <v>6</v>
      </c>
      <c r="E959" s="4">
        <f>INDEX(Positions!$D$2:$D$4694,MATCH($A959&amp;"|67",Positions!$A$2:$A$4694,0))</f>
        <v>79</v>
      </c>
      <c r="F959" s="4" t="str">
        <f>INDEX(Positions!$E$2:$E$4694,MATCH($A959&amp;"|6",Positions!$A$2:$A$4694,0))</f>
        <v>G</v>
      </c>
      <c r="G959" s="4" t="str">
        <f>INDEX(Positions!$E$2:$E$4694,MATCH($A959&amp;"|67",Positions!$A$2:$A$4694,0))</f>
        <v>C</v>
      </c>
      <c r="H959" s="3" t="str">
        <f t="shared" si="56"/>
        <v>G-C</v>
      </c>
      <c r="I959" s="4">
        <f t="shared" si="57"/>
        <v>1</v>
      </c>
      <c r="J959" s="4">
        <f t="shared" si="58"/>
        <v>1</v>
      </c>
      <c r="K959" s="3">
        <f t="shared" si="59"/>
        <v>2</v>
      </c>
    </row>
    <row r="960" spans="1:11">
      <c r="A960" s="4" t="s">
        <v>71</v>
      </c>
      <c r="B960" s="4" t="s">
        <v>110</v>
      </c>
      <c r="C960" s="4" t="s">
        <v>226</v>
      </c>
      <c r="D960" s="4">
        <f>INDEX(Positions!$D$2:$D$4694,MATCH($A960&amp;"|7",Positions!$A$2:$A$4694,0))</f>
        <v>7</v>
      </c>
      <c r="E960" s="4">
        <f>INDEX(Positions!$D$2:$D$4694,MATCH($A960&amp;"|66",Positions!$A$2:$A$4694,0))</f>
        <v>78</v>
      </c>
      <c r="F960" s="4" t="str">
        <f>INDEX(Positions!$E$2:$E$4694,MATCH($A960&amp;"|7",Positions!$A$2:$A$4694,0))</f>
        <v>G</v>
      </c>
      <c r="G960" s="4" t="str">
        <f>INDEX(Positions!$E$2:$E$4694,MATCH($A960&amp;"|66",Positions!$A$2:$A$4694,0))</f>
        <v>C</v>
      </c>
      <c r="H960" s="3" t="str">
        <f t="shared" si="56"/>
        <v>G-C</v>
      </c>
      <c r="I960" s="4">
        <f t="shared" si="57"/>
        <v>1</v>
      </c>
      <c r="J960" s="4">
        <f t="shared" si="58"/>
        <v>1</v>
      </c>
      <c r="K960" s="3">
        <f t="shared" si="59"/>
        <v>2</v>
      </c>
    </row>
    <row r="961" spans="1:11">
      <c r="A961" s="4" t="s">
        <v>71</v>
      </c>
      <c r="B961" s="4" t="s">
        <v>125</v>
      </c>
      <c r="C961" s="4" t="s">
        <v>227</v>
      </c>
      <c r="D961" s="4">
        <f>INDEX(Positions!$D$2:$D$4694,MATCH($A961&amp;"|10",Positions!$A$2:$A$4694,0))</f>
        <v>10</v>
      </c>
      <c r="E961" s="4">
        <f>INDEX(Positions!$D$2:$D$4694,MATCH($A961&amp;"|25",Positions!$A$2:$A$4694,0))</f>
        <v>28</v>
      </c>
      <c r="F961" s="4" t="str">
        <f>INDEX(Positions!$E$2:$E$4694,MATCH($A961&amp;"|10",Positions!$A$2:$A$4694,0))</f>
        <v>G</v>
      </c>
      <c r="G961" s="4" t="str">
        <f>INDEX(Positions!$E$2:$E$4694,MATCH($A961&amp;"|25",Positions!$A$2:$A$4694,0))</f>
        <v>C</v>
      </c>
      <c r="H961" s="3" t="str">
        <f t="shared" si="56"/>
        <v>G-C</v>
      </c>
      <c r="I961" s="4">
        <f t="shared" si="57"/>
        <v>1</v>
      </c>
      <c r="J961" s="4">
        <f t="shared" si="58"/>
        <v>1</v>
      </c>
      <c r="K961" s="3">
        <f t="shared" si="59"/>
        <v>2</v>
      </c>
    </row>
    <row r="962" spans="1:11">
      <c r="A962" s="4" t="s">
        <v>71</v>
      </c>
      <c r="B962" s="4" t="s">
        <v>125</v>
      </c>
      <c r="C962" s="4" t="s">
        <v>228</v>
      </c>
      <c r="D962" s="4">
        <f>INDEX(Positions!$D$2:$D$4694,MATCH($A962&amp;"|11",Positions!$A$2:$A$4694,0))</f>
        <v>11</v>
      </c>
      <c r="E962" s="4">
        <f>INDEX(Positions!$D$2:$D$4694,MATCH($A962&amp;"|24",Positions!$A$2:$A$4694,0))</f>
        <v>27</v>
      </c>
      <c r="F962" s="4" t="str">
        <f>INDEX(Positions!$E$2:$E$4694,MATCH($A962&amp;"|11",Positions!$A$2:$A$4694,0))</f>
        <v>C</v>
      </c>
      <c r="G962" s="4" t="str">
        <f>INDEX(Positions!$E$2:$E$4694,MATCH($A962&amp;"|24",Positions!$A$2:$A$4694,0))</f>
        <v>G</v>
      </c>
      <c r="H962" s="3" t="str">
        <f t="shared" ref="H962:H1025" si="60">F962&amp;"-"&amp;G962</f>
        <v>C-G</v>
      </c>
      <c r="I962" s="4">
        <f t="shared" ref="I962:I1025" si="61">(F962="G")+(G962="G")</f>
        <v>1</v>
      </c>
      <c r="J962" s="4">
        <f t="shared" ref="J962:J1025" si="62">(F962="C")+(G962="C")</f>
        <v>1</v>
      </c>
      <c r="K962" s="3">
        <f t="shared" ref="K962:K1025" si="63">I962+J962</f>
        <v>2</v>
      </c>
    </row>
    <row r="963" spans="1:11">
      <c r="A963" s="4" t="s">
        <v>71</v>
      </c>
      <c r="B963" s="4" t="s">
        <v>125</v>
      </c>
      <c r="C963" s="4" t="s">
        <v>229</v>
      </c>
      <c r="D963" s="4">
        <f>INDEX(Positions!$D$2:$D$4694,MATCH($A963&amp;"|12",Positions!$A$2:$A$4694,0))</f>
        <v>12</v>
      </c>
      <c r="E963" s="4">
        <f>INDEX(Positions!$D$2:$D$4694,MATCH($A963&amp;"|23",Positions!$A$2:$A$4694,0))</f>
        <v>26</v>
      </c>
      <c r="F963" s="4" t="str">
        <f>INDEX(Positions!$E$2:$E$4694,MATCH($A963&amp;"|12",Positions!$A$2:$A$4694,0))</f>
        <v>C</v>
      </c>
      <c r="G963" s="4" t="str">
        <f>INDEX(Positions!$E$2:$E$4694,MATCH($A963&amp;"|23",Positions!$A$2:$A$4694,0))</f>
        <v>G</v>
      </c>
      <c r="H963" s="3" t="str">
        <f t="shared" si="60"/>
        <v>C-G</v>
      </c>
      <c r="I963" s="4">
        <f t="shared" si="61"/>
        <v>1</v>
      </c>
      <c r="J963" s="4">
        <f t="shared" si="62"/>
        <v>1</v>
      </c>
      <c r="K963" s="3">
        <f t="shared" si="63"/>
        <v>2</v>
      </c>
    </row>
    <row r="964" spans="1:11">
      <c r="A964" s="4" t="s">
        <v>71</v>
      </c>
      <c r="B964" s="4" t="s">
        <v>125</v>
      </c>
      <c r="C964" s="4" t="s">
        <v>230</v>
      </c>
      <c r="D964" s="4">
        <f>INDEX(Positions!$D$2:$D$4694,MATCH($A964&amp;"|13",Positions!$A$2:$A$4694,0))</f>
        <v>13</v>
      </c>
      <c r="E964" s="4">
        <f>INDEX(Positions!$D$2:$D$4694,MATCH($A964&amp;"|22",Positions!$A$2:$A$4694,0))</f>
        <v>25</v>
      </c>
      <c r="F964" s="4" t="str">
        <f>INDEX(Positions!$E$2:$E$4694,MATCH($A964&amp;"|13",Positions!$A$2:$A$4694,0))</f>
        <v>C</v>
      </c>
      <c r="G964" s="4" t="str">
        <f>INDEX(Positions!$E$2:$E$4694,MATCH($A964&amp;"|22",Positions!$A$2:$A$4694,0))</f>
        <v>A</v>
      </c>
      <c r="H964" s="3" t="str">
        <f t="shared" si="60"/>
        <v>C-A</v>
      </c>
      <c r="I964" s="4">
        <f t="shared" si="61"/>
        <v>0</v>
      </c>
      <c r="J964" s="4">
        <f t="shared" si="62"/>
        <v>1</v>
      </c>
      <c r="K964" s="3">
        <f t="shared" si="63"/>
        <v>1</v>
      </c>
    </row>
    <row r="965" spans="1:11">
      <c r="A965" s="4" t="s">
        <v>71</v>
      </c>
      <c r="B965" s="4" t="s">
        <v>144</v>
      </c>
      <c r="C965" s="4" t="s">
        <v>231</v>
      </c>
      <c r="D965" s="4">
        <f>INDEX(Positions!$D$2:$D$4694,MATCH($A965&amp;"|27",Positions!$A$2:$A$4694,0))</f>
        <v>30</v>
      </c>
      <c r="E965" s="4">
        <f>INDEX(Positions!$D$2:$D$4694,MATCH($A965&amp;"|43",Positions!$A$2:$A$4694,0))</f>
        <v>46</v>
      </c>
      <c r="F965" s="4" t="str">
        <f>INDEX(Positions!$E$2:$E$4694,MATCH($A965&amp;"|27",Positions!$A$2:$A$4694,0))</f>
        <v>C</v>
      </c>
      <c r="G965" s="4" t="str">
        <f>INDEX(Positions!$E$2:$E$4694,MATCH($A965&amp;"|43",Positions!$A$2:$A$4694,0))</f>
        <v>G</v>
      </c>
      <c r="H965" s="3" t="str">
        <f t="shared" si="60"/>
        <v>C-G</v>
      </c>
      <c r="I965" s="4">
        <f t="shared" si="61"/>
        <v>1</v>
      </c>
      <c r="J965" s="4">
        <f t="shared" si="62"/>
        <v>1</v>
      </c>
      <c r="K965" s="3">
        <f t="shared" si="63"/>
        <v>2</v>
      </c>
    </row>
    <row r="966" spans="1:11">
      <c r="A966" s="4" t="s">
        <v>71</v>
      </c>
      <c r="B966" s="4" t="s">
        <v>144</v>
      </c>
      <c r="C966" s="4" t="s">
        <v>232</v>
      </c>
      <c r="D966" s="4">
        <f>INDEX(Positions!$D$2:$D$4694,MATCH($A966&amp;"|28",Positions!$A$2:$A$4694,0))</f>
        <v>31</v>
      </c>
      <c r="E966" s="4">
        <f>INDEX(Positions!$D$2:$D$4694,MATCH($A966&amp;"|42",Positions!$A$2:$A$4694,0))</f>
        <v>45</v>
      </c>
      <c r="F966" s="4" t="str">
        <f>INDEX(Positions!$E$2:$E$4694,MATCH($A966&amp;"|28",Positions!$A$2:$A$4694,0))</f>
        <v>U</v>
      </c>
      <c r="G966" s="4" t="str">
        <f>INDEX(Positions!$E$2:$E$4694,MATCH($A966&amp;"|42",Positions!$A$2:$A$4694,0))</f>
        <v>A</v>
      </c>
      <c r="H966" s="3" t="str">
        <f t="shared" si="60"/>
        <v>U-A</v>
      </c>
      <c r="I966" s="4">
        <f t="shared" si="61"/>
        <v>0</v>
      </c>
      <c r="J966" s="4">
        <f t="shared" si="62"/>
        <v>0</v>
      </c>
      <c r="K966" s="3">
        <f t="shared" si="63"/>
        <v>0</v>
      </c>
    </row>
    <row r="967" spans="1:11">
      <c r="A967" s="4" t="s">
        <v>71</v>
      </c>
      <c r="B967" s="4" t="s">
        <v>144</v>
      </c>
      <c r="C967" s="4" t="s">
        <v>233</v>
      </c>
      <c r="D967" s="4">
        <f>INDEX(Positions!$D$2:$D$4694,MATCH($A967&amp;"|29",Positions!$A$2:$A$4694,0))</f>
        <v>32</v>
      </c>
      <c r="E967" s="4">
        <f>INDEX(Positions!$D$2:$D$4694,MATCH($A967&amp;"|41",Positions!$A$2:$A$4694,0))</f>
        <v>44</v>
      </c>
      <c r="F967" s="4" t="str">
        <f>INDEX(Positions!$E$2:$E$4694,MATCH($A967&amp;"|29",Positions!$A$2:$A$4694,0))</f>
        <v>A</v>
      </c>
      <c r="G967" s="4" t="str">
        <f>INDEX(Positions!$E$2:$E$4694,MATCH($A967&amp;"|41",Positions!$A$2:$A$4694,0))</f>
        <v>U</v>
      </c>
      <c r="H967" s="3" t="str">
        <f t="shared" si="60"/>
        <v>A-U</v>
      </c>
      <c r="I967" s="4">
        <f t="shared" si="61"/>
        <v>0</v>
      </c>
      <c r="J967" s="4">
        <f t="shared" si="62"/>
        <v>0</v>
      </c>
      <c r="K967" s="3">
        <f t="shared" si="63"/>
        <v>0</v>
      </c>
    </row>
    <row r="968" spans="1:11">
      <c r="A968" s="4" t="s">
        <v>71</v>
      </c>
      <c r="B968" s="4" t="s">
        <v>144</v>
      </c>
      <c r="C968" s="4" t="s">
        <v>234</v>
      </c>
      <c r="D968" s="4">
        <f>INDEX(Positions!$D$2:$D$4694,MATCH($A968&amp;"|30",Positions!$A$2:$A$4694,0))</f>
        <v>33</v>
      </c>
      <c r="E968" s="4">
        <f>INDEX(Positions!$D$2:$D$4694,MATCH($A968&amp;"|40",Positions!$A$2:$A$4694,0))</f>
        <v>43</v>
      </c>
      <c r="F968" s="4" t="str">
        <f>INDEX(Positions!$E$2:$E$4694,MATCH($A968&amp;"|30",Positions!$A$2:$A$4694,0))</f>
        <v>G</v>
      </c>
      <c r="G968" s="4" t="str">
        <f>INDEX(Positions!$E$2:$E$4694,MATCH($A968&amp;"|40",Positions!$A$2:$A$4694,0))</f>
        <v>C</v>
      </c>
      <c r="H968" s="3" t="str">
        <f t="shared" si="60"/>
        <v>G-C</v>
      </c>
      <c r="I968" s="4">
        <f t="shared" si="61"/>
        <v>1</v>
      </c>
      <c r="J968" s="4">
        <f t="shared" si="62"/>
        <v>1</v>
      </c>
      <c r="K968" s="3">
        <f t="shared" si="63"/>
        <v>2</v>
      </c>
    </row>
    <row r="969" spans="1:11">
      <c r="A969" s="4" t="s">
        <v>71</v>
      </c>
      <c r="B969" s="4" t="s">
        <v>144</v>
      </c>
      <c r="C969" s="4" t="s">
        <v>235</v>
      </c>
      <c r="D969" s="4">
        <f>INDEX(Positions!$D$2:$D$4694,MATCH($A969&amp;"|31",Positions!$A$2:$A$4694,0))</f>
        <v>34</v>
      </c>
      <c r="E969" s="4">
        <f>INDEX(Positions!$D$2:$D$4694,MATCH($A969&amp;"|39",Positions!$A$2:$A$4694,0))</f>
        <v>42</v>
      </c>
      <c r="F969" s="4" t="str">
        <f>INDEX(Positions!$E$2:$E$4694,MATCH($A969&amp;"|31",Positions!$A$2:$A$4694,0))</f>
        <v>G</v>
      </c>
      <c r="G969" s="4" t="str">
        <f>INDEX(Positions!$E$2:$E$4694,MATCH($A969&amp;"|39",Positions!$A$2:$A$4694,0))</f>
        <v>C</v>
      </c>
      <c r="H969" s="3" t="str">
        <f t="shared" si="60"/>
        <v>G-C</v>
      </c>
      <c r="I969" s="4">
        <f t="shared" si="61"/>
        <v>1</v>
      </c>
      <c r="J969" s="4">
        <f t="shared" si="62"/>
        <v>1</v>
      </c>
      <c r="K969" s="3">
        <f t="shared" si="63"/>
        <v>2</v>
      </c>
    </row>
    <row r="970" spans="1:11">
      <c r="A970" s="4" t="s">
        <v>71</v>
      </c>
      <c r="B970" s="4" t="s">
        <v>169</v>
      </c>
      <c r="C970" s="4" t="s">
        <v>236</v>
      </c>
      <c r="D970" s="4">
        <f>INDEX(Positions!$D$2:$D$4694,MATCH($A970&amp;"|49",Positions!$A$2:$A$4694,0))</f>
        <v>61</v>
      </c>
      <c r="E970" s="4">
        <f>INDEX(Positions!$D$2:$D$4694,MATCH($A970&amp;"|65",Positions!$A$2:$A$4694,0))</f>
        <v>77</v>
      </c>
      <c r="F970" s="4" t="str">
        <f>INDEX(Positions!$E$2:$E$4694,MATCH($A970&amp;"|49",Positions!$A$2:$A$4694,0))</f>
        <v>G</v>
      </c>
      <c r="G970" s="4" t="str">
        <f>INDEX(Positions!$E$2:$E$4694,MATCH($A970&amp;"|65",Positions!$A$2:$A$4694,0))</f>
        <v>U</v>
      </c>
      <c r="H970" s="3" t="str">
        <f t="shared" si="60"/>
        <v>G-U</v>
      </c>
      <c r="I970" s="4">
        <f t="shared" si="61"/>
        <v>1</v>
      </c>
      <c r="J970" s="4">
        <f t="shared" si="62"/>
        <v>0</v>
      </c>
      <c r="K970" s="3">
        <f t="shared" si="63"/>
        <v>1</v>
      </c>
    </row>
    <row r="971" spans="1:11">
      <c r="A971" s="4" t="s">
        <v>71</v>
      </c>
      <c r="B971" s="4" t="s">
        <v>169</v>
      </c>
      <c r="C971" s="4" t="s">
        <v>237</v>
      </c>
      <c r="D971" s="4">
        <f>INDEX(Positions!$D$2:$D$4694,MATCH($A971&amp;"|50",Positions!$A$2:$A$4694,0))</f>
        <v>62</v>
      </c>
      <c r="E971" s="4">
        <f>INDEX(Positions!$D$2:$D$4694,MATCH($A971&amp;"|64",Positions!$A$2:$A$4694,0))</f>
        <v>76</v>
      </c>
      <c r="F971" s="4" t="str">
        <f>INDEX(Positions!$E$2:$E$4694,MATCH($A971&amp;"|50",Positions!$A$2:$A$4694,0))</f>
        <v>U</v>
      </c>
      <c r="G971" s="4" t="str">
        <f>INDEX(Positions!$E$2:$E$4694,MATCH($A971&amp;"|64",Positions!$A$2:$A$4694,0))</f>
        <v>A</v>
      </c>
      <c r="H971" s="3" t="str">
        <f t="shared" si="60"/>
        <v>U-A</v>
      </c>
      <c r="I971" s="4">
        <f t="shared" si="61"/>
        <v>0</v>
      </c>
      <c r="J971" s="4">
        <f t="shared" si="62"/>
        <v>0</v>
      </c>
      <c r="K971" s="3">
        <f t="shared" si="63"/>
        <v>0</v>
      </c>
    </row>
    <row r="972" spans="1:11">
      <c r="A972" s="4" t="s">
        <v>71</v>
      </c>
      <c r="B972" s="4" t="s">
        <v>169</v>
      </c>
      <c r="C972" s="4" t="s">
        <v>238</v>
      </c>
      <c r="D972" s="4">
        <f>INDEX(Positions!$D$2:$D$4694,MATCH($A972&amp;"|51",Positions!$A$2:$A$4694,0))</f>
        <v>63</v>
      </c>
      <c r="E972" s="4">
        <f>INDEX(Positions!$D$2:$D$4694,MATCH($A972&amp;"|63",Positions!$A$2:$A$4694,0))</f>
        <v>75</v>
      </c>
      <c r="F972" s="4" t="str">
        <f>INDEX(Positions!$E$2:$E$4694,MATCH($A972&amp;"|51",Positions!$A$2:$A$4694,0))</f>
        <v>G</v>
      </c>
      <c r="G972" s="4" t="str">
        <f>INDEX(Positions!$E$2:$E$4694,MATCH($A972&amp;"|63",Positions!$A$2:$A$4694,0))</f>
        <v>C</v>
      </c>
      <c r="H972" s="3" t="str">
        <f t="shared" si="60"/>
        <v>G-C</v>
      </c>
      <c r="I972" s="4">
        <f t="shared" si="61"/>
        <v>1</v>
      </c>
      <c r="J972" s="4">
        <f t="shared" si="62"/>
        <v>1</v>
      </c>
      <c r="K972" s="3">
        <f t="shared" si="63"/>
        <v>2</v>
      </c>
    </row>
    <row r="973" spans="1:11">
      <c r="A973" s="4" t="s">
        <v>71</v>
      </c>
      <c r="B973" s="4" t="s">
        <v>169</v>
      </c>
      <c r="C973" s="4" t="s">
        <v>239</v>
      </c>
      <c r="D973" s="4">
        <f>INDEX(Positions!$D$2:$D$4694,MATCH($A973&amp;"|52",Positions!$A$2:$A$4694,0))</f>
        <v>64</v>
      </c>
      <c r="E973" s="4">
        <f>INDEX(Positions!$D$2:$D$4694,MATCH($A973&amp;"|62",Positions!$A$2:$A$4694,0))</f>
        <v>74</v>
      </c>
      <c r="F973" s="4" t="str">
        <f>INDEX(Positions!$E$2:$E$4694,MATCH($A973&amp;"|52",Positions!$A$2:$A$4694,0))</f>
        <v>G</v>
      </c>
      <c r="G973" s="4" t="str">
        <f>INDEX(Positions!$E$2:$E$4694,MATCH($A973&amp;"|62",Positions!$A$2:$A$4694,0))</f>
        <v>C</v>
      </c>
      <c r="H973" s="3" t="str">
        <f t="shared" si="60"/>
        <v>G-C</v>
      </c>
      <c r="I973" s="4">
        <f t="shared" si="61"/>
        <v>1</v>
      </c>
      <c r="J973" s="4">
        <f t="shared" si="62"/>
        <v>1</v>
      </c>
      <c r="K973" s="3">
        <f t="shared" si="63"/>
        <v>2</v>
      </c>
    </row>
    <row r="974" spans="1:11">
      <c r="A974" s="4" t="s">
        <v>71</v>
      </c>
      <c r="B974" s="4" t="s">
        <v>169</v>
      </c>
      <c r="C974" s="4" t="s">
        <v>240</v>
      </c>
      <c r="D974" s="4">
        <f>INDEX(Positions!$D$2:$D$4694,MATCH($A974&amp;"|53",Positions!$A$2:$A$4694,0))</f>
        <v>65</v>
      </c>
      <c r="E974" s="4">
        <f>INDEX(Positions!$D$2:$D$4694,MATCH($A974&amp;"|61",Positions!$A$2:$A$4694,0))</f>
        <v>73</v>
      </c>
      <c r="F974" s="4" t="str">
        <f>INDEX(Positions!$E$2:$E$4694,MATCH($A974&amp;"|53",Positions!$A$2:$A$4694,0))</f>
        <v>G</v>
      </c>
      <c r="G974" s="4" t="str">
        <f>INDEX(Positions!$E$2:$E$4694,MATCH($A974&amp;"|61",Positions!$A$2:$A$4694,0))</f>
        <v>C</v>
      </c>
      <c r="H974" s="3" t="str">
        <f t="shared" si="60"/>
        <v>G-C</v>
      </c>
      <c r="I974" s="4">
        <f t="shared" si="61"/>
        <v>1</v>
      </c>
      <c r="J974" s="4">
        <f t="shared" si="62"/>
        <v>1</v>
      </c>
      <c r="K974" s="3">
        <f t="shared" si="63"/>
        <v>2</v>
      </c>
    </row>
    <row r="975" spans="1:11">
      <c r="A975" s="23" t="s">
        <v>71</v>
      </c>
      <c r="B975" s="23" t="s">
        <v>241</v>
      </c>
      <c r="C975" s="23" t="s">
        <v>242</v>
      </c>
      <c r="D975" s="23">
        <f>INDEX(Positions!$D$2:$D$4694,MATCH($A975&amp;"|8",Positions!$A$2:$A$4694,0))</f>
        <v>8</v>
      </c>
      <c r="E975" s="23">
        <f>INDEX(Positions!$D$2:$D$4694,MATCH($A975&amp;"|14",Positions!$A$2:$A$4694,0))</f>
        <v>14</v>
      </c>
      <c r="F975" s="23" t="str">
        <f>INDEX(Positions!$E$2:$E$4694,MATCH($A975&amp;"|8",Positions!$A$2:$A$4694,0))</f>
        <v>U</v>
      </c>
      <c r="G975" s="23" t="str">
        <f>INDEX(Positions!$E$2:$E$4694,MATCH($A975&amp;"|14",Positions!$A$2:$A$4694,0))</f>
        <v>A</v>
      </c>
      <c r="H975" s="24" t="str">
        <f t="shared" si="60"/>
        <v>U-A</v>
      </c>
      <c r="I975" s="23">
        <f t="shared" si="61"/>
        <v>0</v>
      </c>
      <c r="J975" s="23">
        <f t="shared" si="62"/>
        <v>0</v>
      </c>
      <c r="K975" s="24">
        <f t="shared" si="63"/>
        <v>0</v>
      </c>
    </row>
    <row r="976" spans="1:11">
      <c r="A976" s="23" t="s">
        <v>71</v>
      </c>
      <c r="B976" s="23" t="s">
        <v>241</v>
      </c>
      <c r="C976" s="23" t="s">
        <v>243</v>
      </c>
      <c r="D976" s="23">
        <f>INDEX(Positions!$D$2:$D$4694,MATCH($A976&amp;"|15",Positions!$A$2:$A$4694,0))</f>
        <v>15</v>
      </c>
      <c r="E976" s="23">
        <f>INDEX(Positions!$D$2:$D$4694,MATCH($A976&amp;"|48",Positions!$A$2:$A$4694,0))</f>
        <v>60</v>
      </c>
      <c r="F976" s="23" t="str">
        <f>INDEX(Positions!$E$2:$E$4694,MATCH($A976&amp;"|15",Positions!$A$2:$A$4694,0))</f>
        <v>G</v>
      </c>
      <c r="G976" s="23" t="str">
        <f>INDEX(Positions!$E$2:$E$4694,MATCH($A976&amp;"|48",Positions!$A$2:$A$4694,0))</f>
        <v>C</v>
      </c>
      <c r="H976" s="24" t="str">
        <f t="shared" si="60"/>
        <v>G-C</v>
      </c>
      <c r="I976" s="23">
        <f t="shared" si="61"/>
        <v>1</v>
      </c>
      <c r="J976" s="23">
        <f t="shared" si="62"/>
        <v>1</v>
      </c>
      <c r="K976" s="24">
        <f t="shared" si="63"/>
        <v>2</v>
      </c>
    </row>
    <row r="977" spans="1:11">
      <c r="A977" s="23" t="s">
        <v>71</v>
      </c>
      <c r="B977" s="23" t="s">
        <v>241</v>
      </c>
      <c r="C977" s="23" t="s">
        <v>244</v>
      </c>
      <c r="D977" s="23">
        <f>INDEX(Positions!$D$2:$D$4694,MATCH($A977&amp;"|18",Positions!$A$2:$A$4694,0))</f>
        <v>19</v>
      </c>
      <c r="E977" s="23">
        <f>INDEX(Positions!$D$2:$D$4694,MATCH($A977&amp;"|55",Positions!$A$2:$A$4694,0))</f>
        <v>67</v>
      </c>
      <c r="F977" s="23" t="str">
        <f>INDEX(Positions!$E$2:$E$4694,MATCH($A977&amp;"|18",Positions!$A$2:$A$4694,0))</f>
        <v>G</v>
      </c>
      <c r="G977" s="23" t="str">
        <f>INDEX(Positions!$E$2:$E$4694,MATCH($A977&amp;"|55",Positions!$A$2:$A$4694,0))</f>
        <v>U</v>
      </c>
      <c r="H977" s="24" t="str">
        <f t="shared" si="60"/>
        <v>G-U</v>
      </c>
      <c r="I977" s="23">
        <f t="shared" si="61"/>
        <v>1</v>
      </c>
      <c r="J977" s="23">
        <f t="shared" si="62"/>
        <v>0</v>
      </c>
      <c r="K977" s="24">
        <f t="shared" si="63"/>
        <v>1</v>
      </c>
    </row>
    <row r="978" spans="1:11">
      <c r="A978" s="23" t="s">
        <v>71</v>
      </c>
      <c r="B978" s="23" t="s">
        <v>241</v>
      </c>
      <c r="C978" s="23" t="s">
        <v>245</v>
      </c>
      <c r="D978" s="23">
        <f>INDEX(Positions!$D$2:$D$4694,MATCH($A978&amp;"|19",Positions!$A$2:$A$4694,0))</f>
        <v>20</v>
      </c>
      <c r="E978" s="23">
        <f>INDEX(Positions!$D$2:$D$4694,MATCH($A978&amp;"|56",Positions!$A$2:$A$4694,0))</f>
        <v>68</v>
      </c>
      <c r="F978" s="23" t="str">
        <f>INDEX(Positions!$E$2:$E$4694,MATCH($A978&amp;"|19",Positions!$A$2:$A$4694,0))</f>
        <v>G</v>
      </c>
      <c r="G978" s="23" t="str">
        <f>INDEX(Positions!$E$2:$E$4694,MATCH($A978&amp;"|56",Positions!$A$2:$A$4694,0))</f>
        <v>C</v>
      </c>
      <c r="H978" s="24" t="str">
        <f t="shared" si="60"/>
        <v>G-C</v>
      </c>
      <c r="I978" s="23">
        <f t="shared" si="61"/>
        <v>1</v>
      </c>
      <c r="J978" s="23">
        <f t="shared" si="62"/>
        <v>1</v>
      </c>
      <c r="K978" s="24">
        <f t="shared" si="63"/>
        <v>2</v>
      </c>
    </row>
    <row r="979" spans="1:11">
      <c r="A979" s="23" t="s">
        <v>71</v>
      </c>
      <c r="B979" s="23" t="s">
        <v>241</v>
      </c>
      <c r="C979" s="23" t="s">
        <v>246</v>
      </c>
      <c r="D979" s="23">
        <f>INDEX(Positions!$D$2:$D$4694,MATCH($A979&amp;"|26",Positions!$A$2:$A$4694,0))</f>
        <v>29</v>
      </c>
      <c r="E979" s="23">
        <f>INDEX(Positions!$D$2:$D$4694,MATCH($A979&amp;"|44",Positions!$A$2:$A$4694,0))</f>
        <v>47</v>
      </c>
      <c r="F979" s="23" t="str">
        <f>INDEX(Positions!$E$2:$E$4694,MATCH($A979&amp;"|26",Positions!$A$2:$A$4694,0))</f>
        <v>G</v>
      </c>
      <c r="G979" s="23" t="str">
        <f>INDEX(Positions!$E$2:$E$4694,MATCH($A979&amp;"|44",Positions!$A$2:$A$4694,0))</f>
        <v>U</v>
      </c>
      <c r="H979" s="24" t="str">
        <f t="shared" si="60"/>
        <v>G-U</v>
      </c>
      <c r="I979" s="23">
        <f t="shared" si="61"/>
        <v>1</v>
      </c>
      <c r="J979" s="23">
        <f t="shared" si="62"/>
        <v>0</v>
      </c>
      <c r="K979" s="24">
        <f t="shared" si="63"/>
        <v>1</v>
      </c>
    </row>
    <row r="980" spans="1:11">
      <c r="A980" s="23" t="s">
        <v>71</v>
      </c>
      <c r="B980" s="23" t="s">
        <v>241</v>
      </c>
      <c r="C980" s="23" t="s">
        <v>247</v>
      </c>
      <c r="D980" s="23">
        <f>INDEX(Positions!$D$2:$D$4694,MATCH($A980&amp;"|32",Positions!$A$2:$A$4694,0))</f>
        <v>35</v>
      </c>
      <c r="E980" s="23">
        <f>INDEX(Positions!$D$2:$D$4694,MATCH($A980&amp;"|38",Positions!$A$2:$A$4694,0))</f>
        <v>41</v>
      </c>
      <c r="F980" s="23" t="str">
        <f>INDEX(Positions!$E$2:$E$4694,MATCH($A980&amp;"|32",Positions!$A$2:$A$4694,0))</f>
        <v>U</v>
      </c>
      <c r="G980" s="23" t="str">
        <f>INDEX(Positions!$E$2:$E$4694,MATCH($A980&amp;"|38",Positions!$A$2:$A$4694,0))</f>
        <v>G</v>
      </c>
      <c r="H980" s="24" t="str">
        <f t="shared" si="60"/>
        <v>U-G</v>
      </c>
      <c r="I980" s="23">
        <f t="shared" si="61"/>
        <v>1</v>
      </c>
      <c r="J980" s="23">
        <f t="shared" si="62"/>
        <v>0</v>
      </c>
      <c r="K980" s="24">
        <f t="shared" si="63"/>
        <v>1</v>
      </c>
    </row>
    <row r="981" spans="1:11">
      <c r="A981" s="23" t="s">
        <v>71</v>
      </c>
      <c r="B981" s="23" t="s">
        <v>241</v>
      </c>
      <c r="C981" s="23" t="s">
        <v>248</v>
      </c>
      <c r="D981" s="23">
        <f>INDEX(Positions!$D$2:$D$4694,MATCH($A981&amp;"|54",Positions!$A$2:$A$4694,0))</f>
        <v>66</v>
      </c>
      <c r="E981" s="23">
        <f>INDEX(Positions!$D$2:$D$4694,MATCH($A981&amp;"|58",Positions!$A$2:$A$4694,0))</f>
        <v>70</v>
      </c>
      <c r="F981" s="23" t="str">
        <f>INDEX(Positions!$E$2:$E$4694,MATCH($A981&amp;"|54",Positions!$A$2:$A$4694,0))</f>
        <v>U</v>
      </c>
      <c r="G981" s="23" t="str">
        <f>INDEX(Positions!$E$2:$E$4694,MATCH($A981&amp;"|58",Positions!$A$2:$A$4694,0))</f>
        <v>A</v>
      </c>
      <c r="H981" s="24" t="str">
        <f t="shared" si="60"/>
        <v>U-A</v>
      </c>
      <c r="I981" s="23">
        <f t="shared" si="61"/>
        <v>0</v>
      </c>
      <c r="J981" s="23">
        <f t="shared" si="62"/>
        <v>0</v>
      </c>
      <c r="K981" s="24">
        <f t="shared" si="63"/>
        <v>0</v>
      </c>
    </row>
    <row r="982" spans="1:11">
      <c r="A982" s="4" t="s">
        <v>72</v>
      </c>
      <c r="B982" s="4" t="s">
        <v>110</v>
      </c>
      <c r="C982" s="4" t="s">
        <v>220</v>
      </c>
      <c r="D982" s="4">
        <f>INDEX(Positions!$D$2:$D$4694,MATCH($A982&amp;"|1",Positions!$A$2:$A$4694,0))</f>
        <v>1</v>
      </c>
      <c r="E982" s="4">
        <f>INDEX(Positions!$D$2:$D$4694,MATCH($A982&amp;"|72",Positions!$A$2:$A$4694,0))</f>
        <v>84</v>
      </c>
      <c r="F982" s="4" t="str">
        <f>INDEX(Positions!$E$2:$E$4694,MATCH($A982&amp;"|1",Positions!$A$2:$A$4694,0))</f>
        <v>G</v>
      </c>
      <c r="G982" s="4" t="str">
        <f>INDEX(Positions!$E$2:$E$4694,MATCH($A982&amp;"|72",Positions!$A$2:$A$4694,0))</f>
        <v>C</v>
      </c>
      <c r="H982" s="3" t="str">
        <f t="shared" si="60"/>
        <v>G-C</v>
      </c>
      <c r="I982" s="4">
        <f t="shared" si="61"/>
        <v>1</v>
      </c>
      <c r="J982" s="4">
        <f t="shared" si="62"/>
        <v>1</v>
      </c>
      <c r="K982" s="3">
        <f t="shared" si="63"/>
        <v>2</v>
      </c>
    </row>
    <row r="983" spans="1:11">
      <c r="A983" s="4" t="s">
        <v>72</v>
      </c>
      <c r="B983" s="4" t="s">
        <v>110</v>
      </c>
      <c r="C983" s="4" t="s">
        <v>221</v>
      </c>
      <c r="D983" s="4">
        <f>INDEX(Positions!$D$2:$D$4694,MATCH($A983&amp;"|2",Positions!$A$2:$A$4694,0))</f>
        <v>2</v>
      </c>
      <c r="E983" s="4">
        <f>INDEX(Positions!$D$2:$D$4694,MATCH($A983&amp;"|71",Positions!$A$2:$A$4694,0))</f>
        <v>83</v>
      </c>
      <c r="F983" s="4" t="str">
        <f>INDEX(Positions!$E$2:$E$4694,MATCH($A983&amp;"|2",Positions!$A$2:$A$4694,0))</f>
        <v>C</v>
      </c>
      <c r="G983" s="4" t="str">
        <f>INDEX(Positions!$E$2:$E$4694,MATCH($A983&amp;"|71",Positions!$A$2:$A$4694,0))</f>
        <v>G</v>
      </c>
      <c r="H983" s="3" t="str">
        <f t="shared" si="60"/>
        <v>C-G</v>
      </c>
      <c r="I983" s="4">
        <f t="shared" si="61"/>
        <v>1</v>
      </c>
      <c r="J983" s="4">
        <f t="shared" si="62"/>
        <v>1</v>
      </c>
      <c r="K983" s="3">
        <f t="shared" si="63"/>
        <v>2</v>
      </c>
    </row>
    <row r="984" spans="1:11">
      <c r="A984" s="4" t="s">
        <v>72</v>
      </c>
      <c r="B984" s="4" t="s">
        <v>110</v>
      </c>
      <c r="C984" s="4" t="s">
        <v>222</v>
      </c>
      <c r="D984" s="4">
        <f>INDEX(Positions!$D$2:$D$4694,MATCH($A984&amp;"|3",Positions!$A$2:$A$4694,0))</f>
        <v>3</v>
      </c>
      <c r="E984" s="4">
        <f>INDEX(Positions!$D$2:$D$4694,MATCH($A984&amp;"|70",Positions!$A$2:$A$4694,0))</f>
        <v>82</v>
      </c>
      <c r="F984" s="4" t="str">
        <f>INDEX(Positions!$E$2:$E$4694,MATCH($A984&amp;"|3",Positions!$A$2:$A$4694,0))</f>
        <v>G</v>
      </c>
      <c r="G984" s="4" t="str">
        <f>INDEX(Positions!$E$2:$E$4694,MATCH($A984&amp;"|70",Positions!$A$2:$A$4694,0))</f>
        <v>C</v>
      </c>
      <c r="H984" s="3" t="str">
        <f t="shared" si="60"/>
        <v>G-C</v>
      </c>
      <c r="I984" s="4">
        <f t="shared" si="61"/>
        <v>1</v>
      </c>
      <c r="J984" s="4">
        <f t="shared" si="62"/>
        <v>1</v>
      </c>
      <c r="K984" s="3">
        <f t="shared" si="63"/>
        <v>2</v>
      </c>
    </row>
    <row r="985" spans="1:11">
      <c r="A985" s="4" t="s">
        <v>72</v>
      </c>
      <c r="B985" s="4" t="s">
        <v>110</v>
      </c>
      <c r="C985" s="4" t="s">
        <v>223</v>
      </c>
      <c r="D985" s="4">
        <f>INDEX(Positions!$D$2:$D$4694,MATCH($A985&amp;"|4",Positions!$A$2:$A$4694,0))</f>
        <v>4</v>
      </c>
      <c r="E985" s="4">
        <f>INDEX(Positions!$D$2:$D$4694,MATCH($A985&amp;"|69",Positions!$A$2:$A$4694,0))</f>
        <v>81</v>
      </c>
      <c r="F985" s="4" t="str">
        <f>INDEX(Positions!$E$2:$E$4694,MATCH($A985&amp;"|4",Positions!$A$2:$A$4694,0))</f>
        <v>A</v>
      </c>
      <c r="G985" s="4" t="str">
        <f>INDEX(Positions!$E$2:$E$4694,MATCH($A985&amp;"|69",Positions!$A$2:$A$4694,0))</f>
        <v>U</v>
      </c>
      <c r="H985" s="3" t="str">
        <f t="shared" si="60"/>
        <v>A-U</v>
      </c>
      <c r="I985" s="4">
        <f t="shared" si="61"/>
        <v>0</v>
      </c>
      <c r="J985" s="4">
        <f t="shared" si="62"/>
        <v>0</v>
      </c>
      <c r="K985" s="3">
        <f t="shared" si="63"/>
        <v>0</v>
      </c>
    </row>
    <row r="986" spans="1:11">
      <c r="A986" s="4" t="s">
        <v>72</v>
      </c>
      <c r="B986" s="4" t="s">
        <v>110</v>
      </c>
      <c r="C986" s="4" t="s">
        <v>224</v>
      </c>
      <c r="D986" s="4">
        <f>INDEX(Positions!$D$2:$D$4694,MATCH($A986&amp;"|5",Positions!$A$2:$A$4694,0))</f>
        <v>5</v>
      </c>
      <c r="E986" s="4">
        <f>INDEX(Positions!$D$2:$D$4694,MATCH($A986&amp;"|68",Positions!$A$2:$A$4694,0))</f>
        <v>80</v>
      </c>
      <c r="F986" s="4" t="str">
        <f>INDEX(Positions!$E$2:$E$4694,MATCH($A986&amp;"|5",Positions!$A$2:$A$4694,0))</f>
        <v>G</v>
      </c>
      <c r="G986" s="4" t="str">
        <f>INDEX(Positions!$E$2:$E$4694,MATCH($A986&amp;"|68",Positions!$A$2:$A$4694,0))</f>
        <v>C</v>
      </c>
      <c r="H986" s="3" t="str">
        <f t="shared" si="60"/>
        <v>G-C</v>
      </c>
      <c r="I986" s="4">
        <f t="shared" si="61"/>
        <v>1</v>
      </c>
      <c r="J986" s="4">
        <f t="shared" si="62"/>
        <v>1</v>
      </c>
      <c r="K986" s="3">
        <f t="shared" si="63"/>
        <v>2</v>
      </c>
    </row>
    <row r="987" spans="1:11">
      <c r="A987" s="4" t="s">
        <v>72</v>
      </c>
      <c r="B987" s="4" t="s">
        <v>110</v>
      </c>
      <c r="C987" s="4" t="s">
        <v>225</v>
      </c>
      <c r="D987" s="4">
        <f>INDEX(Positions!$D$2:$D$4694,MATCH($A987&amp;"|6",Positions!$A$2:$A$4694,0))</f>
        <v>6</v>
      </c>
      <c r="E987" s="4">
        <f>INDEX(Positions!$D$2:$D$4694,MATCH($A987&amp;"|67",Positions!$A$2:$A$4694,0))</f>
        <v>79</v>
      </c>
      <c r="F987" s="4" t="str">
        <f>INDEX(Positions!$E$2:$E$4694,MATCH($A987&amp;"|6",Positions!$A$2:$A$4694,0))</f>
        <v>G</v>
      </c>
      <c r="G987" s="4" t="str">
        <f>INDEX(Positions!$E$2:$E$4694,MATCH($A987&amp;"|67",Positions!$A$2:$A$4694,0))</f>
        <v>C</v>
      </c>
      <c r="H987" s="3" t="str">
        <f t="shared" si="60"/>
        <v>G-C</v>
      </c>
      <c r="I987" s="4">
        <f t="shared" si="61"/>
        <v>1</v>
      </c>
      <c r="J987" s="4">
        <f t="shared" si="62"/>
        <v>1</v>
      </c>
      <c r="K987" s="3">
        <f t="shared" si="63"/>
        <v>2</v>
      </c>
    </row>
    <row r="988" spans="1:11">
      <c r="A988" s="4" t="s">
        <v>72</v>
      </c>
      <c r="B988" s="4" t="s">
        <v>110</v>
      </c>
      <c r="C988" s="4" t="s">
        <v>226</v>
      </c>
      <c r="D988" s="4">
        <f>INDEX(Positions!$D$2:$D$4694,MATCH($A988&amp;"|7",Positions!$A$2:$A$4694,0))</f>
        <v>7</v>
      </c>
      <c r="E988" s="4">
        <f>INDEX(Positions!$D$2:$D$4694,MATCH($A988&amp;"|66",Positions!$A$2:$A$4694,0))</f>
        <v>78</v>
      </c>
      <c r="F988" s="4" t="str">
        <f>INDEX(Positions!$E$2:$E$4694,MATCH($A988&amp;"|7",Positions!$A$2:$A$4694,0))</f>
        <v>G</v>
      </c>
      <c r="G988" s="4" t="str">
        <f>INDEX(Positions!$E$2:$E$4694,MATCH($A988&amp;"|66",Positions!$A$2:$A$4694,0))</f>
        <v>C</v>
      </c>
      <c r="H988" s="3" t="str">
        <f t="shared" si="60"/>
        <v>G-C</v>
      </c>
      <c r="I988" s="4">
        <f t="shared" si="61"/>
        <v>1</v>
      </c>
      <c r="J988" s="4">
        <f t="shared" si="62"/>
        <v>1</v>
      </c>
      <c r="K988" s="3">
        <f t="shared" si="63"/>
        <v>2</v>
      </c>
    </row>
    <row r="989" spans="1:11">
      <c r="A989" s="4" t="s">
        <v>72</v>
      </c>
      <c r="B989" s="4" t="s">
        <v>125</v>
      </c>
      <c r="C989" s="4" t="s">
        <v>227</v>
      </c>
      <c r="D989" s="4">
        <f>INDEX(Positions!$D$2:$D$4694,MATCH($A989&amp;"|10",Positions!$A$2:$A$4694,0))</f>
        <v>10</v>
      </c>
      <c r="E989" s="4">
        <f>INDEX(Positions!$D$2:$D$4694,MATCH($A989&amp;"|25",Positions!$A$2:$A$4694,0))</f>
        <v>28</v>
      </c>
      <c r="F989" s="4" t="str">
        <f>INDEX(Positions!$E$2:$E$4694,MATCH($A989&amp;"|10",Positions!$A$2:$A$4694,0))</f>
        <v>G</v>
      </c>
      <c r="G989" s="4" t="str">
        <f>INDEX(Positions!$E$2:$E$4694,MATCH($A989&amp;"|25",Positions!$A$2:$A$4694,0))</f>
        <v>C</v>
      </c>
      <c r="H989" s="3" t="str">
        <f t="shared" si="60"/>
        <v>G-C</v>
      </c>
      <c r="I989" s="4">
        <f t="shared" si="61"/>
        <v>1</v>
      </c>
      <c r="J989" s="4">
        <f t="shared" si="62"/>
        <v>1</v>
      </c>
      <c r="K989" s="3">
        <f t="shared" si="63"/>
        <v>2</v>
      </c>
    </row>
    <row r="990" spans="1:11">
      <c r="A990" s="4" t="s">
        <v>72</v>
      </c>
      <c r="B990" s="4" t="s">
        <v>125</v>
      </c>
      <c r="C990" s="4" t="s">
        <v>228</v>
      </c>
      <c r="D990" s="4">
        <f>INDEX(Positions!$D$2:$D$4694,MATCH($A990&amp;"|11",Positions!$A$2:$A$4694,0))</f>
        <v>11</v>
      </c>
      <c r="E990" s="4">
        <f>INDEX(Positions!$D$2:$D$4694,MATCH($A990&amp;"|24",Positions!$A$2:$A$4694,0))</f>
        <v>27</v>
      </c>
      <c r="F990" s="4" t="str">
        <f>INDEX(Positions!$E$2:$E$4694,MATCH($A990&amp;"|11",Positions!$A$2:$A$4694,0))</f>
        <v>C</v>
      </c>
      <c r="G990" s="4" t="str">
        <f>INDEX(Positions!$E$2:$E$4694,MATCH($A990&amp;"|24",Positions!$A$2:$A$4694,0))</f>
        <v>G</v>
      </c>
      <c r="H990" s="3" t="str">
        <f t="shared" si="60"/>
        <v>C-G</v>
      </c>
      <c r="I990" s="4">
        <f t="shared" si="61"/>
        <v>1</v>
      </c>
      <c r="J990" s="4">
        <f t="shared" si="62"/>
        <v>1</v>
      </c>
      <c r="K990" s="3">
        <f t="shared" si="63"/>
        <v>2</v>
      </c>
    </row>
    <row r="991" spans="1:11">
      <c r="A991" s="4" t="s">
        <v>72</v>
      </c>
      <c r="B991" s="4" t="s">
        <v>125</v>
      </c>
      <c r="C991" s="4" t="s">
        <v>229</v>
      </c>
      <c r="D991" s="4">
        <f>INDEX(Positions!$D$2:$D$4694,MATCH($A991&amp;"|12",Positions!$A$2:$A$4694,0))</f>
        <v>12</v>
      </c>
      <c r="E991" s="4">
        <f>INDEX(Positions!$D$2:$D$4694,MATCH($A991&amp;"|23",Positions!$A$2:$A$4694,0))</f>
        <v>26</v>
      </c>
      <c r="F991" s="4" t="str">
        <f>INDEX(Positions!$E$2:$E$4694,MATCH($A991&amp;"|12",Positions!$A$2:$A$4694,0))</f>
        <v>C</v>
      </c>
      <c r="G991" s="4" t="str">
        <f>INDEX(Positions!$E$2:$E$4694,MATCH($A991&amp;"|23",Positions!$A$2:$A$4694,0))</f>
        <v>G</v>
      </c>
      <c r="H991" s="3" t="str">
        <f t="shared" si="60"/>
        <v>C-G</v>
      </c>
      <c r="I991" s="4">
        <f t="shared" si="61"/>
        <v>1</v>
      </c>
      <c r="J991" s="4">
        <f t="shared" si="62"/>
        <v>1</v>
      </c>
      <c r="K991" s="3">
        <f t="shared" si="63"/>
        <v>2</v>
      </c>
    </row>
    <row r="992" spans="1:11">
      <c r="A992" s="4" t="s">
        <v>72</v>
      </c>
      <c r="B992" s="4" t="s">
        <v>125</v>
      </c>
      <c r="C992" s="4" t="s">
        <v>230</v>
      </c>
      <c r="D992" s="4">
        <f>INDEX(Positions!$D$2:$D$4694,MATCH($A992&amp;"|13",Positions!$A$2:$A$4694,0))</f>
        <v>13</v>
      </c>
      <c r="E992" s="4">
        <f>INDEX(Positions!$D$2:$D$4694,MATCH($A992&amp;"|22",Positions!$A$2:$A$4694,0))</f>
        <v>25</v>
      </c>
      <c r="F992" s="4" t="str">
        <f>INDEX(Positions!$E$2:$E$4694,MATCH($A992&amp;"|13",Positions!$A$2:$A$4694,0))</f>
        <v>C</v>
      </c>
      <c r="G992" s="4" t="str">
        <f>INDEX(Positions!$E$2:$E$4694,MATCH($A992&amp;"|22",Positions!$A$2:$A$4694,0))</f>
        <v>A</v>
      </c>
      <c r="H992" s="3" t="str">
        <f t="shared" si="60"/>
        <v>C-A</v>
      </c>
      <c r="I992" s="4">
        <f t="shared" si="61"/>
        <v>0</v>
      </c>
      <c r="J992" s="4">
        <f t="shared" si="62"/>
        <v>1</v>
      </c>
      <c r="K992" s="3">
        <f t="shared" si="63"/>
        <v>1</v>
      </c>
    </row>
    <row r="993" spans="1:11">
      <c r="A993" s="4" t="s">
        <v>72</v>
      </c>
      <c r="B993" s="4" t="s">
        <v>144</v>
      </c>
      <c r="C993" s="4" t="s">
        <v>231</v>
      </c>
      <c r="D993" s="4">
        <f>INDEX(Positions!$D$2:$D$4694,MATCH($A993&amp;"|27",Positions!$A$2:$A$4694,0))</f>
        <v>30</v>
      </c>
      <c r="E993" s="4">
        <f>INDEX(Positions!$D$2:$D$4694,MATCH($A993&amp;"|43",Positions!$A$2:$A$4694,0))</f>
        <v>46</v>
      </c>
      <c r="F993" s="4" t="str">
        <f>INDEX(Positions!$E$2:$E$4694,MATCH($A993&amp;"|27",Positions!$A$2:$A$4694,0))</f>
        <v>C</v>
      </c>
      <c r="G993" s="4" t="str">
        <f>INDEX(Positions!$E$2:$E$4694,MATCH($A993&amp;"|43",Positions!$A$2:$A$4694,0))</f>
        <v>G</v>
      </c>
      <c r="H993" s="3" t="str">
        <f t="shared" si="60"/>
        <v>C-G</v>
      </c>
      <c r="I993" s="4">
        <f t="shared" si="61"/>
        <v>1</v>
      </c>
      <c r="J993" s="4">
        <f t="shared" si="62"/>
        <v>1</v>
      </c>
      <c r="K993" s="3">
        <f t="shared" si="63"/>
        <v>2</v>
      </c>
    </row>
    <row r="994" spans="1:11">
      <c r="A994" s="4" t="s">
        <v>72</v>
      </c>
      <c r="B994" s="4" t="s">
        <v>144</v>
      </c>
      <c r="C994" s="4" t="s">
        <v>232</v>
      </c>
      <c r="D994" s="4">
        <f>INDEX(Positions!$D$2:$D$4694,MATCH($A994&amp;"|28",Positions!$A$2:$A$4694,0))</f>
        <v>31</v>
      </c>
      <c r="E994" s="4">
        <f>INDEX(Positions!$D$2:$D$4694,MATCH($A994&amp;"|42",Positions!$A$2:$A$4694,0))</f>
        <v>45</v>
      </c>
      <c r="F994" s="4" t="str">
        <f>INDEX(Positions!$E$2:$E$4694,MATCH($A994&amp;"|28",Positions!$A$2:$A$4694,0))</f>
        <v>U</v>
      </c>
      <c r="G994" s="4" t="str">
        <f>INDEX(Positions!$E$2:$E$4694,MATCH($A994&amp;"|42",Positions!$A$2:$A$4694,0))</f>
        <v>A</v>
      </c>
      <c r="H994" s="3" t="str">
        <f t="shared" si="60"/>
        <v>U-A</v>
      </c>
      <c r="I994" s="4">
        <f t="shared" si="61"/>
        <v>0</v>
      </c>
      <c r="J994" s="4">
        <f t="shared" si="62"/>
        <v>0</v>
      </c>
      <c r="K994" s="3">
        <f t="shared" si="63"/>
        <v>0</v>
      </c>
    </row>
    <row r="995" spans="1:11">
      <c r="A995" s="4" t="s">
        <v>72</v>
      </c>
      <c r="B995" s="4" t="s">
        <v>144</v>
      </c>
      <c r="C995" s="4" t="s">
        <v>233</v>
      </c>
      <c r="D995" s="4">
        <f>INDEX(Positions!$D$2:$D$4694,MATCH($A995&amp;"|29",Positions!$A$2:$A$4694,0))</f>
        <v>32</v>
      </c>
      <c r="E995" s="4">
        <f>INDEX(Positions!$D$2:$D$4694,MATCH($A995&amp;"|41",Positions!$A$2:$A$4694,0))</f>
        <v>44</v>
      </c>
      <c r="F995" s="4" t="str">
        <f>INDEX(Positions!$E$2:$E$4694,MATCH($A995&amp;"|29",Positions!$A$2:$A$4694,0))</f>
        <v>A</v>
      </c>
      <c r="G995" s="4" t="str">
        <f>INDEX(Positions!$E$2:$E$4694,MATCH($A995&amp;"|41",Positions!$A$2:$A$4694,0))</f>
        <v>U</v>
      </c>
      <c r="H995" s="3" t="str">
        <f t="shared" si="60"/>
        <v>A-U</v>
      </c>
      <c r="I995" s="4">
        <f t="shared" si="61"/>
        <v>0</v>
      </c>
      <c r="J995" s="4">
        <f t="shared" si="62"/>
        <v>0</v>
      </c>
      <c r="K995" s="3">
        <f t="shared" si="63"/>
        <v>0</v>
      </c>
    </row>
    <row r="996" spans="1:11">
      <c r="A996" s="4" t="s">
        <v>72</v>
      </c>
      <c r="B996" s="4" t="s">
        <v>144</v>
      </c>
      <c r="C996" s="4" t="s">
        <v>234</v>
      </c>
      <c r="D996" s="4">
        <f>INDEX(Positions!$D$2:$D$4694,MATCH($A996&amp;"|30",Positions!$A$2:$A$4694,0))</f>
        <v>33</v>
      </c>
      <c r="E996" s="4">
        <f>INDEX(Positions!$D$2:$D$4694,MATCH($A996&amp;"|40",Positions!$A$2:$A$4694,0))</f>
        <v>43</v>
      </c>
      <c r="F996" s="4" t="str">
        <f>INDEX(Positions!$E$2:$E$4694,MATCH($A996&amp;"|30",Positions!$A$2:$A$4694,0))</f>
        <v>G</v>
      </c>
      <c r="G996" s="4" t="str">
        <f>INDEX(Positions!$E$2:$E$4694,MATCH($A996&amp;"|40",Positions!$A$2:$A$4694,0))</f>
        <v>C</v>
      </c>
      <c r="H996" s="3" t="str">
        <f t="shared" si="60"/>
        <v>G-C</v>
      </c>
      <c r="I996" s="4">
        <f t="shared" si="61"/>
        <v>1</v>
      </c>
      <c r="J996" s="4">
        <f t="shared" si="62"/>
        <v>1</v>
      </c>
      <c r="K996" s="3">
        <f t="shared" si="63"/>
        <v>2</v>
      </c>
    </row>
    <row r="997" spans="1:11">
      <c r="A997" s="4" t="s">
        <v>72</v>
      </c>
      <c r="B997" s="4" t="s">
        <v>144</v>
      </c>
      <c r="C997" s="4" t="s">
        <v>235</v>
      </c>
      <c r="D997" s="4">
        <f>INDEX(Positions!$D$2:$D$4694,MATCH($A997&amp;"|31",Positions!$A$2:$A$4694,0))</f>
        <v>34</v>
      </c>
      <c r="E997" s="4">
        <f>INDEX(Positions!$D$2:$D$4694,MATCH($A997&amp;"|39",Positions!$A$2:$A$4694,0))</f>
        <v>42</v>
      </c>
      <c r="F997" s="4" t="str">
        <f>INDEX(Positions!$E$2:$E$4694,MATCH($A997&amp;"|31",Positions!$A$2:$A$4694,0))</f>
        <v>G</v>
      </c>
      <c r="G997" s="4" t="str">
        <f>INDEX(Positions!$E$2:$E$4694,MATCH($A997&amp;"|39",Positions!$A$2:$A$4694,0))</f>
        <v>C</v>
      </c>
      <c r="H997" s="3" t="str">
        <f t="shared" si="60"/>
        <v>G-C</v>
      </c>
      <c r="I997" s="4">
        <f t="shared" si="61"/>
        <v>1</v>
      </c>
      <c r="J997" s="4">
        <f t="shared" si="62"/>
        <v>1</v>
      </c>
      <c r="K997" s="3">
        <f t="shared" si="63"/>
        <v>2</v>
      </c>
    </row>
    <row r="998" spans="1:11">
      <c r="A998" s="4" t="s">
        <v>72</v>
      </c>
      <c r="B998" s="4" t="s">
        <v>169</v>
      </c>
      <c r="C998" s="4" t="s">
        <v>236</v>
      </c>
      <c r="D998" s="4">
        <f>INDEX(Positions!$D$2:$D$4694,MATCH($A998&amp;"|49",Positions!$A$2:$A$4694,0))</f>
        <v>61</v>
      </c>
      <c r="E998" s="4">
        <f>INDEX(Positions!$D$2:$D$4694,MATCH($A998&amp;"|65",Positions!$A$2:$A$4694,0))</f>
        <v>77</v>
      </c>
      <c r="F998" s="4" t="str">
        <f>INDEX(Positions!$E$2:$E$4694,MATCH($A998&amp;"|49",Positions!$A$2:$A$4694,0))</f>
        <v>G</v>
      </c>
      <c r="G998" s="4" t="str">
        <f>INDEX(Positions!$E$2:$E$4694,MATCH($A998&amp;"|65",Positions!$A$2:$A$4694,0))</f>
        <v>U</v>
      </c>
      <c r="H998" s="3" t="str">
        <f t="shared" si="60"/>
        <v>G-U</v>
      </c>
      <c r="I998" s="4">
        <f t="shared" si="61"/>
        <v>1</v>
      </c>
      <c r="J998" s="4">
        <f t="shared" si="62"/>
        <v>0</v>
      </c>
      <c r="K998" s="3">
        <f t="shared" si="63"/>
        <v>1</v>
      </c>
    </row>
    <row r="999" spans="1:11">
      <c r="A999" s="4" t="s">
        <v>72</v>
      </c>
      <c r="B999" s="4" t="s">
        <v>169</v>
      </c>
      <c r="C999" s="4" t="s">
        <v>237</v>
      </c>
      <c r="D999" s="4">
        <f>INDEX(Positions!$D$2:$D$4694,MATCH($A999&amp;"|50",Positions!$A$2:$A$4694,0))</f>
        <v>62</v>
      </c>
      <c r="E999" s="4">
        <f>INDEX(Positions!$D$2:$D$4694,MATCH($A999&amp;"|64",Positions!$A$2:$A$4694,0))</f>
        <v>76</v>
      </c>
      <c r="F999" s="4" t="str">
        <f>INDEX(Positions!$E$2:$E$4694,MATCH($A999&amp;"|50",Positions!$A$2:$A$4694,0))</f>
        <v>U</v>
      </c>
      <c r="G999" s="4" t="str">
        <f>INDEX(Positions!$E$2:$E$4694,MATCH($A999&amp;"|64",Positions!$A$2:$A$4694,0))</f>
        <v>A</v>
      </c>
      <c r="H999" s="3" t="str">
        <f t="shared" si="60"/>
        <v>U-A</v>
      </c>
      <c r="I999" s="4">
        <f t="shared" si="61"/>
        <v>0</v>
      </c>
      <c r="J999" s="4">
        <f t="shared" si="62"/>
        <v>0</v>
      </c>
      <c r="K999" s="3">
        <f t="shared" si="63"/>
        <v>0</v>
      </c>
    </row>
    <row r="1000" spans="1:11">
      <c r="A1000" s="4" t="s">
        <v>72</v>
      </c>
      <c r="B1000" s="4" t="s">
        <v>169</v>
      </c>
      <c r="C1000" s="4" t="s">
        <v>238</v>
      </c>
      <c r="D1000" s="4">
        <f>INDEX(Positions!$D$2:$D$4694,MATCH($A1000&amp;"|51",Positions!$A$2:$A$4694,0))</f>
        <v>63</v>
      </c>
      <c r="E1000" s="4">
        <f>INDEX(Positions!$D$2:$D$4694,MATCH($A1000&amp;"|63",Positions!$A$2:$A$4694,0))</f>
        <v>75</v>
      </c>
      <c r="F1000" s="4" t="str">
        <f>INDEX(Positions!$E$2:$E$4694,MATCH($A1000&amp;"|51",Positions!$A$2:$A$4694,0))</f>
        <v>G</v>
      </c>
      <c r="G1000" s="4" t="str">
        <f>INDEX(Positions!$E$2:$E$4694,MATCH($A1000&amp;"|63",Positions!$A$2:$A$4694,0))</f>
        <v>C</v>
      </c>
      <c r="H1000" s="3" t="str">
        <f t="shared" si="60"/>
        <v>G-C</v>
      </c>
      <c r="I1000" s="4">
        <f t="shared" si="61"/>
        <v>1</v>
      </c>
      <c r="J1000" s="4">
        <f t="shared" si="62"/>
        <v>1</v>
      </c>
      <c r="K1000" s="3">
        <f t="shared" si="63"/>
        <v>2</v>
      </c>
    </row>
    <row r="1001" spans="1:11">
      <c r="A1001" s="4" t="s">
        <v>72</v>
      </c>
      <c r="B1001" s="4" t="s">
        <v>169</v>
      </c>
      <c r="C1001" s="4" t="s">
        <v>239</v>
      </c>
      <c r="D1001" s="4">
        <f>INDEX(Positions!$D$2:$D$4694,MATCH($A1001&amp;"|52",Positions!$A$2:$A$4694,0))</f>
        <v>64</v>
      </c>
      <c r="E1001" s="4">
        <f>INDEX(Positions!$D$2:$D$4694,MATCH($A1001&amp;"|62",Positions!$A$2:$A$4694,0))</f>
        <v>74</v>
      </c>
      <c r="F1001" s="4" t="str">
        <f>INDEX(Positions!$E$2:$E$4694,MATCH($A1001&amp;"|52",Positions!$A$2:$A$4694,0))</f>
        <v>G</v>
      </c>
      <c r="G1001" s="4" t="str">
        <f>INDEX(Positions!$E$2:$E$4694,MATCH($A1001&amp;"|62",Positions!$A$2:$A$4694,0))</f>
        <v>C</v>
      </c>
      <c r="H1001" s="3" t="str">
        <f t="shared" si="60"/>
        <v>G-C</v>
      </c>
      <c r="I1001" s="4">
        <f t="shared" si="61"/>
        <v>1</v>
      </c>
      <c r="J1001" s="4">
        <f t="shared" si="62"/>
        <v>1</v>
      </c>
      <c r="K1001" s="3">
        <f t="shared" si="63"/>
        <v>2</v>
      </c>
    </row>
    <row r="1002" spans="1:11">
      <c r="A1002" s="4" t="s">
        <v>72</v>
      </c>
      <c r="B1002" s="4" t="s">
        <v>169</v>
      </c>
      <c r="C1002" s="4" t="s">
        <v>240</v>
      </c>
      <c r="D1002" s="4">
        <f>INDEX(Positions!$D$2:$D$4694,MATCH($A1002&amp;"|53",Positions!$A$2:$A$4694,0))</f>
        <v>65</v>
      </c>
      <c r="E1002" s="4">
        <f>INDEX(Positions!$D$2:$D$4694,MATCH($A1002&amp;"|61",Positions!$A$2:$A$4694,0))</f>
        <v>73</v>
      </c>
      <c r="F1002" s="4" t="str">
        <f>INDEX(Positions!$E$2:$E$4694,MATCH($A1002&amp;"|53",Positions!$A$2:$A$4694,0))</f>
        <v>G</v>
      </c>
      <c r="G1002" s="4" t="str">
        <f>INDEX(Positions!$E$2:$E$4694,MATCH($A1002&amp;"|61",Positions!$A$2:$A$4694,0))</f>
        <v>C</v>
      </c>
      <c r="H1002" s="3" t="str">
        <f t="shared" si="60"/>
        <v>G-C</v>
      </c>
      <c r="I1002" s="4">
        <f t="shared" si="61"/>
        <v>1</v>
      </c>
      <c r="J1002" s="4">
        <f t="shared" si="62"/>
        <v>1</v>
      </c>
      <c r="K1002" s="3">
        <f t="shared" si="63"/>
        <v>2</v>
      </c>
    </row>
    <row r="1003" spans="1:11">
      <c r="A1003" s="23" t="s">
        <v>72</v>
      </c>
      <c r="B1003" s="23" t="s">
        <v>241</v>
      </c>
      <c r="C1003" s="23" t="s">
        <v>242</v>
      </c>
      <c r="D1003" s="23">
        <f>INDEX(Positions!$D$2:$D$4694,MATCH($A1003&amp;"|8",Positions!$A$2:$A$4694,0))</f>
        <v>8</v>
      </c>
      <c r="E1003" s="23">
        <f>INDEX(Positions!$D$2:$D$4694,MATCH($A1003&amp;"|14",Positions!$A$2:$A$4694,0))</f>
        <v>14</v>
      </c>
      <c r="F1003" s="23" t="str">
        <f>INDEX(Positions!$E$2:$E$4694,MATCH($A1003&amp;"|8",Positions!$A$2:$A$4694,0))</f>
        <v>U</v>
      </c>
      <c r="G1003" s="23" t="str">
        <f>INDEX(Positions!$E$2:$E$4694,MATCH($A1003&amp;"|14",Positions!$A$2:$A$4694,0))</f>
        <v>A</v>
      </c>
      <c r="H1003" s="24" t="str">
        <f t="shared" si="60"/>
        <v>U-A</v>
      </c>
      <c r="I1003" s="23">
        <f t="shared" si="61"/>
        <v>0</v>
      </c>
      <c r="J1003" s="23">
        <f t="shared" si="62"/>
        <v>0</v>
      </c>
      <c r="K1003" s="24">
        <f t="shared" si="63"/>
        <v>0</v>
      </c>
    </row>
    <row r="1004" spans="1:11">
      <c r="A1004" s="23" t="s">
        <v>72</v>
      </c>
      <c r="B1004" s="23" t="s">
        <v>241</v>
      </c>
      <c r="C1004" s="23" t="s">
        <v>243</v>
      </c>
      <c r="D1004" s="23">
        <f>INDEX(Positions!$D$2:$D$4694,MATCH($A1004&amp;"|15",Positions!$A$2:$A$4694,0))</f>
        <v>15</v>
      </c>
      <c r="E1004" s="23">
        <f>INDEX(Positions!$D$2:$D$4694,MATCH($A1004&amp;"|48",Positions!$A$2:$A$4694,0))</f>
        <v>60</v>
      </c>
      <c r="F1004" s="23" t="str">
        <f>INDEX(Positions!$E$2:$E$4694,MATCH($A1004&amp;"|15",Positions!$A$2:$A$4694,0))</f>
        <v>G</v>
      </c>
      <c r="G1004" s="23" t="str">
        <f>INDEX(Positions!$E$2:$E$4694,MATCH($A1004&amp;"|48",Positions!$A$2:$A$4694,0))</f>
        <v>C</v>
      </c>
      <c r="H1004" s="24" t="str">
        <f t="shared" si="60"/>
        <v>G-C</v>
      </c>
      <c r="I1004" s="23">
        <f t="shared" si="61"/>
        <v>1</v>
      </c>
      <c r="J1004" s="23">
        <f t="shared" si="62"/>
        <v>1</v>
      </c>
      <c r="K1004" s="24">
        <f t="shared" si="63"/>
        <v>2</v>
      </c>
    </row>
    <row r="1005" spans="1:11">
      <c r="A1005" s="23" t="s">
        <v>72</v>
      </c>
      <c r="B1005" s="23" t="s">
        <v>241</v>
      </c>
      <c r="C1005" s="23" t="s">
        <v>244</v>
      </c>
      <c r="D1005" s="23">
        <f>INDEX(Positions!$D$2:$D$4694,MATCH($A1005&amp;"|18",Positions!$A$2:$A$4694,0))</f>
        <v>19</v>
      </c>
      <c r="E1005" s="23">
        <f>INDEX(Positions!$D$2:$D$4694,MATCH($A1005&amp;"|55",Positions!$A$2:$A$4694,0))</f>
        <v>67</v>
      </c>
      <c r="F1005" s="23" t="str">
        <f>INDEX(Positions!$E$2:$E$4694,MATCH($A1005&amp;"|18",Positions!$A$2:$A$4694,0))</f>
        <v>G</v>
      </c>
      <c r="G1005" s="23" t="str">
        <f>INDEX(Positions!$E$2:$E$4694,MATCH($A1005&amp;"|55",Positions!$A$2:$A$4694,0))</f>
        <v>U</v>
      </c>
      <c r="H1005" s="24" t="str">
        <f t="shared" si="60"/>
        <v>G-U</v>
      </c>
      <c r="I1005" s="23">
        <f t="shared" si="61"/>
        <v>1</v>
      </c>
      <c r="J1005" s="23">
        <f t="shared" si="62"/>
        <v>0</v>
      </c>
      <c r="K1005" s="24">
        <f t="shared" si="63"/>
        <v>1</v>
      </c>
    </row>
    <row r="1006" spans="1:11">
      <c r="A1006" s="23" t="s">
        <v>72</v>
      </c>
      <c r="B1006" s="23" t="s">
        <v>241</v>
      </c>
      <c r="C1006" s="23" t="s">
        <v>245</v>
      </c>
      <c r="D1006" s="23">
        <f>INDEX(Positions!$D$2:$D$4694,MATCH($A1006&amp;"|19",Positions!$A$2:$A$4694,0))</f>
        <v>20</v>
      </c>
      <c r="E1006" s="23">
        <f>INDEX(Positions!$D$2:$D$4694,MATCH($A1006&amp;"|56",Positions!$A$2:$A$4694,0))</f>
        <v>68</v>
      </c>
      <c r="F1006" s="23" t="str">
        <f>INDEX(Positions!$E$2:$E$4694,MATCH($A1006&amp;"|19",Positions!$A$2:$A$4694,0))</f>
        <v>G</v>
      </c>
      <c r="G1006" s="23" t="str">
        <f>INDEX(Positions!$E$2:$E$4694,MATCH($A1006&amp;"|56",Positions!$A$2:$A$4694,0))</f>
        <v>C</v>
      </c>
      <c r="H1006" s="24" t="str">
        <f t="shared" si="60"/>
        <v>G-C</v>
      </c>
      <c r="I1006" s="23">
        <f t="shared" si="61"/>
        <v>1</v>
      </c>
      <c r="J1006" s="23">
        <f t="shared" si="62"/>
        <v>1</v>
      </c>
      <c r="K1006" s="24">
        <f t="shared" si="63"/>
        <v>2</v>
      </c>
    </row>
    <row r="1007" spans="1:11">
      <c r="A1007" s="23" t="s">
        <v>72</v>
      </c>
      <c r="B1007" s="23" t="s">
        <v>241</v>
      </c>
      <c r="C1007" s="23" t="s">
        <v>246</v>
      </c>
      <c r="D1007" s="23">
        <f>INDEX(Positions!$D$2:$D$4694,MATCH($A1007&amp;"|26",Positions!$A$2:$A$4694,0))</f>
        <v>29</v>
      </c>
      <c r="E1007" s="23">
        <f>INDEX(Positions!$D$2:$D$4694,MATCH($A1007&amp;"|44",Positions!$A$2:$A$4694,0))</f>
        <v>47</v>
      </c>
      <c r="F1007" s="23" t="str">
        <f>INDEX(Positions!$E$2:$E$4694,MATCH($A1007&amp;"|26",Positions!$A$2:$A$4694,0))</f>
        <v>G</v>
      </c>
      <c r="G1007" s="23" t="str">
        <f>INDEX(Positions!$E$2:$E$4694,MATCH($A1007&amp;"|44",Positions!$A$2:$A$4694,0))</f>
        <v>U</v>
      </c>
      <c r="H1007" s="24" t="str">
        <f t="shared" si="60"/>
        <v>G-U</v>
      </c>
      <c r="I1007" s="23">
        <f t="shared" si="61"/>
        <v>1</v>
      </c>
      <c r="J1007" s="23">
        <f t="shared" si="62"/>
        <v>0</v>
      </c>
      <c r="K1007" s="24">
        <f t="shared" si="63"/>
        <v>1</v>
      </c>
    </row>
    <row r="1008" spans="1:11">
      <c r="A1008" s="23" t="s">
        <v>72</v>
      </c>
      <c r="B1008" s="23" t="s">
        <v>241</v>
      </c>
      <c r="C1008" s="23" t="s">
        <v>247</v>
      </c>
      <c r="D1008" s="23">
        <f>INDEX(Positions!$D$2:$D$4694,MATCH($A1008&amp;"|32",Positions!$A$2:$A$4694,0))</f>
        <v>35</v>
      </c>
      <c r="E1008" s="23">
        <f>INDEX(Positions!$D$2:$D$4694,MATCH($A1008&amp;"|38",Positions!$A$2:$A$4694,0))</f>
        <v>41</v>
      </c>
      <c r="F1008" s="23" t="str">
        <f>INDEX(Positions!$E$2:$E$4694,MATCH($A1008&amp;"|32",Positions!$A$2:$A$4694,0))</f>
        <v>U</v>
      </c>
      <c r="G1008" s="23" t="str">
        <f>INDEX(Positions!$E$2:$E$4694,MATCH($A1008&amp;"|38",Positions!$A$2:$A$4694,0))</f>
        <v>G</v>
      </c>
      <c r="H1008" s="24" t="str">
        <f t="shared" si="60"/>
        <v>U-G</v>
      </c>
      <c r="I1008" s="23">
        <f t="shared" si="61"/>
        <v>1</v>
      </c>
      <c r="J1008" s="23">
        <f t="shared" si="62"/>
        <v>0</v>
      </c>
      <c r="K1008" s="24">
        <f t="shared" si="63"/>
        <v>1</v>
      </c>
    </row>
    <row r="1009" spans="1:11">
      <c r="A1009" s="23" t="s">
        <v>72</v>
      </c>
      <c r="B1009" s="23" t="s">
        <v>241</v>
      </c>
      <c r="C1009" s="23" t="s">
        <v>248</v>
      </c>
      <c r="D1009" s="23">
        <f>INDEX(Positions!$D$2:$D$4694,MATCH($A1009&amp;"|54",Positions!$A$2:$A$4694,0))</f>
        <v>66</v>
      </c>
      <c r="E1009" s="23">
        <f>INDEX(Positions!$D$2:$D$4694,MATCH($A1009&amp;"|58",Positions!$A$2:$A$4694,0))</f>
        <v>70</v>
      </c>
      <c r="F1009" s="23" t="str">
        <f>INDEX(Positions!$E$2:$E$4694,MATCH($A1009&amp;"|54",Positions!$A$2:$A$4694,0))</f>
        <v>U</v>
      </c>
      <c r="G1009" s="23" t="str">
        <f>INDEX(Positions!$E$2:$E$4694,MATCH($A1009&amp;"|58",Positions!$A$2:$A$4694,0))</f>
        <v>A</v>
      </c>
      <c r="H1009" s="24" t="str">
        <f t="shared" si="60"/>
        <v>U-A</v>
      </c>
      <c r="I1009" s="23">
        <f t="shared" si="61"/>
        <v>0</v>
      </c>
      <c r="J1009" s="23">
        <f t="shared" si="62"/>
        <v>0</v>
      </c>
      <c r="K1009" s="24">
        <f t="shared" si="63"/>
        <v>0</v>
      </c>
    </row>
    <row r="1010" spans="1:11">
      <c r="A1010" s="4" t="s">
        <v>73</v>
      </c>
      <c r="B1010" s="4" t="s">
        <v>110</v>
      </c>
      <c r="C1010" s="4" t="s">
        <v>220</v>
      </c>
      <c r="D1010" s="4">
        <f>INDEX(Positions!$D$2:$D$4694,MATCH($A1010&amp;"|1",Positions!$A$2:$A$4694,0))</f>
        <v>1</v>
      </c>
      <c r="E1010" s="4">
        <f>INDEX(Positions!$D$2:$D$4694,MATCH($A1010&amp;"|72",Positions!$A$2:$A$4694,0))</f>
        <v>84</v>
      </c>
      <c r="F1010" s="4" t="str">
        <f>INDEX(Positions!$E$2:$E$4694,MATCH($A1010&amp;"|1",Positions!$A$2:$A$4694,0))</f>
        <v>G</v>
      </c>
      <c r="G1010" s="4" t="str">
        <f>INDEX(Positions!$E$2:$E$4694,MATCH($A1010&amp;"|72",Positions!$A$2:$A$4694,0))</f>
        <v>C</v>
      </c>
      <c r="H1010" s="3" t="str">
        <f t="shared" si="60"/>
        <v>G-C</v>
      </c>
      <c r="I1010" s="4">
        <f t="shared" si="61"/>
        <v>1</v>
      </c>
      <c r="J1010" s="4">
        <f t="shared" si="62"/>
        <v>1</v>
      </c>
      <c r="K1010" s="3">
        <f t="shared" si="63"/>
        <v>2</v>
      </c>
    </row>
    <row r="1011" spans="1:11">
      <c r="A1011" s="4" t="s">
        <v>73</v>
      </c>
      <c r="B1011" s="4" t="s">
        <v>110</v>
      </c>
      <c r="C1011" s="4" t="s">
        <v>221</v>
      </c>
      <c r="D1011" s="4">
        <f>INDEX(Positions!$D$2:$D$4694,MATCH($A1011&amp;"|2",Positions!$A$2:$A$4694,0))</f>
        <v>2</v>
      </c>
      <c r="E1011" s="4">
        <f>INDEX(Positions!$D$2:$D$4694,MATCH($A1011&amp;"|71",Positions!$A$2:$A$4694,0))</f>
        <v>83</v>
      </c>
      <c r="F1011" s="4" t="str">
        <f>INDEX(Positions!$E$2:$E$4694,MATCH($A1011&amp;"|2",Positions!$A$2:$A$4694,0))</f>
        <v>C</v>
      </c>
      <c r="G1011" s="4" t="str">
        <f>INDEX(Positions!$E$2:$E$4694,MATCH($A1011&amp;"|71",Positions!$A$2:$A$4694,0))</f>
        <v>G</v>
      </c>
      <c r="H1011" s="3" t="str">
        <f t="shared" si="60"/>
        <v>C-G</v>
      </c>
      <c r="I1011" s="4">
        <f t="shared" si="61"/>
        <v>1</v>
      </c>
      <c r="J1011" s="4">
        <f t="shared" si="62"/>
        <v>1</v>
      </c>
      <c r="K1011" s="3">
        <f t="shared" si="63"/>
        <v>2</v>
      </c>
    </row>
    <row r="1012" spans="1:11">
      <c r="A1012" s="4" t="s">
        <v>73</v>
      </c>
      <c r="B1012" s="4" t="s">
        <v>110</v>
      </c>
      <c r="C1012" s="4" t="s">
        <v>222</v>
      </c>
      <c r="D1012" s="4">
        <f>INDEX(Positions!$D$2:$D$4694,MATCH($A1012&amp;"|3",Positions!$A$2:$A$4694,0))</f>
        <v>3</v>
      </c>
      <c r="E1012" s="4">
        <f>INDEX(Positions!$D$2:$D$4694,MATCH($A1012&amp;"|70",Positions!$A$2:$A$4694,0))</f>
        <v>82</v>
      </c>
      <c r="F1012" s="4" t="str">
        <f>INDEX(Positions!$E$2:$E$4694,MATCH($A1012&amp;"|3",Positions!$A$2:$A$4694,0))</f>
        <v>G</v>
      </c>
      <c r="G1012" s="4" t="str">
        <f>INDEX(Positions!$E$2:$E$4694,MATCH($A1012&amp;"|70",Positions!$A$2:$A$4694,0))</f>
        <v>C</v>
      </c>
      <c r="H1012" s="3" t="str">
        <f t="shared" si="60"/>
        <v>G-C</v>
      </c>
      <c r="I1012" s="4">
        <f t="shared" si="61"/>
        <v>1</v>
      </c>
      <c r="J1012" s="4">
        <f t="shared" si="62"/>
        <v>1</v>
      </c>
      <c r="K1012" s="3">
        <f t="shared" si="63"/>
        <v>2</v>
      </c>
    </row>
    <row r="1013" spans="1:11">
      <c r="A1013" s="4" t="s">
        <v>73</v>
      </c>
      <c r="B1013" s="4" t="s">
        <v>110</v>
      </c>
      <c r="C1013" s="4" t="s">
        <v>223</v>
      </c>
      <c r="D1013" s="4">
        <f>INDEX(Positions!$D$2:$D$4694,MATCH($A1013&amp;"|4",Positions!$A$2:$A$4694,0))</f>
        <v>4</v>
      </c>
      <c r="E1013" s="4">
        <f>INDEX(Positions!$D$2:$D$4694,MATCH($A1013&amp;"|69",Positions!$A$2:$A$4694,0))</f>
        <v>81</v>
      </c>
      <c r="F1013" s="4" t="str">
        <f>INDEX(Positions!$E$2:$E$4694,MATCH($A1013&amp;"|4",Positions!$A$2:$A$4694,0))</f>
        <v>A</v>
      </c>
      <c r="G1013" s="4" t="str">
        <f>INDEX(Positions!$E$2:$E$4694,MATCH($A1013&amp;"|69",Positions!$A$2:$A$4694,0))</f>
        <v>U</v>
      </c>
      <c r="H1013" s="3" t="str">
        <f t="shared" si="60"/>
        <v>A-U</v>
      </c>
      <c r="I1013" s="4">
        <f t="shared" si="61"/>
        <v>0</v>
      </c>
      <c r="J1013" s="4">
        <f t="shared" si="62"/>
        <v>0</v>
      </c>
      <c r="K1013" s="3">
        <f t="shared" si="63"/>
        <v>0</v>
      </c>
    </row>
    <row r="1014" spans="1:11">
      <c r="A1014" s="4" t="s">
        <v>73</v>
      </c>
      <c r="B1014" s="4" t="s">
        <v>110</v>
      </c>
      <c r="C1014" s="4" t="s">
        <v>224</v>
      </c>
      <c r="D1014" s="4">
        <f>INDEX(Positions!$D$2:$D$4694,MATCH($A1014&amp;"|5",Positions!$A$2:$A$4694,0))</f>
        <v>5</v>
      </c>
      <c r="E1014" s="4">
        <f>INDEX(Positions!$D$2:$D$4694,MATCH($A1014&amp;"|68",Positions!$A$2:$A$4694,0))</f>
        <v>80</v>
      </c>
      <c r="F1014" s="4" t="str">
        <f>INDEX(Positions!$E$2:$E$4694,MATCH($A1014&amp;"|5",Positions!$A$2:$A$4694,0))</f>
        <v>G</v>
      </c>
      <c r="G1014" s="4" t="str">
        <f>INDEX(Positions!$E$2:$E$4694,MATCH($A1014&amp;"|68",Positions!$A$2:$A$4694,0))</f>
        <v>C</v>
      </c>
      <c r="H1014" s="3" t="str">
        <f t="shared" si="60"/>
        <v>G-C</v>
      </c>
      <c r="I1014" s="4">
        <f t="shared" si="61"/>
        <v>1</v>
      </c>
      <c r="J1014" s="4">
        <f t="shared" si="62"/>
        <v>1</v>
      </c>
      <c r="K1014" s="3">
        <f t="shared" si="63"/>
        <v>2</v>
      </c>
    </row>
    <row r="1015" spans="1:11">
      <c r="A1015" s="4" t="s">
        <v>73</v>
      </c>
      <c r="B1015" s="4" t="s">
        <v>110</v>
      </c>
      <c r="C1015" s="4" t="s">
        <v>225</v>
      </c>
      <c r="D1015" s="4">
        <f>INDEX(Positions!$D$2:$D$4694,MATCH($A1015&amp;"|6",Positions!$A$2:$A$4694,0))</f>
        <v>6</v>
      </c>
      <c r="E1015" s="4">
        <f>INDEX(Positions!$D$2:$D$4694,MATCH($A1015&amp;"|67",Positions!$A$2:$A$4694,0))</f>
        <v>79</v>
      </c>
      <c r="F1015" s="4" t="str">
        <f>INDEX(Positions!$E$2:$E$4694,MATCH($A1015&amp;"|6",Positions!$A$2:$A$4694,0))</f>
        <v>G</v>
      </c>
      <c r="G1015" s="4" t="str">
        <f>INDEX(Positions!$E$2:$E$4694,MATCH($A1015&amp;"|67",Positions!$A$2:$A$4694,0))</f>
        <v>C</v>
      </c>
      <c r="H1015" s="3" t="str">
        <f t="shared" si="60"/>
        <v>G-C</v>
      </c>
      <c r="I1015" s="4">
        <f t="shared" si="61"/>
        <v>1</v>
      </c>
      <c r="J1015" s="4">
        <f t="shared" si="62"/>
        <v>1</v>
      </c>
      <c r="K1015" s="3">
        <f t="shared" si="63"/>
        <v>2</v>
      </c>
    </row>
    <row r="1016" spans="1:11">
      <c r="A1016" s="4" t="s">
        <v>73</v>
      </c>
      <c r="B1016" s="4" t="s">
        <v>110</v>
      </c>
      <c r="C1016" s="4" t="s">
        <v>226</v>
      </c>
      <c r="D1016" s="4">
        <f>INDEX(Positions!$D$2:$D$4694,MATCH($A1016&amp;"|7",Positions!$A$2:$A$4694,0))</f>
        <v>7</v>
      </c>
      <c r="E1016" s="4">
        <f>INDEX(Positions!$D$2:$D$4694,MATCH($A1016&amp;"|66",Positions!$A$2:$A$4694,0))</f>
        <v>78</v>
      </c>
      <c r="F1016" s="4" t="str">
        <f>INDEX(Positions!$E$2:$E$4694,MATCH($A1016&amp;"|7",Positions!$A$2:$A$4694,0))</f>
        <v>G</v>
      </c>
      <c r="G1016" s="4" t="str">
        <f>INDEX(Positions!$E$2:$E$4694,MATCH($A1016&amp;"|66",Positions!$A$2:$A$4694,0))</f>
        <v>C</v>
      </c>
      <c r="H1016" s="3" t="str">
        <f t="shared" si="60"/>
        <v>G-C</v>
      </c>
      <c r="I1016" s="4">
        <f t="shared" si="61"/>
        <v>1</v>
      </c>
      <c r="J1016" s="4">
        <f t="shared" si="62"/>
        <v>1</v>
      </c>
      <c r="K1016" s="3">
        <f t="shared" si="63"/>
        <v>2</v>
      </c>
    </row>
    <row r="1017" spans="1:11">
      <c r="A1017" s="4" t="s">
        <v>73</v>
      </c>
      <c r="B1017" s="4" t="s">
        <v>125</v>
      </c>
      <c r="C1017" s="4" t="s">
        <v>227</v>
      </c>
      <c r="D1017" s="4">
        <f>INDEX(Positions!$D$2:$D$4694,MATCH($A1017&amp;"|10",Positions!$A$2:$A$4694,0))</f>
        <v>10</v>
      </c>
      <c r="E1017" s="4">
        <f>INDEX(Positions!$D$2:$D$4694,MATCH($A1017&amp;"|25",Positions!$A$2:$A$4694,0))</f>
        <v>28</v>
      </c>
      <c r="F1017" s="4" t="str">
        <f>INDEX(Positions!$E$2:$E$4694,MATCH($A1017&amp;"|10",Positions!$A$2:$A$4694,0))</f>
        <v>G</v>
      </c>
      <c r="G1017" s="4" t="str">
        <f>INDEX(Positions!$E$2:$E$4694,MATCH($A1017&amp;"|25",Positions!$A$2:$A$4694,0))</f>
        <v>C</v>
      </c>
      <c r="H1017" s="3" t="str">
        <f t="shared" si="60"/>
        <v>G-C</v>
      </c>
      <c r="I1017" s="4">
        <f t="shared" si="61"/>
        <v>1</v>
      </c>
      <c r="J1017" s="4">
        <f t="shared" si="62"/>
        <v>1</v>
      </c>
      <c r="K1017" s="3">
        <f t="shared" si="63"/>
        <v>2</v>
      </c>
    </row>
    <row r="1018" spans="1:11">
      <c r="A1018" s="4" t="s">
        <v>73</v>
      </c>
      <c r="B1018" s="4" t="s">
        <v>125</v>
      </c>
      <c r="C1018" s="4" t="s">
        <v>228</v>
      </c>
      <c r="D1018" s="4">
        <f>INDEX(Positions!$D$2:$D$4694,MATCH($A1018&amp;"|11",Positions!$A$2:$A$4694,0))</f>
        <v>11</v>
      </c>
      <c r="E1018" s="4">
        <f>INDEX(Positions!$D$2:$D$4694,MATCH($A1018&amp;"|24",Positions!$A$2:$A$4694,0))</f>
        <v>27</v>
      </c>
      <c r="F1018" s="4" t="str">
        <f>INDEX(Positions!$E$2:$E$4694,MATCH($A1018&amp;"|11",Positions!$A$2:$A$4694,0))</f>
        <v>C</v>
      </c>
      <c r="G1018" s="4" t="str">
        <f>INDEX(Positions!$E$2:$E$4694,MATCH($A1018&amp;"|24",Positions!$A$2:$A$4694,0))</f>
        <v>G</v>
      </c>
      <c r="H1018" s="3" t="str">
        <f t="shared" si="60"/>
        <v>C-G</v>
      </c>
      <c r="I1018" s="4">
        <f t="shared" si="61"/>
        <v>1</v>
      </c>
      <c r="J1018" s="4">
        <f t="shared" si="62"/>
        <v>1</v>
      </c>
      <c r="K1018" s="3">
        <f t="shared" si="63"/>
        <v>2</v>
      </c>
    </row>
    <row r="1019" spans="1:11">
      <c r="A1019" s="4" t="s">
        <v>73</v>
      </c>
      <c r="B1019" s="4" t="s">
        <v>125</v>
      </c>
      <c r="C1019" s="4" t="s">
        <v>229</v>
      </c>
      <c r="D1019" s="4">
        <f>INDEX(Positions!$D$2:$D$4694,MATCH($A1019&amp;"|12",Positions!$A$2:$A$4694,0))</f>
        <v>12</v>
      </c>
      <c r="E1019" s="4">
        <f>INDEX(Positions!$D$2:$D$4694,MATCH($A1019&amp;"|23",Positions!$A$2:$A$4694,0))</f>
        <v>26</v>
      </c>
      <c r="F1019" s="4" t="str">
        <f>INDEX(Positions!$E$2:$E$4694,MATCH($A1019&amp;"|12",Positions!$A$2:$A$4694,0))</f>
        <v>C</v>
      </c>
      <c r="G1019" s="4" t="str">
        <f>INDEX(Positions!$E$2:$E$4694,MATCH($A1019&amp;"|23",Positions!$A$2:$A$4694,0))</f>
        <v>G</v>
      </c>
      <c r="H1019" s="3" t="str">
        <f t="shared" si="60"/>
        <v>C-G</v>
      </c>
      <c r="I1019" s="4">
        <f t="shared" si="61"/>
        <v>1</v>
      </c>
      <c r="J1019" s="4">
        <f t="shared" si="62"/>
        <v>1</v>
      </c>
      <c r="K1019" s="3">
        <f t="shared" si="63"/>
        <v>2</v>
      </c>
    </row>
    <row r="1020" spans="1:11">
      <c r="A1020" s="4" t="s">
        <v>73</v>
      </c>
      <c r="B1020" s="4" t="s">
        <v>125</v>
      </c>
      <c r="C1020" s="4" t="s">
        <v>230</v>
      </c>
      <c r="D1020" s="4">
        <f>INDEX(Positions!$D$2:$D$4694,MATCH($A1020&amp;"|13",Positions!$A$2:$A$4694,0))</f>
        <v>13</v>
      </c>
      <c r="E1020" s="4">
        <f>INDEX(Positions!$D$2:$D$4694,MATCH($A1020&amp;"|22",Positions!$A$2:$A$4694,0))</f>
        <v>25</v>
      </c>
      <c r="F1020" s="4" t="str">
        <f>INDEX(Positions!$E$2:$E$4694,MATCH($A1020&amp;"|13",Positions!$A$2:$A$4694,0))</f>
        <v>C</v>
      </c>
      <c r="G1020" s="4" t="str">
        <f>INDEX(Positions!$E$2:$E$4694,MATCH($A1020&amp;"|22",Positions!$A$2:$A$4694,0))</f>
        <v>A</v>
      </c>
      <c r="H1020" s="3" t="str">
        <f t="shared" si="60"/>
        <v>C-A</v>
      </c>
      <c r="I1020" s="4">
        <f t="shared" si="61"/>
        <v>0</v>
      </c>
      <c r="J1020" s="4">
        <f t="shared" si="62"/>
        <v>1</v>
      </c>
      <c r="K1020" s="3">
        <f t="shared" si="63"/>
        <v>1</v>
      </c>
    </row>
    <row r="1021" spans="1:11">
      <c r="A1021" s="4" t="s">
        <v>73</v>
      </c>
      <c r="B1021" s="4" t="s">
        <v>144</v>
      </c>
      <c r="C1021" s="4" t="s">
        <v>231</v>
      </c>
      <c r="D1021" s="4">
        <f>INDEX(Positions!$D$2:$D$4694,MATCH($A1021&amp;"|27",Positions!$A$2:$A$4694,0))</f>
        <v>30</v>
      </c>
      <c r="E1021" s="4">
        <f>INDEX(Positions!$D$2:$D$4694,MATCH($A1021&amp;"|43",Positions!$A$2:$A$4694,0))</f>
        <v>46</v>
      </c>
      <c r="F1021" s="4" t="str">
        <f>INDEX(Positions!$E$2:$E$4694,MATCH($A1021&amp;"|27",Positions!$A$2:$A$4694,0))</f>
        <v>C</v>
      </c>
      <c r="G1021" s="4" t="str">
        <f>INDEX(Positions!$E$2:$E$4694,MATCH($A1021&amp;"|43",Positions!$A$2:$A$4694,0))</f>
        <v>G</v>
      </c>
      <c r="H1021" s="3" t="str">
        <f t="shared" si="60"/>
        <v>C-G</v>
      </c>
      <c r="I1021" s="4">
        <f t="shared" si="61"/>
        <v>1</v>
      </c>
      <c r="J1021" s="4">
        <f t="shared" si="62"/>
        <v>1</v>
      </c>
      <c r="K1021" s="3">
        <f t="shared" si="63"/>
        <v>2</v>
      </c>
    </row>
    <row r="1022" spans="1:11">
      <c r="A1022" s="4" t="s">
        <v>73</v>
      </c>
      <c r="B1022" s="4" t="s">
        <v>144</v>
      </c>
      <c r="C1022" s="4" t="s">
        <v>232</v>
      </c>
      <c r="D1022" s="4">
        <f>INDEX(Positions!$D$2:$D$4694,MATCH($A1022&amp;"|28",Positions!$A$2:$A$4694,0))</f>
        <v>31</v>
      </c>
      <c r="E1022" s="4">
        <f>INDEX(Positions!$D$2:$D$4694,MATCH($A1022&amp;"|42",Positions!$A$2:$A$4694,0))</f>
        <v>45</v>
      </c>
      <c r="F1022" s="4" t="str">
        <f>INDEX(Positions!$E$2:$E$4694,MATCH($A1022&amp;"|28",Positions!$A$2:$A$4694,0))</f>
        <v>C</v>
      </c>
      <c r="G1022" s="4" t="str">
        <f>INDEX(Positions!$E$2:$E$4694,MATCH($A1022&amp;"|42",Positions!$A$2:$A$4694,0))</f>
        <v>G</v>
      </c>
      <c r="H1022" s="3" t="str">
        <f t="shared" si="60"/>
        <v>C-G</v>
      </c>
      <c r="I1022" s="4">
        <f t="shared" si="61"/>
        <v>1</v>
      </c>
      <c r="J1022" s="4">
        <f t="shared" si="62"/>
        <v>1</v>
      </c>
      <c r="K1022" s="3">
        <f t="shared" si="63"/>
        <v>2</v>
      </c>
    </row>
    <row r="1023" spans="1:11">
      <c r="A1023" s="4" t="s">
        <v>73</v>
      </c>
      <c r="B1023" s="4" t="s">
        <v>144</v>
      </c>
      <c r="C1023" s="4" t="s">
        <v>233</v>
      </c>
      <c r="D1023" s="4">
        <f>INDEX(Positions!$D$2:$D$4694,MATCH($A1023&amp;"|29",Positions!$A$2:$A$4694,0))</f>
        <v>32</v>
      </c>
      <c r="E1023" s="4">
        <f>INDEX(Positions!$D$2:$D$4694,MATCH($A1023&amp;"|41",Positions!$A$2:$A$4694,0))</f>
        <v>44</v>
      </c>
      <c r="F1023" s="4" t="str">
        <f>INDEX(Positions!$E$2:$E$4694,MATCH($A1023&amp;"|29",Positions!$A$2:$A$4694,0))</f>
        <v>G</v>
      </c>
      <c r="G1023" s="4" t="str">
        <f>INDEX(Positions!$E$2:$E$4694,MATCH($A1023&amp;"|41",Positions!$A$2:$A$4694,0))</f>
        <v>C</v>
      </c>
      <c r="H1023" s="3" t="str">
        <f t="shared" si="60"/>
        <v>G-C</v>
      </c>
      <c r="I1023" s="4">
        <f t="shared" si="61"/>
        <v>1</v>
      </c>
      <c r="J1023" s="4">
        <f t="shared" si="62"/>
        <v>1</v>
      </c>
      <c r="K1023" s="3">
        <f t="shared" si="63"/>
        <v>2</v>
      </c>
    </row>
    <row r="1024" spans="1:11">
      <c r="A1024" s="4" t="s">
        <v>73</v>
      </c>
      <c r="B1024" s="4" t="s">
        <v>144</v>
      </c>
      <c r="C1024" s="4" t="s">
        <v>234</v>
      </c>
      <c r="D1024" s="4">
        <f>INDEX(Positions!$D$2:$D$4694,MATCH($A1024&amp;"|30",Positions!$A$2:$A$4694,0))</f>
        <v>33</v>
      </c>
      <c r="E1024" s="4">
        <f>INDEX(Positions!$D$2:$D$4694,MATCH($A1024&amp;"|40",Positions!$A$2:$A$4694,0))</f>
        <v>43</v>
      </c>
      <c r="F1024" s="4" t="str">
        <f>INDEX(Positions!$E$2:$E$4694,MATCH($A1024&amp;"|30",Positions!$A$2:$A$4694,0))</f>
        <v>G</v>
      </c>
      <c r="G1024" s="4" t="str">
        <f>INDEX(Positions!$E$2:$E$4694,MATCH($A1024&amp;"|40",Positions!$A$2:$A$4694,0))</f>
        <v>C</v>
      </c>
      <c r="H1024" s="3" t="str">
        <f t="shared" si="60"/>
        <v>G-C</v>
      </c>
      <c r="I1024" s="4">
        <f t="shared" si="61"/>
        <v>1</v>
      </c>
      <c r="J1024" s="4">
        <f t="shared" si="62"/>
        <v>1</v>
      </c>
      <c r="K1024" s="3">
        <f t="shared" si="63"/>
        <v>2</v>
      </c>
    </row>
    <row r="1025" spans="1:11">
      <c r="A1025" s="4" t="s">
        <v>73</v>
      </c>
      <c r="B1025" s="4" t="s">
        <v>144</v>
      </c>
      <c r="C1025" s="4" t="s">
        <v>235</v>
      </c>
      <c r="D1025" s="4">
        <f>INDEX(Positions!$D$2:$D$4694,MATCH($A1025&amp;"|31",Positions!$A$2:$A$4694,0))</f>
        <v>34</v>
      </c>
      <c r="E1025" s="4">
        <f>INDEX(Positions!$D$2:$D$4694,MATCH($A1025&amp;"|39",Positions!$A$2:$A$4694,0))</f>
        <v>42</v>
      </c>
      <c r="F1025" s="4" t="str">
        <f>INDEX(Positions!$E$2:$E$4694,MATCH($A1025&amp;"|31",Positions!$A$2:$A$4694,0))</f>
        <v>A</v>
      </c>
      <c r="G1025" s="4" t="str">
        <f>INDEX(Positions!$E$2:$E$4694,MATCH($A1025&amp;"|39",Positions!$A$2:$A$4694,0))</f>
        <v>U</v>
      </c>
      <c r="H1025" s="3" t="str">
        <f t="shared" si="60"/>
        <v>A-U</v>
      </c>
      <c r="I1025" s="4">
        <f t="shared" si="61"/>
        <v>0</v>
      </c>
      <c r="J1025" s="4">
        <f t="shared" si="62"/>
        <v>0</v>
      </c>
      <c r="K1025" s="3">
        <f t="shared" si="63"/>
        <v>0</v>
      </c>
    </row>
    <row r="1026" spans="1:11">
      <c r="A1026" s="4" t="s">
        <v>73</v>
      </c>
      <c r="B1026" s="4" t="s">
        <v>169</v>
      </c>
      <c r="C1026" s="4" t="s">
        <v>236</v>
      </c>
      <c r="D1026" s="4">
        <f>INDEX(Positions!$D$2:$D$4694,MATCH($A1026&amp;"|49",Positions!$A$2:$A$4694,0))</f>
        <v>61</v>
      </c>
      <c r="E1026" s="4">
        <f>INDEX(Positions!$D$2:$D$4694,MATCH($A1026&amp;"|65",Positions!$A$2:$A$4694,0))</f>
        <v>77</v>
      </c>
      <c r="F1026" s="4" t="str">
        <f>INDEX(Positions!$E$2:$E$4694,MATCH($A1026&amp;"|49",Positions!$A$2:$A$4694,0))</f>
        <v>G</v>
      </c>
      <c r="G1026" s="4" t="str">
        <f>INDEX(Positions!$E$2:$E$4694,MATCH($A1026&amp;"|65",Positions!$A$2:$A$4694,0))</f>
        <v>C</v>
      </c>
      <c r="H1026" s="3" t="str">
        <f t="shared" ref="H1026:H1089" si="64">F1026&amp;"-"&amp;G1026</f>
        <v>G-C</v>
      </c>
      <c r="I1026" s="4">
        <f t="shared" ref="I1026:I1089" si="65">(F1026="G")+(G1026="G")</f>
        <v>1</v>
      </c>
      <c r="J1026" s="4">
        <f t="shared" ref="J1026:J1089" si="66">(F1026="C")+(G1026="C")</f>
        <v>1</v>
      </c>
      <c r="K1026" s="3">
        <f t="shared" ref="K1026:K1089" si="67">I1026+J1026</f>
        <v>2</v>
      </c>
    </row>
    <row r="1027" spans="1:11">
      <c r="A1027" s="4" t="s">
        <v>73</v>
      </c>
      <c r="B1027" s="4" t="s">
        <v>169</v>
      </c>
      <c r="C1027" s="4" t="s">
        <v>237</v>
      </c>
      <c r="D1027" s="4">
        <f>INDEX(Positions!$D$2:$D$4694,MATCH($A1027&amp;"|50",Positions!$A$2:$A$4694,0))</f>
        <v>62</v>
      </c>
      <c r="E1027" s="4">
        <f>INDEX(Positions!$D$2:$D$4694,MATCH($A1027&amp;"|64",Positions!$A$2:$A$4694,0))</f>
        <v>76</v>
      </c>
      <c r="F1027" s="4" t="str">
        <f>INDEX(Positions!$E$2:$E$4694,MATCH($A1027&amp;"|50",Positions!$A$2:$A$4694,0))</f>
        <v>U</v>
      </c>
      <c r="G1027" s="4" t="str">
        <f>INDEX(Positions!$E$2:$E$4694,MATCH($A1027&amp;"|64",Positions!$A$2:$A$4694,0))</f>
        <v>A</v>
      </c>
      <c r="H1027" s="3" t="str">
        <f t="shared" si="64"/>
        <v>U-A</v>
      </c>
      <c r="I1027" s="4">
        <f t="shared" si="65"/>
        <v>0</v>
      </c>
      <c r="J1027" s="4">
        <f t="shared" si="66"/>
        <v>0</v>
      </c>
      <c r="K1027" s="3">
        <f t="shared" si="67"/>
        <v>0</v>
      </c>
    </row>
    <row r="1028" spans="1:11">
      <c r="A1028" s="4" t="s">
        <v>73</v>
      </c>
      <c r="B1028" s="4" t="s">
        <v>169</v>
      </c>
      <c r="C1028" s="4" t="s">
        <v>238</v>
      </c>
      <c r="D1028" s="4">
        <f>INDEX(Positions!$D$2:$D$4694,MATCH($A1028&amp;"|51",Positions!$A$2:$A$4694,0))</f>
        <v>63</v>
      </c>
      <c r="E1028" s="4">
        <f>INDEX(Positions!$D$2:$D$4694,MATCH($A1028&amp;"|63",Positions!$A$2:$A$4694,0))</f>
        <v>75</v>
      </c>
      <c r="F1028" s="4" t="str">
        <f>INDEX(Positions!$E$2:$E$4694,MATCH($A1028&amp;"|51",Positions!$A$2:$A$4694,0))</f>
        <v>G</v>
      </c>
      <c r="G1028" s="4" t="str">
        <f>INDEX(Positions!$E$2:$E$4694,MATCH($A1028&amp;"|63",Positions!$A$2:$A$4694,0))</f>
        <v>C</v>
      </c>
      <c r="H1028" s="3" t="str">
        <f t="shared" si="64"/>
        <v>G-C</v>
      </c>
      <c r="I1028" s="4">
        <f t="shared" si="65"/>
        <v>1</v>
      </c>
      <c r="J1028" s="4">
        <f t="shared" si="66"/>
        <v>1</v>
      </c>
      <c r="K1028" s="3">
        <f t="shared" si="67"/>
        <v>2</v>
      </c>
    </row>
    <row r="1029" spans="1:11">
      <c r="A1029" s="4" t="s">
        <v>73</v>
      </c>
      <c r="B1029" s="4" t="s">
        <v>169</v>
      </c>
      <c r="C1029" s="4" t="s">
        <v>239</v>
      </c>
      <c r="D1029" s="4">
        <f>INDEX(Positions!$D$2:$D$4694,MATCH($A1029&amp;"|52",Positions!$A$2:$A$4694,0))</f>
        <v>64</v>
      </c>
      <c r="E1029" s="4">
        <f>INDEX(Positions!$D$2:$D$4694,MATCH($A1029&amp;"|62",Positions!$A$2:$A$4694,0))</f>
        <v>74</v>
      </c>
      <c r="F1029" s="4" t="str">
        <f>INDEX(Positions!$E$2:$E$4694,MATCH($A1029&amp;"|52",Positions!$A$2:$A$4694,0))</f>
        <v>G</v>
      </c>
      <c r="G1029" s="4" t="str">
        <f>INDEX(Positions!$E$2:$E$4694,MATCH($A1029&amp;"|62",Positions!$A$2:$A$4694,0))</f>
        <v>C</v>
      </c>
      <c r="H1029" s="3" t="str">
        <f t="shared" si="64"/>
        <v>G-C</v>
      </c>
      <c r="I1029" s="4">
        <f t="shared" si="65"/>
        <v>1</v>
      </c>
      <c r="J1029" s="4">
        <f t="shared" si="66"/>
        <v>1</v>
      </c>
      <c r="K1029" s="3">
        <f t="shared" si="67"/>
        <v>2</v>
      </c>
    </row>
    <row r="1030" spans="1:11">
      <c r="A1030" s="4" t="s">
        <v>73</v>
      </c>
      <c r="B1030" s="4" t="s">
        <v>169</v>
      </c>
      <c r="C1030" s="4" t="s">
        <v>240</v>
      </c>
      <c r="D1030" s="4">
        <f>INDEX(Positions!$D$2:$D$4694,MATCH($A1030&amp;"|53",Positions!$A$2:$A$4694,0))</f>
        <v>65</v>
      </c>
      <c r="E1030" s="4">
        <f>INDEX(Positions!$D$2:$D$4694,MATCH($A1030&amp;"|61",Positions!$A$2:$A$4694,0))</f>
        <v>73</v>
      </c>
      <c r="F1030" s="4" t="str">
        <f>INDEX(Positions!$E$2:$E$4694,MATCH($A1030&amp;"|53",Positions!$A$2:$A$4694,0))</f>
        <v>G</v>
      </c>
      <c r="G1030" s="4" t="str">
        <f>INDEX(Positions!$E$2:$E$4694,MATCH($A1030&amp;"|61",Positions!$A$2:$A$4694,0))</f>
        <v>C</v>
      </c>
      <c r="H1030" s="3" t="str">
        <f t="shared" si="64"/>
        <v>G-C</v>
      </c>
      <c r="I1030" s="4">
        <f t="shared" si="65"/>
        <v>1</v>
      </c>
      <c r="J1030" s="4">
        <f t="shared" si="66"/>
        <v>1</v>
      </c>
      <c r="K1030" s="3">
        <f t="shared" si="67"/>
        <v>2</v>
      </c>
    </row>
    <row r="1031" spans="1:11">
      <c r="A1031" s="23" t="s">
        <v>73</v>
      </c>
      <c r="B1031" s="23" t="s">
        <v>241</v>
      </c>
      <c r="C1031" s="23" t="s">
        <v>242</v>
      </c>
      <c r="D1031" s="23">
        <f>INDEX(Positions!$D$2:$D$4694,MATCH($A1031&amp;"|8",Positions!$A$2:$A$4694,0))</f>
        <v>8</v>
      </c>
      <c r="E1031" s="23">
        <f>INDEX(Positions!$D$2:$D$4694,MATCH($A1031&amp;"|14",Positions!$A$2:$A$4694,0))</f>
        <v>14</v>
      </c>
      <c r="F1031" s="23" t="str">
        <f>INDEX(Positions!$E$2:$E$4694,MATCH($A1031&amp;"|8",Positions!$A$2:$A$4694,0))</f>
        <v>U</v>
      </c>
      <c r="G1031" s="23" t="str">
        <f>INDEX(Positions!$E$2:$E$4694,MATCH($A1031&amp;"|14",Positions!$A$2:$A$4694,0))</f>
        <v>A</v>
      </c>
      <c r="H1031" s="24" t="str">
        <f t="shared" si="64"/>
        <v>U-A</v>
      </c>
      <c r="I1031" s="23">
        <f t="shared" si="65"/>
        <v>0</v>
      </c>
      <c r="J1031" s="23">
        <f t="shared" si="66"/>
        <v>0</v>
      </c>
      <c r="K1031" s="24">
        <f t="shared" si="67"/>
        <v>0</v>
      </c>
    </row>
    <row r="1032" spans="1:11">
      <c r="A1032" s="23" t="s">
        <v>73</v>
      </c>
      <c r="B1032" s="23" t="s">
        <v>241</v>
      </c>
      <c r="C1032" s="23" t="s">
        <v>243</v>
      </c>
      <c r="D1032" s="23">
        <f>INDEX(Positions!$D$2:$D$4694,MATCH($A1032&amp;"|15",Positions!$A$2:$A$4694,0))</f>
        <v>15</v>
      </c>
      <c r="E1032" s="23">
        <f>INDEX(Positions!$D$2:$D$4694,MATCH($A1032&amp;"|48",Positions!$A$2:$A$4694,0))</f>
        <v>60</v>
      </c>
      <c r="F1032" s="23" t="str">
        <f>INDEX(Positions!$E$2:$E$4694,MATCH($A1032&amp;"|15",Positions!$A$2:$A$4694,0))</f>
        <v>G</v>
      </c>
      <c r="G1032" s="23" t="str">
        <f>INDEX(Positions!$E$2:$E$4694,MATCH($A1032&amp;"|48",Positions!$A$2:$A$4694,0))</f>
        <v>C</v>
      </c>
      <c r="H1032" s="24" t="str">
        <f t="shared" si="64"/>
        <v>G-C</v>
      </c>
      <c r="I1032" s="23">
        <f t="shared" si="65"/>
        <v>1</v>
      </c>
      <c r="J1032" s="23">
        <f t="shared" si="66"/>
        <v>1</v>
      </c>
      <c r="K1032" s="24">
        <f t="shared" si="67"/>
        <v>2</v>
      </c>
    </row>
    <row r="1033" spans="1:11">
      <c r="A1033" s="23" t="s">
        <v>73</v>
      </c>
      <c r="B1033" s="23" t="s">
        <v>241</v>
      </c>
      <c r="C1033" s="23" t="s">
        <v>244</v>
      </c>
      <c r="D1033" s="23">
        <f>INDEX(Positions!$D$2:$D$4694,MATCH($A1033&amp;"|18",Positions!$A$2:$A$4694,0))</f>
        <v>19</v>
      </c>
      <c r="E1033" s="23">
        <f>INDEX(Positions!$D$2:$D$4694,MATCH($A1033&amp;"|55",Positions!$A$2:$A$4694,0))</f>
        <v>67</v>
      </c>
      <c r="F1033" s="23" t="str">
        <f>INDEX(Positions!$E$2:$E$4694,MATCH($A1033&amp;"|18",Positions!$A$2:$A$4694,0))</f>
        <v>G</v>
      </c>
      <c r="G1033" s="23" t="str">
        <f>INDEX(Positions!$E$2:$E$4694,MATCH($A1033&amp;"|55",Positions!$A$2:$A$4694,0))</f>
        <v>U</v>
      </c>
      <c r="H1033" s="24" t="str">
        <f t="shared" si="64"/>
        <v>G-U</v>
      </c>
      <c r="I1033" s="23">
        <f t="shared" si="65"/>
        <v>1</v>
      </c>
      <c r="J1033" s="23">
        <f t="shared" si="66"/>
        <v>0</v>
      </c>
      <c r="K1033" s="24">
        <f t="shared" si="67"/>
        <v>1</v>
      </c>
    </row>
    <row r="1034" spans="1:11">
      <c r="A1034" s="23" t="s">
        <v>73</v>
      </c>
      <c r="B1034" s="23" t="s">
        <v>241</v>
      </c>
      <c r="C1034" s="23" t="s">
        <v>245</v>
      </c>
      <c r="D1034" s="23">
        <f>INDEX(Positions!$D$2:$D$4694,MATCH($A1034&amp;"|19",Positions!$A$2:$A$4694,0))</f>
        <v>20</v>
      </c>
      <c r="E1034" s="23">
        <f>INDEX(Positions!$D$2:$D$4694,MATCH($A1034&amp;"|56",Positions!$A$2:$A$4694,0))</f>
        <v>68</v>
      </c>
      <c r="F1034" s="23" t="str">
        <f>INDEX(Positions!$E$2:$E$4694,MATCH($A1034&amp;"|19",Positions!$A$2:$A$4694,0))</f>
        <v>G</v>
      </c>
      <c r="G1034" s="23" t="str">
        <f>INDEX(Positions!$E$2:$E$4694,MATCH($A1034&amp;"|56",Positions!$A$2:$A$4694,0))</f>
        <v>C</v>
      </c>
      <c r="H1034" s="24" t="str">
        <f t="shared" si="64"/>
        <v>G-C</v>
      </c>
      <c r="I1034" s="23">
        <f t="shared" si="65"/>
        <v>1</v>
      </c>
      <c r="J1034" s="23">
        <f t="shared" si="66"/>
        <v>1</v>
      </c>
      <c r="K1034" s="24">
        <f t="shared" si="67"/>
        <v>2</v>
      </c>
    </row>
    <row r="1035" spans="1:11">
      <c r="A1035" s="23" t="s">
        <v>73</v>
      </c>
      <c r="B1035" s="23" t="s">
        <v>241</v>
      </c>
      <c r="C1035" s="23" t="s">
        <v>246</v>
      </c>
      <c r="D1035" s="23">
        <f>INDEX(Positions!$D$2:$D$4694,MATCH($A1035&amp;"|26",Positions!$A$2:$A$4694,0))</f>
        <v>29</v>
      </c>
      <c r="E1035" s="23">
        <f>INDEX(Positions!$D$2:$D$4694,MATCH($A1035&amp;"|44",Positions!$A$2:$A$4694,0))</f>
        <v>47</v>
      </c>
      <c r="F1035" s="23" t="str">
        <f>INDEX(Positions!$E$2:$E$4694,MATCH($A1035&amp;"|26",Positions!$A$2:$A$4694,0))</f>
        <v>G</v>
      </c>
      <c r="G1035" s="23" t="str">
        <f>INDEX(Positions!$E$2:$E$4694,MATCH($A1035&amp;"|44",Positions!$A$2:$A$4694,0))</f>
        <v>U</v>
      </c>
      <c r="H1035" s="24" t="str">
        <f t="shared" si="64"/>
        <v>G-U</v>
      </c>
      <c r="I1035" s="23">
        <f t="shared" si="65"/>
        <v>1</v>
      </c>
      <c r="J1035" s="23">
        <f t="shared" si="66"/>
        <v>0</v>
      </c>
      <c r="K1035" s="24">
        <f t="shared" si="67"/>
        <v>1</v>
      </c>
    </row>
    <row r="1036" spans="1:11">
      <c r="A1036" s="23" t="s">
        <v>73</v>
      </c>
      <c r="B1036" s="23" t="s">
        <v>241</v>
      </c>
      <c r="C1036" s="23" t="s">
        <v>247</v>
      </c>
      <c r="D1036" s="23">
        <f>INDEX(Positions!$D$2:$D$4694,MATCH($A1036&amp;"|32",Positions!$A$2:$A$4694,0))</f>
        <v>35</v>
      </c>
      <c r="E1036" s="23">
        <f>INDEX(Positions!$D$2:$D$4694,MATCH($A1036&amp;"|38",Positions!$A$2:$A$4694,0))</f>
        <v>41</v>
      </c>
      <c r="F1036" s="23" t="str">
        <f>INDEX(Positions!$E$2:$E$4694,MATCH($A1036&amp;"|32",Positions!$A$2:$A$4694,0))</f>
        <v>C</v>
      </c>
      <c r="G1036" s="23" t="str">
        <f>INDEX(Positions!$E$2:$E$4694,MATCH($A1036&amp;"|38",Positions!$A$2:$A$4694,0))</f>
        <v>A</v>
      </c>
      <c r="H1036" s="24" t="str">
        <f t="shared" si="64"/>
        <v>C-A</v>
      </c>
      <c r="I1036" s="23">
        <f t="shared" si="65"/>
        <v>0</v>
      </c>
      <c r="J1036" s="23">
        <f t="shared" si="66"/>
        <v>1</v>
      </c>
      <c r="K1036" s="24">
        <f t="shared" si="67"/>
        <v>1</v>
      </c>
    </row>
    <row r="1037" spans="1:11">
      <c r="A1037" s="23" t="s">
        <v>73</v>
      </c>
      <c r="B1037" s="23" t="s">
        <v>241</v>
      </c>
      <c r="C1037" s="23" t="s">
        <v>248</v>
      </c>
      <c r="D1037" s="23">
        <f>INDEX(Positions!$D$2:$D$4694,MATCH($A1037&amp;"|54",Positions!$A$2:$A$4694,0))</f>
        <v>66</v>
      </c>
      <c r="E1037" s="23">
        <f>INDEX(Positions!$D$2:$D$4694,MATCH($A1037&amp;"|58",Positions!$A$2:$A$4694,0))</f>
        <v>70</v>
      </c>
      <c r="F1037" s="23" t="str">
        <f>INDEX(Positions!$E$2:$E$4694,MATCH($A1037&amp;"|54",Positions!$A$2:$A$4694,0))</f>
        <v>U</v>
      </c>
      <c r="G1037" s="23" t="str">
        <f>INDEX(Positions!$E$2:$E$4694,MATCH($A1037&amp;"|58",Positions!$A$2:$A$4694,0))</f>
        <v>A</v>
      </c>
      <c r="H1037" s="24" t="str">
        <f t="shared" si="64"/>
        <v>U-A</v>
      </c>
      <c r="I1037" s="23">
        <f t="shared" si="65"/>
        <v>0</v>
      </c>
      <c r="J1037" s="23">
        <f t="shared" si="66"/>
        <v>0</v>
      </c>
      <c r="K1037" s="24">
        <f t="shared" si="67"/>
        <v>0</v>
      </c>
    </row>
    <row r="1038" spans="1:11">
      <c r="A1038" s="4" t="s">
        <v>74</v>
      </c>
      <c r="B1038" s="4" t="s">
        <v>110</v>
      </c>
      <c r="C1038" s="4" t="s">
        <v>220</v>
      </c>
      <c r="D1038" s="4">
        <f>INDEX(Positions!$D$2:$D$4694,MATCH($A1038&amp;"|1",Positions!$A$2:$A$4694,0))</f>
        <v>1</v>
      </c>
      <c r="E1038" s="4">
        <f>INDEX(Positions!$D$2:$D$4694,MATCH($A1038&amp;"|72",Positions!$A$2:$A$4694,0))</f>
        <v>84</v>
      </c>
      <c r="F1038" s="4" t="str">
        <f>INDEX(Positions!$E$2:$E$4694,MATCH($A1038&amp;"|1",Positions!$A$2:$A$4694,0))</f>
        <v>G</v>
      </c>
      <c r="G1038" s="4" t="str">
        <f>INDEX(Positions!$E$2:$E$4694,MATCH($A1038&amp;"|72",Positions!$A$2:$A$4694,0))</f>
        <v>C</v>
      </c>
      <c r="H1038" s="3" t="str">
        <f t="shared" si="64"/>
        <v>G-C</v>
      </c>
      <c r="I1038" s="4">
        <f t="shared" si="65"/>
        <v>1</v>
      </c>
      <c r="J1038" s="4">
        <f t="shared" si="66"/>
        <v>1</v>
      </c>
      <c r="K1038" s="3">
        <f t="shared" si="67"/>
        <v>2</v>
      </c>
    </row>
    <row r="1039" spans="1:11">
      <c r="A1039" s="4" t="s">
        <v>74</v>
      </c>
      <c r="B1039" s="4" t="s">
        <v>110</v>
      </c>
      <c r="C1039" s="4" t="s">
        <v>221</v>
      </c>
      <c r="D1039" s="4">
        <f>INDEX(Positions!$D$2:$D$4694,MATCH($A1039&amp;"|2",Positions!$A$2:$A$4694,0))</f>
        <v>2</v>
      </c>
      <c r="E1039" s="4">
        <f>INDEX(Positions!$D$2:$D$4694,MATCH($A1039&amp;"|71",Positions!$A$2:$A$4694,0))</f>
        <v>83</v>
      </c>
      <c r="F1039" s="4" t="str">
        <f>INDEX(Positions!$E$2:$E$4694,MATCH($A1039&amp;"|2",Positions!$A$2:$A$4694,0))</f>
        <v>C</v>
      </c>
      <c r="G1039" s="4" t="str">
        <f>INDEX(Positions!$E$2:$E$4694,MATCH($A1039&amp;"|71",Positions!$A$2:$A$4694,0))</f>
        <v>G</v>
      </c>
      <c r="H1039" s="3" t="str">
        <f t="shared" si="64"/>
        <v>C-G</v>
      </c>
      <c r="I1039" s="4">
        <f t="shared" si="65"/>
        <v>1</v>
      </c>
      <c r="J1039" s="4">
        <f t="shared" si="66"/>
        <v>1</v>
      </c>
      <c r="K1039" s="3">
        <f t="shared" si="67"/>
        <v>2</v>
      </c>
    </row>
    <row r="1040" spans="1:11">
      <c r="A1040" s="4" t="s">
        <v>74</v>
      </c>
      <c r="B1040" s="4" t="s">
        <v>110</v>
      </c>
      <c r="C1040" s="4" t="s">
        <v>222</v>
      </c>
      <c r="D1040" s="4">
        <f>INDEX(Positions!$D$2:$D$4694,MATCH($A1040&amp;"|3",Positions!$A$2:$A$4694,0))</f>
        <v>3</v>
      </c>
      <c r="E1040" s="4">
        <f>INDEX(Positions!$D$2:$D$4694,MATCH($A1040&amp;"|70",Positions!$A$2:$A$4694,0))</f>
        <v>82</v>
      </c>
      <c r="F1040" s="4" t="str">
        <f>INDEX(Positions!$E$2:$E$4694,MATCH($A1040&amp;"|3",Positions!$A$2:$A$4694,0))</f>
        <v>G</v>
      </c>
      <c r="G1040" s="4" t="str">
        <f>INDEX(Positions!$E$2:$E$4694,MATCH($A1040&amp;"|70",Positions!$A$2:$A$4694,0))</f>
        <v>C</v>
      </c>
      <c r="H1040" s="3" t="str">
        <f t="shared" si="64"/>
        <v>G-C</v>
      </c>
      <c r="I1040" s="4">
        <f t="shared" si="65"/>
        <v>1</v>
      </c>
      <c r="J1040" s="4">
        <f t="shared" si="66"/>
        <v>1</v>
      </c>
      <c r="K1040" s="3">
        <f t="shared" si="67"/>
        <v>2</v>
      </c>
    </row>
    <row r="1041" spans="1:11">
      <c r="A1041" s="4" t="s">
        <v>74</v>
      </c>
      <c r="B1041" s="4" t="s">
        <v>110</v>
      </c>
      <c r="C1041" s="4" t="s">
        <v>223</v>
      </c>
      <c r="D1041" s="4">
        <f>INDEX(Positions!$D$2:$D$4694,MATCH($A1041&amp;"|4",Positions!$A$2:$A$4694,0))</f>
        <v>4</v>
      </c>
      <c r="E1041" s="4">
        <f>INDEX(Positions!$D$2:$D$4694,MATCH($A1041&amp;"|69",Positions!$A$2:$A$4694,0))</f>
        <v>81</v>
      </c>
      <c r="F1041" s="4" t="str">
        <f>INDEX(Positions!$E$2:$E$4694,MATCH($A1041&amp;"|4",Positions!$A$2:$A$4694,0))</f>
        <v>A</v>
      </c>
      <c r="G1041" s="4" t="str">
        <f>INDEX(Positions!$E$2:$E$4694,MATCH($A1041&amp;"|69",Positions!$A$2:$A$4694,0))</f>
        <v>U</v>
      </c>
      <c r="H1041" s="3" t="str">
        <f t="shared" si="64"/>
        <v>A-U</v>
      </c>
      <c r="I1041" s="4">
        <f t="shared" si="65"/>
        <v>0</v>
      </c>
      <c r="J1041" s="4">
        <f t="shared" si="66"/>
        <v>0</v>
      </c>
      <c r="K1041" s="3">
        <f t="shared" si="67"/>
        <v>0</v>
      </c>
    </row>
    <row r="1042" spans="1:11">
      <c r="A1042" s="4" t="s">
        <v>74</v>
      </c>
      <c r="B1042" s="4" t="s">
        <v>110</v>
      </c>
      <c r="C1042" s="4" t="s">
        <v>224</v>
      </c>
      <c r="D1042" s="4">
        <f>INDEX(Positions!$D$2:$D$4694,MATCH($A1042&amp;"|5",Positions!$A$2:$A$4694,0))</f>
        <v>5</v>
      </c>
      <c r="E1042" s="4">
        <f>INDEX(Positions!$D$2:$D$4694,MATCH($A1042&amp;"|68",Positions!$A$2:$A$4694,0))</f>
        <v>80</v>
      </c>
      <c r="F1042" s="4" t="str">
        <f>INDEX(Positions!$E$2:$E$4694,MATCH($A1042&amp;"|5",Positions!$A$2:$A$4694,0))</f>
        <v>G</v>
      </c>
      <c r="G1042" s="4" t="str">
        <f>INDEX(Positions!$E$2:$E$4694,MATCH($A1042&amp;"|68",Positions!$A$2:$A$4694,0))</f>
        <v>C</v>
      </c>
      <c r="H1042" s="3" t="str">
        <f t="shared" si="64"/>
        <v>G-C</v>
      </c>
      <c r="I1042" s="4">
        <f t="shared" si="65"/>
        <v>1</v>
      </c>
      <c r="J1042" s="4">
        <f t="shared" si="66"/>
        <v>1</v>
      </c>
      <c r="K1042" s="3">
        <f t="shared" si="67"/>
        <v>2</v>
      </c>
    </row>
    <row r="1043" spans="1:11">
      <c r="A1043" s="4" t="s">
        <v>74</v>
      </c>
      <c r="B1043" s="4" t="s">
        <v>110</v>
      </c>
      <c r="C1043" s="4" t="s">
        <v>225</v>
      </c>
      <c r="D1043" s="4">
        <f>INDEX(Positions!$D$2:$D$4694,MATCH($A1043&amp;"|6",Positions!$A$2:$A$4694,0))</f>
        <v>6</v>
      </c>
      <c r="E1043" s="4">
        <f>INDEX(Positions!$D$2:$D$4694,MATCH($A1043&amp;"|67",Positions!$A$2:$A$4694,0))</f>
        <v>79</v>
      </c>
      <c r="F1043" s="4" t="str">
        <f>INDEX(Positions!$E$2:$E$4694,MATCH($A1043&amp;"|6",Positions!$A$2:$A$4694,0))</f>
        <v>G</v>
      </c>
      <c r="G1043" s="4" t="str">
        <f>INDEX(Positions!$E$2:$E$4694,MATCH($A1043&amp;"|67",Positions!$A$2:$A$4694,0))</f>
        <v>C</v>
      </c>
      <c r="H1043" s="3" t="str">
        <f t="shared" si="64"/>
        <v>G-C</v>
      </c>
      <c r="I1043" s="4">
        <f t="shared" si="65"/>
        <v>1</v>
      </c>
      <c r="J1043" s="4">
        <f t="shared" si="66"/>
        <v>1</v>
      </c>
      <c r="K1043" s="3">
        <f t="shared" si="67"/>
        <v>2</v>
      </c>
    </row>
    <row r="1044" spans="1:11">
      <c r="A1044" s="4" t="s">
        <v>74</v>
      </c>
      <c r="B1044" s="4" t="s">
        <v>110</v>
      </c>
      <c r="C1044" s="4" t="s">
        <v>226</v>
      </c>
      <c r="D1044" s="4">
        <f>INDEX(Positions!$D$2:$D$4694,MATCH($A1044&amp;"|7",Positions!$A$2:$A$4694,0))</f>
        <v>7</v>
      </c>
      <c r="E1044" s="4">
        <f>INDEX(Positions!$D$2:$D$4694,MATCH($A1044&amp;"|66",Positions!$A$2:$A$4694,0))</f>
        <v>78</v>
      </c>
      <c r="F1044" s="4" t="str">
        <f>INDEX(Positions!$E$2:$E$4694,MATCH($A1044&amp;"|7",Positions!$A$2:$A$4694,0))</f>
        <v>G</v>
      </c>
      <c r="G1044" s="4" t="str">
        <f>INDEX(Positions!$E$2:$E$4694,MATCH($A1044&amp;"|66",Positions!$A$2:$A$4694,0))</f>
        <v>U</v>
      </c>
      <c r="H1044" s="3" t="str">
        <f t="shared" si="64"/>
        <v>G-U</v>
      </c>
      <c r="I1044" s="4">
        <f t="shared" si="65"/>
        <v>1</v>
      </c>
      <c r="J1044" s="4">
        <f t="shared" si="66"/>
        <v>0</v>
      </c>
      <c r="K1044" s="3">
        <f t="shared" si="67"/>
        <v>1</v>
      </c>
    </row>
    <row r="1045" spans="1:11">
      <c r="A1045" s="4" t="s">
        <v>74</v>
      </c>
      <c r="B1045" s="4" t="s">
        <v>125</v>
      </c>
      <c r="C1045" s="4" t="s">
        <v>227</v>
      </c>
      <c r="D1045" s="4">
        <f>INDEX(Positions!$D$2:$D$4694,MATCH($A1045&amp;"|10",Positions!$A$2:$A$4694,0))</f>
        <v>10</v>
      </c>
      <c r="E1045" s="4">
        <f>INDEX(Positions!$D$2:$D$4694,MATCH($A1045&amp;"|25",Positions!$A$2:$A$4694,0))</f>
        <v>28</v>
      </c>
      <c r="F1045" s="4" t="str">
        <f>INDEX(Positions!$E$2:$E$4694,MATCH($A1045&amp;"|10",Positions!$A$2:$A$4694,0))</f>
        <v>G</v>
      </c>
      <c r="G1045" s="4" t="str">
        <f>INDEX(Positions!$E$2:$E$4694,MATCH($A1045&amp;"|25",Positions!$A$2:$A$4694,0))</f>
        <v>C</v>
      </c>
      <c r="H1045" s="3" t="str">
        <f t="shared" si="64"/>
        <v>G-C</v>
      </c>
      <c r="I1045" s="4">
        <f t="shared" si="65"/>
        <v>1</v>
      </c>
      <c r="J1045" s="4">
        <f t="shared" si="66"/>
        <v>1</v>
      </c>
      <c r="K1045" s="3">
        <f t="shared" si="67"/>
        <v>2</v>
      </c>
    </row>
    <row r="1046" spans="1:11">
      <c r="A1046" s="4" t="s">
        <v>74</v>
      </c>
      <c r="B1046" s="4" t="s">
        <v>125</v>
      </c>
      <c r="C1046" s="4" t="s">
        <v>228</v>
      </c>
      <c r="D1046" s="4">
        <f>INDEX(Positions!$D$2:$D$4694,MATCH($A1046&amp;"|11",Positions!$A$2:$A$4694,0))</f>
        <v>11</v>
      </c>
      <c r="E1046" s="4">
        <f>INDEX(Positions!$D$2:$D$4694,MATCH($A1046&amp;"|24",Positions!$A$2:$A$4694,0))</f>
        <v>27</v>
      </c>
      <c r="F1046" s="4" t="str">
        <f>INDEX(Positions!$E$2:$E$4694,MATCH($A1046&amp;"|11",Positions!$A$2:$A$4694,0))</f>
        <v>C</v>
      </c>
      <c r="G1046" s="4" t="str">
        <f>INDEX(Positions!$E$2:$E$4694,MATCH($A1046&amp;"|24",Positions!$A$2:$A$4694,0))</f>
        <v>G</v>
      </c>
      <c r="H1046" s="3" t="str">
        <f t="shared" si="64"/>
        <v>C-G</v>
      </c>
      <c r="I1046" s="4">
        <f t="shared" si="65"/>
        <v>1</v>
      </c>
      <c r="J1046" s="4">
        <f t="shared" si="66"/>
        <v>1</v>
      </c>
      <c r="K1046" s="3">
        <f t="shared" si="67"/>
        <v>2</v>
      </c>
    </row>
    <row r="1047" spans="1:11">
      <c r="A1047" s="4" t="s">
        <v>74</v>
      </c>
      <c r="B1047" s="4" t="s">
        <v>125</v>
      </c>
      <c r="C1047" s="4" t="s">
        <v>229</v>
      </c>
      <c r="D1047" s="4">
        <f>INDEX(Positions!$D$2:$D$4694,MATCH($A1047&amp;"|12",Positions!$A$2:$A$4694,0))</f>
        <v>12</v>
      </c>
      <c r="E1047" s="4">
        <f>INDEX(Positions!$D$2:$D$4694,MATCH($A1047&amp;"|23",Positions!$A$2:$A$4694,0))</f>
        <v>26</v>
      </c>
      <c r="F1047" s="4" t="str">
        <f>INDEX(Positions!$E$2:$E$4694,MATCH($A1047&amp;"|12",Positions!$A$2:$A$4694,0))</f>
        <v>C</v>
      </c>
      <c r="G1047" s="4" t="str">
        <f>INDEX(Positions!$E$2:$E$4694,MATCH($A1047&amp;"|23",Positions!$A$2:$A$4694,0))</f>
        <v>G</v>
      </c>
      <c r="H1047" s="3" t="str">
        <f t="shared" si="64"/>
        <v>C-G</v>
      </c>
      <c r="I1047" s="4">
        <f t="shared" si="65"/>
        <v>1</v>
      </c>
      <c r="J1047" s="4">
        <f t="shared" si="66"/>
        <v>1</v>
      </c>
      <c r="K1047" s="3">
        <f t="shared" si="67"/>
        <v>2</v>
      </c>
    </row>
    <row r="1048" spans="1:11">
      <c r="A1048" s="4" t="s">
        <v>74</v>
      </c>
      <c r="B1048" s="4" t="s">
        <v>125</v>
      </c>
      <c r="C1048" s="4" t="s">
        <v>230</v>
      </c>
      <c r="D1048" s="4">
        <f>INDEX(Positions!$D$2:$D$4694,MATCH($A1048&amp;"|13",Positions!$A$2:$A$4694,0))</f>
        <v>13</v>
      </c>
      <c r="E1048" s="4">
        <f>INDEX(Positions!$D$2:$D$4694,MATCH($A1048&amp;"|22",Positions!$A$2:$A$4694,0))</f>
        <v>25</v>
      </c>
      <c r="F1048" s="4" t="str">
        <f>INDEX(Positions!$E$2:$E$4694,MATCH($A1048&amp;"|13",Positions!$A$2:$A$4694,0))</f>
        <v>C</v>
      </c>
      <c r="G1048" s="4" t="str">
        <f>INDEX(Positions!$E$2:$E$4694,MATCH($A1048&amp;"|22",Positions!$A$2:$A$4694,0))</f>
        <v>A</v>
      </c>
      <c r="H1048" s="3" t="str">
        <f t="shared" si="64"/>
        <v>C-A</v>
      </c>
      <c r="I1048" s="4">
        <f t="shared" si="65"/>
        <v>0</v>
      </c>
      <c r="J1048" s="4">
        <f t="shared" si="66"/>
        <v>1</v>
      </c>
      <c r="K1048" s="3">
        <f t="shared" si="67"/>
        <v>1</v>
      </c>
    </row>
    <row r="1049" spans="1:11">
      <c r="A1049" s="4" t="s">
        <v>74</v>
      </c>
      <c r="B1049" s="4" t="s">
        <v>144</v>
      </c>
      <c r="C1049" s="4" t="s">
        <v>231</v>
      </c>
      <c r="D1049" s="4">
        <f>INDEX(Positions!$D$2:$D$4694,MATCH($A1049&amp;"|27",Positions!$A$2:$A$4694,0))</f>
        <v>30</v>
      </c>
      <c r="E1049" s="4">
        <f>INDEX(Positions!$D$2:$D$4694,MATCH($A1049&amp;"|43",Positions!$A$2:$A$4694,0))</f>
        <v>46</v>
      </c>
      <c r="F1049" s="4" t="str">
        <f>INDEX(Positions!$E$2:$E$4694,MATCH($A1049&amp;"|27",Positions!$A$2:$A$4694,0))</f>
        <v>C</v>
      </c>
      <c r="G1049" s="4" t="str">
        <f>INDEX(Positions!$E$2:$E$4694,MATCH($A1049&amp;"|43",Positions!$A$2:$A$4694,0))</f>
        <v>G</v>
      </c>
      <c r="H1049" s="3" t="str">
        <f t="shared" si="64"/>
        <v>C-G</v>
      </c>
      <c r="I1049" s="4">
        <f t="shared" si="65"/>
        <v>1</v>
      </c>
      <c r="J1049" s="4">
        <f t="shared" si="66"/>
        <v>1</v>
      </c>
      <c r="K1049" s="3">
        <f t="shared" si="67"/>
        <v>2</v>
      </c>
    </row>
    <row r="1050" spans="1:11">
      <c r="A1050" s="4" t="s">
        <v>74</v>
      </c>
      <c r="B1050" s="4" t="s">
        <v>144</v>
      </c>
      <c r="C1050" s="4" t="s">
        <v>232</v>
      </c>
      <c r="D1050" s="4">
        <f>INDEX(Positions!$D$2:$D$4694,MATCH($A1050&amp;"|28",Positions!$A$2:$A$4694,0))</f>
        <v>31</v>
      </c>
      <c r="E1050" s="4">
        <f>INDEX(Positions!$D$2:$D$4694,MATCH($A1050&amp;"|42",Positions!$A$2:$A$4694,0))</f>
        <v>45</v>
      </c>
      <c r="F1050" s="4" t="str">
        <f>INDEX(Positions!$E$2:$E$4694,MATCH($A1050&amp;"|28",Positions!$A$2:$A$4694,0))</f>
        <v>C</v>
      </c>
      <c r="G1050" s="4" t="str">
        <f>INDEX(Positions!$E$2:$E$4694,MATCH($A1050&amp;"|42",Positions!$A$2:$A$4694,0))</f>
        <v>G</v>
      </c>
      <c r="H1050" s="3" t="str">
        <f t="shared" si="64"/>
        <v>C-G</v>
      </c>
      <c r="I1050" s="4">
        <f t="shared" si="65"/>
        <v>1</v>
      </c>
      <c r="J1050" s="4">
        <f t="shared" si="66"/>
        <v>1</v>
      </c>
      <c r="K1050" s="3">
        <f t="shared" si="67"/>
        <v>2</v>
      </c>
    </row>
    <row r="1051" spans="1:11">
      <c r="A1051" s="4" t="s">
        <v>74</v>
      </c>
      <c r="B1051" s="4" t="s">
        <v>144</v>
      </c>
      <c r="C1051" s="4" t="s">
        <v>233</v>
      </c>
      <c r="D1051" s="4">
        <f>INDEX(Positions!$D$2:$D$4694,MATCH($A1051&amp;"|29",Positions!$A$2:$A$4694,0))</f>
        <v>32</v>
      </c>
      <c r="E1051" s="4">
        <f>INDEX(Positions!$D$2:$D$4694,MATCH($A1051&amp;"|41",Positions!$A$2:$A$4694,0))</f>
        <v>44</v>
      </c>
      <c r="F1051" s="4" t="str">
        <f>INDEX(Positions!$E$2:$E$4694,MATCH($A1051&amp;"|29",Positions!$A$2:$A$4694,0))</f>
        <v>A</v>
      </c>
      <c r="G1051" s="4" t="str">
        <f>INDEX(Positions!$E$2:$E$4694,MATCH($A1051&amp;"|41",Positions!$A$2:$A$4694,0))</f>
        <v>U</v>
      </c>
      <c r="H1051" s="3" t="str">
        <f t="shared" si="64"/>
        <v>A-U</v>
      </c>
      <c r="I1051" s="4">
        <f t="shared" si="65"/>
        <v>0</v>
      </c>
      <c r="J1051" s="4">
        <f t="shared" si="66"/>
        <v>0</v>
      </c>
      <c r="K1051" s="3">
        <f t="shared" si="67"/>
        <v>0</v>
      </c>
    </row>
    <row r="1052" spans="1:11">
      <c r="A1052" s="4" t="s">
        <v>74</v>
      </c>
      <c r="B1052" s="4" t="s">
        <v>144</v>
      </c>
      <c r="C1052" s="4" t="s">
        <v>234</v>
      </c>
      <c r="D1052" s="4">
        <f>INDEX(Positions!$D$2:$D$4694,MATCH($A1052&amp;"|30",Positions!$A$2:$A$4694,0))</f>
        <v>33</v>
      </c>
      <c r="E1052" s="4">
        <f>INDEX(Positions!$D$2:$D$4694,MATCH($A1052&amp;"|40",Positions!$A$2:$A$4694,0))</f>
        <v>43</v>
      </c>
      <c r="F1052" s="4" t="str">
        <f>INDEX(Positions!$E$2:$E$4694,MATCH($A1052&amp;"|30",Positions!$A$2:$A$4694,0))</f>
        <v>G</v>
      </c>
      <c r="G1052" s="4" t="str">
        <f>INDEX(Positions!$E$2:$E$4694,MATCH($A1052&amp;"|40",Positions!$A$2:$A$4694,0))</f>
        <v>C</v>
      </c>
      <c r="H1052" s="3" t="str">
        <f t="shared" si="64"/>
        <v>G-C</v>
      </c>
      <c r="I1052" s="4">
        <f t="shared" si="65"/>
        <v>1</v>
      </c>
      <c r="J1052" s="4">
        <f t="shared" si="66"/>
        <v>1</v>
      </c>
      <c r="K1052" s="3">
        <f t="shared" si="67"/>
        <v>2</v>
      </c>
    </row>
    <row r="1053" spans="1:11">
      <c r="A1053" s="4" t="s">
        <v>74</v>
      </c>
      <c r="B1053" s="4" t="s">
        <v>144</v>
      </c>
      <c r="C1053" s="4" t="s">
        <v>235</v>
      </c>
      <c r="D1053" s="4">
        <f>INDEX(Positions!$D$2:$D$4694,MATCH($A1053&amp;"|31",Positions!$A$2:$A$4694,0))</f>
        <v>34</v>
      </c>
      <c r="E1053" s="4">
        <f>INDEX(Positions!$D$2:$D$4694,MATCH($A1053&amp;"|39",Positions!$A$2:$A$4694,0))</f>
        <v>42</v>
      </c>
      <c r="F1053" s="4" t="str">
        <f>INDEX(Positions!$E$2:$E$4694,MATCH($A1053&amp;"|31",Positions!$A$2:$A$4694,0))</f>
        <v>A</v>
      </c>
      <c r="G1053" s="4" t="str">
        <f>INDEX(Positions!$E$2:$E$4694,MATCH($A1053&amp;"|39",Positions!$A$2:$A$4694,0))</f>
        <v>U</v>
      </c>
      <c r="H1053" s="3" t="str">
        <f t="shared" si="64"/>
        <v>A-U</v>
      </c>
      <c r="I1053" s="4">
        <f t="shared" si="65"/>
        <v>0</v>
      </c>
      <c r="J1053" s="4">
        <f t="shared" si="66"/>
        <v>0</v>
      </c>
      <c r="K1053" s="3">
        <f t="shared" si="67"/>
        <v>0</v>
      </c>
    </row>
    <row r="1054" spans="1:11">
      <c r="A1054" s="4" t="s">
        <v>74</v>
      </c>
      <c r="B1054" s="4" t="s">
        <v>169</v>
      </c>
      <c r="C1054" s="4" t="s">
        <v>236</v>
      </c>
      <c r="D1054" s="4">
        <f>INDEX(Positions!$D$2:$D$4694,MATCH($A1054&amp;"|49",Positions!$A$2:$A$4694,0))</f>
        <v>61</v>
      </c>
      <c r="E1054" s="4">
        <f>INDEX(Positions!$D$2:$D$4694,MATCH($A1054&amp;"|65",Positions!$A$2:$A$4694,0))</f>
        <v>77</v>
      </c>
      <c r="F1054" s="4" t="str">
        <f>INDEX(Positions!$E$2:$E$4694,MATCH($A1054&amp;"|49",Positions!$A$2:$A$4694,0))</f>
        <v>G</v>
      </c>
      <c r="G1054" s="4" t="str">
        <f>INDEX(Positions!$E$2:$E$4694,MATCH($A1054&amp;"|65",Positions!$A$2:$A$4694,0))</f>
        <v>C</v>
      </c>
      <c r="H1054" s="3" t="str">
        <f t="shared" si="64"/>
        <v>G-C</v>
      </c>
      <c r="I1054" s="4">
        <f t="shared" si="65"/>
        <v>1</v>
      </c>
      <c r="J1054" s="4">
        <f t="shared" si="66"/>
        <v>1</v>
      </c>
      <c r="K1054" s="3">
        <f t="shared" si="67"/>
        <v>2</v>
      </c>
    </row>
    <row r="1055" spans="1:11">
      <c r="A1055" s="4" t="s">
        <v>74</v>
      </c>
      <c r="B1055" s="4" t="s">
        <v>169</v>
      </c>
      <c r="C1055" s="4" t="s">
        <v>237</v>
      </c>
      <c r="D1055" s="4">
        <f>INDEX(Positions!$D$2:$D$4694,MATCH($A1055&amp;"|50",Positions!$A$2:$A$4694,0))</f>
        <v>62</v>
      </c>
      <c r="E1055" s="4">
        <f>INDEX(Positions!$D$2:$D$4694,MATCH($A1055&amp;"|64",Positions!$A$2:$A$4694,0))</f>
        <v>76</v>
      </c>
      <c r="F1055" s="4" t="str">
        <f>INDEX(Positions!$E$2:$E$4694,MATCH($A1055&amp;"|50",Positions!$A$2:$A$4694,0))</f>
        <v>U</v>
      </c>
      <c r="G1055" s="4" t="str">
        <f>INDEX(Positions!$E$2:$E$4694,MATCH($A1055&amp;"|64",Positions!$A$2:$A$4694,0))</f>
        <v>A</v>
      </c>
      <c r="H1055" s="3" t="str">
        <f t="shared" si="64"/>
        <v>U-A</v>
      </c>
      <c r="I1055" s="4">
        <f t="shared" si="65"/>
        <v>0</v>
      </c>
      <c r="J1055" s="4">
        <f t="shared" si="66"/>
        <v>0</v>
      </c>
      <c r="K1055" s="3">
        <f t="shared" si="67"/>
        <v>0</v>
      </c>
    </row>
    <row r="1056" spans="1:11">
      <c r="A1056" s="4" t="s">
        <v>74</v>
      </c>
      <c r="B1056" s="4" t="s">
        <v>169</v>
      </c>
      <c r="C1056" s="4" t="s">
        <v>238</v>
      </c>
      <c r="D1056" s="4">
        <f>INDEX(Positions!$D$2:$D$4694,MATCH($A1056&amp;"|51",Positions!$A$2:$A$4694,0))</f>
        <v>63</v>
      </c>
      <c r="E1056" s="4">
        <f>INDEX(Positions!$D$2:$D$4694,MATCH($A1056&amp;"|63",Positions!$A$2:$A$4694,0))</f>
        <v>75</v>
      </c>
      <c r="F1056" s="4" t="str">
        <f>INDEX(Positions!$E$2:$E$4694,MATCH($A1056&amp;"|51",Positions!$A$2:$A$4694,0))</f>
        <v>G</v>
      </c>
      <c r="G1056" s="4" t="str">
        <f>INDEX(Positions!$E$2:$E$4694,MATCH($A1056&amp;"|63",Positions!$A$2:$A$4694,0))</f>
        <v>C</v>
      </c>
      <c r="H1056" s="3" t="str">
        <f t="shared" si="64"/>
        <v>G-C</v>
      </c>
      <c r="I1056" s="4">
        <f t="shared" si="65"/>
        <v>1</v>
      </c>
      <c r="J1056" s="4">
        <f t="shared" si="66"/>
        <v>1</v>
      </c>
      <c r="K1056" s="3">
        <f t="shared" si="67"/>
        <v>2</v>
      </c>
    </row>
    <row r="1057" spans="1:11">
      <c r="A1057" s="4" t="s">
        <v>74</v>
      </c>
      <c r="B1057" s="4" t="s">
        <v>169</v>
      </c>
      <c r="C1057" s="4" t="s">
        <v>239</v>
      </c>
      <c r="D1057" s="4">
        <f>INDEX(Positions!$D$2:$D$4694,MATCH($A1057&amp;"|52",Positions!$A$2:$A$4694,0))</f>
        <v>64</v>
      </c>
      <c r="E1057" s="4">
        <f>INDEX(Positions!$D$2:$D$4694,MATCH($A1057&amp;"|62",Positions!$A$2:$A$4694,0))</f>
        <v>74</v>
      </c>
      <c r="F1057" s="4" t="str">
        <f>INDEX(Positions!$E$2:$E$4694,MATCH($A1057&amp;"|52",Positions!$A$2:$A$4694,0))</f>
        <v>G</v>
      </c>
      <c r="G1057" s="4" t="str">
        <f>INDEX(Positions!$E$2:$E$4694,MATCH($A1057&amp;"|62",Positions!$A$2:$A$4694,0))</f>
        <v>C</v>
      </c>
      <c r="H1057" s="3" t="str">
        <f t="shared" si="64"/>
        <v>G-C</v>
      </c>
      <c r="I1057" s="4">
        <f t="shared" si="65"/>
        <v>1</v>
      </c>
      <c r="J1057" s="4">
        <f t="shared" si="66"/>
        <v>1</v>
      </c>
      <c r="K1057" s="3">
        <f t="shared" si="67"/>
        <v>2</v>
      </c>
    </row>
    <row r="1058" spans="1:11">
      <c r="A1058" s="4" t="s">
        <v>74</v>
      </c>
      <c r="B1058" s="4" t="s">
        <v>169</v>
      </c>
      <c r="C1058" s="4" t="s">
        <v>240</v>
      </c>
      <c r="D1058" s="4">
        <f>INDEX(Positions!$D$2:$D$4694,MATCH($A1058&amp;"|53",Positions!$A$2:$A$4694,0))</f>
        <v>65</v>
      </c>
      <c r="E1058" s="4">
        <f>INDEX(Positions!$D$2:$D$4694,MATCH($A1058&amp;"|61",Positions!$A$2:$A$4694,0))</f>
        <v>73</v>
      </c>
      <c r="F1058" s="4" t="str">
        <f>INDEX(Positions!$E$2:$E$4694,MATCH($A1058&amp;"|53",Positions!$A$2:$A$4694,0))</f>
        <v>G</v>
      </c>
      <c r="G1058" s="4" t="str">
        <f>INDEX(Positions!$E$2:$E$4694,MATCH($A1058&amp;"|61",Positions!$A$2:$A$4694,0))</f>
        <v>C</v>
      </c>
      <c r="H1058" s="3" t="str">
        <f t="shared" si="64"/>
        <v>G-C</v>
      </c>
      <c r="I1058" s="4">
        <f t="shared" si="65"/>
        <v>1</v>
      </c>
      <c r="J1058" s="4">
        <f t="shared" si="66"/>
        <v>1</v>
      </c>
      <c r="K1058" s="3">
        <f t="shared" si="67"/>
        <v>2</v>
      </c>
    </row>
    <row r="1059" spans="1:11">
      <c r="A1059" s="23" t="s">
        <v>74</v>
      </c>
      <c r="B1059" s="23" t="s">
        <v>241</v>
      </c>
      <c r="C1059" s="23" t="s">
        <v>242</v>
      </c>
      <c r="D1059" s="23">
        <f>INDEX(Positions!$D$2:$D$4694,MATCH($A1059&amp;"|8",Positions!$A$2:$A$4694,0))</f>
        <v>8</v>
      </c>
      <c r="E1059" s="23">
        <f>INDEX(Positions!$D$2:$D$4694,MATCH($A1059&amp;"|14",Positions!$A$2:$A$4694,0))</f>
        <v>14</v>
      </c>
      <c r="F1059" s="23" t="str">
        <f>INDEX(Positions!$E$2:$E$4694,MATCH($A1059&amp;"|8",Positions!$A$2:$A$4694,0))</f>
        <v>U</v>
      </c>
      <c r="G1059" s="23" t="str">
        <f>INDEX(Positions!$E$2:$E$4694,MATCH($A1059&amp;"|14",Positions!$A$2:$A$4694,0))</f>
        <v>A</v>
      </c>
      <c r="H1059" s="24" t="str">
        <f t="shared" si="64"/>
        <v>U-A</v>
      </c>
      <c r="I1059" s="23">
        <f t="shared" si="65"/>
        <v>0</v>
      </c>
      <c r="J1059" s="23">
        <f t="shared" si="66"/>
        <v>0</v>
      </c>
      <c r="K1059" s="24">
        <f t="shared" si="67"/>
        <v>0</v>
      </c>
    </row>
    <row r="1060" spans="1:11">
      <c r="A1060" s="23" t="s">
        <v>74</v>
      </c>
      <c r="B1060" s="23" t="s">
        <v>241</v>
      </c>
      <c r="C1060" s="23" t="s">
        <v>243</v>
      </c>
      <c r="D1060" s="23">
        <f>INDEX(Positions!$D$2:$D$4694,MATCH($A1060&amp;"|15",Positions!$A$2:$A$4694,0))</f>
        <v>15</v>
      </c>
      <c r="E1060" s="23">
        <f>INDEX(Positions!$D$2:$D$4694,MATCH($A1060&amp;"|48",Positions!$A$2:$A$4694,0))</f>
        <v>60</v>
      </c>
      <c r="F1060" s="23" t="str">
        <f>INDEX(Positions!$E$2:$E$4694,MATCH($A1060&amp;"|15",Positions!$A$2:$A$4694,0))</f>
        <v>G</v>
      </c>
      <c r="G1060" s="23" t="str">
        <f>INDEX(Positions!$E$2:$E$4694,MATCH($A1060&amp;"|48",Positions!$A$2:$A$4694,0))</f>
        <v>C</v>
      </c>
      <c r="H1060" s="24" t="str">
        <f t="shared" si="64"/>
        <v>G-C</v>
      </c>
      <c r="I1060" s="23">
        <f t="shared" si="65"/>
        <v>1</v>
      </c>
      <c r="J1060" s="23">
        <f t="shared" si="66"/>
        <v>1</v>
      </c>
      <c r="K1060" s="24">
        <f t="shared" si="67"/>
        <v>2</v>
      </c>
    </row>
    <row r="1061" spans="1:11">
      <c r="A1061" s="23" t="s">
        <v>74</v>
      </c>
      <c r="B1061" s="23" t="s">
        <v>241</v>
      </c>
      <c r="C1061" s="23" t="s">
        <v>244</v>
      </c>
      <c r="D1061" s="23">
        <f>INDEX(Positions!$D$2:$D$4694,MATCH($A1061&amp;"|18",Positions!$A$2:$A$4694,0))</f>
        <v>19</v>
      </c>
      <c r="E1061" s="23">
        <f>INDEX(Positions!$D$2:$D$4694,MATCH($A1061&amp;"|55",Positions!$A$2:$A$4694,0))</f>
        <v>67</v>
      </c>
      <c r="F1061" s="23" t="str">
        <f>INDEX(Positions!$E$2:$E$4694,MATCH($A1061&amp;"|18",Positions!$A$2:$A$4694,0))</f>
        <v>G</v>
      </c>
      <c r="G1061" s="23" t="str">
        <f>INDEX(Positions!$E$2:$E$4694,MATCH($A1061&amp;"|55",Positions!$A$2:$A$4694,0))</f>
        <v>U</v>
      </c>
      <c r="H1061" s="24" t="str">
        <f t="shared" si="64"/>
        <v>G-U</v>
      </c>
      <c r="I1061" s="23">
        <f t="shared" si="65"/>
        <v>1</v>
      </c>
      <c r="J1061" s="23">
        <f t="shared" si="66"/>
        <v>0</v>
      </c>
      <c r="K1061" s="24">
        <f t="shared" si="67"/>
        <v>1</v>
      </c>
    </row>
    <row r="1062" spans="1:11">
      <c r="A1062" s="23" t="s">
        <v>74</v>
      </c>
      <c r="B1062" s="23" t="s">
        <v>241</v>
      </c>
      <c r="C1062" s="23" t="s">
        <v>245</v>
      </c>
      <c r="D1062" s="23">
        <f>INDEX(Positions!$D$2:$D$4694,MATCH($A1062&amp;"|19",Positions!$A$2:$A$4694,0))</f>
        <v>20</v>
      </c>
      <c r="E1062" s="23">
        <f>INDEX(Positions!$D$2:$D$4694,MATCH($A1062&amp;"|56",Positions!$A$2:$A$4694,0))</f>
        <v>68</v>
      </c>
      <c r="F1062" s="23" t="str">
        <f>INDEX(Positions!$E$2:$E$4694,MATCH($A1062&amp;"|19",Positions!$A$2:$A$4694,0))</f>
        <v>G</v>
      </c>
      <c r="G1062" s="23" t="str">
        <f>INDEX(Positions!$E$2:$E$4694,MATCH($A1062&amp;"|56",Positions!$A$2:$A$4694,0))</f>
        <v>C</v>
      </c>
      <c r="H1062" s="24" t="str">
        <f t="shared" si="64"/>
        <v>G-C</v>
      </c>
      <c r="I1062" s="23">
        <f t="shared" si="65"/>
        <v>1</v>
      </c>
      <c r="J1062" s="23">
        <f t="shared" si="66"/>
        <v>1</v>
      </c>
      <c r="K1062" s="24">
        <f t="shared" si="67"/>
        <v>2</v>
      </c>
    </row>
    <row r="1063" spans="1:11">
      <c r="A1063" s="23" t="s">
        <v>74</v>
      </c>
      <c r="B1063" s="23" t="s">
        <v>241</v>
      </c>
      <c r="C1063" s="23" t="s">
        <v>246</v>
      </c>
      <c r="D1063" s="23">
        <f>INDEX(Positions!$D$2:$D$4694,MATCH($A1063&amp;"|26",Positions!$A$2:$A$4694,0))</f>
        <v>29</v>
      </c>
      <c r="E1063" s="23">
        <f>INDEX(Positions!$D$2:$D$4694,MATCH($A1063&amp;"|44",Positions!$A$2:$A$4694,0))</f>
        <v>47</v>
      </c>
      <c r="F1063" s="23" t="str">
        <f>INDEX(Positions!$E$2:$E$4694,MATCH($A1063&amp;"|26",Positions!$A$2:$A$4694,0))</f>
        <v>G</v>
      </c>
      <c r="G1063" s="23" t="str">
        <f>INDEX(Positions!$E$2:$E$4694,MATCH($A1063&amp;"|44",Positions!$A$2:$A$4694,0))</f>
        <v>U</v>
      </c>
      <c r="H1063" s="24" t="str">
        <f t="shared" si="64"/>
        <v>G-U</v>
      </c>
      <c r="I1063" s="23">
        <f t="shared" si="65"/>
        <v>1</v>
      </c>
      <c r="J1063" s="23">
        <f t="shared" si="66"/>
        <v>0</v>
      </c>
      <c r="K1063" s="24">
        <f t="shared" si="67"/>
        <v>1</v>
      </c>
    </row>
    <row r="1064" spans="1:11">
      <c r="A1064" s="23" t="s">
        <v>74</v>
      </c>
      <c r="B1064" s="23" t="s">
        <v>241</v>
      </c>
      <c r="C1064" s="23" t="s">
        <v>247</v>
      </c>
      <c r="D1064" s="23">
        <f>INDEX(Positions!$D$2:$D$4694,MATCH($A1064&amp;"|32",Positions!$A$2:$A$4694,0))</f>
        <v>35</v>
      </c>
      <c r="E1064" s="23">
        <f>INDEX(Positions!$D$2:$D$4694,MATCH($A1064&amp;"|38",Positions!$A$2:$A$4694,0))</f>
        <v>41</v>
      </c>
      <c r="F1064" s="23" t="str">
        <f>INDEX(Positions!$E$2:$E$4694,MATCH($A1064&amp;"|32",Positions!$A$2:$A$4694,0))</f>
        <v>C</v>
      </c>
      <c r="G1064" s="23" t="str">
        <f>INDEX(Positions!$E$2:$E$4694,MATCH($A1064&amp;"|38",Positions!$A$2:$A$4694,0))</f>
        <v>A</v>
      </c>
      <c r="H1064" s="24" t="str">
        <f t="shared" si="64"/>
        <v>C-A</v>
      </c>
      <c r="I1064" s="23">
        <f t="shared" si="65"/>
        <v>0</v>
      </c>
      <c r="J1064" s="23">
        <f t="shared" si="66"/>
        <v>1</v>
      </c>
      <c r="K1064" s="24">
        <f t="shared" si="67"/>
        <v>1</v>
      </c>
    </row>
    <row r="1065" spans="1:11">
      <c r="A1065" s="23" t="s">
        <v>74</v>
      </c>
      <c r="B1065" s="23" t="s">
        <v>241</v>
      </c>
      <c r="C1065" s="23" t="s">
        <v>248</v>
      </c>
      <c r="D1065" s="23">
        <f>INDEX(Positions!$D$2:$D$4694,MATCH($A1065&amp;"|54",Positions!$A$2:$A$4694,0))</f>
        <v>66</v>
      </c>
      <c r="E1065" s="23">
        <f>INDEX(Positions!$D$2:$D$4694,MATCH($A1065&amp;"|58",Positions!$A$2:$A$4694,0))</f>
        <v>70</v>
      </c>
      <c r="F1065" s="23" t="str">
        <f>INDEX(Positions!$E$2:$E$4694,MATCH($A1065&amp;"|54",Positions!$A$2:$A$4694,0))</f>
        <v>U</v>
      </c>
      <c r="G1065" s="23" t="str">
        <f>INDEX(Positions!$E$2:$E$4694,MATCH($A1065&amp;"|58",Positions!$A$2:$A$4694,0))</f>
        <v>A</v>
      </c>
      <c r="H1065" s="24" t="str">
        <f t="shared" si="64"/>
        <v>U-A</v>
      </c>
      <c r="I1065" s="23">
        <f t="shared" si="65"/>
        <v>0</v>
      </c>
      <c r="J1065" s="23">
        <f t="shared" si="66"/>
        <v>0</v>
      </c>
      <c r="K1065" s="24">
        <f t="shared" si="67"/>
        <v>0</v>
      </c>
    </row>
    <row r="1066" spans="1:11">
      <c r="A1066" s="4" t="s">
        <v>75</v>
      </c>
      <c r="B1066" s="4" t="s">
        <v>110</v>
      </c>
      <c r="C1066" s="4" t="s">
        <v>220</v>
      </c>
      <c r="D1066" s="4">
        <f>INDEX(Positions!$D$2:$D$4694,MATCH($A1066&amp;"|1",Positions!$A$2:$A$4694,0))</f>
        <v>1</v>
      </c>
      <c r="E1066" s="4">
        <f>INDEX(Positions!$D$2:$D$4694,MATCH($A1066&amp;"|72",Positions!$A$2:$A$4694,0))</f>
        <v>84</v>
      </c>
      <c r="F1066" s="4" t="str">
        <f>INDEX(Positions!$E$2:$E$4694,MATCH($A1066&amp;"|1",Positions!$A$2:$A$4694,0))</f>
        <v>G</v>
      </c>
      <c r="G1066" s="4" t="str">
        <f>INDEX(Positions!$E$2:$E$4694,MATCH($A1066&amp;"|72",Positions!$A$2:$A$4694,0))</f>
        <v>C</v>
      </c>
      <c r="H1066" s="3" t="str">
        <f t="shared" si="64"/>
        <v>G-C</v>
      </c>
      <c r="I1066" s="4">
        <f t="shared" si="65"/>
        <v>1</v>
      </c>
      <c r="J1066" s="4">
        <f t="shared" si="66"/>
        <v>1</v>
      </c>
      <c r="K1066" s="3">
        <f t="shared" si="67"/>
        <v>2</v>
      </c>
    </row>
    <row r="1067" spans="1:11">
      <c r="A1067" s="4" t="s">
        <v>75</v>
      </c>
      <c r="B1067" s="4" t="s">
        <v>110</v>
      </c>
      <c r="C1067" s="4" t="s">
        <v>221</v>
      </c>
      <c r="D1067" s="4">
        <f>INDEX(Positions!$D$2:$D$4694,MATCH($A1067&amp;"|2",Positions!$A$2:$A$4694,0))</f>
        <v>2</v>
      </c>
      <c r="E1067" s="4">
        <f>INDEX(Positions!$D$2:$D$4694,MATCH($A1067&amp;"|71",Positions!$A$2:$A$4694,0))</f>
        <v>83</v>
      </c>
      <c r="F1067" s="4" t="str">
        <f>INDEX(Positions!$E$2:$E$4694,MATCH($A1067&amp;"|2",Positions!$A$2:$A$4694,0))</f>
        <v>C</v>
      </c>
      <c r="G1067" s="4" t="str">
        <f>INDEX(Positions!$E$2:$E$4694,MATCH($A1067&amp;"|71",Positions!$A$2:$A$4694,0))</f>
        <v>G</v>
      </c>
      <c r="H1067" s="3" t="str">
        <f t="shared" si="64"/>
        <v>C-G</v>
      </c>
      <c r="I1067" s="4">
        <f t="shared" si="65"/>
        <v>1</v>
      </c>
      <c r="J1067" s="4">
        <f t="shared" si="66"/>
        <v>1</v>
      </c>
      <c r="K1067" s="3">
        <f t="shared" si="67"/>
        <v>2</v>
      </c>
    </row>
    <row r="1068" spans="1:11">
      <c r="A1068" s="4" t="s">
        <v>75</v>
      </c>
      <c r="B1068" s="4" t="s">
        <v>110</v>
      </c>
      <c r="C1068" s="4" t="s">
        <v>222</v>
      </c>
      <c r="D1068" s="4">
        <f>INDEX(Positions!$D$2:$D$4694,MATCH($A1068&amp;"|3",Positions!$A$2:$A$4694,0))</f>
        <v>3</v>
      </c>
      <c r="E1068" s="4">
        <f>INDEX(Positions!$D$2:$D$4694,MATCH($A1068&amp;"|70",Positions!$A$2:$A$4694,0))</f>
        <v>82</v>
      </c>
      <c r="F1068" s="4" t="str">
        <f>INDEX(Positions!$E$2:$E$4694,MATCH($A1068&amp;"|3",Positions!$A$2:$A$4694,0))</f>
        <v>G</v>
      </c>
      <c r="G1068" s="4" t="str">
        <f>INDEX(Positions!$E$2:$E$4694,MATCH($A1068&amp;"|70",Positions!$A$2:$A$4694,0))</f>
        <v>C</v>
      </c>
      <c r="H1068" s="3" t="str">
        <f t="shared" si="64"/>
        <v>G-C</v>
      </c>
      <c r="I1068" s="4">
        <f t="shared" si="65"/>
        <v>1</v>
      </c>
      <c r="J1068" s="4">
        <f t="shared" si="66"/>
        <v>1</v>
      </c>
      <c r="K1068" s="3">
        <f t="shared" si="67"/>
        <v>2</v>
      </c>
    </row>
    <row r="1069" spans="1:11">
      <c r="A1069" s="4" t="s">
        <v>75</v>
      </c>
      <c r="B1069" s="4" t="s">
        <v>110</v>
      </c>
      <c r="C1069" s="4" t="s">
        <v>223</v>
      </c>
      <c r="D1069" s="4">
        <f>INDEX(Positions!$D$2:$D$4694,MATCH($A1069&amp;"|4",Positions!$A$2:$A$4694,0))</f>
        <v>4</v>
      </c>
      <c r="E1069" s="4">
        <f>INDEX(Positions!$D$2:$D$4694,MATCH($A1069&amp;"|69",Positions!$A$2:$A$4694,0))</f>
        <v>81</v>
      </c>
      <c r="F1069" s="4" t="str">
        <f>INDEX(Positions!$E$2:$E$4694,MATCH($A1069&amp;"|4",Positions!$A$2:$A$4694,0))</f>
        <v>A</v>
      </c>
      <c r="G1069" s="4" t="str">
        <f>INDEX(Positions!$E$2:$E$4694,MATCH($A1069&amp;"|69",Positions!$A$2:$A$4694,0))</f>
        <v>U</v>
      </c>
      <c r="H1069" s="3" t="str">
        <f t="shared" si="64"/>
        <v>A-U</v>
      </c>
      <c r="I1069" s="4">
        <f t="shared" si="65"/>
        <v>0</v>
      </c>
      <c r="J1069" s="4">
        <f t="shared" si="66"/>
        <v>0</v>
      </c>
      <c r="K1069" s="3">
        <f t="shared" si="67"/>
        <v>0</v>
      </c>
    </row>
    <row r="1070" spans="1:11">
      <c r="A1070" s="4" t="s">
        <v>75</v>
      </c>
      <c r="B1070" s="4" t="s">
        <v>110</v>
      </c>
      <c r="C1070" s="4" t="s">
        <v>224</v>
      </c>
      <c r="D1070" s="4">
        <f>INDEX(Positions!$D$2:$D$4694,MATCH($A1070&amp;"|5",Positions!$A$2:$A$4694,0))</f>
        <v>5</v>
      </c>
      <c r="E1070" s="4">
        <f>INDEX(Positions!$D$2:$D$4694,MATCH($A1070&amp;"|68",Positions!$A$2:$A$4694,0))</f>
        <v>80</v>
      </c>
      <c r="F1070" s="4" t="str">
        <f>INDEX(Positions!$E$2:$E$4694,MATCH($A1070&amp;"|5",Positions!$A$2:$A$4694,0))</f>
        <v>G</v>
      </c>
      <c r="G1070" s="4" t="str">
        <f>INDEX(Positions!$E$2:$E$4694,MATCH($A1070&amp;"|68",Positions!$A$2:$A$4694,0))</f>
        <v>C</v>
      </c>
      <c r="H1070" s="3" t="str">
        <f t="shared" si="64"/>
        <v>G-C</v>
      </c>
      <c r="I1070" s="4">
        <f t="shared" si="65"/>
        <v>1</v>
      </c>
      <c r="J1070" s="4">
        <f t="shared" si="66"/>
        <v>1</v>
      </c>
      <c r="K1070" s="3">
        <f t="shared" si="67"/>
        <v>2</v>
      </c>
    </row>
    <row r="1071" spans="1:11">
      <c r="A1071" s="4" t="s">
        <v>75</v>
      </c>
      <c r="B1071" s="4" t="s">
        <v>110</v>
      </c>
      <c r="C1071" s="4" t="s">
        <v>225</v>
      </c>
      <c r="D1071" s="4">
        <f>INDEX(Positions!$D$2:$D$4694,MATCH($A1071&amp;"|6",Positions!$A$2:$A$4694,0))</f>
        <v>6</v>
      </c>
      <c r="E1071" s="4">
        <f>INDEX(Positions!$D$2:$D$4694,MATCH($A1071&amp;"|67",Positions!$A$2:$A$4694,0))</f>
        <v>79</v>
      </c>
      <c r="F1071" s="4" t="str">
        <f>INDEX(Positions!$E$2:$E$4694,MATCH($A1071&amp;"|6",Positions!$A$2:$A$4694,0))</f>
        <v>A</v>
      </c>
      <c r="G1071" s="4" t="str">
        <f>INDEX(Positions!$E$2:$E$4694,MATCH($A1071&amp;"|67",Positions!$A$2:$A$4694,0))</f>
        <v>C</v>
      </c>
      <c r="H1071" s="3" t="str">
        <f t="shared" si="64"/>
        <v>A-C</v>
      </c>
      <c r="I1071" s="4">
        <f t="shared" si="65"/>
        <v>0</v>
      </c>
      <c r="J1071" s="4">
        <f t="shared" si="66"/>
        <v>1</v>
      </c>
      <c r="K1071" s="3">
        <f t="shared" si="67"/>
        <v>1</v>
      </c>
    </row>
    <row r="1072" spans="1:11">
      <c r="A1072" s="4" t="s">
        <v>75</v>
      </c>
      <c r="B1072" s="4" t="s">
        <v>110</v>
      </c>
      <c r="C1072" s="4" t="s">
        <v>226</v>
      </c>
      <c r="D1072" s="4">
        <f>INDEX(Positions!$D$2:$D$4694,MATCH($A1072&amp;"|7",Positions!$A$2:$A$4694,0))</f>
        <v>7</v>
      </c>
      <c r="E1072" s="4">
        <f>INDEX(Positions!$D$2:$D$4694,MATCH($A1072&amp;"|66",Positions!$A$2:$A$4694,0))</f>
        <v>78</v>
      </c>
      <c r="F1072" s="4" t="str">
        <f>INDEX(Positions!$E$2:$E$4694,MATCH($A1072&amp;"|7",Positions!$A$2:$A$4694,0))</f>
        <v>G</v>
      </c>
      <c r="G1072" s="4" t="str">
        <f>INDEX(Positions!$E$2:$E$4694,MATCH($A1072&amp;"|66",Positions!$A$2:$A$4694,0))</f>
        <v>C</v>
      </c>
      <c r="H1072" s="3" t="str">
        <f t="shared" si="64"/>
        <v>G-C</v>
      </c>
      <c r="I1072" s="4">
        <f t="shared" si="65"/>
        <v>1</v>
      </c>
      <c r="J1072" s="4">
        <f t="shared" si="66"/>
        <v>1</v>
      </c>
      <c r="K1072" s="3">
        <f t="shared" si="67"/>
        <v>2</v>
      </c>
    </row>
    <row r="1073" spans="1:11">
      <c r="A1073" s="4" t="s">
        <v>75</v>
      </c>
      <c r="B1073" s="4" t="s">
        <v>125</v>
      </c>
      <c r="C1073" s="4" t="s">
        <v>227</v>
      </c>
      <c r="D1073" s="4">
        <f>INDEX(Positions!$D$2:$D$4694,MATCH($A1073&amp;"|10",Positions!$A$2:$A$4694,0))</f>
        <v>10</v>
      </c>
      <c r="E1073" s="4">
        <f>INDEX(Positions!$D$2:$D$4694,MATCH($A1073&amp;"|25",Positions!$A$2:$A$4694,0))</f>
        <v>28</v>
      </c>
      <c r="F1073" s="4" t="str">
        <f>INDEX(Positions!$E$2:$E$4694,MATCH($A1073&amp;"|10",Positions!$A$2:$A$4694,0))</f>
        <v>G</v>
      </c>
      <c r="G1073" s="4" t="str">
        <f>INDEX(Positions!$E$2:$E$4694,MATCH($A1073&amp;"|25",Positions!$A$2:$A$4694,0))</f>
        <v>C</v>
      </c>
      <c r="H1073" s="3" t="str">
        <f t="shared" si="64"/>
        <v>G-C</v>
      </c>
      <c r="I1073" s="4">
        <f t="shared" si="65"/>
        <v>1</v>
      </c>
      <c r="J1073" s="4">
        <f t="shared" si="66"/>
        <v>1</v>
      </c>
      <c r="K1073" s="3">
        <f t="shared" si="67"/>
        <v>2</v>
      </c>
    </row>
    <row r="1074" spans="1:11">
      <c r="A1074" s="4" t="s">
        <v>75</v>
      </c>
      <c r="B1074" s="4" t="s">
        <v>125</v>
      </c>
      <c r="C1074" s="4" t="s">
        <v>228</v>
      </c>
      <c r="D1074" s="4">
        <f>INDEX(Positions!$D$2:$D$4694,MATCH($A1074&amp;"|11",Positions!$A$2:$A$4694,0))</f>
        <v>11</v>
      </c>
      <c r="E1074" s="4">
        <f>INDEX(Positions!$D$2:$D$4694,MATCH($A1074&amp;"|24",Positions!$A$2:$A$4694,0))</f>
        <v>27</v>
      </c>
      <c r="F1074" s="4" t="str">
        <f>INDEX(Positions!$E$2:$E$4694,MATCH($A1074&amp;"|11",Positions!$A$2:$A$4694,0))</f>
        <v>C</v>
      </c>
      <c r="G1074" s="4" t="str">
        <f>INDEX(Positions!$E$2:$E$4694,MATCH($A1074&amp;"|24",Positions!$A$2:$A$4694,0))</f>
        <v>G</v>
      </c>
      <c r="H1074" s="3" t="str">
        <f t="shared" si="64"/>
        <v>C-G</v>
      </c>
      <c r="I1074" s="4">
        <f t="shared" si="65"/>
        <v>1</v>
      </c>
      <c r="J1074" s="4">
        <f t="shared" si="66"/>
        <v>1</v>
      </c>
      <c r="K1074" s="3">
        <f t="shared" si="67"/>
        <v>2</v>
      </c>
    </row>
    <row r="1075" spans="1:11">
      <c r="A1075" s="4" t="s">
        <v>75</v>
      </c>
      <c r="B1075" s="4" t="s">
        <v>125</v>
      </c>
      <c r="C1075" s="4" t="s">
        <v>229</v>
      </c>
      <c r="D1075" s="4">
        <f>INDEX(Positions!$D$2:$D$4694,MATCH($A1075&amp;"|12",Positions!$A$2:$A$4694,0))</f>
        <v>12</v>
      </c>
      <c r="E1075" s="4">
        <f>INDEX(Positions!$D$2:$D$4694,MATCH($A1075&amp;"|23",Positions!$A$2:$A$4694,0))</f>
        <v>26</v>
      </c>
      <c r="F1075" s="4" t="str">
        <f>INDEX(Positions!$E$2:$E$4694,MATCH($A1075&amp;"|12",Positions!$A$2:$A$4694,0))</f>
        <v>C</v>
      </c>
      <c r="G1075" s="4" t="str">
        <f>INDEX(Positions!$E$2:$E$4694,MATCH($A1075&amp;"|23",Positions!$A$2:$A$4694,0))</f>
        <v>G</v>
      </c>
      <c r="H1075" s="3" t="str">
        <f t="shared" si="64"/>
        <v>C-G</v>
      </c>
      <c r="I1075" s="4">
        <f t="shared" si="65"/>
        <v>1</v>
      </c>
      <c r="J1075" s="4">
        <f t="shared" si="66"/>
        <v>1</v>
      </c>
      <c r="K1075" s="3">
        <f t="shared" si="67"/>
        <v>2</v>
      </c>
    </row>
    <row r="1076" spans="1:11">
      <c r="A1076" s="4" t="s">
        <v>75</v>
      </c>
      <c r="B1076" s="4" t="s">
        <v>125</v>
      </c>
      <c r="C1076" s="4" t="s">
        <v>230</v>
      </c>
      <c r="D1076" s="4">
        <f>INDEX(Positions!$D$2:$D$4694,MATCH($A1076&amp;"|13",Positions!$A$2:$A$4694,0))</f>
        <v>13</v>
      </c>
      <c r="E1076" s="4">
        <f>INDEX(Positions!$D$2:$D$4694,MATCH($A1076&amp;"|22",Positions!$A$2:$A$4694,0))</f>
        <v>25</v>
      </c>
      <c r="F1076" s="4" t="str">
        <f>INDEX(Positions!$E$2:$E$4694,MATCH($A1076&amp;"|13",Positions!$A$2:$A$4694,0))</f>
        <v>C</v>
      </c>
      <c r="G1076" s="4" t="str">
        <f>INDEX(Positions!$E$2:$E$4694,MATCH($A1076&amp;"|22",Positions!$A$2:$A$4694,0))</f>
        <v>A</v>
      </c>
      <c r="H1076" s="3" t="str">
        <f t="shared" si="64"/>
        <v>C-A</v>
      </c>
      <c r="I1076" s="4">
        <f t="shared" si="65"/>
        <v>0</v>
      </c>
      <c r="J1076" s="4">
        <f t="shared" si="66"/>
        <v>1</v>
      </c>
      <c r="K1076" s="3">
        <f t="shared" si="67"/>
        <v>1</v>
      </c>
    </row>
    <row r="1077" spans="1:11">
      <c r="A1077" s="4" t="s">
        <v>75</v>
      </c>
      <c r="B1077" s="4" t="s">
        <v>144</v>
      </c>
      <c r="C1077" s="4" t="s">
        <v>231</v>
      </c>
      <c r="D1077" s="4">
        <f>INDEX(Positions!$D$2:$D$4694,MATCH($A1077&amp;"|27",Positions!$A$2:$A$4694,0))</f>
        <v>30</v>
      </c>
      <c r="E1077" s="4">
        <f>INDEX(Positions!$D$2:$D$4694,MATCH($A1077&amp;"|43",Positions!$A$2:$A$4694,0))</f>
        <v>46</v>
      </c>
      <c r="F1077" s="4" t="str">
        <f>INDEX(Positions!$E$2:$E$4694,MATCH($A1077&amp;"|27",Positions!$A$2:$A$4694,0))</f>
        <v>C</v>
      </c>
      <c r="G1077" s="4" t="str">
        <f>INDEX(Positions!$E$2:$E$4694,MATCH($A1077&amp;"|43",Positions!$A$2:$A$4694,0))</f>
        <v>G</v>
      </c>
      <c r="H1077" s="3" t="str">
        <f t="shared" si="64"/>
        <v>C-G</v>
      </c>
      <c r="I1077" s="4">
        <f t="shared" si="65"/>
        <v>1</v>
      </c>
      <c r="J1077" s="4">
        <f t="shared" si="66"/>
        <v>1</v>
      </c>
      <c r="K1077" s="3">
        <f t="shared" si="67"/>
        <v>2</v>
      </c>
    </row>
    <row r="1078" spans="1:11">
      <c r="A1078" s="4" t="s">
        <v>75</v>
      </c>
      <c r="B1078" s="4" t="s">
        <v>144</v>
      </c>
      <c r="C1078" s="4" t="s">
        <v>232</v>
      </c>
      <c r="D1078" s="4">
        <f>INDEX(Positions!$D$2:$D$4694,MATCH($A1078&amp;"|28",Positions!$A$2:$A$4694,0))</f>
        <v>31</v>
      </c>
      <c r="E1078" s="4">
        <f>INDEX(Positions!$D$2:$D$4694,MATCH($A1078&amp;"|42",Positions!$A$2:$A$4694,0))</f>
        <v>45</v>
      </c>
      <c r="F1078" s="4" t="str">
        <f>INDEX(Positions!$E$2:$E$4694,MATCH($A1078&amp;"|28",Positions!$A$2:$A$4694,0))</f>
        <v>C</v>
      </c>
      <c r="G1078" s="4" t="str">
        <f>INDEX(Positions!$E$2:$E$4694,MATCH($A1078&amp;"|42",Positions!$A$2:$A$4694,0))</f>
        <v>G</v>
      </c>
      <c r="H1078" s="3" t="str">
        <f t="shared" si="64"/>
        <v>C-G</v>
      </c>
      <c r="I1078" s="4">
        <f t="shared" si="65"/>
        <v>1</v>
      </c>
      <c r="J1078" s="4">
        <f t="shared" si="66"/>
        <v>1</v>
      </c>
      <c r="K1078" s="3">
        <f t="shared" si="67"/>
        <v>2</v>
      </c>
    </row>
    <row r="1079" spans="1:11">
      <c r="A1079" s="4" t="s">
        <v>75</v>
      </c>
      <c r="B1079" s="4" t="s">
        <v>144</v>
      </c>
      <c r="C1079" s="4" t="s">
        <v>233</v>
      </c>
      <c r="D1079" s="4">
        <f>INDEX(Positions!$D$2:$D$4694,MATCH($A1079&amp;"|29",Positions!$A$2:$A$4694,0))</f>
        <v>32</v>
      </c>
      <c r="E1079" s="4">
        <f>INDEX(Positions!$D$2:$D$4694,MATCH($A1079&amp;"|41",Positions!$A$2:$A$4694,0))</f>
        <v>44</v>
      </c>
      <c r="F1079" s="4" t="str">
        <f>INDEX(Positions!$E$2:$E$4694,MATCH($A1079&amp;"|29",Positions!$A$2:$A$4694,0))</f>
        <v>G</v>
      </c>
      <c r="G1079" s="4" t="str">
        <f>INDEX(Positions!$E$2:$E$4694,MATCH($A1079&amp;"|41",Positions!$A$2:$A$4694,0))</f>
        <v>C</v>
      </c>
      <c r="H1079" s="3" t="str">
        <f t="shared" si="64"/>
        <v>G-C</v>
      </c>
      <c r="I1079" s="4">
        <f t="shared" si="65"/>
        <v>1</v>
      </c>
      <c r="J1079" s="4">
        <f t="shared" si="66"/>
        <v>1</v>
      </c>
      <c r="K1079" s="3">
        <f t="shared" si="67"/>
        <v>2</v>
      </c>
    </row>
    <row r="1080" spans="1:11">
      <c r="A1080" s="4" t="s">
        <v>75</v>
      </c>
      <c r="B1080" s="4" t="s">
        <v>144</v>
      </c>
      <c r="C1080" s="4" t="s">
        <v>234</v>
      </c>
      <c r="D1080" s="4">
        <f>INDEX(Positions!$D$2:$D$4694,MATCH($A1080&amp;"|30",Positions!$A$2:$A$4694,0))</f>
        <v>33</v>
      </c>
      <c r="E1080" s="4">
        <f>INDEX(Positions!$D$2:$D$4694,MATCH($A1080&amp;"|40",Positions!$A$2:$A$4694,0))</f>
        <v>43</v>
      </c>
      <c r="F1080" s="4" t="str">
        <f>INDEX(Positions!$E$2:$E$4694,MATCH($A1080&amp;"|30",Positions!$A$2:$A$4694,0))</f>
        <v>G</v>
      </c>
      <c r="G1080" s="4" t="str">
        <f>INDEX(Positions!$E$2:$E$4694,MATCH($A1080&amp;"|40",Positions!$A$2:$A$4694,0))</f>
        <v>C</v>
      </c>
      <c r="H1080" s="3" t="str">
        <f t="shared" si="64"/>
        <v>G-C</v>
      </c>
      <c r="I1080" s="4">
        <f t="shared" si="65"/>
        <v>1</v>
      </c>
      <c r="J1080" s="4">
        <f t="shared" si="66"/>
        <v>1</v>
      </c>
      <c r="K1080" s="3">
        <f t="shared" si="67"/>
        <v>2</v>
      </c>
    </row>
    <row r="1081" spans="1:11">
      <c r="A1081" s="4" t="s">
        <v>75</v>
      </c>
      <c r="B1081" s="4" t="s">
        <v>144</v>
      </c>
      <c r="C1081" s="4" t="s">
        <v>235</v>
      </c>
      <c r="D1081" s="4">
        <f>INDEX(Positions!$D$2:$D$4694,MATCH($A1081&amp;"|31",Positions!$A$2:$A$4694,0))</f>
        <v>34</v>
      </c>
      <c r="E1081" s="4">
        <f>INDEX(Positions!$D$2:$D$4694,MATCH($A1081&amp;"|39",Positions!$A$2:$A$4694,0))</f>
        <v>42</v>
      </c>
      <c r="F1081" s="4" t="str">
        <f>INDEX(Positions!$E$2:$E$4694,MATCH($A1081&amp;"|31",Positions!$A$2:$A$4694,0))</f>
        <v>A</v>
      </c>
      <c r="G1081" s="4" t="str">
        <f>INDEX(Positions!$E$2:$E$4694,MATCH($A1081&amp;"|39",Positions!$A$2:$A$4694,0))</f>
        <v>U</v>
      </c>
      <c r="H1081" s="3" t="str">
        <f t="shared" si="64"/>
        <v>A-U</v>
      </c>
      <c r="I1081" s="4">
        <f t="shared" si="65"/>
        <v>0</v>
      </c>
      <c r="J1081" s="4">
        <f t="shared" si="66"/>
        <v>0</v>
      </c>
      <c r="K1081" s="3">
        <f t="shared" si="67"/>
        <v>0</v>
      </c>
    </row>
    <row r="1082" spans="1:11">
      <c r="A1082" s="4" t="s">
        <v>75</v>
      </c>
      <c r="B1082" s="4" t="s">
        <v>169</v>
      </c>
      <c r="C1082" s="4" t="s">
        <v>236</v>
      </c>
      <c r="D1082" s="4">
        <f>INDEX(Positions!$D$2:$D$4694,MATCH($A1082&amp;"|49",Positions!$A$2:$A$4694,0))</f>
        <v>61</v>
      </c>
      <c r="E1082" s="4">
        <f>INDEX(Positions!$D$2:$D$4694,MATCH($A1082&amp;"|65",Positions!$A$2:$A$4694,0))</f>
        <v>77</v>
      </c>
      <c r="F1082" s="4" t="str">
        <f>INDEX(Positions!$E$2:$E$4694,MATCH($A1082&amp;"|49",Positions!$A$2:$A$4694,0))</f>
        <v>G</v>
      </c>
      <c r="G1082" s="4" t="str">
        <f>INDEX(Positions!$E$2:$E$4694,MATCH($A1082&amp;"|65",Positions!$A$2:$A$4694,0))</f>
        <v>U</v>
      </c>
      <c r="H1082" s="3" t="str">
        <f t="shared" si="64"/>
        <v>G-U</v>
      </c>
      <c r="I1082" s="4">
        <f t="shared" si="65"/>
        <v>1</v>
      </c>
      <c r="J1082" s="4">
        <f t="shared" si="66"/>
        <v>0</v>
      </c>
      <c r="K1082" s="3">
        <f t="shared" si="67"/>
        <v>1</v>
      </c>
    </row>
    <row r="1083" spans="1:11">
      <c r="A1083" s="4" t="s">
        <v>75</v>
      </c>
      <c r="B1083" s="4" t="s">
        <v>169</v>
      </c>
      <c r="C1083" s="4" t="s">
        <v>237</v>
      </c>
      <c r="D1083" s="4">
        <f>INDEX(Positions!$D$2:$D$4694,MATCH($A1083&amp;"|50",Positions!$A$2:$A$4694,0))</f>
        <v>62</v>
      </c>
      <c r="E1083" s="4">
        <f>INDEX(Positions!$D$2:$D$4694,MATCH($A1083&amp;"|64",Positions!$A$2:$A$4694,0))</f>
        <v>76</v>
      </c>
      <c r="F1083" s="4" t="str">
        <f>INDEX(Positions!$E$2:$E$4694,MATCH($A1083&amp;"|50",Positions!$A$2:$A$4694,0))</f>
        <v>U</v>
      </c>
      <c r="G1083" s="4" t="str">
        <f>INDEX(Positions!$E$2:$E$4694,MATCH($A1083&amp;"|64",Positions!$A$2:$A$4694,0))</f>
        <v>A</v>
      </c>
      <c r="H1083" s="3" t="str">
        <f t="shared" si="64"/>
        <v>U-A</v>
      </c>
      <c r="I1083" s="4">
        <f t="shared" si="65"/>
        <v>0</v>
      </c>
      <c r="J1083" s="4">
        <f t="shared" si="66"/>
        <v>0</v>
      </c>
      <c r="K1083" s="3">
        <f t="shared" si="67"/>
        <v>0</v>
      </c>
    </row>
    <row r="1084" spans="1:11">
      <c r="A1084" s="4" t="s">
        <v>75</v>
      </c>
      <c r="B1084" s="4" t="s">
        <v>169</v>
      </c>
      <c r="C1084" s="4" t="s">
        <v>238</v>
      </c>
      <c r="D1084" s="4">
        <f>INDEX(Positions!$D$2:$D$4694,MATCH($A1084&amp;"|51",Positions!$A$2:$A$4694,0))</f>
        <v>63</v>
      </c>
      <c r="E1084" s="4">
        <f>INDEX(Positions!$D$2:$D$4694,MATCH($A1084&amp;"|63",Positions!$A$2:$A$4694,0))</f>
        <v>75</v>
      </c>
      <c r="F1084" s="4" t="str">
        <f>INDEX(Positions!$E$2:$E$4694,MATCH($A1084&amp;"|51",Positions!$A$2:$A$4694,0))</f>
        <v>G</v>
      </c>
      <c r="G1084" s="4" t="str">
        <f>INDEX(Positions!$E$2:$E$4694,MATCH($A1084&amp;"|63",Positions!$A$2:$A$4694,0))</f>
        <v>C</v>
      </c>
      <c r="H1084" s="3" t="str">
        <f t="shared" si="64"/>
        <v>G-C</v>
      </c>
      <c r="I1084" s="4">
        <f t="shared" si="65"/>
        <v>1</v>
      </c>
      <c r="J1084" s="4">
        <f t="shared" si="66"/>
        <v>1</v>
      </c>
      <c r="K1084" s="3">
        <f t="shared" si="67"/>
        <v>2</v>
      </c>
    </row>
    <row r="1085" spans="1:11">
      <c r="A1085" s="4" t="s">
        <v>75</v>
      </c>
      <c r="B1085" s="4" t="s">
        <v>169</v>
      </c>
      <c r="C1085" s="4" t="s">
        <v>239</v>
      </c>
      <c r="D1085" s="4">
        <f>INDEX(Positions!$D$2:$D$4694,MATCH($A1085&amp;"|52",Positions!$A$2:$A$4694,0))</f>
        <v>64</v>
      </c>
      <c r="E1085" s="4">
        <f>INDEX(Positions!$D$2:$D$4694,MATCH($A1085&amp;"|62",Positions!$A$2:$A$4694,0))</f>
        <v>74</v>
      </c>
      <c r="F1085" s="4" t="str">
        <f>INDEX(Positions!$E$2:$E$4694,MATCH($A1085&amp;"|52",Positions!$A$2:$A$4694,0))</f>
        <v>G</v>
      </c>
      <c r="G1085" s="4" t="str">
        <f>INDEX(Positions!$E$2:$E$4694,MATCH($A1085&amp;"|62",Positions!$A$2:$A$4694,0))</f>
        <v>U</v>
      </c>
      <c r="H1085" s="3" t="str">
        <f t="shared" si="64"/>
        <v>G-U</v>
      </c>
      <c r="I1085" s="4">
        <f t="shared" si="65"/>
        <v>1</v>
      </c>
      <c r="J1085" s="4">
        <f t="shared" si="66"/>
        <v>0</v>
      </c>
      <c r="K1085" s="3">
        <f t="shared" si="67"/>
        <v>1</v>
      </c>
    </row>
    <row r="1086" spans="1:11">
      <c r="A1086" s="4" t="s">
        <v>75</v>
      </c>
      <c r="B1086" s="4" t="s">
        <v>169</v>
      </c>
      <c r="C1086" s="4" t="s">
        <v>240</v>
      </c>
      <c r="D1086" s="4">
        <f>INDEX(Positions!$D$2:$D$4694,MATCH($A1086&amp;"|53",Positions!$A$2:$A$4694,0))</f>
        <v>65</v>
      </c>
      <c r="E1086" s="4">
        <f>INDEX(Positions!$D$2:$D$4694,MATCH($A1086&amp;"|61",Positions!$A$2:$A$4694,0))</f>
        <v>73</v>
      </c>
      <c r="F1086" s="4" t="str">
        <f>INDEX(Positions!$E$2:$E$4694,MATCH($A1086&amp;"|53",Positions!$A$2:$A$4694,0))</f>
        <v>U</v>
      </c>
      <c r="G1086" s="4" t="str">
        <f>INDEX(Positions!$E$2:$E$4694,MATCH($A1086&amp;"|61",Positions!$A$2:$A$4694,0))</f>
        <v>U</v>
      </c>
      <c r="H1086" s="3" t="str">
        <f t="shared" si="64"/>
        <v>U-U</v>
      </c>
      <c r="I1086" s="4">
        <f t="shared" si="65"/>
        <v>0</v>
      </c>
      <c r="J1086" s="4">
        <f t="shared" si="66"/>
        <v>0</v>
      </c>
      <c r="K1086" s="3">
        <f t="shared" si="67"/>
        <v>0</v>
      </c>
    </row>
    <row r="1087" spans="1:11">
      <c r="A1087" s="23" t="s">
        <v>75</v>
      </c>
      <c r="B1087" s="23" t="s">
        <v>241</v>
      </c>
      <c r="C1087" s="23" t="s">
        <v>242</v>
      </c>
      <c r="D1087" s="23">
        <f>INDEX(Positions!$D$2:$D$4694,MATCH($A1087&amp;"|8",Positions!$A$2:$A$4694,0))</f>
        <v>8</v>
      </c>
      <c r="E1087" s="23">
        <f>INDEX(Positions!$D$2:$D$4694,MATCH($A1087&amp;"|14",Positions!$A$2:$A$4694,0))</f>
        <v>14</v>
      </c>
      <c r="F1087" s="23" t="str">
        <f>INDEX(Positions!$E$2:$E$4694,MATCH($A1087&amp;"|8",Positions!$A$2:$A$4694,0))</f>
        <v>U</v>
      </c>
      <c r="G1087" s="23" t="str">
        <f>INDEX(Positions!$E$2:$E$4694,MATCH($A1087&amp;"|14",Positions!$A$2:$A$4694,0))</f>
        <v>A</v>
      </c>
      <c r="H1087" s="24" t="str">
        <f t="shared" si="64"/>
        <v>U-A</v>
      </c>
      <c r="I1087" s="23">
        <f t="shared" si="65"/>
        <v>0</v>
      </c>
      <c r="J1087" s="23">
        <f t="shared" si="66"/>
        <v>0</v>
      </c>
      <c r="K1087" s="24">
        <f t="shared" si="67"/>
        <v>0</v>
      </c>
    </row>
    <row r="1088" spans="1:11">
      <c r="A1088" s="23" t="s">
        <v>75</v>
      </c>
      <c r="B1088" s="23" t="s">
        <v>241</v>
      </c>
      <c r="C1088" s="23" t="s">
        <v>243</v>
      </c>
      <c r="D1088" s="23">
        <f>INDEX(Positions!$D$2:$D$4694,MATCH($A1088&amp;"|15",Positions!$A$2:$A$4694,0))</f>
        <v>15</v>
      </c>
      <c r="E1088" s="23">
        <f>INDEX(Positions!$D$2:$D$4694,MATCH($A1088&amp;"|48",Positions!$A$2:$A$4694,0))</f>
        <v>60</v>
      </c>
      <c r="F1088" s="23" t="str">
        <f>INDEX(Positions!$E$2:$E$4694,MATCH($A1088&amp;"|15",Positions!$A$2:$A$4694,0))</f>
        <v>G</v>
      </c>
      <c r="G1088" s="23" t="str">
        <f>INDEX(Positions!$E$2:$E$4694,MATCH($A1088&amp;"|48",Positions!$A$2:$A$4694,0))</f>
        <v>C</v>
      </c>
      <c r="H1088" s="24" t="str">
        <f t="shared" si="64"/>
        <v>G-C</v>
      </c>
      <c r="I1088" s="23">
        <f t="shared" si="65"/>
        <v>1</v>
      </c>
      <c r="J1088" s="23">
        <f t="shared" si="66"/>
        <v>1</v>
      </c>
      <c r="K1088" s="24">
        <f t="shared" si="67"/>
        <v>2</v>
      </c>
    </row>
    <row r="1089" spans="1:11">
      <c r="A1089" s="23" t="s">
        <v>75</v>
      </c>
      <c r="B1089" s="23" t="s">
        <v>241</v>
      </c>
      <c r="C1089" s="23" t="s">
        <v>244</v>
      </c>
      <c r="D1089" s="23">
        <f>INDEX(Positions!$D$2:$D$4694,MATCH($A1089&amp;"|18",Positions!$A$2:$A$4694,0))</f>
        <v>19</v>
      </c>
      <c r="E1089" s="23">
        <f>INDEX(Positions!$D$2:$D$4694,MATCH($A1089&amp;"|55",Positions!$A$2:$A$4694,0))</f>
        <v>67</v>
      </c>
      <c r="F1089" s="23" t="str">
        <f>INDEX(Positions!$E$2:$E$4694,MATCH($A1089&amp;"|18",Positions!$A$2:$A$4694,0))</f>
        <v>G</v>
      </c>
      <c r="G1089" s="23" t="str">
        <f>INDEX(Positions!$E$2:$E$4694,MATCH($A1089&amp;"|55",Positions!$A$2:$A$4694,0))</f>
        <v>U</v>
      </c>
      <c r="H1089" s="24" t="str">
        <f t="shared" si="64"/>
        <v>G-U</v>
      </c>
      <c r="I1089" s="23">
        <f t="shared" si="65"/>
        <v>1</v>
      </c>
      <c r="J1089" s="23">
        <f t="shared" si="66"/>
        <v>0</v>
      </c>
      <c r="K1089" s="24">
        <f t="shared" si="67"/>
        <v>1</v>
      </c>
    </row>
    <row r="1090" spans="1:11">
      <c r="A1090" s="23" t="s">
        <v>75</v>
      </c>
      <c r="B1090" s="23" t="s">
        <v>241</v>
      </c>
      <c r="C1090" s="23" t="s">
        <v>245</v>
      </c>
      <c r="D1090" s="23">
        <f>INDEX(Positions!$D$2:$D$4694,MATCH($A1090&amp;"|19",Positions!$A$2:$A$4694,0))</f>
        <v>20</v>
      </c>
      <c r="E1090" s="23">
        <f>INDEX(Positions!$D$2:$D$4694,MATCH($A1090&amp;"|56",Positions!$A$2:$A$4694,0))</f>
        <v>68</v>
      </c>
      <c r="F1090" s="23" t="str">
        <f>INDEX(Positions!$E$2:$E$4694,MATCH($A1090&amp;"|19",Positions!$A$2:$A$4694,0))</f>
        <v>G</v>
      </c>
      <c r="G1090" s="23" t="str">
        <f>INDEX(Positions!$E$2:$E$4694,MATCH($A1090&amp;"|56",Positions!$A$2:$A$4694,0))</f>
        <v>C</v>
      </c>
      <c r="H1090" s="24" t="str">
        <f t="shared" ref="H1090:H1153" si="68">F1090&amp;"-"&amp;G1090</f>
        <v>G-C</v>
      </c>
      <c r="I1090" s="23">
        <f t="shared" ref="I1090:I1153" si="69">(F1090="G")+(G1090="G")</f>
        <v>1</v>
      </c>
      <c r="J1090" s="23">
        <f t="shared" ref="J1090:J1153" si="70">(F1090="C")+(G1090="C")</f>
        <v>1</v>
      </c>
      <c r="K1090" s="24">
        <f t="shared" ref="K1090:K1153" si="71">I1090+J1090</f>
        <v>2</v>
      </c>
    </row>
    <row r="1091" spans="1:11">
      <c r="A1091" s="23" t="s">
        <v>75</v>
      </c>
      <c r="B1091" s="23" t="s">
        <v>241</v>
      </c>
      <c r="C1091" s="23" t="s">
        <v>246</v>
      </c>
      <c r="D1091" s="23">
        <f>INDEX(Positions!$D$2:$D$4694,MATCH($A1091&amp;"|26",Positions!$A$2:$A$4694,0))</f>
        <v>29</v>
      </c>
      <c r="E1091" s="23">
        <f>INDEX(Positions!$D$2:$D$4694,MATCH($A1091&amp;"|44",Positions!$A$2:$A$4694,0))</f>
        <v>47</v>
      </c>
      <c r="F1091" s="23" t="str">
        <f>INDEX(Positions!$E$2:$E$4694,MATCH($A1091&amp;"|26",Positions!$A$2:$A$4694,0))</f>
        <v>G</v>
      </c>
      <c r="G1091" s="23" t="str">
        <f>INDEX(Positions!$E$2:$E$4694,MATCH($A1091&amp;"|44",Positions!$A$2:$A$4694,0))</f>
        <v>U</v>
      </c>
      <c r="H1091" s="24" t="str">
        <f t="shared" si="68"/>
        <v>G-U</v>
      </c>
      <c r="I1091" s="23">
        <f t="shared" si="69"/>
        <v>1</v>
      </c>
      <c r="J1091" s="23">
        <f t="shared" si="70"/>
        <v>0</v>
      </c>
      <c r="K1091" s="24">
        <f t="shared" si="71"/>
        <v>1</v>
      </c>
    </row>
    <row r="1092" spans="1:11">
      <c r="A1092" s="23" t="s">
        <v>75</v>
      </c>
      <c r="B1092" s="23" t="s">
        <v>241</v>
      </c>
      <c r="C1092" s="23" t="s">
        <v>247</v>
      </c>
      <c r="D1092" s="23">
        <f>INDEX(Positions!$D$2:$D$4694,MATCH($A1092&amp;"|32",Positions!$A$2:$A$4694,0))</f>
        <v>35</v>
      </c>
      <c r="E1092" s="23">
        <f>INDEX(Positions!$D$2:$D$4694,MATCH($A1092&amp;"|38",Positions!$A$2:$A$4694,0))</f>
        <v>41</v>
      </c>
      <c r="F1092" s="23" t="str">
        <f>INDEX(Positions!$E$2:$E$4694,MATCH($A1092&amp;"|32",Positions!$A$2:$A$4694,0))</f>
        <v>C</v>
      </c>
      <c r="G1092" s="23" t="str">
        <f>INDEX(Positions!$E$2:$E$4694,MATCH($A1092&amp;"|38",Positions!$A$2:$A$4694,0))</f>
        <v>A</v>
      </c>
      <c r="H1092" s="24" t="str">
        <f t="shared" si="68"/>
        <v>C-A</v>
      </c>
      <c r="I1092" s="23">
        <f t="shared" si="69"/>
        <v>0</v>
      </c>
      <c r="J1092" s="23">
        <f t="shared" si="70"/>
        <v>1</v>
      </c>
      <c r="K1092" s="24">
        <f t="shared" si="71"/>
        <v>1</v>
      </c>
    </row>
    <row r="1093" spans="1:11">
      <c r="A1093" s="23" t="s">
        <v>75</v>
      </c>
      <c r="B1093" s="23" t="s">
        <v>241</v>
      </c>
      <c r="C1093" s="23" t="s">
        <v>248</v>
      </c>
      <c r="D1093" s="23">
        <f>INDEX(Positions!$D$2:$D$4694,MATCH($A1093&amp;"|54",Positions!$A$2:$A$4694,0))</f>
        <v>66</v>
      </c>
      <c r="E1093" s="23">
        <f>INDEX(Positions!$D$2:$D$4694,MATCH($A1093&amp;"|58",Positions!$A$2:$A$4694,0))</f>
        <v>70</v>
      </c>
      <c r="F1093" s="23" t="str">
        <f>INDEX(Positions!$E$2:$E$4694,MATCH($A1093&amp;"|54",Positions!$A$2:$A$4694,0))</f>
        <v>U</v>
      </c>
      <c r="G1093" s="23" t="str">
        <f>INDEX(Positions!$E$2:$E$4694,MATCH($A1093&amp;"|58",Positions!$A$2:$A$4694,0))</f>
        <v>A</v>
      </c>
      <c r="H1093" s="24" t="str">
        <f t="shared" si="68"/>
        <v>U-A</v>
      </c>
      <c r="I1093" s="23">
        <f t="shared" si="69"/>
        <v>0</v>
      </c>
      <c r="J1093" s="23">
        <f t="shared" si="70"/>
        <v>0</v>
      </c>
      <c r="K1093" s="24">
        <f t="shared" si="71"/>
        <v>0</v>
      </c>
    </row>
    <row r="1094" spans="1:11">
      <c r="A1094" s="4" t="s">
        <v>76</v>
      </c>
      <c r="B1094" s="4" t="s">
        <v>110</v>
      </c>
      <c r="C1094" s="4" t="s">
        <v>220</v>
      </c>
      <c r="D1094" s="4">
        <f>INDEX(Positions!$D$2:$D$4694,MATCH($A1094&amp;"|1",Positions!$A$2:$A$4694,0))</f>
        <v>1</v>
      </c>
      <c r="E1094" s="4">
        <f>INDEX(Positions!$D$2:$D$4694,MATCH($A1094&amp;"|72",Positions!$A$2:$A$4694,0))</f>
        <v>84</v>
      </c>
      <c r="F1094" s="4" t="str">
        <f>INDEX(Positions!$E$2:$E$4694,MATCH($A1094&amp;"|1",Positions!$A$2:$A$4694,0))</f>
        <v>G</v>
      </c>
      <c r="G1094" s="4" t="str">
        <f>INDEX(Positions!$E$2:$E$4694,MATCH($A1094&amp;"|72",Positions!$A$2:$A$4694,0))</f>
        <v>C</v>
      </c>
      <c r="H1094" s="3" t="str">
        <f t="shared" si="68"/>
        <v>G-C</v>
      </c>
      <c r="I1094" s="4">
        <f t="shared" si="69"/>
        <v>1</v>
      </c>
      <c r="J1094" s="4">
        <f t="shared" si="70"/>
        <v>1</v>
      </c>
      <c r="K1094" s="3">
        <f t="shared" si="71"/>
        <v>2</v>
      </c>
    </row>
    <row r="1095" spans="1:11">
      <c r="A1095" s="4" t="s">
        <v>76</v>
      </c>
      <c r="B1095" s="4" t="s">
        <v>110</v>
      </c>
      <c r="C1095" s="4" t="s">
        <v>221</v>
      </c>
      <c r="D1095" s="4">
        <f>INDEX(Positions!$D$2:$D$4694,MATCH($A1095&amp;"|2",Positions!$A$2:$A$4694,0))</f>
        <v>2</v>
      </c>
      <c r="E1095" s="4">
        <f>INDEX(Positions!$D$2:$D$4694,MATCH($A1095&amp;"|71",Positions!$A$2:$A$4694,0))</f>
        <v>83</v>
      </c>
      <c r="F1095" s="4" t="str">
        <f>INDEX(Positions!$E$2:$E$4694,MATCH($A1095&amp;"|2",Positions!$A$2:$A$4694,0))</f>
        <v>C</v>
      </c>
      <c r="G1095" s="4" t="str">
        <f>INDEX(Positions!$E$2:$E$4694,MATCH($A1095&amp;"|71",Positions!$A$2:$A$4694,0))</f>
        <v>G</v>
      </c>
      <c r="H1095" s="3" t="str">
        <f t="shared" si="68"/>
        <v>C-G</v>
      </c>
      <c r="I1095" s="4">
        <f t="shared" si="69"/>
        <v>1</v>
      </c>
      <c r="J1095" s="4">
        <f t="shared" si="70"/>
        <v>1</v>
      </c>
      <c r="K1095" s="3">
        <f t="shared" si="71"/>
        <v>2</v>
      </c>
    </row>
    <row r="1096" spans="1:11">
      <c r="A1096" s="4" t="s">
        <v>76</v>
      </c>
      <c r="B1096" s="4" t="s">
        <v>110</v>
      </c>
      <c r="C1096" s="4" t="s">
        <v>222</v>
      </c>
      <c r="D1096" s="4">
        <f>INDEX(Positions!$D$2:$D$4694,MATCH($A1096&amp;"|3",Positions!$A$2:$A$4694,0))</f>
        <v>3</v>
      </c>
      <c r="E1096" s="4">
        <f>INDEX(Positions!$D$2:$D$4694,MATCH($A1096&amp;"|70",Positions!$A$2:$A$4694,0))</f>
        <v>82</v>
      </c>
      <c r="F1096" s="4" t="str">
        <f>INDEX(Positions!$E$2:$E$4694,MATCH($A1096&amp;"|3",Positions!$A$2:$A$4694,0))</f>
        <v>G</v>
      </c>
      <c r="G1096" s="4" t="str">
        <f>INDEX(Positions!$E$2:$E$4694,MATCH($A1096&amp;"|70",Positions!$A$2:$A$4694,0))</f>
        <v>C</v>
      </c>
      <c r="H1096" s="3" t="str">
        <f t="shared" si="68"/>
        <v>G-C</v>
      </c>
      <c r="I1096" s="4">
        <f t="shared" si="69"/>
        <v>1</v>
      </c>
      <c r="J1096" s="4">
        <f t="shared" si="70"/>
        <v>1</v>
      </c>
      <c r="K1096" s="3">
        <f t="shared" si="71"/>
        <v>2</v>
      </c>
    </row>
    <row r="1097" spans="1:11">
      <c r="A1097" s="4" t="s">
        <v>76</v>
      </c>
      <c r="B1097" s="4" t="s">
        <v>110</v>
      </c>
      <c r="C1097" s="4" t="s">
        <v>223</v>
      </c>
      <c r="D1097" s="4">
        <f>INDEX(Positions!$D$2:$D$4694,MATCH($A1097&amp;"|4",Positions!$A$2:$A$4694,0))</f>
        <v>4</v>
      </c>
      <c r="E1097" s="4">
        <f>INDEX(Positions!$D$2:$D$4694,MATCH($A1097&amp;"|69",Positions!$A$2:$A$4694,0))</f>
        <v>81</v>
      </c>
      <c r="F1097" s="4" t="str">
        <f>INDEX(Positions!$E$2:$E$4694,MATCH($A1097&amp;"|4",Positions!$A$2:$A$4694,0))</f>
        <v>A</v>
      </c>
      <c r="G1097" s="4" t="str">
        <f>INDEX(Positions!$E$2:$E$4694,MATCH($A1097&amp;"|69",Positions!$A$2:$A$4694,0))</f>
        <v>U</v>
      </c>
      <c r="H1097" s="3" t="str">
        <f t="shared" si="68"/>
        <v>A-U</v>
      </c>
      <c r="I1097" s="4">
        <f t="shared" si="69"/>
        <v>0</v>
      </c>
      <c r="J1097" s="4">
        <f t="shared" si="70"/>
        <v>0</v>
      </c>
      <c r="K1097" s="3">
        <f t="shared" si="71"/>
        <v>0</v>
      </c>
    </row>
    <row r="1098" spans="1:11">
      <c r="A1098" s="4" t="s">
        <v>76</v>
      </c>
      <c r="B1098" s="4" t="s">
        <v>110</v>
      </c>
      <c r="C1098" s="4" t="s">
        <v>224</v>
      </c>
      <c r="D1098" s="4">
        <f>INDEX(Positions!$D$2:$D$4694,MATCH($A1098&amp;"|5",Positions!$A$2:$A$4694,0))</f>
        <v>5</v>
      </c>
      <c r="E1098" s="4">
        <f>INDEX(Positions!$D$2:$D$4694,MATCH($A1098&amp;"|68",Positions!$A$2:$A$4694,0))</f>
        <v>80</v>
      </c>
      <c r="F1098" s="4" t="str">
        <f>INDEX(Positions!$E$2:$E$4694,MATCH($A1098&amp;"|5",Positions!$A$2:$A$4694,0))</f>
        <v>G</v>
      </c>
      <c r="G1098" s="4" t="str">
        <f>INDEX(Positions!$E$2:$E$4694,MATCH($A1098&amp;"|68",Positions!$A$2:$A$4694,0))</f>
        <v>C</v>
      </c>
      <c r="H1098" s="3" t="str">
        <f t="shared" si="68"/>
        <v>G-C</v>
      </c>
      <c r="I1098" s="4">
        <f t="shared" si="69"/>
        <v>1</v>
      </c>
      <c r="J1098" s="4">
        <f t="shared" si="70"/>
        <v>1</v>
      </c>
      <c r="K1098" s="3">
        <f t="shared" si="71"/>
        <v>2</v>
      </c>
    </row>
    <row r="1099" spans="1:11">
      <c r="A1099" s="4" t="s">
        <v>76</v>
      </c>
      <c r="B1099" s="4" t="s">
        <v>110</v>
      </c>
      <c r="C1099" s="4" t="s">
        <v>225</v>
      </c>
      <c r="D1099" s="4">
        <f>INDEX(Positions!$D$2:$D$4694,MATCH($A1099&amp;"|6",Positions!$A$2:$A$4694,0))</f>
        <v>6</v>
      </c>
      <c r="E1099" s="4">
        <f>INDEX(Positions!$D$2:$D$4694,MATCH($A1099&amp;"|67",Positions!$A$2:$A$4694,0))</f>
        <v>79</v>
      </c>
      <c r="F1099" s="4" t="str">
        <f>INDEX(Positions!$E$2:$E$4694,MATCH($A1099&amp;"|6",Positions!$A$2:$A$4694,0))</f>
        <v>G</v>
      </c>
      <c r="G1099" s="4" t="str">
        <f>INDEX(Positions!$E$2:$E$4694,MATCH($A1099&amp;"|67",Positions!$A$2:$A$4694,0))</f>
        <v>C</v>
      </c>
      <c r="H1099" s="3" t="str">
        <f t="shared" si="68"/>
        <v>G-C</v>
      </c>
      <c r="I1099" s="4">
        <f t="shared" si="69"/>
        <v>1</v>
      </c>
      <c r="J1099" s="4">
        <f t="shared" si="70"/>
        <v>1</v>
      </c>
      <c r="K1099" s="3">
        <f t="shared" si="71"/>
        <v>2</v>
      </c>
    </row>
    <row r="1100" spans="1:11">
      <c r="A1100" s="4" t="s">
        <v>76</v>
      </c>
      <c r="B1100" s="4" t="s">
        <v>110</v>
      </c>
      <c r="C1100" s="4" t="s">
        <v>226</v>
      </c>
      <c r="D1100" s="4">
        <f>INDEX(Positions!$D$2:$D$4694,MATCH($A1100&amp;"|7",Positions!$A$2:$A$4694,0))</f>
        <v>7</v>
      </c>
      <c r="E1100" s="4">
        <f>INDEX(Positions!$D$2:$D$4694,MATCH($A1100&amp;"|66",Positions!$A$2:$A$4694,0))</f>
        <v>78</v>
      </c>
      <c r="F1100" s="4" t="str">
        <f>INDEX(Positions!$E$2:$E$4694,MATCH($A1100&amp;"|7",Positions!$A$2:$A$4694,0))</f>
        <v>G</v>
      </c>
      <c r="G1100" s="4" t="str">
        <f>INDEX(Positions!$E$2:$E$4694,MATCH($A1100&amp;"|66",Positions!$A$2:$A$4694,0))</f>
        <v>C</v>
      </c>
      <c r="H1100" s="3" t="str">
        <f t="shared" si="68"/>
        <v>G-C</v>
      </c>
      <c r="I1100" s="4">
        <f t="shared" si="69"/>
        <v>1</v>
      </c>
      <c r="J1100" s="4">
        <f t="shared" si="70"/>
        <v>1</v>
      </c>
      <c r="K1100" s="3">
        <f t="shared" si="71"/>
        <v>2</v>
      </c>
    </row>
    <row r="1101" spans="1:11">
      <c r="A1101" s="4" t="s">
        <v>76</v>
      </c>
      <c r="B1101" s="4" t="s">
        <v>125</v>
      </c>
      <c r="C1101" s="4" t="s">
        <v>227</v>
      </c>
      <c r="D1101" s="4">
        <f>INDEX(Positions!$D$2:$D$4694,MATCH($A1101&amp;"|10",Positions!$A$2:$A$4694,0))</f>
        <v>10</v>
      </c>
      <c r="E1101" s="4">
        <f>INDEX(Positions!$D$2:$D$4694,MATCH($A1101&amp;"|25",Positions!$A$2:$A$4694,0))</f>
        <v>28</v>
      </c>
      <c r="F1101" s="4" t="str">
        <f>INDEX(Positions!$E$2:$E$4694,MATCH($A1101&amp;"|10",Positions!$A$2:$A$4694,0))</f>
        <v>G</v>
      </c>
      <c r="G1101" s="4" t="str">
        <f>INDEX(Positions!$E$2:$E$4694,MATCH($A1101&amp;"|25",Positions!$A$2:$A$4694,0))</f>
        <v>C</v>
      </c>
      <c r="H1101" s="3" t="str">
        <f t="shared" si="68"/>
        <v>G-C</v>
      </c>
      <c r="I1101" s="4">
        <f t="shared" si="69"/>
        <v>1</v>
      </c>
      <c r="J1101" s="4">
        <f t="shared" si="70"/>
        <v>1</v>
      </c>
      <c r="K1101" s="3">
        <f t="shared" si="71"/>
        <v>2</v>
      </c>
    </row>
    <row r="1102" spans="1:11">
      <c r="A1102" s="4" t="s">
        <v>76</v>
      </c>
      <c r="B1102" s="4" t="s">
        <v>125</v>
      </c>
      <c r="C1102" s="4" t="s">
        <v>228</v>
      </c>
      <c r="D1102" s="4">
        <f>INDEX(Positions!$D$2:$D$4694,MATCH($A1102&amp;"|11",Positions!$A$2:$A$4694,0))</f>
        <v>11</v>
      </c>
      <c r="E1102" s="4">
        <f>INDEX(Positions!$D$2:$D$4694,MATCH($A1102&amp;"|24",Positions!$A$2:$A$4694,0))</f>
        <v>27</v>
      </c>
      <c r="F1102" s="4" t="str">
        <f>INDEX(Positions!$E$2:$E$4694,MATCH($A1102&amp;"|11",Positions!$A$2:$A$4694,0))</f>
        <v>C</v>
      </c>
      <c r="G1102" s="4" t="str">
        <f>INDEX(Positions!$E$2:$E$4694,MATCH($A1102&amp;"|24",Positions!$A$2:$A$4694,0))</f>
        <v>G</v>
      </c>
      <c r="H1102" s="3" t="str">
        <f t="shared" si="68"/>
        <v>C-G</v>
      </c>
      <c r="I1102" s="4">
        <f t="shared" si="69"/>
        <v>1</v>
      </c>
      <c r="J1102" s="4">
        <f t="shared" si="70"/>
        <v>1</v>
      </c>
      <c r="K1102" s="3">
        <f t="shared" si="71"/>
        <v>2</v>
      </c>
    </row>
    <row r="1103" spans="1:11">
      <c r="A1103" s="4" t="s">
        <v>76</v>
      </c>
      <c r="B1103" s="4" t="s">
        <v>125</v>
      </c>
      <c r="C1103" s="4" t="s">
        <v>229</v>
      </c>
      <c r="D1103" s="4">
        <f>INDEX(Positions!$D$2:$D$4694,MATCH($A1103&amp;"|12",Positions!$A$2:$A$4694,0))</f>
        <v>12</v>
      </c>
      <c r="E1103" s="4">
        <f>INDEX(Positions!$D$2:$D$4694,MATCH($A1103&amp;"|23",Positions!$A$2:$A$4694,0))</f>
        <v>26</v>
      </c>
      <c r="F1103" s="4" t="str">
        <f>INDEX(Positions!$E$2:$E$4694,MATCH($A1103&amp;"|12",Positions!$A$2:$A$4694,0))</f>
        <v>C</v>
      </c>
      <c r="G1103" s="4" t="str">
        <f>INDEX(Positions!$E$2:$E$4694,MATCH($A1103&amp;"|23",Positions!$A$2:$A$4694,0))</f>
        <v>G</v>
      </c>
      <c r="H1103" s="3" t="str">
        <f t="shared" si="68"/>
        <v>C-G</v>
      </c>
      <c r="I1103" s="4">
        <f t="shared" si="69"/>
        <v>1</v>
      </c>
      <c r="J1103" s="4">
        <f t="shared" si="70"/>
        <v>1</v>
      </c>
      <c r="K1103" s="3">
        <f t="shared" si="71"/>
        <v>2</v>
      </c>
    </row>
    <row r="1104" spans="1:11">
      <c r="A1104" s="4" t="s">
        <v>76</v>
      </c>
      <c r="B1104" s="4" t="s">
        <v>125</v>
      </c>
      <c r="C1104" s="4" t="s">
        <v>230</v>
      </c>
      <c r="D1104" s="4">
        <f>INDEX(Positions!$D$2:$D$4694,MATCH($A1104&amp;"|13",Positions!$A$2:$A$4694,0))</f>
        <v>13</v>
      </c>
      <c r="E1104" s="4">
        <f>INDEX(Positions!$D$2:$D$4694,MATCH($A1104&amp;"|22",Positions!$A$2:$A$4694,0))</f>
        <v>25</v>
      </c>
      <c r="F1104" s="4" t="str">
        <f>INDEX(Positions!$E$2:$E$4694,MATCH($A1104&amp;"|13",Positions!$A$2:$A$4694,0))</f>
        <v>C</v>
      </c>
      <c r="G1104" s="4" t="str">
        <f>INDEX(Positions!$E$2:$E$4694,MATCH($A1104&amp;"|22",Positions!$A$2:$A$4694,0))</f>
        <v>A</v>
      </c>
      <c r="H1104" s="3" t="str">
        <f t="shared" si="68"/>
        <v>C-A</v>
      </c>
      <c r="I1104" s="4">
        <f t="shared" si="69"/>
        <v>0</v>
      </c>
      <c r="J1104" s="4">
        <f t="shared" si="70"/>
        <v>1</v>
      </c>
      <c r="K1104" s="3">
        <f t="shared" si="71"/>
        <v>1</v>
      </c>
    </row>
    <row r="1105" spans="1:11">
      <c r="A1105" s="4" t="s">
        <v>76</v>
      </c>
      <c r="B1105" s="4" t="s">
        <v>144</v>
      </c>
      <c r="C1105" s="4" t="s">
        <v>231</v>
      </c>
      <c r="D1105" s="4">
        <f>INDEX(Positions!$D$2:$D$4694,MATCH($A1105&amp;"|27",Positions!$A$2:$A$4694,0))</f>
        <v>30</v>
      </c>
      <c r="E1105" s="4">
        <f>INDEX(Positions!$D$2:$D$4694,MATCH($A1105&amp;"|43",Positions!$A$2:$A$4694,0))</f>
        <v>46</v>
      </c>
      <c r="F1105" s="4" t="str">
        <f>INDEX(Positions!$E$2:$E$4694,MATCH($A1105&amp;"|27",Positions!$A$2:$A$4694,0))</f>
        <v>A</v>
      </c>
      <c r="G1105" s="4" t="str">
        <f>INDEX(Positions!$E$2:$E$4694,MATCH($A1105&amp;"|43",Positions!$A$2:$A$4694,0))</f>
        <v>U</v>
      </c>
      <c r="H1105" s="3" t="str">
        <f t="shared" si="68"/>
        <v>A-U</v>
      </c>
      <c r="I1105" s="4">
        <f t="shared" si="69"/>
        <v>0</v>
      </c>
      <c r="J1105" s="4">
        <f t="shared" si="70"/>
        <v>0</v>
      </c>
      <c r="K1105" s="3">
        <f t="shared" si="71"/>
        <v>0</v>
      </c>
    </row>
    <row r="1106" spans="1:11">
      <c r="A1106" s="4" t="s">
        <v>76</v>
      </c>
      <c r="B1106" s="4" t="s">
        <v>144</v>
      </c>
      <c r="C1106" s="4" t="s">
        <v>232</v>
      </c>
      <c r="D1106" s="4">
        <f>INDEX(Positions!$D$2:$D$4694,MATCH($A1106&amp;"|28",Positions!$A$2:$A$4694,0))</f>
        <v>31</v>
      </c>
      <c r="E1106" s="4">
        <f>INDEX(Positions!$D$2:$D$4694,MATCH($A1106&amp;"|42",Positions!$A$2:$A$4694,0))</f>
        <v>45</v>
      </c>
      <c r="F1106" s="4" t="str">
        <f>INDEX(Positions!$E$2:$E$4694,MATCH($A1106&amp;"|28",Positions!$A$2:$A$4694,0))</f>
        <v>U</v>
      </c>
      <c r="G1106" s="4" t="str">
        <f>INDEX(Positions!$E$2:$E$4694,MATCH($A1106&amp;"|42",Positions!$A$2:$A$4694,0))</f>
        <v>A</v>
      </c>
      <c r="H1106" s="3" t="str">
        <f t="shared" si="68"/>
        <v>U-A</v>
      </c>
      <c r="I1106" s="4">
        <f t="shared" si="69"/>
        <v>0</v>
      </c>
      <c r="J1106" s="4">
        <f t="shared" si="70"/>
        <v>0</v>
      </c>
      <c r="K1106" s="3">
        <f t="shared" si="71"/>
        <v>0</v>
      </c>
    </row>
    <row r="1107" spans="1:11">
      <c r="A1107" s="4" t="s">
        <v>76</v>
      </c>
      <c r="B1107" s="4" t="s">
        <v>144</v>
      </c>
      <c r="C1107" s="4" t="s">
        <v>233</v>
      </c>
      <c r="D1107" s="4">
        <f>INDEX(Positions!$D$2:$D$4694,MATCH($A1107&amp;"|29",Positions!$A$2:$A$4694,0))</f>
        <v>32</v>
      </c>
      <c r="E1107" s="4">
        <f>INDEX(Positions!$D$2:$D$4694,MATCH($A1107&amp;"|41",Positions!$A$2:$A$4694,0))</f>
        <v>44</v>
      </c>
      <c r="F1107" s="4" t="str">
        <f>INDEX(Positions!$E$2:$E$4694,MATCH($A1107&amp;"|29",Positions!$A$2:$A$4694,0))</f>
        <v>G</v>
      </c>
      <c r="G1107" s="4" t="str">
        <f>INDEX(Positions!$E$2:$E$4694,MATCH($A1107&amp;"|41",Positions!$A$2:$A$4694,0))</f>
        <v>C</v>
      </c>
      <c r="H1107" s="3" t="str">
        <f t="shared" si="68"/>
        <v>G-C</v>
      </c>
      <c r="I1107" s="4">
        <f t="shared" si="69"/>
        <v>1</v>
      </c>
      <c r="J1107" s="4">
        <f t="shared" si="70"/>
        <v>1</v>
      </c>
      <c r="K1107" s="3">
        <f t="shared" si="71"/>
        <v>2</v>
      </c>
    </row>
    <row r="1108" spans="1:11">
      <c r="A1108" s="4" t="s">
        <v>76</v>
      </c>
      <c r="B1108" s="4" t="s">
        <v>144</v>
      </c>
      <c r="C1108" s="4" t="s">
        <v>234</v>
      </c>
      <c r="D1108" s="4">
        <f>INDEX(Positions!$D$2:$D$4694,MATCH($A1108&amp;"|30",Positions!$A$2:$A$4694,0))</f>
        <v>33</v>
      </c>
      <c r="E1108" s="4">
        <f>INDEX(Positions!$D$2:$D$4694,MATCH($A1108&amp;"|40",Positions!$A$2:$A$4694,0))</f>
        <v>43</v>
      </c>
      <c r="F1108" s="4" t="str">
        <f>INDEX(Positions!$E$2:$E$4694,MATCH($A1108&amp;"|30",Positions!$A$2:$A$4694,0))</f>
        <v>G</v>
      </c>
      <c r="G1108" s="4" t="str">
        <f>INDEX(Positions!$E$2:$E$4694,MATCH($A1108&amp;"|40",Positions!$A$2:$A$4694,0))</f>
        <v>C</v>
      </c>
      <c r="H1108" s="3" t="str">
        <f t="shared" si="68"/>
        <v>G-C</v>
      </c>
      <c r="I1108" s="4">
        <f t="shared" si="69"/>
        <v>1</v>
      </c>
      <c r="J1108" s="4">
        <f t="shared" si="70"/>
        <v>1</v>
      </c>
      <c r="K1108" s="3">
        <f t="shared" si="71"/>
        <v>2</v>
      </c>
    </row>
    <row r="1109" spans="1:11">
      <c r="A1109" s="4" t="s">
        <v>76</v>
      </c>
      <c r="B1109" s="4" t="s">
        <v>144</v>
      </c>
      <c r="C1109" s="4" t="s">
        <v>235</v>
      </c>
      <c r="D1109" s="4">
        <f>INDEX(Positions!$D$2:$D$4694,MATCH($A1109&amp;"|31",Positions!$A$2:$A$4694,0))</f>
        <v>34</v>
      </c>
      <c r="E1109" s="4">
        <f>INDEX(Positions!$D$2:$D$4694,MATCH($A1109&amp;"|39",Positions!$A$2:$A$4694,0))</f>
        <v>42</v>
      </c>
      <c r="F1109" s="4" t="str">
        <f>INDEX(Positions!$E$2:$E$4694,MATCH($A1109&amp;"|31",Positions!$A$2:$A$4694,0))</f>
        <v>G</v>
      </c>
      <c r="G1109" s="4" t="str">
        <f>INDEX(Positions!$E$2:$E$4694,MATCH($A1109&amp;"|39",Positions!$A$2:$A$4694,0))</f>
        <v>C</v>
      </c>
      <c r="H1109" s="3" t="str">
        <f t="shared" si="68"/>
        <v>G-C</v>
      </c>
      <c r="I1109" s="4">
        <f t="shared" si="69"/>
        <v>1</v>
      </c>
      <c r="J1109" s="4">
        <f t="shared" si="70"/>
        <v>1</v>
      </c>
      <c r="K1109" s="3">
        <f t="shared" si="71"/>
        <v>2</v>
      </c>
    </row>
    <row r="1110" spans="1:11">
      <c r="A1110" s="4" t="s">
        <v>76</v>
      </c>
      <c r="B1110" s="4" t="s">
        <v>169</v>
      </c>
      <c r="C1110" s="4" t="s">
        <v>236</v>
      </c>
      <c r="D1110" s="4">
        <f>INDEX(Positions!$D$2:$D$4694,MATCH($A1110&amp;"|49",Positions!$A$2:$A$4694,0))</f>
        <v>61</v>
      </c>
      <c r="E1110" s="4">
        <f>INDEX(Positions!$D$2:$D$4694,MATCH($A1110&amp;"|65",Positions!$A$2:$A$4694,0))</f>
        <v>77</v>
      </c>
      <c r="F1110" s="4" t="str">
        <f>INDEX(Positions!$E$2:$E$4694,MATCH($A1110&amp;"|49",Positions!$A$2:$A$4694,0))</f>
        <v>G</v>
      </c>
      <c r="G1110" s="4" t="str">
        <f>INDEX(Positions!$E$2:$E$4694,MATCH($A1110&amp;"|65",Positions!$A$2:$A$4694,0))</f>
        <v>C</v>
      </c>
      <c r="H1110" s="3" t="str">
        <f t="shared" si="68"/>
        <v>G-C</v>
      </c>
      <c r="I1110" s="4">
        <f t="shared" si="69"/>
        <v>1</v>
      </c>
      <c r="J1110" s="4">
        <f t="shared" si="70"/>
        <v>1</v>
      </c>
      <c r="K1110" s="3">
        <f t="shared" si="71"/>
        <v>2</v>
      </c>
    </row>
    <row r="1111" spans="1:11">
      <c r="A1111" s="4" t="s">
        <v>76</v>
      </c>
      <c r="B1111" s="4" t="s">
        <v>169</v>
      </c>
      <c r="C1111" s="4" t="s">
        <v>237</v>
      </c>
      <c r="D1111" s="4">
        <f>INDEX(Positions!$D$2:$D$4694,MATCH($A1111&amp;"|50",Positions!$A$2:$A$4694,0))</f>
        <v>62</v>
      </c>
      <c r="E1111" s="4">
        <f>INDEX(Positions!$D$2:$D$4694,MATCH($A1111&amp;"|64",Positions!$A$2:$A$4694,0))</f>
        <v>76</v>
      </c>
      <c r="F1111" s="4" t="str">
        <f>INDEX(Positions!$E$2:$E$4694,MATCH($A1111&amp;"|50",Positions!$A$2:$A$4694,0))</f>
        <v>U</v>
      </c>
      <c r="G1111" s="4" t="str">
        <f>INDEX(Positions!$E$2:$E$4694,MATCH($A1111&amp;"|64",Positions!$A$2:$A$4694,0))</f>
        <v>A</v>
      </c>
      <c r="H1111" s="3" t="str">
        <f t="shared" si="68"/>
        <v>U-A</v>
      </c>
      <c r="I1111" s="4">
        <f t="shared" si="69"/>
        <v>0</v>
      </c>
      <c r="J1111" s="4">
        <f t="shared" si="70"/>
        <v>0</v>
      </c>
      <c r="K1111" s="3">
        <f t="shared" si="71"/>
        <v>0</v>
      </c>
    </row>
    <row r="1112" spans="1:11">
      <c r="A1112" s="4" t="s">
        <v>76</v>
      </c>
      <c r="B1112" s="4" t="s">
        <v>169</v>
      </c>
      <c r="C1112" s="4" t="s">
        <v>238</v>
      </c>
      <c r="D1112" s="4">
        <f>INDEX(Positions!$D$2:$D$4694,MATCH($A1112&amp;"|51",Positions!$A$2:$A$4694,0))</f>
        <v>63</v>
      </c>
      <c r="E1112" s="4">
        <f>INDEX(Positions!$D$2:$D$4694,MATCH($A1112&amp;"|63",Positions!$A$2:$A$4694,0))</f>
        <v>75</v>
      </c>
      <c r="F1112" s="4" t="str">
        <f>INDEX(Positions!$E$2:$E$4694,MATCH($A1112&amp;"|51",Positions!$A$2:$A$4694,0))</f>
        <v>G</v>
      </c>
      <c r="G1112" s="4" t="str">
        <f>INDEX(Positions!$E$2:$E$4694,MATCH($A1112&amp;"|63",Positions!$A$2:$A$4694,0))</f>
        <v>C</v>
      </c>
      <c r="H1112" s="3" t="str">
        <f t="shared" si="68"/>
        <v>G-C</v>
      </c>
      <c r="I1112" s="4">
        <f t="shared" si="69"/>
        <v>1</v>
      </c>
      <c r="J1112" s="4">
        <f t="shared" si="70"/>
        <v>1</v>
      </c>
      <c r="K1112" s="3">
        <f t="shared" si="71"/>
        <v>2</v>
      </c>
    </row>
    <row r="1113" spans="1:11">
      <c r="A1113" s="4" t="s">
        <v>76</v>
      </c>
      <c r="B1113" s="4" t="s">
        <v>169</v>
      </c>
      <c r="C1113" s="4" t="s">
        <v>239</v>
      </c>
      <c r="D1113" s="4">
        <f>INDEX(Positions!$D$2:$D$4694,MATCH($A1113&amp;"|52",Positions!$A$2:$A$4694,0))</f>
        <v>64</v>
      </c>
      <c r="E1113" s="4">
        <f>INDEX(Positions!$D$2:$D$4694,MATCH($A1113&amp;"|62",Positions!$A$2:$A$4694,0))</f>
        <v>74</v>
      </c>
      <c r="F1113" s="4" t="str">
        <f>INDEX(Positions!$E$2:$E$4694,MATCH($A1113&amp;"|52",Positions!$A$2:$A$4694,0))</f>
        <v>C</v>
      </c>
      <c r="G1113" s="4" t="str">
        <f>INDEX(Positions!$E$2:$E$4694,MATCH($A1113&amp;"|62",Positions!$A$2:$A$4694,0))</f>
        <v>G</v>
      </c>
      <c r="H1113" s="3" t="str">
        <f t="shared" si="68"/>
        <v>C-G</v>
      </c>
      <c r="I1113" s="4">
        <f t="shared" si="69"/>
        <v>1</v>
      </c>
      <c r="J1113" s="4">
        <f t="shared" si="70"/>
        <v>1</v>
      </c>
      <c r="K1113" s="3">
        <f t="shared" si="71"/>
        <v>2</v>
      </c>
    </row>
    <row r="1114" spans="1:11">
      <c r="A1114" s="4" t="s">
        <v>76</v>
      </c>
      <c r="B1114" s="4" t="s">
        <v>169</v>
      </c>
      <c r="C1114" s="4" t="s">
        <v>240</v>
      </c>
      <c r="D1114" s="4">
        <f>INDEX(Positions!$D$2:$D$4694,MATCH($A1114&amp;"|53",Positions!$A$2:$A$4694,0))</f>
        <v>65</v>
      </c>
      <c r="E1114" s="4">
        <f>INDEX(Positions!$D$2:$D$4694,MATCH($A1114&amp;"|61",Positions!$A$2:$A$4694,0))</f>
        <v>73</v>
      </c>
      <c r="F1114" s="4" t="str">
        <f>INDEX(Positions!$E$2:$E$4694,MATCH($A1114&amp;"|53",Positions!$A$2:$A$4694,0))</f>
        <v>G</v>
      </c>
      <c r="G1114" s="4" t="str">
        <f>INDEX(Positions!$E$2:$E$4694,MATCH($A1114&amp;"|61",Positions!$A$2:$A$4694,0))</f>
        <v>C</v>
      </c>
      <c r="H1114" s="3" t="str">
        <f t="shared" si="68"/>
        <v>G-C</v>
      </c>
      <c r="I1114" s="4">
        <f t="shared" si="69"/>
        <v>1</v>
      </c>
      <c r="J1114" s="4">
        <f t="shared" si="70"/>
        <v>1</v>
      </c>
      <c r="K1114" s="3">
        <f t="shared" si="71"/>
        <v>2</v>
      </c>
    </row>
    <row r="1115" spans="1:11">
      <c r="A1115" s="23" t="s">
        <v>76</v>
      </c>
      <c r="B1115" s="23" t="s">
        <v>241</v>
      </c>
      <c r="C1115" s="23" t="s">
        <v>242</v>
      </c>
      <c r="D1115" s="23">
        <f>INDEX(Positions!$D$2:$D$4694,MATCH($A1115&amp;"|8",Positions!$A$2:$A$4694,0))</f>
        <v>8</v>
      </c>
      <c r="E1115" s="23">
        <f>INDEX(Positions!$D$2:$D$4694,MATCH($A1115&amp;"|14",Positions!$A$2:$A$4694,0))</f>
        <v>14</v>
      </c>
      <c r="F1115" s="23" t="str">
        <f>INDEX(Positions!$E$2:$E$4694,MATCH($A1115&amp;"|8",Positions!$A$2:$A$4694,0))</f>
        <v>U</v>
      </c>
      <c r="G1115" s="23" t="str">
        <f>INDEX(Positions!$E$2:$E$4694,MATCH($A1115&amp;"|14",Positions!$A$2:$A$4694,0))</f>
        <v>A</v>
      </c>
      <c r="H1115" s="24" t="str">
        <f t="shared" si="68"/>
        <v>U-A</v>
      </c>
      <c r="I1115" s="23">
        <f t="shared" si="69"/>
        <v>0</v>
      </c>
      <c r="J1115" s="23">
        <f t="shared" si="70"/>
        <v>0</v>
      </c>
      <c r="K1115" s="24">
        <f t="shared" si="71"/>
        <v>0</v>
      </c>
    </row>
    <row r="1116" spans="1:11">
      <c r="A1116" s="23" t="s">
        <v>76</v>
      </c>
      <c r="B1116" s="23" t="s">
        <v>241</v>
      </c>
      <c r="C1116" s="23" t="s">
        <v>243</v>
      </c>
      <c r="D1116" s="23">
        <f>INDEX(Positions!$D$2:$D$4694,MATCH($A1116&amp;"|15",Positions!$A$2:$A$4694,0))</f>
        <v>15</v>
      </c>
      <c r="E1116" s="23">
        <f>INDEX(Positions!$D$2:$D$4694,MATCH($A1116&amp;"|48",Positions!$A$2:$A$4694,0))</f>
        <v>60</v>
      </c>
      <c r="F1116" s="23" t="str">
        <f>INDEX(Positions!$E$2:$E$4694,MATCH($A1116&amp;"|15",Positions!$A$2:$A$4694,0))</f>
        <v>G</v>
      </c>
      <c r="G1116" s="23" t="str">
        <f>INDEX(Positions!$E$2:$E$4694,MATCH($A1116&amp;"|48",Positions!$A$2:$A$4694,0))</f>
        <v>C</v>
      </c>
      <c r="H1116" s="24" t="str">
        <f t="shared" si="68"/>
        <v>G-C</v>
      </c>
      <c r="I1116" s="23">
        <f t="shared" si="69"/>
        <v>1</v>
      </c>
      <c r="J1116" s="23">
        <f t="shared" si="70"/>
        <v>1</v>
      </c>
      <c r="K1116" s="24">
        <f t="shared" si="71"/>
        <v>2</v>
      </c>
    </row>
    <row r="1117" spans="1:11">
      <c r="A1117" s="23" t="s">
        <v>76</v>
      </c>
      <c r="B1117" s="23" t="s">
        <v>241</v>
      </c>
      <c r="C1117" s="23" t="s">
        <v>244</v>
      </c>
      <c r="D1117" s="23">
        <f>INDEX(Positions!$D$2:$D$4694,MATCH($A1117&amp;"|18",Positions!$A$2:$A$4694,0))</f>
        <v>19</v>
      </c>
      <c r="E1117" s="23">
        <f>INDEX(Positions!$D$2:$D$4694,MATCH($A1117&amp;"|55",Positions!$A$2:$A$4694,0))</f>
        <v>67</v>
      </c>
      <c r="F1117" s="23" t="str">
        <f>INDEX(Positions!$E$2:$E$4694,MATCH($A1117&amp;"|18",Positions!$A$2:$A$4694,0))</f>
        <v>G</v>
      </c>
      <c r="G1117" s="23" t="str">
        <f>INDEX(Positions!$E$2:$E$4694,MATCH($A1117&amp;"|55",Positions!$A$2:$A$4694,0))</f>
        <v>U</v>
      </c>
      <c r="H1117" s="24" t="str">
        <f t="shared" si="68"/>
        <v>G-U</v>
      </c>
      <c r="I1117" s="23">
        <f t="shared" si="69"/>
        <v>1</v>
      </c>
      <c r="J1117" s="23">
        <f t="shared" si="70"/>
        <v>0</v>
      </c>
      <c r="K1117" s="24">
        <f t="shared" si="71"/>
        <v>1</v>
      </c>
    </row>
    <row r="1118" spans="1:11">
      <c r="A1118" s="23" t="s">
        <v>76</v>
      </c>
      <c r="B1118" s="23" t="s">
        <v>241</v>
      </c>
      <c r="C1118" s="23" t="s">
        <v>245</v>
      </c>
      <c r="D1118" s="23">
        <f>INDEX(Positions!$D$2:$D$4694,MATCH($A1118&amp;"|19",Positions!$A$2:$A$4694,0))</f>
        <v>20</v>
      </c>
      <c r="E1118" s="23">
        <f>INDEX(Positions!$D$2:$D$4694,MATCH($A1118&amp;"|56",Positions!$A$2:$A$4694,0))</f>
        <v>68</v>
      </c>
      <c r="F1118" s="23" t="str">
        <f>INDEX(Positions!$E$2:$E$4694,MATCH($A1118&amp;"|19",Positions!$A$2:$A$4694,0))</f>
        <v>G</v>
      </c>
      <c r="G1118" s="23" t="str">
        <f>INDEX(Positions!$E$2:$E$4694,MATCH($A1118&amp;"|56",Positions!$A$2:$A$4694,0))</f>
        <v>C</v>
      </c>
      <c r="H1118" s="24" t="str">
        <f t="shared" si="68"/>
        <v>G-C</v>
      </c>
      <c r="I1118" s="23">
        <f t="shared" si="69"/>
        <v>1</v>
      </c>
      <c r="J1118" s="23">
        <f t="shared" si="70"/>
        <v>1</v>
      </c>
      <c r="K1118" s="24">
        <f t="shared" si="71"/>
        <v>2</v>
      </c>
    </row>
    <row r="1119" spans="1:11">
      <c r="A1119" s="23" t="s">
        <v>76</v>
      </c>
      <c r="B1119" s="23" t="s">
        <v>241</v>
      </c>
      <c r="C1119" s="23" t="s">
        <v>246</v>
      </c>
      <c r="D1119" s="23">
        <f>INDEX(Positions!$D$2:$D$4694,MATCH($A1119&amp;"|26",Positions!$A$2:$A$4694,0))</f>
        <v>29</v>
      </c>
      <c r="E1119" s="23">
        <f>INDEX(Positions!$D$2:$D$4694,MATCH($A1119&amp;"|44",Positions!$A$2:$A$4694,0))</f>
        <v>47</v>
      </c>
      <c r="F1119" s="23" t="str">
        <f>INDEX(Positions!$E$2:$E$4694,MATCH($A1119&amp;"|26",Positions!$A$2:$A$4694,0))</f>
        <v>G</v>
      </c>
      <c r="G1119" s="23" t="str">
        <f>INDEX(Positions!$E$2:$E$4694,MATCH($A1119&amp;"|44",Positions!$A$2:$A$4694,0))</f>
        <v>U</v>
      </c>
      <c r="H1119" s="24" t="str">
        <f t="shared" si="68"/>
        <v>G-U</v>
      </c>
      <c r="I1119" s="23">
        <f t="shared" si="69"/>
        <v>1</v>
      </c>
      <c r="J1119" s="23">
        <f t="shared" si="70"/>
        <v>0</v>
      </c>
      <c r="K1119" s="24">
        <f t="shared" si="71"/>
        <v>1</v>
      </c>
    </row>
    <row r="1120" spans="1:11">
      <c r="A1120" s="23" t="s">
        <v>76</v>
      </c>
      <c r="B1120" s="23" t="s">
        <v>241</v>
      </c>
      <c r="C1120" s="23" t="s">
        <v>247</v>
      </c>
      <c r="D1120" s="23">
        <f>INDEX(Positions!$D$2:$D$4694,MATCH($A1120&amp;"|32",Positions!$A$2:$A$4694,0))</f>
        <v>35</v>
      </c>
      <c r="E1120" s="23">
        <f>INDEX(Positions!$D$2:$D$4694,MATCH($A1120&amp;"|38",Positions!$A$2:$A$4694,0))</f>
        <v>41</v>
      </c>
      <c r="F1120" s="23" t="str">
        <f>INDEX(Positions!$E$2:$E$4694,MATCH($A1120&amp;"|32",Positions!$A$2:$A$4694,0))</f>
        <v>C</v>
      </c>
      <c r="G1120" s="23" t="str">
        <f>INDEX(Positions!$E$2:$E$4694,MATCH($A1120&amp;"|38",Positions!$A$2:$A$4694,0))</f>
        <v>A</v>
      </c>
      <c r="H1120" s="24" t="str">
        <f t="shared" si="68"/>
        <v>C-A</v>
      </c>
      <c r="I1120" s="23">
        <f t="shared" si="69"/>
        <v>0</v>
      </c>
      <c r="J1120" s="23">
        <f t="shared" si="70"/>
        <v>1</v>
      </c>
      <c r="K1120" s="24">
        <f t="shared" si="71"/>
        <v>1</v>
      </c>
    </row>
    <row r="1121" spans="1:11">
      <c r="A1121" s="23" t="s">
        <v>76</v>
      </c>
      <c r="B1121" s="23" t="s">
        <v>241</v>
      </c>
      <c r="C1121" s="23" t="s">
        <v>248</v>
      </c>
      <c r="D1121" s="23">
        <f>INDEX(Positions!$D$2:$D$4694,MATCH($A1121&amp;"|54",Positions!$A$2:$A$4694,0))</f>
        <v>66</v>
      </c>
      <c r="E1121" s="23">
        <f>INDEX(Positions!$D$2:$D$4694,MATCH($A1121&amp;"|58",Positions!$A$2:$A$4694,0))</f>
        <v>70</v>
      </c>
      <c r="F1121" s="23" t="str">
        <f>INDEX(Positions!$E$2:$E$4694,MATCH($A1121&amp;"|54",Positions!$A$2:$A$4694,0))</f>
        <v>U</v>
      </c>
      <c r="G1121" s="23" t="str">
        <f>INDEX(Positions!$E$2:$E$4694,MATCH($A1121&amp;"|58",Positions!$A$2:$A$4694,0))</f>
        <v>A</v>
      </c>
      <c r="H1121" s="24" t="str">
        <f t="shared" si="68"/>
        <v>U-A</v>
      </c>
      <c r="I1121" s="23">
        <f t="shared" si="69"/>
        <v>0</v>
      </c>
      <c r="J1121" s="23">
        <f t="shared" si="70"/>
        <v>0</v>
      </c>
      <c r="K1121" s="24">
        <f t="shared" si="71"/>
        <v>0</v>
      </c>
    </row>
    <row r="1122" spans="1:11">
      <c r="A1122" s="4" t="s">
        <v>77</v>
      </c>
      <c r="B1122" s="4" t="s">
        <v>110</v>
      </c>
      <c r="C1122" s="4" t="s">
        <v>220</v>
      </c>
      <c r="D1122" s="4">
        <f>INDEX(Positions!$D$2:$D$4694,MATCH($A1122&amp;"|1",Positions!$A$2:$A$4694,0))</f>
        <v>1</v>
      </c>
      <c r="E1122" s="4">
        <f>INDEX(Positions!$D$2:$D$4694,MATCH($A1122&amp;"|72",Positions!$A$2:$A$4694,0))</f>
        <v>73</v>
      </c>
      <c r="F1122" s="4" t="str">
        <f>INDEX(Positions!$E$2:$E$4694,MATCH($A1122&amp;"|1",Positions!$A$2:$A$4694,0))</f>
        <v>G</v>
      </c>
      <c r="G1122" s="4" t="str">
        <f>INDEX(Positions!$E$2:$E$4694,MATCH($A1122&amp;"|72",Positions!$A$2:$A$4694,0))</f>
        <v>C</v>
      </c>
      <c r="H1122" s="3" t="str">
        <f t="shared" si="68"/>
        <v>G-C</v>
      </c>
      <c r="I1122" s="4">
        <f t="shared" si="69"/>
        <v>1</v>
      </c>
      <c r="J1122" s="4">
        <f t="shared" si="70"/>
        <v>1</v>
      </c>
      <c r="K1122" s="3">
        <f t="shared" si="71"/>
        <v>2</v>
      </c>
    </row>
    <row r="1123" spans="1:11">
      <c r="A1123" s="4" t="s">
        <v>77</v>
      </c>
      <c r="B1123" s="4" t="s">
        <v>110</v>
      </c>
      <c r="C1123" s="4" t="s">
        <v>221</v>
      </c>
      <c r="D1123" s="4">
        <f>INDEX(Positions!$D$2:$D$4694,MATCH($A1123&amp;"|2",Positions!$A$2:$A$4694,0))</f>
        <v>2</v>
      </c>
      <c r="E1123" s="4">
        <f>INDEX(Positions!$D$2:$D$4694,MATCH($A1123&amp;"|71",Positions!$A$2:$A$4694,0))</f>
        <v>72</v>
      </c>
      <c r="F1123" s="4" t="str">
        <f>INDEX(Positions!$E$2:$E$4694,MATCH($A1123&amp;"|2",Positions!$A$2:$A$4694,0))</f>
        <v>G</v>
      </c>
      <c r="G1123" s="4" t="str">
        <f>INDEX(Positions!$E$2:$E$4694,MATCH($A1123&amp;"|71",Positions!$A$2:$A$4694,0))</f>
        <v>C</v>
      </c>
      <c r="H1123" s="3" t="str">
        <f t="shared" si="68"/>
        <v>G-C</v>
      </c>
      <c r="I1123" s="4">
        <f t="shared" si="69"/>
        <v>1</v>
      </c>
      <c r="J1123" s="4">
        <f t="shared" si="70"/>
        <v>1</v>
      </c>
      <c r="K1123" s="3">
        <f t="shared" si="71"/>
        <v>2</v>
      </c>
    </row>
    <row r="1124" spans="1:11">
      <c r="A1124" s="4" t="s">
        <v>77</v>
      </c>
      <c r="B1124" s="4" t="s">
        <v>110</v>
      </c>
      <c r="C1124" s="4" t="s">
        <v>222</v>
      </c>
      <c r="D1124" s="4">
        <f>INDEX(Positions!$D$2:$D$4694,MATCH($A1124&amp;"|3",Positions!$A$2:$A$4694,0))</f>
        <v>3</v>
      </c>
      <c r="E1124" s="4">
        <f>INDEX(Positions!$D$2:$D$4694,MATCH($A1124&amp;"|70",Positions!$A$2:$A$4694,0))</f>
        <v>71</v>
      </c>
      <c r="F1124" s="4" t="str">
        <f>INDEX(Positions!$E$2:$E$4694,MATCH($A1124&amp;"|3",Positions!$A$2:$A$4694,0))</f>
        <v>G</v>
      </c>
      <c r="G1124" s="4" t="str">
        <f>INDEX(Positions!$E$2:$E$4694,MATCH($A1124&amp;"|70",Positions!$A$2:$A$4694,0))</f>
        <v>C</v>
      </c>
      <c r="H1124" s="3" t="str">
        <f t="shared" si="68"/>
        <v>G-C</v>
      </c>
      <c r="I1124" s="4">
        <f t="shared" si="69"/>
        <v>1</v>
      </c>
      <c r="J1124" s="4">
        <f t="shared" si="70"/>
        <v>1</v>
      </c>
      <c r="K1124" s="3">
        <f t="shared" si="71"/>
        <v>2</v>
      </c>
    </row>
    <row r="1125" spans="1:11">
      <c r="A1125" s="4" t="s">
        <v>77</v>
      </c>
      <c r="B1125" s="4" t="s">
        <v>110</v>
      </c>
      <c r="C1125" s="4" t="s">
        <v>223</v>
      </c>
      <c r="D1125" s="4">
        <f>INDEX(Positions!$D$2:$D$4694,MATCH($A1125&amp;"|4",Positions!$A$2:$A$4694,0))</f>
        <v>4</v>
      </c>
      <c r="E1125" s="4">
        <f>INDEX(Positions!$D$2:$D$4694,MATCH($A1125&amp;"|69",Positions!$A$2:$A$4694,0))</f>
        <v>70</v>
      </c>
      <c r="F1125" s="4" t="str">
        <f>INDEX(Positions!$E$2:$E$4694,MATCH($A1125&amp;"|4",Positions!$A$2:$A$4694,0))</f>
        <v>C</v>
      </c>
      <c r="G1125" s="4" t="str">
        <f>INDEX(Positions!$E$2:$E$4694,MATCH($A1125&amp;"|69",Positions!$A$2:$A$4694,0))</f>
        <v>G</v>
      </c>
      <c r="H1125" s="3" t="str">
        <f t="shared" si="68"/>
        <v>C-G</v>
      </c>
      <c r="I1125" s="4">
        <f t="shared" si="69"/>
        <v>1</v>
      </c>
      <c r="J1125" s="4">
        <f t="shared" si="70"/>
        <v>1</v>
      </c>
      <c r="K1125" s="3">
        <f t="shared" si="71"/>
        <v>2</v>
      </c>
    </row>
    <row r="1126" spans="1:11">
      <c r="A1126" s="4" t="s">
        <v>77</v>
      </c>
      <c r="B1126" s="4" t="s">
        <v>110</v>
      </c>
      <c r="C1126" s="4" t="s">
        <v>224</v>
      </c>
      <c r="D1126" s="4">
        <f>INDEX(Positions!$D$2:$D$4694,MATCH($A1126&amp;"|5",Positions!$A$2:$A$4694,0))</f>
        <v>5</v>
      </c>
      <c r="E1126" s="4">
        <f>INDEX(Positions!$D$2:$D$4694,MATCH($A1126&amp;"|68",Positions!$A$2:$A$4694,0))</f>
        <v>69</v>
      </c>
      <c r="F1126" s="4" t="str">
        <f>INDEX(Positions!$E$2:$E$4694,MATCH($A1126&amp;"|5",Positions!$A$2:$A$4694,0))</f>
        <v>C</v>
      </c>
      <c r="G1126" s="4" t="str">
        <f>INDEX(Positions!$E$2:$E$4694,MATCH($A1126&amp;"|68",Positions!$A$2:$A$4694,0))</f>
        <v>G</v>
      </c>
      <c r="H1126" s="3" t="str">
        <f t="shared" si="68"/>
        <v>C-G</v>
      </c>
      <c r="I1126" s="4">
        <f t="shared" si="69"/>
        <v>1</v>
      </c>
      <c r="J1126" s="4">
        <f t="shared" si="70"/>
        <v>1</v>
      </c>
      <c r="K1126" s="3">
        <f t="shared" si="71"/>
        <v>2</v>
      </c>
    </row>
    <row r="1127" spans="1:11">
      <c r="A1127" s="4" t="s">
        <v>77</v>
      </c>
      <c r="B1127" s="4" t="s">
        <v>110</v>
      </c>
      <c r="C1127" s="4" t="s">
        <v>225</v>
      </c>
      <c r="D1127" s="4">
        <f>INDEX(Positions!$D$2:$D$4694,MATCH($A1127&amp;"|6",Positions!$A$2:$A$4694,0))</f>
        <v>6</v>
      </c>
      <c r="E1127" s="4">
        <f>INDEX(Positions!$D$2:$D$4694,MATCH($A1127&amp;"|67",Positions!$A$2:$A$4694,0))</f>
        <v>68</v>
      </c>
      <c r="F1127" s="4" t="str">
        <f>INDEX(Positions!$E$2:$E$4694,MATCH($A1127&amp;"|6",Positions!$A$2:$A$4694,0))</f>
        <v>C</v>
      </c>
      <c r="G1127" s="4" t="str">
        <f>INDEX(Positions!$E$2:$E$4694,MATCH($A1127&amp;"|67",Positions!$A$2:$A$4694,0))</f>
        <v>G</v>
      </c>
      <c r="H1127" s="3" t="str">
        <f t="shared" si="68"/>
        <v>C-G</v>
      </c>
      <c r="I1127" s="4">
        <f t="shared" si="69"/>
        <v>1</v>
      </c>
      <c r="J1127" s="4">
        <f t="shared" si="70"/>
        <v>1</v>
      </c>
      <c r="K1127" s="3">
        <f t="shared" si="71"/>
        <v>2</v>
      </c>
    </row>
    <row r="1128" spans="1:11">
      <c r="A1128" s="4" t="s">
        <v>77</v>
      </c>
      <c r="B1128" s="4" t="s">
        <v>110</v>
      </c>
      <c r="C1128" s="4" t="s">
        <v>226</v>
      </c>
      <c r="D1128" s="4">
        <f>INDEX(Positions!$D$2:$D$4694,MATCH($A1128&amp;"|7",Positions!$A$2:$A$4694,0))</f>
        <v>7</v>
      </c>
      <c r="E1128" s="4">
        <f>INDEX(Positions!$D$2:$D$4694,MATCH($A1128&amp;"|66",Positions!$A$2:$A$4694,0))</f>
        <v>67</v>
      </c>
      <c r="F1128" s="4" t="str">
        <f>INDEX(Positions!$E$2:$E$4694,MATCH($A1128&amp;"|7",Positions!$A$2:$A$4694,0))</f>
        <v>G</v>
      </c>
      <c r="G1128" s="4" t="str">
        <f>INDEX(Positions!$E$2:$E$4694,MATCH($A1128&amp;"|66",Positions!$A$2:$A$4694,0))</f>
        <v>C</v>
      </c>
      <c r="H1128" s="3" t="str">
        <f t="shared" si="68"/>
        <v>G-C</v>
      </c>
      <c r="I1128" s="4">
        <f t="shared" si="69"/>
        <v>1</v>
      </c>
      <c r="J1128" s="4">
        <f t="shared" si="70"/>
        <v>1</v>
      </c>
      <c r="K1128" s="3">
        <f t="shared" si="71"/>
        <v>2</v>
      </c>
    </row>
    <row r="1129" spans="1:11">
      <c r="A1129" s="4" t="s">
        <v>77</v>
      </c>
      <c r="B1129" s="4" t="s">
        <v>125</v>
      </c>
      <c r="C1129" s="4" t="s">
        <v>227</v>
      </c>
      <c r="D1129" s="4">
        <f>INDEX(Positions!$D$2:$D$4694,MATCH($A1129&amp;"|10",Positions!$A$2:$A$4694,0))</f>
        <v>10</v>
      </c>
      <c r="E1129" s="4">
        <f>INDEX(Positions!$D$2:$D$4694,MATCH($A1129&amp;"|25",Positions!$A$2:$A$4694,0))</f>
        <v>26</v>
      </c>
      <c r="F1129" s="4" t="str">
        <f>INDEX(Positions!$E$2:$E$4694,MATCH($A1129&amp;"|10",Positions!$A$2:$A$4694,0))</f>
        <v>G</v>
      </c>
      <c r="G1129" s="4" t="str">
        <f>INDEX(Positions!$E$2:$E$4694,MATCH($A1129&amp;"|25",Positions!$A$2:$A$4694,0))</f>
        <v>C</v>
      </c>
      <c r="H1129" s="3" t="str">
        <f t="shared" si="68"/>
        <v>G-C</v>
      </c>
      <c r="I1129" s="4">
        <f t="shared" si="69"/>
        <v>1</v>
      </c>
      <c r="J1129" s="4">
        <f t="shared" si="70"/>
        <v>1</v>
      </c>
      <c r="K1129" s="3">
        <f t="shared" si="71"/>
        <v>2</v>
      </c>
    </row>
    <row r="1130" spans="1:11">
      <c r="A1130" s="4" t="s">
        <v>77</v>
      </c>
      <c r="B1130" s="4" t="s">
        <v>125</v>
      </c>
      <c r="C1130" s="4" t="s">
        <v>228</v>
      </c>
      <c r="D1130" s="4">
        <f>INDEX(Positions!$D$2:$D$4694,MATCH($A1130&amp;"|11",Positions!$A$2:$A$4694,0))</f>
        <v>11</v>
      </c>
      <c r="E1130" s="4">
        <f>INDEX(Positions!$D$2:$D$4694,MATCH($A1130&amp;"|24",Positions!$A$2:$A$4694,0))</f>
        <v>25</v>
      </c>
      <c r="F1130" s="4" t="str">
        <f>INDEX(Positions!$E$2:$E$4694,MATCH($A1130&amp;"|11",Positions!$A$2:$A$4694,0))</f>
        <v>C</v>
      </c>
      <c r="G1130" s="4" t="str">
        <f>INDEX(Positions!$E$2:$E$4694,MATCH($A1130&amp;"|24",Positions!$A$2:$A$4694,0))</f>
        <v>G</v>
      </c>
      <c r="H1130" s="3" t="str">
        <f t="shared" si="68"/>
        <v>C-G</v>
      </c>
      <c r="I1130" s="4">
        <f t="shared" si="69"/>
        <v>1</v>
      </c>
      <c r="J1130" s="4">
        <f t="shared" si="70"/>
        <v>1</v>
      </c>
      <c r="K1130" s="3">
        <f t="shared" si="71"/>
        <v>2</v>
      </c>
    </row>
    <row r="1131" spans="1:11">
      <c r="A1131" s="4" t="s">
        <v>77</v>
      </c>
      <c r="B1131" s="4" t="s">
        <v>125</v>
      </c>
      <c r="C1131" s="4" t="s">
        <v>229</v>
      </c>
      <c r="D1131" s="4">
        <f>INDEX(Positions!$D$2:$D$4694,MATCH($A1131&amp;"|12",Positions!$A$2:$A$4694,0))</f>
        <v>12</v>
      </c>
      <c r="E1131" s="4">
        <f>INDEX(Positions!$D$2:$D$4694,MATCH($A1131&amp;"|23",Positions!$A$2:$A$4694,0))</f>
        <v>24</v>
      </c>
      <c r="F1131" s="4" t="str">
        <f>INDEX(Positions!$E$2:$E$4694,MATCH($A1131&amp;"|12",Positions!$A$2:$A$4694,0))</f>
        <v>U</v>
      </c>
      <c r="G1131" s="4" t="str">
        <f>INDEX(Positions!$E$2:$E$4694,MATCH($A1131&amp;"|23",Positions!$A$2:$A$4694,0))</f>
        <v>A</v>
      </c>
      <c r="H1131" s="3" t="str">
        <f t="shared" si="68"/>
        <v>U-A</v>
      </c>
      <c r="I1131" s="4">
        <f t="shared" si="69"/>
        <v>0</v>
      </c>
      <c r="J1131" s="4">
        <f t="shared" si="70"/>
        <v>0</v>
      </c>
      <c r="K1131" s="3">
        <f t="shared" si="71"/>
        <v>0</v>
      </c>
    </row>
    <row r="1132" spans="1:11">
      <c r="A1132" s="4" t="s">
        <v>77</v>
      </c>
      <c r="B1132" s="4" t="s">
        <v>125</v>
      </c>
      <c r="C1132" s="4" t="s">
        <v>230</v>
      </c>
      <c r="D1132" s="4">
        <f>INDEX(Positions!$D$2:$D$4694,MATCH($A1132&amp;"|13",Positions!$A$2:$A$4694,0))</f>
        <v>13</v>
      </c>
      <c r="E1132" s="4">
        <f>INDEX(Positions!$D$2:$D$4694,MATCH($A1132&amp;"|22",Positions!$A$2:$A$4694,0))</f>
        <v>23</v>
      </c>
      <c r="F1132" s="4" t="str">
        <f>INDEX(Positions!$E$2:$E$4694,MATCH($A1132&amp;"|13",Positions!$A$2:$A$4694,0))</f>
        <v>U</v>
      </c>
      <c r="G1132" s="4" t="str">
        <f>INDEX(Positions!$E$2:$E$4694,MATCH($A1132&amp;"|22",Positions!$A$2:$A$4694,0))</f>
        <v>G</v>
      </c>
      <c r="H1132" s="3" t="str">
        <f t="shared" si="68"/>
        <v>U-G</v>
      </c>
      <c r="I1132" s="4">
        <f t="shared" si="69"/>
        <v>1</v>
      </c>
      <c r="J1132" s="4">
        <f t="shared" si="70"/>
        <v>0</v>
      </c>
      <c r="K1132" s="3">
        <f t="shared" si="71"/>
        <v>1</v>
      </c>
    </row>
    <row r="1133" spans="1:11">
      <c r="A1133" s="4" t="s">
        <v>77</v>
      </c>
      <c r="B1133" s="4" t="s">
        <v>144</v>
      </c>
      <c r="C1133" s="4" t="s">
        <v>231</v>
      </c>
      <c r="D1133" s="4">
        <f>INDEX(Positions!$D$2:$D$4694,MATCH($A1133&amp;"|27",Positions!$A$2:$A$4694,0))</f>
        <v>28</v>
      </c>
      <c r="E1133" s="4">
        <f>INDEX(Positions!$D$2:$D$4694,MATCH($A1133&amp;"|43",Positions!$A$2:$A$4694,0))</f>
        <v>44</v>
      </c>
      <c r="F1133" s="4" t="str">
        <f>INDEX(Positions!$E$2:$E$4694,MATCH($A1133&amp;"|27",Positions!$A$2:$A$4694,0))</f>
        <v>A</v>
      </c>
      <c r="G1133" s="4" t="str">
        <f>INDEX(Positions!$E$2:$E$4694,MATCH($A1133&amp;"|43",Positions!$A$2:$A$4694,0))</f>
        <v>U</v>
      </c>
      <c r="H1133" s="3" t="str">
        <f t="shared" si="68"/>
        <v>A-U</v>
      </c>
      <c r="I1133" s="4">
        <f t="shared" si="69"/>
        <v>0</v>
      </c>
      <c r="J1133" s="4">
        <f t="shared" si="70"/>
        <v>0</v>
      </c>
      <c r="K1133" s="3">
        <f t="shared" si="71"/>
        <v>0</v>
      </c>
    </row>
    <row r="1134" spans="1:11">
      <c r="A1134" s="4" t="s">
        <v>77</v>
      </c>
      <c r="B1134" s="4" t="s">
        <v>144</v>
      </c>
      <c r="C1134" s="4" t="s">
        <v>232</v>
      </c>
      <c r="D1134" s="4">
        <f>INDEX(Positions!$D$2:$D$4694,MATCH($A1134&amp;"|28",Positions!$A$2:$A$4694,0))</f>
        <v>29</v>
      </c>
      <c r="E1134" s="4">
        <f>INDEX(Positions!$D$2:$D$4694,MATCH($A1134&amp;"|42",Positions!$A$2:$A$4694,0))</f>
        <v>43</v>
      </c>
      <c r="F1134" s="4" t="str">
        <f>INDEX(Positions!$E$2:$E$4694,MATCH($A1134&amp;"|28",Positions!$A$2:$A$4694,0))</f>
        <v>U</v>
      </c>
      <c r="G1134" s="4" t="str">
        <f>INDEX(Positions!$E$2:$E$4694,MATCH($A1134&amp;"|42",Positions!$A$2:$A$4694,0))</f>
        <v>A</v>
      </c>
      <c r="H1134" s="3" t="str">
        <f t="shared" si="68"/>
        <v>U-A</v>
      </c>
      <c r="I1134" s="4">
        <f t="shared" si="69"/>
        <v>0</v>
      </c>
      <c r="J1134" s="4">
        <f t="shared" si="70"/>
        <v>0</v>
      </c>
      <c r="K1134" s="3">
        <f t="shared" si="71"/>
        <v>0</v>
      </c>
    </row>
    <row r="1135" spans="1:11">
      <c r="A1135" s="4" t="s">
        <v>77</v>
      </c>
      <c r="B1135" s="4" t="s">
        <v>144</v>
      </c>
      <c r="C1135" s="4" t="s">
        <v>233</v>
      </c>
      <c r="D1135" s="4">
        <f>INDEX(Positions!$D$2:$D$4694,MATCH($A1135&amp;"|29",Positions!$A$2:$A$4694,0))</f>
        <v>30</v>
      </c>
      <c r="E1135" s="4">
        <f>INDEX(Positions!$D$2:$D$4694,MATCH($A1135&amp;"|41",Positions!$A$2:$A$4694,0))</f>
        <v>42</v>
      </c>
      <c r="F1135" s="4" t="str">
        <f>INDEX(Positions!$E$2:$E$4694,MATCH($A1135&amp;"|29",Positions!$A$2:$A$4694,0))</f>
        <v>G</v>
      </c>
      <c r="G1135" s="4" t="str">
        <f>INDEX(Positions!$E$2:$E$4694,MATCH($A1135&amp;"|41",Positions!$A$2:$A$4694,0))</f>
        <v>C</v>
      </c>
      <c r="H1135" s="3" t="str">
        <f t="shared" si="68"/>
        <v>G-C</v>
      </c>
      <c r="I1135" s="4">
        <f t="shared" si="69"/>
        <v>1</v>
      </c>
      <c r="J1135" s="4">
        <f t="shared" si="70"/>
        <v>1</v>
      </c>
      <c r="K1135" s="3">
        <f t="shared" si="71"/>
        <v>2</v>
      </c>
    </row>
    <row r="1136" spans="1:11">
      <c r="A1136" s="4" t="s">
        <v>77</v>
      </c>
      <c r="B1136" s="4" t="s">
        <v>144</v>
      </c>
      <c r="C1136" s="4" t="s">
        <v>234</v>
      </c>
      <c r="D1136" s="4">
        <f>INDEX(Positions!$D$2:$D$4694,MATCH($A1136&amp;"|30",Positions!$A$2:$A$4694,0))</f>
        <v>31</v>
      </c>
      <c r="E1136" s="4">
        <f>INDEX(Positions!$D$2:$D$4694,MATCH($A1136&amp;"|40",Positions!$A$2:$A$4694,0))</f>
        <v>41</v>
      </c>
      <c r="F1136" s="4" t="str">
        <f>INDEX(Positions!$E$2:$E$4694,MATCH($A1136&amp;"|30",Positions!$A$2:$A$4694,0))</f>
        <v>G</v>
      </c>
      <c r="G1136" s="4" t="str">
        <f>INDEX(Positions!$E$2:$E$4694,MATCH($A1136&amp;"|40",Positions!$A$2:$A$4694,0))</f>
        <v>C</v>
      </c>
      <c r="H1136" s="3" t="str">
        <f t="shared" si="68"/>
        <v>G-C</v>
      </c>
      <c r="I1136" s="4">
        <f t="shared" si="69"/>
        <v>1</v>
      </c>
      <c r="J1136" s="4">
        <f t="shared" si="70"/>
        <v>1</v>
      </c>
      <c r="K1136" s="3">
        <f t="shared" si="71"/>
        <v>2</v>
      </c>
    </row>
    <row r="1137" spans="1:11">
      <c r="A1137" s="4" t="s">
        <v>77</v>
      </c>
      <c r="B1137" s="4" t="s">
        <v>144</v>
      </c>
      <c r="C1137" s="4" t="s">
        <v>235</v>
      </c>
      <c r="D1137" s="4">
        <f>INDEX(Positions!$D$2:$D$4694,MATCH($A1137&amp;"|31",Positions!$A$2:$A$4694,0))</f>
        <v>32</v>
      </c>
      <c r="E1137" s="4">
        <f>INDEX(Positions!$D$2:$D$4694,MATCH($A1137&amp;"|39",Positions!$A$2:$A$4694,0))</f>
        <v>40</v>
      </c>
      <c r="F1137" s="4" t="str">
        <f>INDEX(Positions!$E$2:$E$4694,MATCH($A1137&amp;"|31",Positions!$A$2:$A$4694,0))</f>
        <v>A</v>
      </c>
      <c r="G1137" s="4" t="str">
        <f>INDEX(Positions!$E$2:$E$4694,MATCH($A1137&amp;"|39",Positions!$A$2:$A$4694,0))</f>
        <v>U</v>
      </c>
      <c r="H1137" s="3" t="str">
        <f t="shared" si="68"/>
        <v>A-U</v>
      </c>
      <c r="I1137" s="4">
        <f t="shared" si="69"/>
        <v>0</v>
      </c>
      <c r="J1137" s="4">
        <f t="shared" si="70"/>
        <v>0</v>
      </c>
      <c r="K1137" s="3">
        <f t="shared" si="71"/>
        <v>0</v>
      </c>
    </row>
    <row r="1138" spans="1:11">
      <c r="A1138" s="4" t="s">
        <v>77</v>
      </c>
      <c r="B1138" s="4" t="s">
        <v>169</v>
      </c>
      <c r="C1138" s="4" t="s">
        <v>236</v>
      </c>
      <c r="D1138" s="4">
        <f>INDEX(Positions!$D$2:$D$4694,MATCH($A1138&amp;"|49",Positions!$A$2:$A$4694,0))</f>
        <v>50</v>
      </c>
      <c r="E1138" s="4">
        <f>INDEX(Positions!$D$2:$D$4694,MATCH($A1138&amp;"|65",Positions!$A$2:$A$4694,0))</f>
        <v>66</v>
      </c>
      <c r="F1138" s="4" t="str">
        <f>INDEX(Positions!$E$2:$E$4694,MATCH($A1138&amp;"|49",Positions!$A$2:$A$4694,0))</f>
        <v>G</v>
      </c>
      <c r="G1138" s="4" t="str">
        <f>INDEX(Positions!$E$2:$E$4694,MATCH($A1138&amp;"|65",Positions!$A$2:$A$4694,0))</f>
        <v>U</v>
      </c>
      <c r="H1138" s="3" t="str">
        <f t="shared" si="68"/>
        <v>G-U</v>
      </c>
      <c r="I1138" s="4">
        <f t="shared" si="69"/>
        <v>1</v>
      </c>
      <c r="J1138" s="4">
        <f t="shared" si="70"/>
        <v>0</v>
      </c>
      <c r="K1138" s="3">
        <f t="shared" si="71"/>
        <v>1</v>
      </c>
    </row>
    <row r="1139" spans="1:11">
      <c r="A1139" s="4" t="s">
        <v>77</v>
      </c>
      <c r="B1139" s="4" t="s">
        <v>169</v>
      </c>
      <c r="C1139" s="4" t="s">
        <v>237</v>
      </c>
      <c r="D1139" s="4">
        <f>INDEX(Positions!$D$2:$D$4694,MATCH($A1139&amp;"|50",Positions!$A$2:$A$4694,0))</f>
        <v>51</v>
      </c>
      <c r="E1139" s="4">
        <f>INDEX(Positions!$D$2:$D$4694,MATCH($A1139&amp;"|64",Positions!$A$2:$A$4694,0))</f>
        <v>65</v>
      </c>
      <c r="F1139" s="4" t="str">
        <f>INDEX(Positions!$E$2:$E$4694,MATCH($A1139&amp;"|50",Positions!$A$2:$A$4694,0))</f>
        <v>G</v>
      </c>
      <c r="G1139" s="4" t="str">
        <f>INDEX(Positions!$E$2:$E$4694,MATCH($A1139&amp;"|64",Positions!$A$2:$A$4694,0))</f>
        <v>U</v>
      </c>
      <c r="H1139" s="3" t="str">
        <f t="shared" si="68"/>
        <v>G-U</v>
      </c>
      <c r="I1139" s="4">
        <f t="shared" si="69"/>
        <v>1</v>
      </c>
      <c r="J1139" s="4">
        <f t="shared" si="70"/>
        <v>0</v>
      </c>
      <c r="K1139" s="3">
        <f t="shared" si="71"/>
        <v>1</v>
      </c>
    </row>
    <row r="1140" spans="1:11">
      <c r="A1140" s="4" t="s">
        <v>77</v>
      </c>
      <c r="B1140" s="4" t="s">
        <v>169</v>
      </c>
      <c r="C1140" s="4" t="s">
        <v>238</v>
      </c>
      <c r="D1140" s="4">
        <f>INDEX(Positions!$D$2:$D$4694,MATCH($A1140&amp;"|51",Positions!$A$2:$A$4694,0))</f>
        <v>52</v>
      </c>
      <c r="E1140" s="4">
        <f>INDEX(Positions!$D$2:$D$4694,MATCH($A1140&amp;"|63",Positions!$A$2:$A$4694,0))</f>
        <v>64</v>
      </c>
      <c r="F1140" s="4" t="str">
        <f>INDEX(Positions!$E$2:$E$4694,MATCH($A1140&amp;"|51",Positions!$A$2:$A$4694,0))</f>
        <v>G</v>
      </c>
      <c r="G1140" s="4" t="str">
        <f>INDEX(Positions!$E$2:$E$4694,MATCH($A1140&amp;"|63",Positions!$A$2:$A$4694,0))</f>
        <v>C</v>
      </c>
      <c r="H1140" s="3" t="str">
        <f t="shared" si="68"/>
        <v>G-C</v>
      </c>
      <c r="I1140" s="4">
        <f t="shared" si="69"/>
        <v>1</v>
      </c>
      <c r="J1140" s="4">
        <f t="shared" si="70"/>
        <v>1</v>
      </c>
      <c r="K1140" s="3">
        <f t="shared" si="71"/>
        <v>2</v>
      </c>
    </row>
    <row r="1141" spans="1:11">
      <c r="A1141" s="4" t="s">
        <v>77</v>
      </c>
      <c r="B1141" s="4" t="s">
        <v>169</v>
      </c>
      <c r="C1141" s="4" t="s">
        <v>239</v>
      </c>
      <c r="D1141" s="4">
        <f>INDEX(Positions!$D$2:$D$4694,MATCH($A1141&amp;"|52",Positions!$A$2:$A$4694,0))</f>
        <v>53</v>
      </c>
      <c r="E1141" s="4">
        <f>INDEX(Positions!$D$2:$D$4694,MATCH($A1141&amp;"|62",Positions!$A$2:$A$4694,0))</f>
        <v>63</v>
      </c>
      <c r="F1141" s="4" t="str">
        <f>INDEX(Positions!$E$2:$E$4694,MATCH($A1141&amp;"|52",Positions!$A$2:$A$4694,0))</f>
        <v>G</v>
      </c>
      <c r="G1141" s="4" t="str">
        <f>INDEX(Positions!$E$2:$E$4694,MATCH($A1141&amp;"|62",Positions!$A$2:$A$4694,0))</f>
        <v>C</v>
      </c>
      <c r="H1141" s="3" t="str">
        <f t="shared" si="68"/>
        <v>G-C</v>
      </c>
      <c r="I1141" s="4">
        <f t="shared" si="69"/>
        <v>1</v>
      </c>
      <c r="J1141" s="4">
        <f t="shared" si="70"/>
        <v>1</v>
      </c>
      <c r="K1141" s="3">
        <f t="shared" si="71"/>
        <v>2</v>
      </c>
    </row>
    <row r="1142" spans="1:11">
      <c r="A1142" s="4" t="s">
        <v>77</v>
      </c>
      <c r="B1142" s="4" t="s">
        <v>169</v>
      </c>
      <c r="C1142" s="4" t="s">
        <v>240</v>
      </c>
      <c r="D1142" s="4">
        <f>INDEX(Positions!$D$2:$D$4694,MATCH($A1142&amp;"|53",Positions!$A$2:$A$4694,0))</f>
        <v>54</v>
      </c>
      <c r="E1142" s="4">
        <f>INDEX(Positions!$D$2:$D$4694,MATCH($A1142&amp;"|61",Positions!$A$2:$A$4694,0))</f>
        <v>62</v>
      </c>
      <c r="F1142" s="4" t="str">
        <f>INDEX(Positions!$E$2:$E$4694,MATCH($A1142&amp;"|53",Positions!$A$2:$A$4694,0))</f>
        <v>G</v>
      </c>
      <c r="G1142" s="4" t="str">
        <f>INDEX(Positions!$E$2:$E$4694,MATCH($A1142&amp;"|61",Positions!$A$2:$A$4694,0))</f>
        <v>C</v>
      </c>
      <c r="H1142" s="3" t="str">
        <f t="shared" si="68"/>
        <v>G-C</v>
      </c>
      <c r="I1142" s="4">
        <f t="shared" si="69"/>
        <v>1</v>
      </c>
      <c r="J1142" s="4">
        <f t="shared" si="70"/>
        <v>1</v>
      </c>
      <c r="K1142" s="3">
        <f t="shared" si="71"/>
        <v>2</v>
      </c>
    </row>
    <row r="1143" spans="1:11">
      <c r="A1143" s="23" t="s">
        <v>77</v>
      </c>
      <c r="B1143" s="23" t="s">
        <v>241</v>
      </c>
      <c r="C1143" s="23" t="s">
        <v>242</v>
      </c>
      <c r="D1143" s="23">
        <f>INDEX(Positions!$D$2:$D$4694,MATCH($A1143&amp;"|8",Positions!$A$2:$A$4694,0))</f>
        <v>8</v>
      </c>
      <c r="E1143" s="23">
        <f>INDEX(Positions!$D$2:$D$4694,MATCH($A1143&amp;"|14",Positions!$A$2:$A$4694,0))</f>
        <v>14</v>
      </c>
      <c r="F1143" s="23" t="str">
        <f>INDEX(Positions!$E$2:$E$4694,MATCH($A1143&amp;"|8",Positions!$A$2:$A$4694,0))</f>
        <v>U</v>
      </c>
      <c r="G1143" s="23" t="str">
        <f>INDEX(Positions!$E$2:$E$4694,MATCH($A1143&amp;"|14",Positions!$A$2:$A$4694,0))</f>
        <v>A</v>
      </c>
      <c r="H1143" s="24" t="str">
        <f t="shared" si="68"/>
        <v>U-A</v>
      </c>
      <c r="I1143" s="23">
        <f t="shared" si="69"/>
        <v>0</v>
      </c>
      <c r="J1143" s="23">
        <f t="shared" si="70"/>
        <v>0</v>
      </c>
      <c r="K1143" s="24">
        <f t="shared" si="71"/>
        <v>0</v>
      </c>
    </row>
    <row r="1144" spans="1:11">
      <c r="A1144" s="23" t="s">
        <v>77</v>
      </c>
      <c r="B1144" s="23" t="s">
        <v>241</v>
      </c>
      <c r="C1144" s="23" t="s">
        <v>243</v>
      </c>
      <c r="D1144" s="23">
        <f>INDEX(Positions!$D$2:$D$4694,MATCH($A1144&amp;"|15",Positions!$A$2:$A$4694,0))</f>
        <v>15</v>
      </c>
      <c r="E1144" s="23">
        <f>INDEX(Positions!$D$2:$D$4694,MATCH($A1144&amp;"|48",Positions!$A$2:$A$4694,0))</f>
        <v>49</v>
      </c>
      <c r="F1144" s="23" t="str">
        <f>INDEX(Positions!$E$2:$E$4694,MATCH($A1144&amp;"|15",Positions!$A$2:$A$4694,0))</f>
        <v>G</v>
      </c>
      <c r="G1144" s="23" t="str">
        <f>INDEX(Positions!$E$2:$E$4694,MATCH($A1144&amp;"|48",Positions!$A$2:$A$4694,0))</f>
        <v>C</v>
      </c>
      <c r="H1144" s="24" t="str">
        <f t="shared" si="68"/>
        <v>G-C</v>
      </c>
      <c r="I1144" s="23">
        <f t="shared" si="69"/>
        <v>1</v>
      </c>
      <c r="J1144" s="23">
        <f t="shared" si="70"/>
        <v>1</v>
      </c>
      <c r="K1144" s="24">
        <f t="shared" si="71"/>
        <v>2</v>
      </c>
    </row>
    <row r="1145" spans="1:11">
      <c r="A1145" s="23" t="s">
        <v>77</v>
      </c>
      <c r="B1145" s="23" t="s">
        <v>241</v>
      </c>
      <c r="C1145" s="23" t="s">
        <v>244</v>
      </c>
      <c r="D1145" s="23">
        <f>INDEX(Positions!$D$2:$D$4694,MATCH($A1145&amp;"|18",Positions!$A$2:$A$4694,0))</f>
        <v>19</v>
      </c>
      <c r="E1145" s="23">
        <f>INDEX(Positions!$D$2:$D$4694,MATCH($A1145&amp;"|55",Positions!$A$2:$A$4694,0))</f>
        <v>56</v>
      </c>
      <c r="F1145" s="23" t="str">
        <f>INDEX(Positions!$E$2:$E$4694,MATCH($A1145&amp;"|18",Positions!$A$2:$A$4694,0))</f>
        <v>G</v>
      </c>
      <c r="G1145" s="23" t="str">
        <f>INDEX(Positions!$E$2:$E$4694,MATCH($A1145&amp;"|55",Positions!$A$2:$A$4694,0))</f>
        <v>U</v>
      </c>
      <c r="H1145" s="24" t="str">
        <f t="shared" si="68"/>
        <v>G-U</v>
      </c>
      <c r="I1145" s="23">
        <f t="shared" si="69"/>
        <v>1</v>
      </c>
      <c r="J1145" s="23">
        <f t="shared" si="70"/>
        <v>0</v>
      </c>
      <c r="K1145" s="24">
        <f t="shared" si="71"/>
        <v>1</v>
      </c>
    </row>
    <row r="1146" spans="1:11">
      <c r="A1146" s="23" t="s">
        <v>77</v>
      </c>
      <c r="B1146" s="23" t="s">
        <v>241</v>
      </c>
      <c r="C1146" s="23" t="s">
        <v>245</v>
      </c>
      <c r="D1146" s="23">
        <f>INDEX(Positions!$D$2:$D$4694,MATCH($A1146&amp;"|19",Positions!$A$2:$A$4694,0))</f>
        <v>20</v>
      </c>
      <c r="E1146" s="23">
        <f>INDEX(Positions!$D$2:$D$4694,MATCH($A1146&amp;"|56",Positions!$A$2:$A$4694,0))</f>
        <v>57</v>
      </c>
      <c r="F1146" s="23" t="str">
        <f>INDEX(Positions!$E$2:$E$4694,MATCH($A1146&amp;"|19",Positions!$A$2:$A$4694,0))</f>
        <v>G</v>
      </c>
      <c r="G1146" s="23" t="str">
        <f>INDEX(Positions!$E$2:$E$4694,MATCH($A1146&amp;"|56",Positions!$A$2:$A$4694,0))</f>
        <v>C</v>
      </c>
      <c r="H1146" s="24" t="str">
        <f t="shared" si="68"/>
        <v>G-C</v>
      </c>
      <c r="I1146" s="23">
        <f t="shared" si="69"/>
        <v>1</v>
      </c>
      <c r="J1146" s="23">
        <f t="shared" si="70"/>
        <v>1</v>
      </c>
      <c r="K1146" s="24">
        <f t="shared" si="71"/>
        <v>2</v>
      </c>
    </row>
    <row r="1147" spans="1:11">
      <c r="A1147" s="23" t="s">
        <v>77</v>
      </c>
      <c r="B1147" s="23" t="s">
        <v>241</v>
      </c>
      <c r="C1147" s="23" t="s">
        <v>246</v>
      </c>
      <c r="D1147" s="23">
        <f>INDEX(Positions!$D$2:$D$4694,MATCH($A1147&amp;"|26",Positions!$A$2:$A$4694,0))</f>
        <v>27</v>
      </c>
      <c r="E1147" s="23">
        <f>INDEX(Positions!$D$2:$D$4694,MATCH($A1147&amp;"|44",Positions!$A$2:$A$4694,0))</f>
        <v>45</v>
      </c>
      <c r="F1147" s="23" t="str">
        <f>INDEX(Positions!$E$2:$E$4694,MATCH($A1147&amp;"|26",Positions!$A$2:$A$4694,0))</f>
        <v>G</v>
      </c>
      <c r="G1147" s="23" t="str">
        <f>INDEX(Positions!$E$2:$E$4694,MATCH($A1147&amp;"|44",Positions!$A$2:$A$4694,0))</f>
        <v>A</v>
      </c>
      <c r="H1147" s="24" t="str">
        <f t="shared" si="68"/>
        <v>G-A</v>
      </c>
      <c r="I1147" s="23">
        <f t="shared" si="69"/>
        <v>1</v>
      </c>
      <c r="J1147" s="23">
        <f t="shared" si="70"/>
        <v>0</v>
      </c>
      <c r="K1147" s="24">
        <f t="shared" si="71"/>
        <v>1</v>
      </c>
    </row>
    <row r="1148" spans="1:11">
      <c r="A1148" s="23" t="s">
        <v>77</v>
      </c>
      <c r="B1148" s="23" t="s">
        <v>241</v>
      </c>
      <c r="C1148" s="23" t="s">
        <v>247</v>
      </c>
      <c r="D1148" s="23">
        <f>INDEX(Positions!$D$2:$D$4694,MATCH($A1148&amp;"|32",Positions!$A$2:$A$4694,0))</f>
        <v>33</v>
      </c>
      <c r="E1148" s="23">
        <f>INDEX(Positions!$D$2:$D$4694,MATCH($A1148&amp;"|38",Positions!$A$2:$A$4694,0))</f>
        <v>39</v>
      </c>
      <c r="F1148" s="23" t="str">
        <f>INDEX(Positions!$E$2:$E$4694,MATCH($A1148&amp;"|32",Positions!$A$2:$A$4694,0))</f>
        <v>C</v>
      </c>
      <c r="G1148" s="23" t="str">
        <f>INDEX(Positions!$E$2:$E$4694,MATCH($A1148&amp;"|38",Positions!$A$2:$A$4694,0))</f>
        <v>A</v>
      </c>
      <c r="H1148" s="24" t="str">
        <f t="shared" si="68"/>
        <v>C-A</v>
      </c>
      <c r="I1148" s="23">
        <f t="shared" si="69"/>
        <v>0</v>
      </c>
      <c r="J1148" s="23">
        <f t="shared" si="70"/>
        <v>1</v>
      </c>
      <c r="K1148" s="24">
        <f t="shared" si="71"/>
        <v>1</v>
      </c>
    </row>
    <row r="1149" spans="1:11">
      <c r="A1149" s="23" t="s">
        <v>77</v>
      </c>
      <c r="B1149" s="23" t="s">
        <v>241</v>
      </c>
      <c r="C1149" s="23" t="s">
        <v>248</v>
      </c>
      <c r="D1149" s="23">
        <f>INDEX(Positions!$D$2:$D$4694,MATCH($A1149&amp;"|54",Positions!$A$2:$A$4694,0))</f>
        <v>55</v>
      </c>
      <c r="E1149" s="23">
        <f>INDEX(Positions!$D$2:$D$4694,MATCH($A1149&amp;"|58",Positions!$A$2:$A$4694,0))</f>
        <v>59</v>
      </c>
      <c r="F1149" s="23" t="str">
        <f>INDEX(Positions!$E$2:$E$4694,MATCH($A1149&amp;"|54",Positions!$A$2:$A$4694,0))</f>
        <v>U</v>
      </c>
      <c r="G1149" s="23" t="str">
        <f>INDEX(Positions!$E$2:$E$4694,MATCH($A1149&amp;"|58",Positions!$A$2:$A$4694,0))</f>
        <v>A</v>
      </c>
      <c r="H1149" s="24" t="str">
        <f t="shared" si="68"/>
        <v>U-A</v>
      </c>
      <c r="I1149" s="23">
        <f t="shared" si="69"/>
        <v>0</v>
      </c>
      <c r="J1149" s="23">
        <f t="shared" si="70"/>
        <v>0</v>
      </c>
      <c r="K1149" s="24">
        <f t="shared" si="71"/>
        <v>0</v>
      </c>
    </row>
    <row r="1150" spans="1:11">
      <c r="A1150" s="4" t="s">
        <v>78</v>
      </c>
      <c r="B1150" s="4" t="s">
        <v>110</v>
      </c>
      <c r="C1150" s="4" t="s">
        <v>220</v>
      </c>
      <c r="D1150" s="4">
        <f>INDEX(Positions!$D$2:$D$4694,MATCH($A1150&amp;"|1",Positions!$A$2:$A$4694,0))</f>
        <v>1</v>
      </c>
      <c r="E1150" s="4">
        <f>INDEX(Positions!$D$2:$D$4694,MATCH($A1150&amp;"|72",Positions!$A$2:$A$4694,0))</f>
        <v>73</v>
      </c>
      <c r="F1150" s="4" t="str">
        <f>INDEX(Positions!$E$2:$E$4694,MATCH($A1150&amp;"|1",Positions!$A$2:$A$4694,0))</f>
        <v>G</v>
      </c>
      <c r="G1150" s="4" t="str">
        <f>INDEX(Positions!$E$2:$E$4694,MATCH($A1150&amp;"|72",Positions!$A$2:$A$4694,0))</f>
        <v>C</v>
      </c>
      <c r="H1150" s="3" t="str">
        <f t="shared" si="68"/>
        <v>G-C</v>
      </c>
      <c r="I1150" s="4">
        <f t="shared" si="69"/>
        <v>1</v>
      </c>
      <c r="J1150" s="4">
        <f t="shared" si="70"/>
        <v>1</v>
      </c>
      <c r="K1150" s="3">
        <f t="shared" si="71"/>
        <v>2</v>
      </c>
    </row>
    <row r="1151" spans="1:11">
      <c r="A1151" s="4" t="s">
        <v>78</v>
      </c>
      <c r="B1151" s="4" t="s">
        <v>110</v>
      </c>
      <c r="C1151" s="4" t="s">
        <v>221</v>
      </c>
      <c r="D1151" s="4">
        <f>INDEX(Positions!$D$2:$D$4694,MATCH($A1151&amp;"|2",Positions!$A$2:$A$4694,0))</f>
        <v>2</v>
      </c>
      <c r="E1151" s="4">
        <f>INDEX(Positions!$D$2:$D$4694,MATCH($A1151&amp;"|71",Positions!$A$2:$A$4694,0))</f>
        <v>72</v>
      </c>
      <c r="F1151" s="4" t="str">
        <f>INDEX(Positions!$E$2:$E$4694,MATCH($A1151&amp;"|2",Positions!$A$2:$A$4694,0))</f>
        <v>G</v>
      </c>
      <c r="G1151" s="4" t="str">
        <f>INDEX(Positions!$E$2:$E$4694,MATCH($A1151&amp;"|71",Positions!$A$2:$A$4694,0))</f>
        <v>C</v>
      </c>
      <c r="H1151" s="3" t="str">
        <f t="shared" si="68"/>
        <v>G-C</v>
      </c>
      <c r="I1151" s="4">
        <f t="shared" si="69"/>
        <v>1</v>
      </c>
      <c r="J1151" s="4">
        <f t="shared" si="70"/>
        <v>1</v>
      </c>
      <c r="K1151" s="3">
        <f t="shared" si="71"/>
        <v>2</v>
      </c>
    </row>
    <row r="1152" spans="1:11">
      <c r="A1152" s="4" t="s">
        <v>78</v>
      </c>
      <c r="B1152" s="4" t="s">
        <v>110</v>
      </c>
      <c r="C1152" s="4" t="s">
        <v>222</v>
      </c>
      <c r="D1152" s="4">
        <f>INDEX(Positions!$D$2:$D$4694,MATCH($A1152&amp;"|3",Positions!$A$2:$A$4694,0))</f>
        <v>3</v>
      </c>
      <c r="E1152" s="4">
        <f>INDEX(Positions!$D$2:$D$4694,MATCH($A1152&amp;"|70",Positions!$A$2:$A$4694,0))</f>
        <v>71</v>
      </c>
      <c r="F1152" s="4" t="str">
        <f>INDEX(Positions!$E$2:$E$4694,MATCH($A1152&amp;"|3",Positions!$A$2:$A$4694,0))</f>
        <v>G</v>
      </c>
      <c r="G1152" s="4" t="str">
        <f>INDEX(Positions!$E$2:$E$4694,MATCH($A1152&amp;"|70",Positions!$A$2:$A$4694,0))</f>
        <v>C</v>
      </c>
      <c r="H1152" s="3" t="str">
        <f t="shared" si="68"/>
        <v>G-C</v>
      </c>
      <c r="I1152" s="4">
        <f t="shared" si="69"/>
        <v>1</v>
      </c>
      <c r="J1152" s="4">
        <f t="shared" si="70"/>
        <v>1</v>
      </c>
      <c r="K1152" s="3">
        <f t="shared" si="71"/>
        <v>2</v>
      </c>
    </row>
    <row r="1153" spans="1:11">
      <c r="A1153" s="4" t="s">
        <v>78</v>
      </c>
      <c r="B1153" s="4" t="s">
        <v>110</v>
      </c>
      <c r="C1153" s="4" t="s">
        <v>223</v>
      </c>
      <c r="D1153" s="4">
        <f>INDEX(Positions!$D$2:$D$4694,MATCH($A1153&amp;"|4",Positions!$A$2:$A$4694,0))</f>
        <v>4</v>
      </c>
      <c r="E1153" s="4">
        <f>INDEX(Positions!$D$2:$D$4694,MATCH($A1153&amp;"|69",Positions!$A$2:$A$4694,0))</f>
        <v>70</v>
      </c>
      <c r="F1153" s="4" t="str">
        <f>INDEX(Positions!$E$2:$E$4694,MATCH($A1153&amp;"|4",Positions!$A$2:$A$4694,0))</f>
        <v>C</v>
      </c>
      <c r="G1153" s="4" t="str">
        <f>INDEX(Positions!$E$2:$E$4694,MATCH($A1153&amp;"|69",Positions!$A$2:$A$4694,0))</f>
        <v>G</v>
      </c>
      <c r="H1153" s="3" t="str">
        <f t="shared" si="68"/>
        <v>C-G</v>
      </c>
      <c r="I1153" s="4">
        <f t="shared" si="69"/>
        <v>1</v>
      </c>
      <c r="J1153" s="4">
        <f t="shared" si="70"/>
        <v>1</v>
      </c>
      <c r="K1153" s="3">
        <f t="shared" si="71"/>
        <v>2</v>
      </c>
    </row>
    <row r="1154" spans="1:11">
      <c r="A1154" s="4" t="s">
        <v>78</v>
      </c>
      <c r="B1154" s="4" t="s">
        <v>110</v>
      </c>
      <c r="C1154" s="4" t="s">
        <v>224</v>
      </c>
      <c r="D1154" s="4">
        <f>INDEX(Positions!$D$2:$D$4694,MATCH($A1154&amp;"|5",Positions!$A$2:$A$4694,0))</f>
        <v>5</v>
      </c>
      <c r="E1154" s="4">
        <f>INDEX(Positions!$D$2:$D$4694,MATCH($A1154&amp;"|68",Positions!$A$2:$A$4694,0))</f>
        <v>69</v>
      </c>
      <c r="F1154" s="4" t="str">
        <f>INDEX(Positions!$E$2:$E$4694,MATCH($A1154&amp;"|5",Positions!$A$2:$A$4694,0))</f>
        <v>C</v>
      </c>
      <c r="G1154" s="4" t="str">
        <f>INDEX(Positions!$E$2:$E$4694,MATCH($A1154&amp;"|68",Positions!$A$2:$A$4694,0))</f>
        <v>G</v>
      </c>
      <c r="H1154" s="3" t="str">
        <f t="shared" ref="H1154:H1217" si="72">F1154&amp;"-"&amp;G1154</f>
        <v>C-G</v>
      </c>
      <c r="I1154" s="4">
        <f t="shared" ref="I1154:I1217" si="73">(F1154="G")+(G1154="G")</f>
        <v>1</v>
      </c>
      <c r="J1154" s="4">
        <f t="shared" ref="J1154:J1217" si="74">(F1154="C")+(G1154="C")</f>
        <v>1</v>
      </c>
      <c r="K1154" s="3">
        <f t="shared" ref="K1154:K1217" si="75">I1154+J1154</f>
        <v>2</v>
      </c>
    </row>
    <row r="1155" spans="1:11">
      <c r="A1155" s="4" t="s">
        <v>78</v>
      </c>
      <c r="B1155" s="4" t="s">
        <v>110</v>
      </c>
      <c r="C1155" s="4" t="s">
        <v>225</v>
      </c>
      <c r="D1155" s="4">
        <f>INDEX(Positions!$D$2:$D$4694,MATCH($A1155&amp;"|6",Positions!$A$2:$A$4694,0))</f>
        <v>6</v>
      </c>
      <c r="E1155" s="4">
        <f>INDEX(Positions!$D$2:$D$4694,MATCH($A1155&amp;"|67",Positions!$A$2:$A$4694,0))</f>
        <v>68</v>
      </c>
      <c r="F1155" s="4" t="str">
        <f>INDEX(Positions!$E$2:$E$4694,MATCH($A1155&amp;"|6",Positions!$A$2:$A$4694,0))</f>
        <v>C</v>
      </c>
      <c r="G1155" s="4" t="str">
        <f>INDEX(Positions!$E$2:$E$4694,MATCH($A1155&amp;"|67",Positions!$A$2:$A$4694,0))</f>
        <v>G</v>
      </c>
      <c r="H1155" s="3" t="str">
        <f t="shared" si="72"/>
        <v>C-G</v>
      </c>
      <c r="I1155" s="4">
        <f t="shared" si="73"/>
        <v>1</v>
      </c>
      <c r="J1155" s="4">
        <f t="shared" si="74"/>
        <v>1</v>
      </c>
      <c r="K1155" s="3">
        <f t="shared" si="75"/>
        <v>2</v>
      </c>
    </row>
    <row r="1156" spans="1:11">
      <c r="A1156" s="4" t="s">
        <v>78</v>
      </c>
      <c r="B1156" s="4" t="s">
        <v>110</v>
      </c>
      <c r="C1156" s="4" t="s">
        <v>226</v>
      </c>
      <c r="D1156" s="4">
        <f>INDEX(Positions!$D$2:$D$4694,MATCH($A1156&amp;"|7",Positions!$A$2:$A$4694,0))</f>
        <v>7</v>
      </c>
      <c r="E1156" s="4">
        <f>INDEX(Positions!$D$2:$D$4694,MATCH($A1156&amp;"|66",Positions!$A$2:$A$4694,0))</f>
        <v>67</v>
      </c>
      <c r="F1156" s="4" t="str">
        <f>INDEX(Positions!$E$2:$E$4694,MATCH($A1156&amp;"|7",Positions!$A$2:$A$4694,0))</f>
        <v>G</v>
      </c>
      <c r="G1156" s="4" t="str">
        <f>INDEX(Positions!$E$2:$E$4694,MATCH($A1156&amp;"|66",Positions!$A$2:$A$4694,0))</f>
        <v>C</v>
      </c>
      <c r="H1156" s="3" t="str">
        <f t="shared" si="72"/>
        <v>G-C</v>
      </c>
      <c r="I1156" s="4">
        <f t="shared" si="73"/>
        <v>1</v>
      </c>
      <c r="J1156" s="4">
        <f t="shared" si="74"/>
        <v>1</v>
      </c>
      <c r="K1156" s="3">
        <f t="shared" si="75"/>
        <v>2</v>
      </c>
    </row>
    <row r="1157" spans="1:11">
      <c r="A1157" s="4" t="s">
        <v>78</v>
      </c>
      <c r="B1157" s="4" t="s">
        <v>125</v>
      </c>
      <c r="C1157" s="4" t="s">
        <v>227</v>
      </c>
      <c r="D1157" s="4">
        <f>INDEX(Positions!$D$2:$D$4694,MATCH($A1157&amp;"|10",Positions!$A$2:$A$4694,0))</f>
        <v>10</v>
      </c>
      <c r="E1157" s="4">
        <f>INDEX(Positions!$D$2:$D$4694,MATCH($A1157&amp;"|25",Positions!$A$2:$A$4694,0))</f>
        <v>26</v>
      </c>
      <c r="F1157" s="4" t="str">
        <f>INDEX(Positions!$E$2:$E$4694,MATCH($A1157&amp;"|10",Positions!$A$2:$A$4694,0))</f>
        <v>G</v>
      </c>
      <c r="G1157" s="4" t="str">
        <f>INDEX(Positions!$E$2:$E$4694,MATCH($A1157&amp;"|25",Positions!$A$2:$A$4694,0))</f>
        <v>C</v>
      </c>
      <c r="H1157" s="3" t="str">
        <f t="shared" si="72"/>
        <v>G-C</v>
      </c>
      <c r="I1157" s="4">
        <f t="shared" si="73"/>
        <v>1</v>
      </c>
      <c r="J1157" s="4">
        <f t="shared" si="74"/>
        <v>1</v>
      </c>
      <c r="K1157" s="3">
        <f t="shared" si="75"/>
        <v>2</v>
      </c>
    </row>
    <row r="1158" spans="1:11">
      <c r="A1158" s="4" t="s">
        <v>78</v>
      </c>
      <c r="B1158" s="4" t="s">
        <v>125</v>
      </c>
      <c r="C1158" s="4" t="s">
        <v>228</v>
      </c>
      <c r="D1158" s="4">
        <f>INDEX(Positions!$D$2:$D$4694,MATCH($A1158&amp;"|11",Positions!$A$2:$A$4694,0))</f>
        <v>11</v>
      </c>
      <c r="E1158" s="4">
        <f>INDEX(Positions!$D$2:$D$4694,MATCH($A1158&amp;"|24",Positions!$A$2:$A$4694,0))</f>
        <v>25</v>
      </c>
      <c r="F1158" s="4" t="str">
        <f>INDEX(Positions!$E$2:$E$4694,MATCH($A1158&amp;"|11",Positions!$A$2:$A$4694,0))</f>
        <v>C</v>
      </c>
      <c r="G1158" s="4" t="str">
        <f>INDEX(Positions!$E$2:$E$4694,MATCH($A1158&amp;"|24",Positions!$A$2:$A$4694,0))</f>
        <v>G</v>
      </c>
      <c r="H1158" s="3" t="str">
        <f t="shared" si="72"/>
        <v>C-G</v>
      </c>
      <c r="I1158" s="4">
        <f t="shared" si="73"/>
        <v>1</v>
      </c>
      <c r="J1158" s="4">
        <f t="shared" si="74"/>
        <v>1</v>
      </c>
      <c r="K1158" s="3">
        <f t="shared" si="75"/>
        <v>2</v>
      </c>
    </row>
    <row r="1159" spans="1:11">
      <c r="A1159" s="4" t="s">
        <v>78</v>
      </c>
      <c r="B1159" s="4" t="s">
        <v>125</v>
      </c>
      <c r="C1159" s="4" t="s">
        <v>229</v>
      </c>
      <c r="D1159" s="4">
        <f>INDEX(Positions!$D$2:$D$4694,MATCH($A1159&amp;"|12",Positions!$A$2:$A$4694,0))</f>
        <v>12</v>
      </c>
      <c r="E1159" s="4">
        <f>INDEX(Positions!$D$2:$D$4694,MATCH($A1159&amp;"|23",Positions!$A$2:$A$4694,0))</f>
        <v>24</v>
      </c>
      <c r="F1159" s="4" t="str">
        <f>INDEX(Positions!$E$2:$E$4694,MATCH($A1159&amp;"|12",Positions!$A$2:$A$4694,0))</f>
        <v>U</v>
      </c>
      <c r="G1159" s="4" t="str">
        <f>INDEX(Positions!$E$2:$E$4694,MATCH($A1159&amp;"|23",Positions!$A$2:$A$4694,0))</f>
        <v>A</v>
      </c>
      <c r="H1159" s="3" t="str">
        <f t="shared" si="72"/>
        <v>U-A</v>
      </c>
      <c r="I1159" s="4">
        <f t="shared" si="73"/>
        <v>0</v>
      </c>
      <c r="J1159" s="4">
        <f t="shared" si="74"/>
        <v>0</v>
      </c>
      <c r="K1159" s="3">
        <f t="shared" si="75"/>
        <v>0</v>
      </c>
    </row>
    <row r="1160" spans="1:11">
      <c r="A1160" s="4" t="s">
        <v>78</v>
      </c>
      <c r="B1160" s="4" t="s">
        <v>125</v>
      </c>
      <c r="C1160" s="4" t="s">
        <v>230</v>
      </c>
      <c r="D1160" s="4">
        <f>INDEX(Positions!$D$2:$D$4694,MATCH($A1160&amp;"|13",Positions!$A$2:$A$4694,0))</f>
        <v>13</v>
      </c>
      <c r="E1160" s="4">
        <f>INDEX(Positions!$D$2:$D$4694,MATCH($A1160&amp;"|22",Positions!$A$2:$A$4694,0))</f>
        <v>23</v>
      </c>
      <c r="F1160" s="4" t="str">
        <f>INDEX(Positions!$E$2:$E$4694,MATCH($A1160&amp;"|13",Positions!$A$2:$A$4694,0))</f>
        <v>C</v>
      </c>
      <c r="G1160" s="4" t="str">
        <f>INDEX(Positions!$E$2:$E$4694,MATCH($A1160&amp;"|22",Positions!$A$2:$A$4694,0))</f>
        <v>G</v>
      </c>
      <c r="H1160" s="3" t="str">
        <f t="shared" si="72"/>
        <v>C-G</v>
      </c>
      <c r="I1160" s="4">
        <f t="shared" si="73"/>
        <v>1</v>
      </c>
      <c r="J1160" s="4">
        <f t="shared" si="74"/>
        <v>1</v>
      </c>
      <c r="K1160" s="3">
        <f t="shared" si="75"/>
        <v>2</v>
      </c>
    </row>
    <row r="1161" spans="1:11">
      <c r="A1161" s="4" t="s">
        <v>78</v>
      </c>
      <c r="B1161" s="4" t="s">
        <v>144</v>
      </c>
      <c r="C1161" s="4" t="s">
        <v>231</v>
      </c>
      <c r="D1161" s="4">
        <f>INDEX(Positions!$D$2:$D$4694,MATCH($A1161&amp;"|27",Positions!$A$2:$A$4694,0))</f>
        <v>28</v>
      </c>
      <c r="E1161" s="4">
        <f>INDEX(Positions!$D$2:$D$4694,MATCH($A1161&amp;"|43",Positions!$A$2:$A$4694,0))</f>
        <v>44</v>
      </c>
      <c r="F1161" s="4" t="str">
        <f>INDEX(Positions!$E$2:$E$4694,MATCH($A1161&amp;"|27",Positions!$A$2:$A$4694,0))</f>
        <v>U</v>
      </c>
      <c r="G1161" s="4" t="str">
        <f>INDEX(Positions!$E$2:$E$4694,MATCH($A1161&amp;"|43",Positions!$A$2:$A$4694,0))</f>
        <v>A</v>
      </c>
      <c r="H1161" s="3" t="str">
        <f t="shared" si="72"/>
        <v>U-A</v>
      </c>
      <c r="I1161" s="4">
        <f t="shared" si="73"/>
        <v>0</v>
      </c>
      <c r="J1161" s="4">
        <f t="shared" si="74"/>
        <v>0</v>
      </c>
      <c r="K1161" s="3">
        <f t="shared" si="75"/>
        <v>0</v>
      </c>
    </row>
    <row r="1162" spans="1:11">
      <c r="A1162" s="4" t="s">
        <v>78</v>
      </c>
      <c r="B1162" s="4" t="s">
        <v>144</v>
      </c>
      <c r="C1162" s="4" t="s">
        <v>232</v>
      </c>
      <c r="D1162" s="4">
        <f>INDEX(Positions!$D$2:$D$4694,MATCH($A1162&amp;"|28",Positions!$A$2:$A$4694,0))</f>
        <v>29</v>
      </c>
      <c r="E1162" s="4">
        <f>INDEX(Positions!$D$2:$D$4694,MATCH($A1162&amp;"|42",Positions!$A$2:$A$4694,0))</f>
        <v>43</v>
      </c>
      <c r="F1162" s="4" t="str">
        <f>INDEX(Positions!$E$2:$E$4694,MATCH($A1162&amp;"|28",Positions!$A$2:$A$4694,0))</f>
        <v>C</v>
      </c>
      <c r="G1162" s="4" t="str">
        <f>INDEX(Positions!$E$2:$E$4694,MATCH($A1162&amp;"|42",Positions!$A$2:$A$4694,0))</f>
        <v>G</v>
      </c>
      <c r="H1162" s="3" t="str">
        <f t="shared" si="72"/>
        <v>C-G</v>
      </c>
      <c r="I1162" s="4">
        <f t="shared" si="73"/>
        <v>1</v>
      </c>
      <c r="J1162" s="4">
        <f t="shared" si="74"/>
        <v>1</v>
      </c>
      <c r="K1162" s="3">
        <f t="shared" si="75"/>
        <v>2</v>
      </c>
    </row>
    <row r="1163" spans="1:11">
      <c r="A1163" s="4" t="s">
        <v>78</v>
      </c>
      <c r="B1163" s="4" t="s">
        <v>144</v>
      </c>
      <c r="C1163" s="4" t="s">
        <v>233</v>
      </c>
      <c r="D1163" s="4">
        <f>INDEX(Positions!$D$2:$D$4694,MATCH($A1163&amp;"|29",Positions!$A$2:$A$4694,0))</f>
        <v>30</v>
      </c>
      <c r="E1163" s="4">
        <f>INDEX(Positions!$D$2:$D$4694,MATCH($A1163&amp;"|41",Positions!$A$2:$A$4694,0))</f>
        <v>42</v>
      </c>
      <c r="F1163" s="4" t="str">
        <f>INDEX(Positions!$E$2:$E$4694,MATCH($A1163&amp;"|29",Positions!$A$2:$A$4694,0))</f>
        <v>U</v>
      </c>
      <c r="G1163" s="4" t="str">
        <f>INDEX(Positions!$E$2:$E$4694,MATCH($A1163&amp;"|41",Positions!$A$2:$A$4694,0))</f>
        <v>A</v>
      </c>
      <c r="H1163" s="3" t="str">
        <f t="shared" si="72"/>
        <v>U-A</v>
      </c>
      <c r="I1163" s="4">
        <f t="shared" si="73"/>
        <v>0</v>
      </c>
      <c r="J1163" s="4">
        <f t="shared" si="74"/>
        <v>0</v>
      </c>
      <c r="K1163" s="3">
        <f t="shared" si="75"/>
        <v>0</v>
      </c>
    </row>
    <row r="1164" spans="1:11">
      <c r="A1164" s="4" t="s">
        <v>78</v>
      </c>
      <c r="B1164" s="4" t="s">
        <v>144</v>
      </c>
      <c r="C1164" s="4" t="s">
        <v>234</v>
      </c>
      <c r="D1164" s="4">
        <f>INDEX(Positions!$D$2:$D$4694,MATCH($A1164&amp;"|30",Positions!$A$2:$A$4694,0))</f>
        <v>31</v>
      </c>
      <c r="E1164" s="4">
        <f>INDEX(Positions!$D$2:$D$4694,MATCH($A1164&amp;"|40",Positions!$A$2:$A$4694,0))</f>
        <v>41</v>
      </c>
      <c r="F1164" s="4" t="str">
        <f>INDEX(Positions!$E$2:$E$4694,MATCH($A1164&amp;"|30",Positions!$A$2:$A$4694,0))</f>
        <v>G</v>
      </c>
      <c r="G1164" s="4" t="str">
        <f>INDEX(Positions!$E$2:$E$4694,MATCH($A1164&amp;"|40",Positions!$A$2:$A$4694,0))</f>
        <v>C</v>
      </c>
      <c r="H1164" s="3" t="str">
        <f t="shared" si="72"/>
        <v>G-C</v>
      </c>
      <c r="I1164" s="4">
        <f t="shared" si="73"/>
        <v>1</v>
      </c>
      <c r="J1164" s="4">
        <f t="shared" si="74"/>
        <v>1</v>
      </c>
      <c r="K1164" s="3">
        <f t="shared" si="75"/>
        <v>2</v>
      </c>
    </row>
    <row r="1165" spans="1:11">
      <c r="A1165" s="4" t="s">
        <v>78</v>
      </c>
      <c r="B1165" s="4" t="s">
        <v>144</v>
      </c>
      <c r="C1165" s="4" t="s">
        <v>235</v>
      </c>
      <c r="D1165" s="4">
        <f>INDEX(Positions!$D$2:$D$4694,MATCH($A1165&amp;"|31",Positions!$A$2:$A$4694,0))</f>
        <v>32</v>
      </c>
      <c r="E1165" s="4">
        <f>INDEX(Positions!$D$2:$D$4694,MATCH($A1165&amp;"|39",Positions!$A$2:$A$4694,0))</f>
        <v>40</v>
      </c>
      <c r="F1165" s="4" t="str">
        <f>INDEX(Positions!$E$2:$E$4694,MATCH($A1165&amp;"|31",Positions!$A$2:$A$4694,0))</f>
        <v>G</v>
      </c>
      <c r="G1165" s="4" t="str">
        <f>INDEX(Positions!$E$2:$E$4694,MATCH($A1165&amp;"|39",Positions!$A$2:$A$4694,0))</f>
        <v>C</v>
      </c>
      <c r="H1165" s="3" t="str">
        <f t="shared" si="72"/>
        <v>G-C</v>
      </c>
      <c r="I1165" s="4">
        <f t="shared" si="73"/>
        <v>1</v>
      </c>
      <c r="J1165" s="4">
        <f t="shared" si="74"/>
        <v>1</v>
      </c>
      <c r="K1165" s="3">
        <f t="shared" si="75"/>
        <v>2</v>
      </c>
    </row>
    <row r="1166" spans="1:11">
      <c r="A1166" s="4" t="s">
        <v>78</v>
      </c>
      <c r="B1166" s="4" t="s">
        <v>169</v>
      </c>
      <c r="C1166" s="4" t="s">
        <v>236</v>
      </c>
      <c r="D1166" s="4">
        <f>INDEX(Positions!$D$2:$D$4694,MATCH($A1166&amp;"|49",Positions!$A$2:$A$4694,0))</f>
        <v>50</v>
      </c>
      <c r="E1166" s="4">
        <f>INDEX(Positions!$D$2:$D$4694,MATCH($A1166&amp;"|65",Positions!$A$2:$A$4694,0))</f>
        <v>66</v>
      </c>
      <c r="F1166" s="4" t="str">
        <f>INDEX(Positions!$E$2:$E$4694,MATCH($A1166&amp;"|49",Positions!$A$2:$A$4694,0))</f>
        <v>U</v>
      </c>
      <c r="G1166" s="4" t="str">
        <f>INDEX(Positions!$E$2:$E$4694,MATCH($A1166&amp;"|65",Positions!$A$2:$A$4694,0))</f>
        <v>A</v>
      </c>
      <c r="H1166" s="3" t="str">
        <f t="shared" si="72"/>
        <v>U-A</v>
      </c>
      <c r="I1166" s="4">
        <f t="shared" si="73"/>
        <v>0</v>
      </c>
      <c r="J1166" s="4">
        <f t="shared" si="74"/>
        <v>0</v>
      </c>
      <c r="K1166" s="3">
        <f t="shared" si="75"/>
        <v>0</v>
      </c>
    </row>
    <row r="1167" spans="1:11">
      <c r="A1167" s="4" t="s">
        <v>78</v>
      </c>
      <c r="B1167" s="4" t="s">
        <v>169</v>
      </c>
      <c r="C1167" s="4" t="s">
        <v>237</v>
      </c>
      <c r="D1167" s="4">
        <f>INDEX(Positions!$D$2:$D$4694,MATCH($A1167&amp;"|50",Positions!$A$2:$A$4694,0))</f>
        <v>51</v>
      </c>
      <c r="E1167" s="4">
        <f>INDEX(Positions!$D$2:$D$4694,MATCH($A1167&amp;"|64",Positions!$A$2:$A$4694,0))</f>
        <v>65</v>
      </c>
      <c r="F1167" s="4" t="str">
        <f>INDEX(Positions!$E$2:$E$4694,MATCH($A1167&amp;"|50",Positions!$A$2:$A$4694,0))</f>
        <v>A</v>
      </c>
      <c r="G1167" s="4" t="str">
        <f>INDEX(Positions!$E$2:$E$4694,MATCH($A1167&amp;"|64",Positions!$A$2:$A$4694,0))</f>
        <v>U</v>
      </c>
      <c r="H1167" s="3" t="str">
        <f t="shared" si="72"/>
        <v>A-U</v>
      </c>
      <c r="I1167" s="4">
        <f t="shared" si="73"/>
        <v>0</v>
      </c>
      <c r="J1167" s="4">
        <f t="shared" si="74"/>
        <v>0</v>
      </c>
      <c r="K1167" s="3">
        <f t="shared" si="75"/>
        <v>0</v>
      </c>
    </row>
    <row r="1168" spans="1:11">
      <c r="A1168" s="4" t="s">
        <v>78</v>
      </c>
      <c r="B1168" s="4" t="s">
        <v>169</v>
      </c>
      <c r="C1168" s="4" t="s">
        <v>238</v>
      </c>
      <c r="D1168" s="4">
        <f>INDEX(Positions!$D$2:$D$4694,MATCH($A1168&amp;"|51",Positions!$A$2:$A$4694,0))</f>
        <v>52</v>
      </c>
      <c r="E1168" s="4">
        <f>INDEX(Positions!$D$2:$D$4694,MATCH($A1168&amp;"|63",Positions!$A$2:$A$4694,0))</f>
        <v>64</v>
      </c>
      <c r="F1168" s="4" t="str">
        <f>INDEX(Positions!$E$2:$E$4694,MATCH($A1168&amp;"|51",Positions!$A$2:$A$4694,0))</f>
        <v>G</v>
      </c>
      <c r="G1168" s="4" t="str">
        <f>INDEX(Positions!$E$2:$E$4694,MATCH($A1168&amp;"|63",Positions!$A$2:$A$4694,0))</f>
        <v>C</v>
      </c>
      <c r="H1168" s="3" t="str">
        <f t="shared" si="72"/>
        <v>G-C</v>
      </c>
      <c r="I1168" s="4">
        <f t="shared" si="73"/>
        <v>1</v>
      </c>
      <c r="J1168" s="4">
        <f t="shared" si="74"/>
        <v>1</v>
      </c>
      <c r="K1168" s="3">
        <f t="shared" si="75"/>
        <v>2</v>
      </c>
    </row>
    <row r="1169" spans="1:11">
      <c r="A1169" s="4" t="s">
        <v>78</v>
      </c>
      <c r="B1169" s="4" t="s">
        <v>169</v>
      </c>
      <c r="C1169" s="4" t="s">
        <v>239</v>
      </c>
      <c r="D1169" s="4">
        <f>INDEX(Positions!$D$2:$D$4694,MATCH($A1169&amp;"|52",Positions!$A$2:$A$4694,0))</f>
        <v>53</v>
      </c>
      <c r="E1169" s="4">
        <f>INDEX(Positions!$D$2:$D$4694,MATCH($A1169&amp;"|62",Positions!$A$2:$A$4694,0))</f>
        <v>63</v>
      </c>
      <c r="F1169" s="4" t="str">
        <f>INDEX(Positions!$E$2:$E$4694,MATCH($A1169&amp;"|52",Positions!$A$2:$A$4694,0))</f>
        <v>G</v>
      </c>
      <c r="G1169" s="4" t="str">
        <f>INDEX(Positions!$E$2:$E$4694,MATCH($A1169&amp;"|62",Positions!$A$2:$A$4694,0))</f>
        <v>C</v>
      </c>
      <c r="H1169" s="3" t="str">
        <f t="shared" si="72"/>
        <v>G-C</v>
      </c>
      <c r="I1169" s="4">
        <f t="shared" si="73"/>
        <v>1</v>
      </c>
      <c r="J1169" s="4">
        <f t="shared" si="74"/>
        <v>1</v>
      </c>
      <c r="K1169" s="3">
        <f t="shared" si="75"/>
        <v>2</v>
      </c>
    </row>
    <row r="1170" spans="1:11">
      <c r="A1170" s="4" t="s">
        <v>78</v>
      </c>
      <c r="B1170" s="4" t="s">
        <v>169</v>
      </c>
      <c r="C1170" s="4" t="s">
        <v>240</v>
      </c>
      <c r="D1170" s="4">
        <f>INDEX(Positions!$D$2:$D$4694,MATCH($A1170&amp;"|53",Positions!$A$2:$A$4694,0))</f>
        <v>54</v>
      </c>
      <c r="E1170" s="4">
        <f>INDEX(Positions!$D$2:$D$4694,MATCH($A1170&amp;"|61",Positions!$A$2:$A$4694,0))</f>
        <v>62</v>
      </c>
      <c r="F1170" s="4" t="str">
        <f>INDEX(Positions!$E$2:$E$4694,MATCH($A1170&amp;"|53",Positions!$A$2:$A$4694,0))</f>
        <v>G</v>
      </c>
      <c r="G1170" s="4" t="str">
        <f>INDEX(Positions!$E$2:$E$4694,MATCH($A1170&amp;"|61",Positions!$A$2:$A$4694,0))</f>
        <v>C</v>
      </c>
      <c r="H1170" s="3" t="str">
        <f t="shared" si="72"/>
        <v>G-C</v>
      </c>
      <c r="I1170" s="4">
        <f t="shared" si="73"/>
        <v>1</v>
      </c>
      <c r="J1170" s="4">
        <f t="shared" si="74"/>
        <v>1</v>
      </c>
      <c r="K1170" s="3">
        <f t="shared" si="75"/>
        <v>2</v>
      </c>
    </row>
    <row r="1171" spans="1:11">
      <c r="A1171" s="23" t="s">
        <v>78</v>
      </c>
      <c r="B1171" s="23" t="s">
        <v>241</v>
      </c>
      <c r="C1171" s="23" t="s">
        <v>242</v>
      </c>
      <c r="D1171" s="23">
        <f>INDEX(Positions!$D$2:$D$4694,MATCH($A1171&amp;"|8",Positions!$A$2:$A$4694,0))</f>
        <v>8</v>
      </c>
      <c r="E1171" s="23">
        <f>INDEX(Positions!$D$2:$D$4694,MATCH($A1171&amp;"|14",Positions!$A$2:$A$4694,0))</f>
        <v>14</v>
      </c>
      <c r="F1171" s="23" t="str">
        <f>INDEX(Positions!$E$2:$E$4694,MATCH($A1171&amp;"|8",Positions!$A$2:$A$4694,0))</f>
        <v>U</v>
      </c>
      <c r="G1171" s="23" t="str">
        <f>INDEX(Positions!$E$2:$E$4694,MATCH($A1171&amp;"|14",Positions!$A$2:$A$4694,0))</f>
        <v>A</v>
      </c>
      <c r="H1171" s="24" t="str">
        <f t="shared" si="72"/>
        <v>U-A</v>
      </c>
      <c r="I1171" s="23">
        <f t="shared" si="73"/>
        <v>0</v>
      </c>
      <c r="J1171" s="23">
        <f t="shared" si="74"/>
        <v>0</v>
      </c>
      <c r="K1171" s="24">
        <f t="shared" si="75"/>
        <v>0</v>
      </c>
    </row>
    <row r="1172" spans="1:11">
      <c r="A1172" s="23" t="s">
        <v>78</v>
      </c>
      <c r="B1172" s="23" t="s">
        <v>241</v>
      </c>
      <c r="C1172" s="23" t="s">
        <v>243</v>
      </c>
      <c r="D1172" s="23">
        <f>INDEX(Positions!$D$2:$D$4694,MATCH($A1172&amp;"|15",Positions!$A$2:$A$4694,0))</f>
        <v>15</v>
      </c>
      <c r="E1172" s="23">
        <f>INDEX(Positions!$D$2:$D$4694,MATCH($A1172&amp;"|48",Positions!$A$2:$A$4694,0))</f>
        <v>49</v>
      </c>
      <c r="F1172" s="23" t="str">
        <f>INDEX(Positions!$E$2:$E$4694,MATCH($A1172&amp;"|15",Positions!$A$2:$A$4694,0))</f>
        <v>G</v>
      </c>
      <c r="G1172" s="23" t="str">
        <f>INDEX(Positions!$E$2:$E$4694,MATCH($A1172&amp;"|48",Positions!$A$2:$A$4694,0))</f>
        <v>C</v>
      </c>
      <c r="H1172" s="24" t="str">
        <f t="shared" si="72"/>
        <v>G-C</v>
      </c>
      <c r="I1172" s="23">
        <f t="shared" si="73"/>
        <v>1</v>
      </c>
      <c r="J1172" s="23">
        <f t="shared" si="74"/>
        <v>1</v>
      </c>
      <c r="K1172" s="24">
        <f t="shared" si="75"/>
        <v>2</v>
      </c>
    </row>
    <row r="1173" spans="1:11">
      <c r="A1173" s="23" t="s">
        <v>78</v>
      </c>
      <c r="B1173" s="23" t="s">
        <v>241</v>
      </c>
      <c r="C1173" s="23" t="s">
        <v>244</v>
      </c>
      <c r="D1173" s="23">
        <f>INDEX(Positions!$D$2:$D$4694,MATCH($A1173&amp;"|18",Positions!$A$2:$A$4694,0))</f>
        <v>19</v>
      </c>
      <c r="E1173" s="23">
        <f>INDEX(Positions!$D$2:$D$4694,MATCH($A1173&amp;"|55",Positions!$A$2:$A$4694,0))</f>
        <v>56</v>
      </c>
      <c r="F1173" s="23" t="str">
        <f>INDEX(Positions!$E$2:$E$4694,MATCH($A1173&amp;"|18",Positions!$A$2:$A$4694,0))</f>
        <v>G</v>
      </c>
      <c r="G1173" s="23" t="str">
        <f>INDEX(Positions!$E$2:$E$4694,MATCH($A1173&amp;"|55",Positions!$A$2:$A$4694,0))</f>
        <v>U</v>
      </c>
      <c r="H1173" s="24" t="str">
        <f t="shared" si="72"/>
        <v>G-U</v>
      </c>
      <c r="I1173" s="23">
        <f t="shared" si="73"/>
        <v>1</v>
      </c>
      <c r="J1173" s="23">
        <f t="shared" si="74"/>
        <v>0</v>
      </c>
      <c r="K1173" s="24">
        <f t="shared" si="75"/>
        <v>1</v>
      </c>
    </row>
    <row r="1174" spans="1:11">
      <c r="A1174" s="23" t="s">
        <v>78</v>
      </c>
      <c r="B1174" s="23" t="s">
        <v>241</v>
      </c>
      <c r="C1174" s="23" t="s">
        <v>245</v>
      </c>
      <c r="D1174" s="23">
        <f>INDEX(Positions!$D$2:$D$4694,MATCH($A1174&amp;"|19",Positions!$A$2:$A$4694,0))</f>
        <v>20</v>
      </c>
      <c r="E1174" s="23">
        <f>INDEX(Positions!$D$2:$D$4694,MATCH($A1174&amp;"|56",Positions!$A$2:$A$4694,0))</f>
        <v>57</v>
      </c>
      <c r="F1174" s="23" t="str">
        <f>INDEX(Positions!$E$2:$E$4694,MATCH($A1174&amp;"|19",Positions!$A$2:$A$4694,0))</f>
        <v>G</v>
      </c>
      <c r="G1174" s="23" t="str">
        <f>INDEX(Positions!$E$2:$E$4694,MATCH($A1174&amp;"|56",Positions!$A$2:$A$4694,0))</f>
        <v>C</v>
      </c>
      <c r="H1174" s="24" t="str">
        <f t="shared" si="72"/>
        <v>G-C</v>
      </c>
      <c r="I1174" s="23">
        <f t="shared" si="73"/>
        <v>1</v>
      </c>
      <c r="J1174" s="23">
        <f t="shared" si="74"/>
        <v>1</v>
      </c>
      <c r="K1174" s="24">
        <f t="shared" si="75"/>
        <v>2</v>
      </c>
    </row>
    <row r="1175" spans="1:11">
      <c r="A1175" s="23" t="s">
        <v>78</v>
      </c>
      <c r="B1175" s="23" t="s">
        <v>241</v>
      </c>
      <c r="C1175" s="23" t="s">
        <v>246</v>
      </c>
      <c r="D1175" s="23">
        <f>INDEX(Positions!$D$2:$D$4694,MATCH($A1175&amp;"|26",Positions!$A$2:$A$4694,0))</f>
        <v>27</v>
      </c>
      <c r="E1175" s="23">
        <f>INDEX(Positions!$D$2:$D$4694,MATCH($A1175&amp;"|44",Positions!$A$2:$A$4694,0))</f>
        <v>45</v>
      </c>
      <c r="F1175" s="23" t="str">
        <f>INDEX(Positions!$E$2:$E$4694,MATCH($A1175&amp;"|26",Positions!$A$2:$A$4694,0))</f>
        <v>G</v>
      </c>
      <c r="G1175" s="23" t="str">
        <f>INDEX(Positions!$E$2:$E$4694,MATCH($A1175&amp;"|44",Positions!$A$2:$A$4694,0))</f>
        <v>C</v>
      </c>
      <c r="H1175" s="24" t="str">
        <f t="shared" si="72"/>
        <v>G-C</v>
      </c>
      <c r="I1175" s="23">
        <f t="shared" si="73"/>
        <v>1</v>
      </c>
      <c r="J1175" s="23">
        <f t="shared" si="74"/>
        <v>1</v>
      </c>
      <c r="K1175" s="24">
        <f t="shared" si="75"/>
        <v>2</v>
      </c>
    </row>
    <row r="1176" spans="1:11">
      <c r="A1176" s="23" t="s">
        <v>78</v>
      </c>
      <c r="B1176" s="23" t="s">
        <v>241</v>
      </c>
      <c r="C1176" s="23" t="s">
        <v>247</v>
      </c>
      <c r="D1176" s="23">
        <f>INDEX(Positions!$D$2:$D$4694,MATCH($A1176&amp;"|32",Positions!$A$2:$A$4694,0))</f>
        <v>33</v>
      </c>
      <c r="E1176" s="23">
        <f>INDEX(Positions!$D$2:$D$4694,MATCH($A1176&amp;"|38",Positions!$A$2:$A$4694,0))</f>
        <v>39</v>
      </c>
      <c r="F1176" s="23" t="str">
        <f>INDEX(Positions!$E$2:$E$4694,MATCH($A1176&amp;"|32",Positions!$A$2:$A$4694,0))</f>
        <v>C</v>
      </c>
      <c r="G1176" s="23" t="str">
        <f>INDEX(Positions!$E$2:$E$4694,MATCH($A1176&amp;"|38",Positions!$A$2:$A$4694,0))</f>
        <v>A</v>
      </c>
      <c r="H1176" s="24" t="str">
        <f t="shared" si="72"/>
        <v>C-A</v>
      </c>
      <c r="I1176" s="23">
        <f t="shared" si="73"/>
        <v>0</v>
      </c>
      <c r="J1176" s="23">
        <f t="shared" si="74"/>
        <v>1</v>
      </c>
      <c r="K1176" s="24">
        <f t="shared" si="75"/>
        <v>1</v>
      </c>
    </row>
    <row r="1177" spans="1:11">
      <c r="A1177" s="23" t="s">
        <v>78</v>
      </c>
      <c r="B1177" s="23" t="s">
        <v>241</v>
      </c>
      <c r="C1177" s="23" t="s">
        <v>248</v>
      </c>
      <c r="D1177" s="23">
        <f>INDEX(Positions!$D$2:$D$4694,MATCH($A1177&amp;"|54",Positions!$A$2:$A$4694,0))</f>
        <v>55</v>
      </c>
      <c r="E1177" s="23">
        <f>INDEX(Positions!$D$2:$D$4694,MATCH($A1177&amp;"|58",Positions!$A$2:$A$4694,0))</f>
        <v>59</v>
      </c>
      <c r="F1177" s="23" t="str">
        <f>INDEX(Positions!$E$2:$E$4694,MATCH($A1177&amp;"|54",Positions!$A$2:$A$4694,0))</f>
        <v>U</v>
      </c>
      <c r="G1177" s="23" t="str">
        <f>INDEX(Positions!$E$2:$E$4694,MATCH($A1177&amp;"|58",Positions!$A$2:$A$4694,0))</f>
        <v>A</v>
      </c>
      <c r="H1177" s="24" t="str">
        <f t="shared" si="72"/>
        <v>U-A</v>
      </c>
      <c r="I1177" s="23">
        <f t="shared" si="73"/>
        <v>0</v>
      </c>
      <c r="J1177" s="23">
        <f t="shared" si="74"/>
        <v>0</v>
      </c>
      <c r="K1177" s="24">
        <f t="shared" si="75"/>
        <v>0</v>
      </c>
    </row>
    <row r="1178" spans="1:11">
      <c r="A1178" s="4" t="s">
        <v>79</v>
      </c>
      <c r="B1178" s="4" t="s">
        <v>110</v>
      </c>
      <c r="C1178" s="4" t="s">
        <v>220</v>
      </c>
      <c r="D1178" s="4">
        <f>INDEX(Positions!$D$2:$D$4694,MATCH($A1178&amp;"|1",Positions!$A$2:$A$4694,0))</f>
        <v>1</v>
      </c>
      <c r="E1178" s="4">
        <f>INDEX(Positions!$D$2:$D$4694,MATCH($A1178&amp;"|72",Positions!$A$2:$A$4694,0))</f>
        <v>73</v>
      </c>
      <c r="F1178" s="4" t="str">
        <f>INDEX(Positions!$E$2:$E$4694,MATCH($A1178&amp;"|1",Positions!$A$2:$A$4694,0))</f>
        <v>G</v>
      </c>
      <c r="G1178" s="4" t="str">
        <f>INDEX(Positions!$E$2:$E$4694,MATCH($A1178&amp;"|72",Positions!$A$2:$A$4694,0))</f>
        <v>C</v>
      </c>
      <c r="H1178" s="3" t="str">
        <f t="shared" si="72"/>
        <v>G-C</v>
      </c>
      <c r="I1178" s="4">
        <f t="shared" si="73"/>
        <v>1</v>
      </c>
      <c r="J1178" s="4">
        <f t="shared" si="74"/>
        <v>1</v>
      </c>
      <c r="K1178" s="3">
        <f t="shared" si="75"/>
        <v>2</v>
      </c>
    </row>
    <row r="1179" spans="1:11">
      <c r="A1179" s="4" t="s">
        <v>79</v>
      </c>
      <c r="B1179" s="4" t="s">
        <v>110</v>
      </c>
      <c r="C1179" s="4" t="s">
        <v>221</v>
      </c>
      <c r="D1179" s="4">
        <f>INDEX(Positions!$D$2:$D$4694,MATCH($A1179&amp;"|2",Positions!$A$2:$A$4694,0))</f>
        <v>2</v>
      </c>
      <c r="E1179" s="4">
        <f>INDEX(Positions!$D$2:$D$4694,MATCH($A1179&amp;"|71",Positions!$A$2:$A$4694,0))</f>
        <v>72</v>
      </c>
      <c r="F1179" s="4" t="str">
        <f>INDEX(Positions!$E$2:$E$4694,MATCH($A1179&amp;"|2",Positions!$A$2:$A$4694,0))</f>
        <v>C</v>
      </c>
      <c r="G1179" s="4" t="str">
        <f>INDEX(Positions!$E$2:$E$4694,MATCH($A1179&amp;"|71",Positions!$A$2:$A$4694,0))</f>
        <v>G</v>
      </c>
      <c r="H1179" s="3" t="str">
        <f t="shared" si="72"/>
        <v>C-G</v>
      </c>
      <c r="I1179" s="4">
        <f t="shared" si="73"/>
        <v>1</v>
      </c>
      <c r="J1179" s="4">
        <f t="shared" si="74"/>
        <v>1</v>
      </c>
      <c r="K1179" s="3">
        <f t="shared" si="75"/>
        <v>2</v>
      </c>
    </row>
    <row r="1180" spans="1:11">
      <c r="A1180" s="4" t="s">
        <v>79</v>
      </c>
      <c r="B1180" s="4" t="s">
        <v>110</v>
      </c>
      <c r="C1180" s="4" t="s">
        <v>222</v>
      </c>
      <c r="D1180" s="4">
        <f>INDEX(Positions!$D$2:$D$4694,MATCH($A1180&amp;"|3",Positions!$A$2:$A$4694,0))</f>
        <v>3</v>
      </c>
      <c r="E1180" s="4">
        <f>INDEX(Positions!$D$2:$D$4694,MATCH($A1180&amp;"|70",Positions!$A$2:$A$4694,0))</f>
        <v>71</v>
      </c>
      <c r="F1180" s="4" t="str">
        <f>INDEX(Positions!$E$2:$E$4694,MATCH($A1180&amp;"|3",Positions!$A$2:$A$4694,0))</f>
        <v>C</v>
      </c>
      <c r="G1180" s="4" t="str">
        <f>INDEX(Positions!$E$2:$E$4694,MATCH($A1180&amp;"|70",Positions!$A$2:$A$4694,0))</f>
        <v>G</v>
      </c>
      <c r="H1180" s="3" t="str">
        <f t="shared" si="72"/>
        <v>C-G</v>
      </c>
      <c r="I1180" s="4">
        <f t="shared" si="73"/>
        <v>1</v>
      </c>
      <c r="J1180" s="4">
        <f t="shared" si="74"/>
        <v>1</v>
      </c>
      <c r="K1180" s="3">
        <f t="shared" si="75"/>
        <v>2</v>
      </c>
    </row>
    <row r="1181" spans="1:11">
      <c r="A1181" s="4" t="s">
        <v>79</v>
      </c>
      <c r="B1181" s="4" t="s">
        <v>110</v>
      </c>
      <c r="C1181" s="4" t="s">
        <v>223</v>
      </c>
      <c r="D1181" s="4">
        <f>INDEX(Positions!$D$2:$D$4694,MATCH($A1181&amp;"|4",Positions!$A$2:$A$4694,0))</f>
        <v>4</v>
      </c>
      <c r="E1181" s="4">
        <f>INDEX(Positions!$D$2:$D$4694,MATCH($A1181&amp;"|69",Positions!$A$2:$A$4694,0))</f>
        <v>70</v>
      </c>
      <c r="F1181" s="4" t="str">
        <f>INDEX(Positions!$E$2:$E$4694,MATCH($A1181&amp;"|4",Positions!$A$2:$A$4694,0))</f>
        <v>C</v>
      </c>
      <c r="G1181" s="4" t="str">
        <f>INDEX(Positions!$E$2:$E$4694,MATCH($A1181&amp;"|69",Positions!$A$2:$A$4694,0))</f>
        <v>G</v>
      </c>
      <c r="H1181" s="3" t="str">
        <f t="shared" si="72"/>
        <v>C-G</v>
      </c>
      <c r="I1181" s="4">
        <f t="shared" si="73"/>
        <v>1</v>
      </c>
      <c r="J1181" s="4">
        <f t="shared" si="74"/>
        <v>1</v>
      </c>
      <c r="K1181" s="3">
        <f t="shared" si="75"/>
        <v>2</v>
      </c>
    </row>
    <row r="1182" spans="1:11">
      <c r="A1182" s="4" t="s">
        <v>79</v>
      </c>
      <c r="B1182" s="4" t="s">
        <v>110</v>
      </c>
      <c r="C1182" s="4" t="s">
        <v>224</v>
      </c>
      <c r="D1182" s="4">
        <f>INDEX(Positions!$D$2:$D$4694,MATCH($A1182&amp;"|5",Positions!$A$2:$A$4694,0))</f>
        <v>5</v>
      </c>
      <c r="E1182" s="4">
        <f>INDEX(Positions!$D$2:$D$4694,MATCH($A1182&amp;"|68",Positions!$A$2:$A$4694,0))</f>
        <v>69</v>
      </c>
      <c r="F1182" s="4" t="str">
        <f>INDEX(Positions!$E$2:$E$4694,MATCH($A1182&amp;"|5",Positions!$A$2:$A$4694,0))</f>
        <v>G</v>
      </c>
      <c r="G1182" s="4" t="str">
        <f>INDEX(Positions!$E$2:$E$4694,MATCH($A1182&amp;"|68",Positions!$A$2:$A$4694,0))</f>
        <v>C</v>
      </c>
      <c r="H1182" s="3" t="str">
        <f t="shared" si="72"/>
        <v>G-C</v>
      </c>
      <c r="I1182" s="4">
        <f t="shared" si="73"/>
        <v>1</v>
      </c>
      <c r="J1182" s="4">
        <f t="shared" si="74"/>
        <v>1</v>
      </c>
      <c r="K1182" s="3">
        <f t="shared" si="75"/>
        <v>2</v>
      </c>
    </row>
    <row r="1183" spans="1:11">
      <c r="A1183" s="4" t="s">
        <v>79</v>
      </c>
      <c r="B1183" s="4" t="s">
        <v>110</v>
      </c>
      <c r="C1183" s="4" t="s">
        <v>225</v>
      </c>
      <c r="D1183" s="4">
        <f>INDEX(Positions!$D$2:$D$4694,MATCH($A1183&amp;"|6",Positions!$A$2:$A$4694,0))</f>
        <v>6</v>
      </c>
      <c r="E1183" s="4">
        <f>INDEX(Positions!$D$2:$D$4694,MATCH($A1183&amp;"|67",Positions!$A$2:$A$4694,0))</f>
        <v>68</v>
      </c>
      <c r="F1183" s="4" t="str">
        <f>INDEX(Positions!$E$2:$E$4694,MATCH($A1183&amp;"|6",Positions!$A$2:$A$4694,0))</f>
        <v>G</v>
      </c>
      <c r="G1183" s="4" t="str">
        <f>INDEX(Positions!$E$2:$E$4694,MATCH($A1183&amp;"|67",Positions!$A$2:$A$4694,0))</f>
        <v>C</v>
      </c>
      <c r="H1183" s="3" t="str">
        <f t="shared" si="72"/>
        <v>G-C</v>
      </c>
      <c r="I1183" s="4">
        <f t="shared" si="73"/>
        <v>1</v>
      </c>
      <c r="J1183" s="4">
        <f t="shared" si="74"/>
        <v>1</v>
      </c>
      <c r="K1183" s="3">
        <f t="shared" si="75"/>
        <v>2</v>
      </c>
    </row>
    <row r="1184" spans="1:11">
      <c r="A1184" s="4" t="s">
        <v>79</v>
      </c>
      <c r="B1184" s="4" t="s">
        <v>110</v>
      </c>
      <c r="C1184" s="4" t="s">
        <v>226</v>
      </c>
      <c r="D1184" s="4">
        <f>INDEX(Positions!$D$2:$D$4694,MATCH($A1184&amp;"|7",Positions!$A$2:$A$4694,0))</f>
        <v>7</v>
      </c>
      <c r="E1184" s="4">
        <f>INDEX(Positions!$D$2:$D$4694,MATCH($A1184&amp;"|66",Positions!$A$2:$A$4694,0))</f>
        <v>67</v>
      </c>
      <c r="F1184" s="4" t="str">
        <f>INDEX(Positions!$E$2:$E$4694,MATCH($A1184&amp;"|7",Positions!$A$2:$A$4694,0))</f>
        <v>A</v>
      </c>
      <c r="G1184" s="4" t="str">
        <f>INDEX(Positions!$E$2:$E$4694,MATCH($A1184&amp;"|66",Positions!$A$2:$A$4694,0))</f>
        <v>U</v>
      </c>
      <c r="H1184" s="3" t="str">
        <f t="shared" si="72"/>
        <v>A-U</v>
      </c>
      <c r="I1184" s="4">
        <f t="shared" si="73"/>
        <v>0</v>
      </c>
      <c r="J1184" s="4">
        <f t="shared" si="74"/>
        <v>0</v>
      </c>
      <c r="K1184" s="3">
        <f t="shared" si="75"/>
        <v>0</v>
      </c>
    </row>
    <row r="1185" spans="1:11">
      <c r="A1185" s="4" t="s">
        <v>79</v>
      </c>
      <c r="B1185" s="4" t="s">
        <v>125</v>
      </c>
      <c r="C1185" s="4" t="s">
        <v>227</v>
      </c>
      <c r="D1185" s="4">
        <f>INDEX(Positions!$D$2:$D$4694,MATCH($A1185&amp;"|10",Positions!$A$2:$A$4694,0))</f>
        <v>10</v>
      </c>
      <c r="E1185" s="4">
        <f>INDEX(Positions!$D$2:$D$4694,MATCH($A1185&amp;"|25",Positions!$A$2:$A$4694,0))</f>
        <v>26</v>
      </c>
      <c r="F1185" s="4" t="str">
        <f>INDEX(Positions!$E$2:$E$4694,MATCH($A1185&amp;"|10",Positions!$A$2:$A$4694,0))</f>
        <v>G</v>
      </c>
      <c r="G1185" s="4" t="str">
        <f>INDEX(Positions!$E$2:$E$4694,MATCH($A1185&amp;"|25",Positions!$A$2:$A$4694,0))</f>
        <v>C</v>
      </c>
      <c r="H1185" s="3" t="str">
        <f t="shared" si="72"/>
        <v>G-C</v>
      </c>
      <c r="I1185" s="4">
        <f t="shared" si="73"/>
        <v>1</v>
      </c>
      <c r="J1185" s="4">
        <f t="shared" si="74"/>
        <v>1</v>
      </c>
      <c r="K1185" s="3">
        <f t="shared" si="75"/>
        <v>2</v>
      </c>
    </row>
    <row r="1186" spans="1:11">
      <c r="A1186" s="4" t="s">
        <v>79</v>
      </c>
      <c r="B1186" s="4" t="s">
        <v>125</v>
      </c>
      <c r="C1186" s="4" t="s">
        <v>228</v>
      </c>
      <c r="D1186" s="4">
        <f>INDEX(Positions!$D$2:$D$4694,MATCH($A1186&amp;"|11",Positions!$A$2:$A$4694,0))</f>
        <v>11</v>
      </c>
      <c r="E1186" s="4">
        <f>INDEX(Positions!$D$2:$D$4694,MATCH($A1186&amp;"|24",Positions!$A$2:$A$4694,0))</f>
        <v>25</v>
      </c>
      <c r="F1186" s="4" t="str">
        <f>INDEX(Positions!$E$2:$E$4694,MATCH($A1186&amp;"|11",Positions!$A$2:$A$4694,0))</f>
        <v>C</v>
      </c>
      <c r="G1186" s="4" t="str">
        <f>INDEX(Positions!$E$2:$E$4694,MATCH($A1186&amp;"|24",Positions!$A$2:$A$4694,0))</f>
        <v>G</v>
      </c>
      <c r="H1186" s="3" t="str">
        <f t="shared" si="72"/>
        <v>C-G</v>
      </c>
      <c r="I1186" s="4">
        <f t="shared" si="73"/>
        <v>1</v>
      </c>
      <c r="J1186" s="4">
        <f t="shared" si="74"/>
        <v>1</v>
      </c>
      <c r="K1186" s="3">
        <f t="shared" si="75"/>
        <v>2</v>
      </c>
    </row>
    <row r="1187" spans="1:11">
      <c r="A1187" s="4" t="s">
        <v>79</v>
      </c>
      <c r="B1187" s="4" t="s">
        <v>125</v>
      </c>
      <c r="C1187" s="4" t="s">
        <v>229</v>
      </c>
      <c r="D1187" s="4">
        <f>INDEX(Positions!$D$2:$D$4694,MATCH($A1187&amp;"|12",Positions!$A$2:$A$4694,0))</f>
        <v>12</v>
      </c>
      <c r="E1187" s="4">
        <f>INDEX(Positions!$D$2:$D$4694,MATCH($A1187&amp;"|23",Positions!$A$2:$A$4694,0))</f>
        <v>24</v>
      </c>
      <c r="F1187" s="4" t="str">
        <f>INDEX(Positions!$E$2:$E$4694,MATCH($A1187&amp;"|12",Positions!$A$2:$A$4694,0))</f>
        <v>C</v>
      </c>
      <c r="G1187" s="4" t="str">
        <f>INDEX(Positions!$E$2:$E$4694,MATCH($A1187&amp;"|23",Positions!$A$2:$A$4694,0))</f>
        <v>G</v>
      </c>
      <c r="H1187" s="3" t="str">
        <f t="shared" si="72"/>
        <v>C-G</v>
      </c>
      <c r="I1187" s="4">
        <f t="shared" si="73"/>
        <v>1</v>
      </c>
      <c r="J1187" s="4">
        <f t="shared" si="74"/>
        <v>1</v>
      </c>
      <c r="K1187" s="3">
        <f t="shared" si="75"/>
        <v>2</v>
      </c>
    </row>
    <row r="1188" spans="1:11">
      <c r="A1188" s="4" t="s">
        <v>79</v>
      </c>
      <c r="B1188" s="4" t="s">
        <v>125</v>
      </c>
      <c r="C1188" s="4" t="s">
        <v>230</v>
      </c>
      <c r="D1188" s="4">
        <f>INDEX(Positions!$D$2:$D$4694,MATCH($A1188&amp;"|13",Positions!$A$2:$A$4694,0))</f>
        <v>13</v>
      </c>
      <c r="E1188" s="4">
        <f>INDEX(Positions!$D$2:$D$4694,MATCH($A1188&amp;"|22",Positions!$A$2:$A$4694,0))</f>
        <v>23</v>
      </c>
      <c r="F1188" s="4" t="str">
        <f>INDEX(Positions!$E$2:$E$4694,MATCH($A1188&amp;"|13",Positions!$A$2:$A$4694,0))</f>
        <v>U</v>
      </c>
      <c r="G1188" s="4" t="str">
        <f>INDEX(Positions!$E$2:$E$4694,MATCH($A1188&amp;"|22",Positions!$A$2:$A$4694,0))</f>
        <v>G</v>
      </c>
      <c r="H1188" s="3" t="str">
        <f t="shared" si="72"/>
        <v>U-G</v>
      </c>
      <c r="I1188" s="4">
        <f t="shared" si="73"/>
        <v>1</v>
      </c>
      <c r="J1188" s="4">
        <f t="shared" si="74"/>
        <v>0</v>
      </c>
      <c r="K1188" s="3">
        <f t="shared" si="75"/>
        <v>1</v>
      </c>
    </row>
    <row r="1189" spans="1:11">
      <c r="A1189" s="4" t="s">
        <v>79</v>
      </c>
      <c r="B1189" s="4" t="s">
        <v>144</v>
      </c>
      <c r="C1189" s="4" t="s">
        <v>231</v>
      </c>
      <c r="D1189" s="4">
        <f>INDEX(Positions!$D$2:$D$4694,MATCH($A1189&amp;"|27",Positions!$A$2:$A$4694,0))</f>
        <v>28</v>
      </c>
      <c r="E1189" s="4">
        <f>INDEX(Positions!$D$2:$D$4694,MATCH($A1189&amp;"|43",Positions!$A$2:$A$4694,0))</f>
        <v>44</v>
      </c>
      <c r="F1189" s="4" t="str">
        <f>INDEX(Positions!$E$2:$E$4694,MATCH($A1189&amp;"|27",Positions!$A$2:$A$4694,0))</f>
        <v>C</v>
      </c>
      <c r="G1189" s="4" t="str">
        <f>INDEX(Positions!$E$2:$E$4694,MATCH($A1189&amp;"|43",Positions!$A$2:$A$4694,0))</f>
        <v>G</v>
      </c>
      <c r="H1189" s="3" t="str">
        <f t="shared" si="72"/>
        <v>C-G</v>
      </c>
      <c r="I1189" s="4">
        <f t="shared" si="73"/>
        <v>1</v>
      </c>
      <c r="J1189" s="4">
        <f t="shared" si="74"/>
        <v>1</v>
      </c>
      <c r="K1189" s="3">
        <f t="shared" si="75"/>
        <v>2</v>
      </c>
    </row>
    <row r="1190" spans="1:11">
      <c r="A1190" s="4" t="s">
        <v>79</v>
      </c>
      <c r="B1190" s="4" t="s">
        <v>144</v>
      </c>
      <c r="C1190" s="4" t="s">
        <v>232</v>
      </c>
      <c r="D1190" s="4">
        <f>INDEX(Positions!$D$2:$D$4694,MATCH($A1190&amp;"|28",Positions!$A$2:$A$4694,0))</f>
        <v>29</v>
      </c>
      <c r="E1190" s="4">
        <f>INDEX(Positions!$D$2:$D$4694,MATCH($A1190&amp;"|42",Positions!$A$2:$A$4694,0))</f>
        <v>43</v>
      </c>
      <c r="F1190" s="4" t="str">
        <f>INDEX(Positions!$E$2:$E$4694,MATCH($A1190&amp;"|28",Positions!$A$2:$A$4694,0))</f>
        <v>C</v>
      </c>
      <c r="G1190" s="4" t="str">
        <f>INDEX(Positions!$E$2:$E$4694,MATCH($A1190&amp;"|42",Positions!$A$2:$A$4694,0))</f>
        <v>G</v>
      </c>
      <c r="H1190" s="3" t="str">
        <f t="shared" si="72"/>
        <v>C-G</v>
      </c>
      <c r="I1190" s="4">
        <f t="shared" si="73"/>
        <v>1</v>
      </c>
      <c r="J1190" s="4">
        <f t="shared" si="74"/>
        <v>1</v>
      </c>
      <c r="K1190" s="3">
        <f t="shared" si="75"/>
        <v>2</v>
      </c>
    </row>
    <row r="1191" spans="1:11">
      <c r="A1191" s="4" t="s">
        <v>79</v>
      </c>
      <c r="B1191" s="4" t="s">
        <v>144</v>
      </c>
      <c r="C1191" s="4" t="s">
        <v>233</v>
      </c>
      <c r="D1191" s="4">
        <f>INDEX(Positions!$D$2:$D$4694,MATCH($A1191&amp;"|29",Positions!$A$2:$A$4694,0))</f>
        <v>30</v>
      </c>
      <c r="E1191" s="4">
        <f>INDEX(Positions!$D$2:$D$4694,MATCH($A1191&amp;"|41",Positions!$A$2:$A$4694,0))</f>
        <v>42</v>
      </c>
      <c r="F1191" s="4" t="str">
        <f>INDEX(Positions!$E$2:$E$4694,MATCH($A1191&amp;"|29",Positions!$A$2:$A$4694,0))</f>
        <v>A</v>
      </c>
      <c r="G1191" s="4" t="str">
        <f>INDEX(Positions!$E$2:$E$4694,MATCH($A1191&amp;"|41",Positions!$A$2:$A$4694,0))</f>
        <v>U</v>
      </c>
      <c r="H1191" s="3" t="str">
        <f t="shared" si="72"/>
        <v>A-U</v>
      </c>
      <c r="I1191" s="4">
        <f t="shared" si="73"/>
        <v>0</v>
      </c>
      <c r="J1191" s="4">
        <f t="shared" si="74"/>
        <v>0</v>
      </c>
      <c r="K1191" s="3">
        <f t="shared" si="75"/>
        <v>0</v>
      </c>
    </row>
    <row r="1192" spans="1:11">
      <c r="A1192" s="4" t="s">
        <v>79</v>
      </c>
      <c r="B1192" s="4" t="s">
        <v>144</v>
      </c>
      <c r="C1192" s="4" t="s">
        <v>234</v>
      </c>
      <c r="D1192" s="4">
        <f>INDEX(Positions!$D$2:$D$4694,MATCH($A1192&amp;"|30",Positions!$A$2:$A$4694,0))</f>
        <v>31</v>
      </c>
      <c r="E1192" s="4">
        <f>INDEX(Positions!$D$2:$D$4694,MATCH($A1192&amp;"|40",Positions!$A$2:$A$4694,0))</f>
        <v>41</v>
      </c>
      <c r="F1192" s="4" t="str">
        <f>INDEX(Positions!$E$2:$E$4694,MATCH($A1192&amp;"|30",Positions!$A$2:$A$4694,0))</f>
        <v>G</v>
      </c>
      <c r="G1192" s="4" t="str">
        <f>INDEX(Positions!$E$2:$E$4694,MATCH($A1192&amp;"|40",Positions!$A$2:$A$4694,0))</f>
        <v>C</v>
      </c>
      <c r="H1192" s="3" t="str">
        <f t="shared" si="72"/>
        <v>G-C</v>
      </c>
      <c r="I1192" s="4">
        <f t="shared" si="73"/>
        <v>1</v>
      </c>
      <c r="J1192" s="4">
        <f t="shared" si="74"/>
        <v>1</v>
      </c>
      <c r="K1192" s="3">
        <f t="shared" si="75"/>
        <v>2</v>
      </c>
    </row>
    <row r="1193" spans="1:11">
      <c r="A1193" s="4" t="s">
        <v>79</v>
      </c>
      <c r="B1193" s="4" t="s">
        <v>144</v>
      </c>
      <c r="C1193" s="4" t="s">
        <v>235</v>
      </c>
      <c r="D1193" s="4">
        <f>INDEX(Positions!$D$2:$D$4694,MATCH($A1193&amp;"|31",Positions!$A$2:$A$4694,0))</f>
        <v>32</v>
      </c>
      <c r="E1193" s="4">
        <f>INDEX(Positions!$D$2:$D$4694,MATCH($A1193&amp;"|39",Positions!$A$2:$A$4694,0))</f>
        <v>40</v>
      </c>
      <c r="F1193" s="4" t="str">
        <f>INDEX(Positions!$E$2:$E$4694,MATCH($A1193&amp;"|31",Positions!$A$2:$A$4694,0))</f>
        <v>A</v>
      </c>
      <c r="G1193" s="4" t="str">
        <f>INDEX(Positions!$E$2:$E$4694,MATCH($A1193&amp;"|39",Positions!$A$2:$A$4694,0))</f>
        <v>U</v>
      </c>
      <c r="H1193" s="3" t="str">
        <f t="shared" si="72"/>
        <v>A-U</v>
      </c>
      <c r="I1193" s="4">
        <f t="shared" si="73"/>
        <v>0</v>
      </c>
      <c r="J1193" s="4">
        <f t="shared" si="74"/>
        <v>0</v>
      </c>
      <c r="K1193" s="3">
        <f t="shared" si="75"/>
        <v>0</v>
      </c>
    </row>
    <row r="1194" spans="1:11">
      <c r="A1194" s="4" t="s">
        <v>79</v>
      </c>
      <c r="B1194" s="4" t="s">
        <v>169</v>
      </c>
      <c r="C1194" s="4" t="s">
        <v>236</v>
      </c>
      <c r="D1194" s="4">
        <f>INDEX(Positions!$D$2:$D$4694,MATCH($A1194&amp;"|49",Positions!$A$2:$A$4694,0))</f>
        <v>50</v>
      </c>
      <c r="E1194" s="4">
        <f>INDEX(Positions!$D$2:$D$4694,MATCH($A1194&amp;"|65",Positions!$A$2:$A$4694,0))</f>
        <v>66</v>
      </c>
      <c r="F1194" s="4" t="str">
        <f>INDEX(Positions!$E$2:$E$4694,MATCH($A1194&amp;"|49",Positions!$A$2:$A$4694,0))</f>
        <v>G</v>
      </c>
      <c r="G1194" s="4" t="str">
        <f>INDEX(Positions!$E$2:$E$4694,MATCH($A1194&amp;"|65",Positions!$A$2:$A$4694,0))</f>
        <v>C</v>
      </c>
      <c r="H1194" s="3" t="str">
        <f t="shared" si="72"/>
        <v>G-C</v>
      </c>
      <c r="I1194" s="4">
        <f t="shared" si="73"/>
        <v>1</v>
      </c>
      <c r="J1194" s="4">
        <f t="shared" si="74"/>
        <v>1</v>
      </c>
      <c r="K1194" s="3">
        <f t="shared" si="75"/>
        <v>2</v>
      </c>
    </row>
    <row r="1195" spans="1:11">
      <c r="A1195" s="4" t="s">
        <v>79</v>
      </c>
      <c r="B1195" s="4" t="s">
        <v>169</v>
      </c>
      <c r="C1195" s="4" t="s">
        <v>237</v>
      </c>
      <c r="D1195" s="4">
        <f>INDEX(Positions!$D$2:$D$4694,MATCH($A1195&amp;"|50",Positions!$A$2:$A$4694,0))</f>
        <v>51</v>
      </c>
      <c r="E1195" s="4">
        <f>INDEX(Positions!$D$2:$D$4694,MATCH($A1195&amp;"|64",Positions!$A$2:$A$4694,0))</f>
        <v>65</v>
      </c>
      <c r="F1195" s="4" t="str">
        <f>INDEX(Positions!$E$2:$E$4694,MATCH($A1195&amp;"|50",Positions!$A$2:$A$4694,0))</f>
        <v>C</v>
      </c>
      <c r="G1195" s="4" t="str">
        <f>INDEX(Positions!$E$2:$E$4694,MATCH($A1195&amp;"|64",Positions!$A$2:$A$4694,0))</f>
        <v>G</v>
      </c>
      <c r="H1195" s="3" t="str">
        <f t="shared" si="72"/>
        <v>C-G</v>
      </c>
      <c r="I1195" s="4">
        <f t="shared" si="73"/>
        <v>1</v>
      </c>
      <c r="J1195" s="4">
        <f t="shared" si="74"/>
        <v>1</v>
      </c>
      <c r="K1195" s="3">
        <f t="shared" si="75"/>
        <v>2</v>
      </c>
    </row>
    <row r="1196" spans="1:11">
      <c r="A1196" s="4" t="s">
        <v>79</v>
      </c>
      <c r="B1196" s="4" t="s">
        <v>169</v>
      </c>
      <c r="C1196" s="4" t="s">
        <v>238</v>
      </c>
      <c r="D1196" s="4">
        <f>INDEX(Positions!$D$2:$D$4694,MATCH($A1196&amp;"|51",Positions!$A$2:$A$4694,0))</f>
        <v>52</v>
      </c>
      <c r="E1196" s="4">
        <f>INDEX(Positions!$D$2:$D$4694,MATCH($A1196&amp;"|63",Positions!$A$2:$A$4694,0))</f>
        <v>64</v>
      </c>
      <c r="F1196" s="4" t="str">
        <f>INDEX(Positions!$E$2:$E$4694,MATCH($A1196&amp;"|51",Positions!$A$2:$A$4694,0))</f>
        <v>G</v>
      </c>
      <c r="G1196" s="4" t="str">
        <f>INDEX(Positions!$E$2:$E$4694,MATCH($A1196&amp;"|63",Positions!$A$2:$A$4694,0))</f>
        <v>C</v>
      </c>
      <c r="H1196" s="3" t="str">
        <f t="shared" si="72"/>
        <v>G-C</v>
      </c>
      <c r="I1196" s="4">
        <f t="shared" si="73"/>
        <v>1</v>
      </c>
      <c r="J1196" s="4">
        <f t="shared" si="74"/>
        <v>1</v>
      </c>
      <c r="K1196" s="3">
        <f t="shared" si="75"/>
        <v>2</v>
      </c>
    </row>
    <row r="1197" spans="1:11">
      <c r="A1197" s="4" t="s">
        <v>79</v>
      </c>
      <c r="B1197" s="4" t="s">
        <v>169</v>
      </c>
      <c r="C1197" s="4" t="s">
        <v>239</v>
      </c>
      <c r="D1197" s="4">
        <f>INDEX(Positions!$D$2:$D$4694,MATCH($A1197&amp;"|52",Positions!$A$2:$A$4694,0))</f>
        <v>53</v>
      </c>
      <c r="E1197" s="4">
        <f>INDEX(Positions!$D$2:$D$4694,MATCH($A1197&amp;"|62",Positions!$A$2:$A$4694,0))</f>
        <v>63</v>
      </c>
      <c r="F1197" s="4" t="str">
        <f>INDEX(Positions!$E$2:$E$4694,MATCH($A1197&amp;"|52",Positions!$A$2:$A$4694,0))</f>
        <v>U</v>
      </c>
      <c r="G1197" s="4" t="str">
        <f>INDEX(Positions!$E$2:$E$4694,MATCH($A1197&amp;"|62",Positions!$A$2:$A$4694,0))</f>
        <v>A</v>
      </c>
      <c r="H1197" s="3" t="str">
        <f t="shared" si="72"/>
        <v>U-A</v>
      </c>
      <c r="I1197" s="4">
        <f t="shared" si="73"/>
        <v>0</v>
      </c>
      <c r="J1197" s="4">
        <f t="shared" si="74"/>
        <v>0</v>
      </c>
      <c r="K1197" s="3">
        <f t="shared" si="75"/>
        <v>0</v>
      </c>
    </row>
    <row r="1198" spans="1:11">
      <c r="A1198" s="4" t="s">
        <v>79</v>
      </c>
      <c r="B1198" s="4" t="s">
        <v>169</v>
      </c>
      <c r="C1198" s="4" t="s">
        <v>240</v>
      </c>
      <c r="D1198" s="4">
        <f>INDEX(Positions!$D$2:$D$4694,MATCH($A1198&amp;"|53",Positions!$A$2:$A$4694,0))</f>
        <v>54</v>
      </c>
      <c r="E1198" s="4">
        <f>INDEX(Positions!$D$2:$D$4694,MATCH($A1198&amp;"|61",Positions!$A$2:$A$4694,0))</f>
        <v>62</v>
      </c>
      <c r="F1198" s="4" t="str">
        <f>INDEX(Positions!$E$2:$E$4694,MATCH($A1198&amp;"|53",Positions!$A$2:$A$4694,0))</f>
        <v>G</v>
      </c>
      <c r="G1198" s="4" t="str">
        <f>INDEX(Positions!$E$2:$E$4694,MATCH($A1198&amp;"|61",Positions!$A$2:$A$4694,0))</f>
        <v>C</v>
      </c>
      <c r="H1198" s="3" t="str">
        <f t="shared" si="72"/>
        <v>G-C</v>
      </c>
      <c r="I1198" s="4">
        <f t="shared" si="73"/>
        <v>1</v>
      </c>
      <c r="J1198" s="4">
        <f t="shared" si="74"/>
        <v>1</v>
      </c>
      <c r="K1198" s="3">
        <f t="shared" si="75"/>
        <v>2</v>
      </c>
    </row>
    <row r="1199" spans="1:11">
      <c r="A1199" s="23" t="s">
        <v>79</v>
      </c>
      <c r="B1199" s="23" t="s">
        <v>241</v>
      </c>
      <c r="C1199" s="23" t="s">
        <v>242</v>
      </c>
      <c r="D1199" s="23">
        <f>INDEX(Positions!$D$2:$D$4694,MATCH($A1199&amp;"|8",Positions!$A$2:$A$4694,0))</f>
        <v>8</v>
      </c>
      <c r="E1199" s="23">
        <f>INDEX(Positions!$D$2:$D$4694,MATCH($A1199&amp;"|14",Positions!$A$2:$A$4694,0))</f>
        <v>14</v>
      </c>
      <c r="F1199" s="23" t="str">
        <f>INDEX(Positions!$E$2:$E$4694,MATCH($A1199&amp;"|8",Positions!$A$2:$A$4694,0))</f>
        <v>U</v>
      </c>
      <c r="G1199" s="23" t="str">
        <f>INDEX(Positions!$E$2:$E$4694,MATCH($A1199&amp;"|14",Positions!$A$2:$A$4694,0))</f>
        <v>A</v>
      </c>
      <c r="H1199" s="24" t="str">
        <f t="shared" si="72"/>
        <v>U-A</v>
      </c>
      <c r="I1199" s="23">
        <f t="shared" si="73"/>
        <v>0</v>
      </c>
      <c r="J1199" s="23">
        <f t="shared" si="74"/>
        <v>0</v>
      </c>
      <c r="K1199" s="24">
        <f t="shared" si="75"/>
        <v>0</v>
      </c>
    </row>
    <row r="1200" spans="1:11">
      <c r="A1200" s="23" t="s">
        <v>79</v>
      </c>
      <c r="B1200" s="23" t="s">
        <v>241</v>
      </c>
      <c r="C1200" s="23" t="s">
        <v>243</v>
      </c>
      <c r="D1200" s="23">
        <f>INDEX(Positions!$D$2:$D$4694,MATCH($A1200&amp;"|15",Positions!$A$2:$A$4694,0))</f>
        <v>15</v>
      </c>
      <c r="E1200" s="23">
        <f>INDEX(Positions!$D$2:$D$4694,MATCH($A1200&amp;"|48",Positions!$A$2:$A$4694,0))</f>
        <v>49</v>
      </c>
      <c r="F1200" s="23" t="str">
        <f>INDEX(Positions!$E$2:$E$4694,MATCH($A1200&amp;"|15",Positions!$A$2:$A$4694,0))</f>
        <v>G</v>
      </c>
      <c r="G1200" s="23" t="str">
        <f>INDEX(Positions!$E$2:$E$4694,MATCH($A1200&amp;"|48",Positions!$A$2:$A$4694,0))</f>
        <v>C</v>
      </c>
      <c r="H1200" s="24" t="str">
        <f t="shared" si="72"/>
        <v>G-C</v>
      </c>
      <c r="I1200" s="23">
        <f t="shared" si="73"/>
        <v>1</v>
      </c>
      <c r="J1200" s="23">
        <f t="shared" si="74"/>
        <v>1</v>
      </c>
      <c r="K1200" s="24">
        <f t="shared" si="75"/>
        <v>2</v>
      </c>
    </row>
    <row r="1201" spans="1:11">
      <c r="A1201" s="23" t="s">
        <v>79</v>
      </c>
      <c r="B1201" s="23" t="s">
        <v>241</v>
      </c>
      <c r="C1201" s="23" t="s">
        <v>244</v>
      </c>
      <c r="D1201" s="23">
        <f>INDEX(Positions!$D$2:$D$4694,MATCH($A1201&amp;"|18",Positions!$A$2:$A$4694,0))</f>
        <v>18</v>
      </c>
      <c r="E1201" s="23">
        <f>INDEX(Positions!$D$2:$D$4694,MATCH($A1201&amp;"|55",Positions!$A$2:$A$4694,0))</f>
        <v>56</v>
      </c>
      <c r="F1201" s="23" t="str">
        <f>INDEX(Positions!$E$2:$E$4694,MATCH($A1201&amp;"|18",Positions!$A$2:$A$4694,0))</f>
        <v>G</v>
      </c>
      <c r="G1201" s="23" t="str">
        <f>INDEX(Positions!$E$2:$E$4694,MATCH($A1201&amp;"|55",Positions!$A$2:$A$4694,0))</f>
        <v>U</v>
      </c>
      <c r="H1201" s="24" t="str">
        <f t="shared" si="72"/>
        <v>G-U</v>
      </c>
      <c r="I1201" s="23">
        <f t="shared" si="73"/>
        <v>1</v>
      </c>
      <c r="J1201" s="23">
        <f t="shared" si="74"/>
        <v>0</v>
      </c>
      <c r="K1201" s="24">
        <f t="shared" si="75"/>
        <v>1</v>
      </c>
    </row>
    <row r="1202" spans="1:11">
      <c r="A1202" s="23" t="s">
        <v>79</v>
      </c>
      <c r="B1202" s="23" t="s">
        <v>241</v>
      </c>
      <c r="C1202" s="23" t="s">
        <v>245</v>
      </c>
      <c r="D1202" s="23">
        <f>INDEX(Positions!$D$2:$D$4694,MATCH($A1202&amp;"|19",Positions!$A$2:$A$4694,0))</f>
        <v>19</v>
      </c>
      <c r="E1202" s="23">
        <f>INDEX(Positions!$D$2:$D$4694,MATCH($A1202&amp;"|56",Positions!$A$2:$A$4694,0))</f>
        <v>57</v>
      </c>
      <c r="F1202" s="23" t="str">
        <f>INDEX(Positions!$E$2:$E$4694,MATCH($A1202&amp;"|19",Positions!$A$2:$A$4694,0))</f>
        <v>G</v>
      </c>
      <c r="G1202" s="23" t="str">
        <f>INDEX(Positions!$E$2:$E$4694,MATCH($A1202&amp;"|56",Positions!$A$2:$A$4694,0))</f>
        <v>C</v>
      </c>
      <c r="H1202" s="24" t="str">
        <f t="shared" si="72"/>
        <v>G-C</v>
      </c>
      <c r="I1202" s="23">
        <f t="shared" si="73"/>
        <v>1</v>
      </c>
      <c r="J1202" s="23">
        <f t="shared" si="74"/>
        <v>1</v>
      </c>
      <c r="K1202" s="24">
        <f t="shared" si="75"/>
        <v>2</v>
      </c>
    </row>
    <row r="1203" spans="1:11">
      <c r="A1203" s="23" t="s">
        <v>79</v>
      </c>
      <c r="B1203" s="23" t="s">
        <v>241</v>
      </c>
      <c r="C1203" s="23" t="s">
        <v>246</v>
      </c>
      <c r="D1203" s="23">
        <f>INDEX(Positions!$D$2:$D$4694,MATCH($A1203&amp;"|26",Positions!$A$2:$A$4694,0))</f>
        <v>27</v>
      </c>
      <c r="E1203" s="23">
        <f>INDEX(Positions!$D$2:$D$4694,MATCH($A1203&amp;"|44",Positions!$A$2:$A$4694,0))</f>
        <v>45</v>
      </c>
      <c r="F1203" s="23" t="str">
        <f>INDEX(Positions!$E$2:$E$4694,MATCH($A1203&amp;"|26",Positions!$A$2:$A$4694,0))</f>
        <v>G</v>
      </c>
      <c r="G1203" s="23" t="str">
        <f>INDEX(Positions!$E$2:$E$4694,MATCH($A1203&amp;"|44",Positions!$A$2:$A$4694,0))</f>
        <v>A</v>
      </c>
      <c r="H1203" s="24" t="str">
        <f t="shared" si="72"/>
        <v>G-A</v>
      </c>
      <c r="I1203" s="23">
        <f t="shared" si="73"/>
        <v>1</v>
      </c>
      <c r="J1203" s="23">
        <f t="shared" si="74"/>
        <v>0</v>
      </c>
      <c r="K1203" s="24">
        <f t="shared" si="75"/>
        <v>1</v>
      </c>
    </row>
    <row r="1204" spans="1:11">
      <c r="A1204" s="23" t="s">
        <v>79</v>
      </c>
      <c r="B1204" s="23" t="s">
        <v>241</v>
      </c>
      <c r="C1204" s="23" t="s">
        <v>247</v>
      </c>
      <c r="D1204" s="23">
        <f>INDEX(Positions!$D$2:$D$4694,MATCH($A1204&amp;"|32",Positions!$A$2:$A$4694,0))</f>
        <v>33</v>
      </c>
      <c r="E1204" s="23">
        <f>INDEX(Positions!$D$2:$D$4694,MATCH($A1204&amp;"|38",Positions!$A$2:$A$4694,0))</f>
        <v>39</v>
      </c>
      <c r="F1204" s="23" t="str">
        <f>INDEX(Positions!$E$2:$E$4694,MATCH($A1204&amp;"|32",Positions!$A$2:$A$4694,0))</f>
        <v>C</v>
      </c>
      <c r="G1204" s="23" t="str">
        <f>INDEX(Positions!$E$2:$E$4694,MATCH($A1204&amp;"|38",Positions!$A$2:$A$4694,0))</f>
        <v>A</v>
      </c>
      <c r="H1204" s="24" t="str">
        <f t="shared" si="72"/>
        <v>C-A</v>
      </c>
      <c r="I1204" s="23">
        <f t="shared" si="73"/>
        <v>0</v>
      </c>
      <c r="J1204" s="23">
        <f t="shared" si="74"/>
        <v>1</v>
      </c>
      <c r="K1204" s="24">
        <f t="shared" si="75"/>
        <v>1</v>
      </c>
    </row>
    <row r="1205" spans="1:11">
      <c r="A1205" s="23" t="s">
        <v>79</v>
      </c>
      <c r="B1205" s="23" t="s">
        <v>241</v>
      </c>
      <c r="C1205" s="23" t="s">
        <v>248</v>
      </c>
      <c r="D1205" s="23">
        <f>INDEX(Positions!$D$2:$D$4694,MATCH($A1205&amp;"|54",Positions!$A$2:$A$4694,0))</f>
        <v>55</v>
      </c>
      <c r="E1205" s="23">
        <f>INDEX(Positions!$D$2:$D$4694,MATCH($A1205&amp;"|58",Positions!$A$2:$A$4694,0))</f>
        <v>59</v>
      </c>
      <c r="F1205" s="23" t="str">
        <f>INDEX(Positions!$E$2:$E$4694,MATCH($A1205&amp;"|54",Positions!$A$2:$A$4694,0))</f>
        <v>U</v>
      </c>
      <c r="G1205" s="23" t="str">
        <f>INDEX(Positions!$E$2:$E$4694,MATCH($A1205&amp;"|58",Positions!$A$2:$A$4694,0))</f>
        <v>A</v>
      </c>
      <c r="H1205" s="24" t="str">
        <f t="shared" si="72"/>
        <v>U-A</v>
      </c>
      <c r="I1205" s="23">
        <f t="shared" si="73"/>
        <v>0</v>
      </c>
      <c r="J1205" s="23">
        <f t="shared" si="74"/>
        <v>0</v>
      </c>
      <c r="K1205" s="24">
        <f t="shared" si="75"/>
        <v>0</v>
      </c>
    </row>
    <row r="1206" spans="1:11">
      <c r="A1206" s="4" t="s">
        <v>80</v>
      </c>
      <c r="B1206" s="4" t="s">
        <v>110</v>
      </c>
      <c r="C1206" s="4" t="s">
        <v>220</v>
      </c>
      <c r="D1206" s="4">
        <f>INDEX(Positions!$D$2:$D$4694,MATCH($A1206&amp;"|1",Positions!$A$2:$A$4694,0))</f>
        <v>1</v>
      </c>
      <c r="E1206" s="4">
        <f>INDEX(Positions!$D$2:$D$4694,MATCH($A1206&amp;"|72",Positions!$A$2:$A$4694,0))</f>
        <v>71</v>
      </c>
      <c r="F1206" s="4" t="str">
        <f>INDEX(Positions!$E$2:$E$4694,MATCH($A1206&amp;"|1",Positions!$A$2:$A$4694,0))</f>
        <v>G</v>
      </c>
      <c r="G1206" s="4" t="str">
        <f>INDEX(Positions!$E$2:$E$4694,MATCH($A1206&amp;"|72",Positions!$A$2:$A$4694,0))</f>
        <v>C</v>
      </c>
      <c r="H1206" s="3" t="str">
        <f t="shared" si="72"/>
        <v>G-C</v>
      </c>
      <c r="I1206" s="4">
        <f t="shared" si="73"/>
        <v>1</v>
      </c>
      <c r="J1206" s="4">
        <f t="shared" si="74"/>
        <v>1</v>
      </c>
      <c r="K1206" s="3">
        <f t="shared" si="75"/>
        <v>2</v>
      </c>
    </row>
    <row r="1207" spans="1:11">
      <c r="A1207" s="4" t="s">
        <v>80</v>
      </c>
      <c r="B1207" s="4" t="s">
        <v>110</v>
      </c>
      <c r="C1207" s="4" t="s">
        <v>221</v>
      </c>
      <c r="D1207" s="4">
        <f>INDEX(Positions!$D$2:$D$4694,MATCH($A1207&amp;"|2",Positions!$A$2:$A$4694,0))</f>
        <v>2</v>
      </c>
      <c r="E1207" s="4">
        <f>INDEX(Positions!$D$2:$D$4694,MATCH($A1207&amp;"|71",Positions!$A$2:$A$4694,0))</f>
        <v>70</v>
      </c>
      <c r="F1207" s="4" t="str">
        <f>INDEX(Positions!$E$2:$E$4694,MATCH($A1207&amp;"|2",Positions!$A$2:$A$4694,0))</f>
        <v>C</v>
      </c>
      <c r="G1207" s="4" t="str">
        <f>INDEX(Positions!$E$2:$E$4694,MATCH($A1207&amp;"|71",Positions!$A$2:$A$4694,0))</f>
        <v>G</v>
      </c>
      <c r="H1207" s="3" t="str">
        <f t="shared" si="72"/>
        <v>C-G</v>
      </c>
      <c r="I1207" s="4">
        <f t="shared" si="73"/>
        <v>1</v>
      </c>
      <c r="J1207" s="4">
        <f t="shared" si="74"/>
        <v>1</v>
      </c>
      <c r="K1207" s="3">
        <f t="shared" si="75"/>
        <v>2</v>
      </c>
    </row>
    <row r="1208" spans="1:11">
      <c r="A1208" s="4" t="s">
        <v>80</v>
      </c>
      <c r="B1208" s="4" t="s">
        <v>110</v>
      </c>
      <c r="C1208" s="4" t="s">
        <v>222</v>
      </c>
      <c r="D1208" s="4">
        <f>INDEX(Positions!$D$2:$D$4694,MATCH($A1208&amp;"|3",Positions!$A$2:$A$4694,0))</f>
        <v>3</v>
      </c>
      <c r="E1208" s="4">
        <f>INDEX(Positions!$D$2:$D$4694,MATCH($A1208&amp;"|70",Positions!$A$2:$A$4694,0))</f>
        <v>69</v>
      </c>
      <c r="F1208" s="4" t="str">
        <f>INDEX(Positions!$E$2:$E$4694,MATCH($A1208&amp;"|3",Positions!$A$2:$A$4694,0))</f>
        <v>C</v>
      </c>
      <c r="G1208" s="4" t="str">
        <f>INDEX(Positions!$E$2:$E$4694,MATCH($A1208&amp;"|70",Positions!$A$2:$A$4694,0))</f>
        <v>G</v>
      </c>
      <c r="H1208" s="3" t="str">
        <f t="shared" si="72"/>
        <v>C-G</v>
      </c>
      <c r="I1208" s="4">
        <f t="shared" si="73"/>
        <v>1</v>
      </c>
      <c r="J1208" s="4">
        <f t="shared" si="74"/>
        <v>1</v>
      </c>
      <c r="K1208" s="3">
        <f t="shared" si="75"/>
        <v>2</v>
      </c>
    </row>
    <row r="1209" spans="1:11">
      <c r="A1209" s="4" t="s">
        <v>80</v>
      </c>
      <c r="B1209" s="4" t="s">
        <v>110</v>
      </c>
      <c r="C1209" s="4" t="s">
        <v>223</v>
      </c>
      <c r="D1209" s="4">
        <f>INDEX(Positions!$D$2:$D$4694,MATCH($A1209&amp;"|4",Positions!$A$2:$A$4694,0))</f>
        <v>4</v>
      </c>
      <c r="E1209" s="4">
        <f>INDEX(Positions!$D$2:$D$4694,MATCH($A1209&amp;"|69",Positions!$A$2:$A$4694,0))</f>
        <v>68</v>
      </c>
      <c r="F1209" s="4" t="str">
        <f>INDEX(Positions!$E$2:$E$4694,MATCH($A1209&amp;"|4",Positions!$A$2:$A$4694,0))</f>
        <v>C</v>
      </c>
      <c r="G1209" s="4" t="str">
        <f>INDEX(Positions!$E$2:$E$4694,MATCH($A1209&amp;"|69",Positions!$A$2:$A$4694,0))</f>
        <v>G</v>
      </c>
      <c r="H1209" s="3" t="str">
        <f t="shared" si="72"/>
        <v>C-G</v>
      </c>
      <c r="I1209" s="4">
        <f t="shared" si="73"/>
        <v>1</v>
      </c>
      <c r="J1209" s="4">
        <f t="shared" si="74"/>
        <v>1</v>
      </c>
      <c r="K1209" s="3">
        <f t="shared" si="75"/>
        <v>2</v>
      </c>
    </row>
    <row r="1210" spans="1:11">
      <c r="A1210" s="4" t="s">
        <v>80</v>
      </c>
      <c r="B1210" s="4" t="s">
        <v>110</v>
      </c>
      <c r="C1210" s="4" t="s">
        <v>224</v>
      </c>
      <c r="D1210" s="4">
        <f>INDEX(Positions!$D$2:$D$4694,MATCH($A1210&amp;"|5",Positions!$A$2:$A$4694,0))</f>
        <v>5</v>
      </c>
      <c r="E1210" s="4">
        <f>INDEX(Positions!$D$2:$D$4694,MATCH($A1210&amp;"|68",Positions!$A$2:$A$4694,0))</f>
        <v>67</v>
      </c>
      <c r="F1210" s="4" t="str">
        <f>INDEX(Positions!$E$2:$E$4694,MATCH($A1210&amp;"|5",Positions!$A$2:$A$4694,0))</f>
        <v>A</v>
      </c>
      <c r="G1210" s="4" t="str">
        <f>INDEX(Positions!$E$2:$E$4694,MATCH($A1210&amp;"|68",Positions!$A$2:$A$4694,0))</f>
        <v>U</v>
      </c>
      <c r="H1210" s="3" t="str">
        <f t="shared" si="72"/>
        <v>A-U</v>
      </c>
      <c r="I1210" s="4">
        <f t="shared" si="73"/>
        <v>0</v>
      </c>
      <c r="J1210" s="4">
        <f t="shared" si="74"/>
        <v>0</v>
      </c>
      <c r="K1210" s="3">
        <f t="shared" si="75"/>
        <v>0</v>
      </c>
    </row>
    <row r="1211" spans="1:11">
      <c r="A1211" s="4" t="s">
        <v>80</v>
      </c>
      <c r="B1211" s="4" t="s">
        <v>110</v>
      </c>
      <c r="C1211" s="4" t="s">
        <v>225</v>
      </c>
      <c r="D1211" s="4">
        <f>INDEX(Positions!$D$2:$D$4694,MATCH($A1211&amp;"|6",Positions!$A$2:$A$4694,0))</f>
        <v>6</v>
      </c>
      <c r="E1211" s="4">
        <f>INDEX(Positions!$D$2:$D$4694,MATCH($A1211&amp;"|67",Positions!$A$2:$A$4694,0))</f>
        <v>66</v>
      </c>
      <c r="F1211" s="4" t="str">
        <f>INDEX(Positions!$E$2:$E$4694,MATCH($A1211&amp;"|6",Positions!$A$2:$A$4694,0))</f>
        <v>G</v>
      </c>
      <c r="G1211" s="4" t="str">
        <f>INDEX(Positions!$E$2:$E$4694,MATCH($A1211&amp;"|67",Positions!$A$2:$A$4694,0))</f>
        <v>C</v>
      </c>
      <c r="H1211" s="3" t="str">
        <f t="shared" si="72"/>
        <v>G-C</v>
      </c>
      <c r="I1211" s="4">
        <f t="shared" si="73"/>
        <v>1</v>
      </c>
      <c r="J1211" s="4">
        <f t="shared" si="74"/>
        <v>1</v>
      </c>
      <c r="K1211" s="3">
        <f t="shared" si="75"/>
        <v>2</v>
      </c>
    </row>
    <row r="1212" spans="1:11">
      <c r="A1212" s="4" t="s">
        <v>80</v>
      </c>
      <c r="B1212" s="4" t="s">
        <v>110</v>
      </c>
      <c r="C1212" s="4" t="s">
        <v>226</v>
      </c>
      <c r="D1212" s="4">
        <f>INDEX(Positions!$D$2:$D$4694,MATCH($A1212&amp;"|7",Positions!$A$2:$A$4694,0))</f>
        <v>7</v>
      </c>
      <c r="E1212" s="4">
        <f>INDEX(Positions!$D$2:$D$4694,MATCH($A1212&amp;"|66",Positions!$A$2:$A$4694,0))</f>
        <v>65</v>
      </c>
      <c r="F1212" s="4" t="str">
        <f>INDEX(Positions!$E$2:$E$4694,MATCH($A1212&amp;"|7",Positions!$A$2:$A$4694,0))</f>
        <v>G</v>
      </c>
      <c r="G1212" s="4" t="str">
        <f>INDEX(Positions!$E$2:$E$4694,MATCH($A1212&amp;"|66",Positions!$A$2:$A$4694,0))</f>
        <v>U</v>
      </c>
      <c r="H1212" s="3" t="str">
        <f t="shared" si="72"/>
        <v>G-U</v>
      </c>
      <c r="I1212" s="4">
        <f t="shared" si="73"/>
        <v>1</v>
      </c>
      <c r="J1212" s="4">
        <f t="shared" si="74"/>
        <v>0</v>
      </c>
      <c r="K1212" s="3">
        <f t="shared" si="75"/>
        <v>1</v>
      </c>
    </row>
    <row r="1213" spans="1:11">
      <c r="A1213" s="4" t="s">
        <v>80</v>
      </c>
      <c r="B1213" s="4" t="s">
        <v>125</v>
      </c>
      <c r="C1213" s="4" t="s">
        <v>227</v>
      </c>
      <c r="D1213" s="4">
        <f>INDEX(Positions!$D$2:$D$4694,MATCH($A1213&amp;"|10",Positions!$A$2:$A$4694,0))</f>
        <v>10</v>
      </c>
      <c r="E1213" s="4">
        <f>INDEX(Positions!$D$2:$D$4694,MATCH($A1213&amp;"|25",Positions!$A$2:$A$4694,0))</f>
        <v>24</v>
      </c>
      <c r="F1213" s="4" t="str">
        <f>INDEX(Positions!$E$2:$E$4694,MATCH($A1213&amp;"|10",Positions!$A$2:$A$4694,0))</f>
        <v>G</v>
      </c>
      <c r="G1213" s="4" t="str">
        <f>INDEX(Positions!$E$2:$E$4694,MATCH($A1213&amp;"|25",Positions!$A$2:$A$4694,0))</f>
        <v>C</v>
      </c>
      <c r="H1213" s="3" t="str">
        <f t="shared" si="72"/>
        <v>G-C</v>
      </c>
      <c r="I1213" s="4">
        <f t="shared" si="73"/>
        <v>1</v>
      </c>
      <c r="J1213" s="4">
        <f t="shared" si="74"/>
        <v>1</v>
      </c>
      <c r="K1213" s="3">
        <f t="shared" si="75"/>
        <v>2</v>
      </c>
    </row>
    <row r="1214" spans="1:11">
      <c r="A1214" s="4" t="s">
        <v>80</v>
      </c>
      <c r="B1214" s="4" t="s">
        <v>125</v>
      </c>
      <c r="C1214" s="4" t="s">
        <v>228</v>
      </c>
      <c r="D1214" s="4">
        <f>INDEX(Positions!$D$2:$D$4694,MATCH($A1214&amp;"|11",Positions!$A$2:$A$4694,0))</f>
        <v>11</v>
      </c>
      <c r="E1214" s="4">
        <f>INDEX(Positions!$D$2:$D$4694,MATCH($A1214&amp;"|24",Positions!$A$2:$A$4694,0))</f>
        <v>23</v>
      </c>
      <c r="F1214" s="4" t="str">
        <f>INDEX(Positions!$E$2:$E$4694,MATCH($A1214&amp;"|11",Positions!$A$2:$A$4694,0))</f>
        <v>C</v>
      </c>
      <c r="G1214" s="4" t="str">
        <f>INDEX(Positions!$E$2:$E$4694,MATCH($A1214&amp;"|24",Positions!$A$2:$A$4694,0))</f>
        <v>G</v>
      </c>
      <c r="H1214" s="3" t="str">
        <f t="shared" si="72"/>
        <v>C-G</v>
      </c>
      <c r="I1214" s="4">
        <f t="shared" si="73"/>
        <v>1</v>
      </c>
      <c r="J1214" s="4">
        <f t="shared" si="74"/>
        <v>1</v>
      </c>
      <c r="K1214" s="3">
        <f t="shared" si="75"/>
        <v>2</v>
      </c>
    </row>
    <row r="1215" spans="1:11">
      <c r="A1215" s="4" t="s">
        <v>80</v>
      </c>
      <c r="B1215" s="4" t="s">
        <v>125</v>
      </c>
      <c r="C1215" s="4" t="s">
        <v>229</v>
      </c>
      <c r="D1215" s="4">
        <f>INDEX(Positions!$D$2:$D$4694,MATCH($A1215&amp;"|12",Positions!$A$2:$A$4694,0))</f>
        <v>12</v>
      </c>
      <c r="E1215" s="4">
        <f>INDEX(Positions!$D$2:$D$4694,MATCH($A1215&amp;"|23",Positions!$A$2:$A$4694,0))</f>
        <v>22</v>
      </c>
      <c r="F1215" s="4" t="str">
        <f>INDEX(Positions!$E$2:$E$4694,MATCH($A1215&amp;"|12",Positions!$A$2:$A$4694,0))</f>
        <v>U</v>
      </c>
      <c r="G1215" s="4" t="str">
        <f>INDEX(Positions!$E$2:$E$4694,MATCH($A1215&amp;"|23",Positions!$A$2:$A$4694,0))</f>
        <v>A</v>
      </c>
      <c r="H1215" s="3" t="str">
        <f t="shared" si="72"/>
        <v>U-A</v>
      </c>
      <c r="I1215" s="4">
        <f t="shared" si="73"/>
        <v>0</v>
      </c>
      <c r="J1215" s="4">
        <f t="shared" si="74"/>
        <v>0</v>
      </c>
      <c r="K1215" s="3">
        <f t="shared" si="75"/>
        <v>0</v>
      </c>
    </row>
    <row r="1216" spans="1:11">
      <c r="A1216" s="4" t="s">
        <v>80</v>
      </c>
      <c r="B1216" s="4" t="s">
        <v>125</v>
      </c>
      <c r="C1216" s="4" t="s">
        <v>230</v>
      </c>
      <c r="D1216" s="4">
        <f>INDEX(Positions!$D$2:$D$4694,MATCH($A1216&amp;"|13",Positions!$A$2:$A$4694,0))</f>
        <v>13</v>
      </c>
      <c r="E1216" s="4">
        <f>INDEX(Positions!$D$2:$D$4694,MATCH($A1216&amp;"|22",Positions!$A$2:$A$4694,0))</f>
        <v>21</v>
      </c>
      <c r="F1216" s="4" t="str">
        <f>INDEX(Positions!$E$2:$E$4694,MATCH($A1216&amp;"|13",Positions!$A$2:$A$4694,0))</f>
        <v>C</v>
      </c>
      <c r="G1216" s="4" t="str">
        <f>INDEX(Positions!$E$2:$E$4694,MATCH($A1216&amp;"|22",Positions!$A$2:$A$4694,0))</f>
        <v>G</v>
      </c>
      <c r="H1216" s="3" t="str">
        <f t="shared" si="72"/>
        <v>C-G</v>
      </c>
      <c r="I1216" s="4">
        <f t="shared" si="73"/>
        <v>1</v>
      </c>
      <c r="J1216" s="4">
        <f t="shared" si="74"/>
        <v>1</v>
      </c>
      <c r="K1216" s="3">
        <f t="shared" si="75"/>
        <v>2</v>
      </c>
    </row>
    <row r="1217" spans="1:11">
      <c r="A1217" s="4" t="s">
        <v>80</v>
      </c>
      <c r="B1217" s="4" t="s">
        <v>144</v>
      </c>
      <c r="C1217" s="4" t="s">
        <v>231</v>
      </c>
      <c r="D1217" s="4">
        <f>INDEX(Positions!$D$2:$D$4694,MATCH($A1217&amp;"|27",Positions!$A$2:$A$4694,0))</f>
        <v>26</v>
      </c>
      <c r="E1217" s="4">
        <f>INDEX(Positions!$D$2:$D$4694,MATCH($A1217&amp;"|43",Positions!$A$2:$A$4694,0))</f>
        <v>42</v>
      </c>
      <c r="F1217" s="4" t="str">
        <f>INDEX(Positions!$E$2:$E$4694,MATCH($A1217&amp;"|27",Positions!$A$2:$A$4694,0))</f>
        <v>C</v>
      </c>
      <c r="G1217" s="4" t="str">
        <f>INDEX(Positions!$E$2:$E$4694,MATCH($A1217&amp;"|43",Positions!$A$2:$A$4694,0))</f>
        <v>G</v>
      </c>
      <c r="H1217" s="3" t="str">
        <f t="shared" si="72"/>
        <v>C-G</v>
      </c>
      <c r="I1217" s="4">
        <f t="shared" si="73"/>
        <v>1</v>
      </c>
      <c r="J1217" s="4">
        <f t="shared" si="74"/>
        <v>1</v>
      </c>
      <c r="K1217" s="3">
        <f t="shared" si="75"/>
        <v>2</v>
      </c>
    </row>
    <row r="1218" spans="1:11">
      <c r="A1218" s="4" t="s">
        <v>80</v>
      </c>
      <c r="B1218" s="4" t="s">
        <v>144</v>
      </c>
      <c r="C1218" s="4" t="s">
        <v>232</v>
      </c>
      <c r="D1218" s="4">
        <f>INDEX(Positions!$D$2:$D$4694,MATCH($A1218&amp;"|28",Positions!$A$2:$A$4694,0))</f>
        <v>27</v>
      </c>
      <c r="E1218" s="4">
        <f>INDEX(Positions!$D$2:$D$4694,MATCH($A1218&amp;"|42",Positions!$A$2:$A$4694,0))</f>
        <v>41</v>
      </c>
      <c r="F1218" s="4" t="str">
        <f>INDEX(Positions!$E$2:$E$4694,MATCH($A1218&amp;"|28",Positions!$A$2:$A$4694,0))</f>
        <v>U</v>
      </c>
      <c r="G1218" s="4" t="str">
        <f>INDEX(Positions!$E$2:$E$4694,MATCH($A1218&amp;"|42",Positions!$A$2:$A$4694,0))</f>
        <v>A</v>
      </c>
      <c r="H1218" s="3" t="str">
        <f t="shared" ref="H1218:H1281" si="76">F1218&amp;"-"&amp;G1218</f>
        <v>U-A</v>
      </c>
      <c r="I1218" s="4">
        <f t="shared" ref="I1218:I1281" si="77">(F1218="G")+(G1218="G")</f>
        <v>0</v>
      </c>
      <c r="J1218" s="4">
        <f t="shared" ref="J1218:J1281" si="78">(F1218="C")+(G1218="C")</f>
        <v>0</v>
      </c>
      <c r="K1218" s="3">
        <f t="shared" ref="K1218:K1281" si="79">I1218+J1218</f>
        <v>0</v>
      </c>
    </row>
    <row r="1219" spans="1:11">
      <c r="A1219" s="4" t="s">
        <v>80</v>
      </c>
      <c r="B1219" s="4" t="s">
        <v>144</v>
      </c>
      <c r="C1219" s="4" t="s">
        <v>233</v>
      </c>
      <c r="D1219" s="4">
        <f>INDEX(Positions!$D$2:$D$4694,MATCH($A1219&amp;"|29",Positions!$A$2:$A$4694,0))</f>
        <v>28</v>
      </c>
      <c r="E1219" s="4">
        <f>INDEX(Positions!$D$2:$D$4694,MATCH($A1219&amp;"|41",Positions!$A$2:$A$4694,0))</f>
        <v>40</v>
      </c>
      <c r="F1219" s="4" t="str">
        <f>INDEX(Positions!$E$2:$E$4694,MATCH($A1219&amp;"|29",Positions!$A$2:$A$4694,0))</f>
        <v>G</v>
      </c>
      <c r="G1219" s="4" t="str">
        <f>INDEX(Positions!$E$2:$E$4694,MATCH($A1219&amp;"|41",Positions!$A$2:$A$4694,0))</f>
        <v>C</v>
      </c>
      <c r="H1219" s="3" t="str">
        <f t="shared" si="76"/>
        <v>G-C</v>
      </c>
      <c r="I1219" s="4">
        <f t="shared" si="77"/>
        <v>1</v>
      </c>
      <c r="J1219" s="4">
        <f t="shared" si="78"/>
        <v>1</v>
      </c>
      <c r="K1219" s="3">
        <f t="shared" si="79"/>
        <v>2</v>
      </c>
    </row>
    <row r="1220" spans="1:11">
      <c r="A1220" s="4" t="s">
        <v>80</v>
      </c>
      <c r="B1220" s="4" t="s">
        <v>144</v>
      </c>
      <c r="C1220" s="4" t="s">
        <v>234</v>
      </c>
      <c r="D1220" s="4">
        <f>INDEX(Positions!$D$2:$D$4694,MATCH($A1220&amp;"|30",Positions!$A$2:$A$4694,0))</f>
        <v>29</v>
      </c>
      <c r="E1220" s="4">
        <f>INDEX(Positions!$D$2:$D$4694,MATCH($A1220&amp;"|40",Positions!$A$2:$A$4694,0))</f>
        <v>39</v>
      </c>
      <c r="F1220" s="4" t="str">
        <f>INDEX(Positions!$E$2:$E$4694,MATCH($A1220&amp;"|30",Positions!$A$2:$A$4694,0))</f>
        <v>C</v>
      </c>
      <c r="G1220" s="4" t="str">
        <f>INDEX(Positions!$E$2:$E$4694,MATCH($A1220&amp;"|40",Positions!$A$2:$A$4694,0))</f>
        <v>G</v>
      </c>
      <c r="H1220" s="3" t="str">
        <f t="shared" si="76"/>
        <v>C-G</v>
      </c>
      <c r="I1220" s="4">
        <f t="shared" si="77"/>
        <v>1</v>
      </c>
      <c r="J1220" s="4">
        <f t="shared" si="78"/>
        <v>1</v>
      </c>
      <c r="K1220" s="3">
        <f t="shared" si="79"/>
        <v>2</v>
      </c>
    </row>
    <row r="1221" spans="1:11">
      <c r="A1221" s="4" t="s">
        <v>80</v>
      </c>
      <c r="B1221" s="4" t="s">
        <v>144</v>
      </c>
      <c r="C1221" s="4" t="s">
        <v>235</v>
      </c>
      <c r="D1221" s="4">
        <f>INDEX(Positions!$D$2:$D$4694,MATCH($A1221&amp;"|31",Positions!$A$2:$A$4694,0))</f>
        <v>30</v>
      </c>
      <c r="E1221" s="4">
        <f>INDEX(Positions!$D$2:$D$4694,MATCH($A1221&amp;"|39",Positions!$A$2:$A$4694,0))</f>
        <v>38</v>
      </c>
      <c r="F1221" s="4" t="str">
        <f>INDEX(Positions!$E$2:$E$4694,MATCH($A1221&amp;"|31",Positions!$A$2:$A$4694,0))</f>
        <v>C</v>
      </c>
      <c r="G1221" s="4" t="str">
        <f>INDEX(Positions!$E$2:$E$4694,MATCH($A1221&amp;"|39",Positions!$A$2:$A$4694,0))</f>
        <v>G</v>
      </c>
      <c r="H1221" s="3" t="str">
        <f t="shared" si="76"/>
        <v>C-G</v>
      </c>
      <c r="I1221" s="4">
        <f t="shared" si="77"/>
        <v>1</v>
      </c>
      <c r="J1221" s="4">
        <f t="shared" si="78"/>
        <v>1</v>
      </c>
      <c r="K1221" s="3">
        <f t="shared" si="79"/>
        <v>2</v>
      </c>
    </row>
    <row r="1222" spans="1:11">
      <c r="A1222" s="4" t="s">
        <v>80</v>
      </c>
      <c r="B1222" s="4" t="s">
        <v>169</v>
      </c>
      <c r="C1222" s="4" t="s">
        <v>236</v>
      </c>
      <c r="D1222" s="4">
        <f>INDEX(Positions!$D$2:$D$4694,MATCH($A1222&amp;"|49",Positions!$A$2:$A$4694,0))</f>
        <v>48</v>
      </c>
      <c r="E1222" s="4">
        <f>INDEX(Positions!$D$2:$D$4694,MATCH($A1222&amp;"|65",Positions!$A$2:$A$4694,0))</f>
        <v>64</v>
      </c>
      <c r="F1222" s="4" t="str">
        <f>INDEX(Positions!$E$2:$E$4694,MATCH($A1222&amp;"|49",Positions!$A$2:$A$4694,0))</f>
        <v>C</v>
      </c>
      <c r="G1222" s="4" t="str">
        <f>INDEX(Positions!$E$2:$E$4694,MATCH($A1222&amp;"|65",Positions!$A$2:$A$4694,0))</f>
        <v>G</v>
      </c>
      <c r="H1222" s="3" t="str">
        <f t="shared" si="76"/>
        <v>C-G</v>
      </c>
      <c r="I1222" s="4">
        <f t="shared" si="77"/>
        <v>1</v>
      </c>
      <c r="J1222" s="4">
        <f t="shared" si="78"/>
        <v>1</v>
      </c>
      <c r="K1222" s="3">
        <f t="shared" si="79"/>
        <v>2</v>
      </c>
    </row>
    <row r="1223" spans="1:11">
      <c r="A1223" s="4" t="s">
        <v>80</v>
      </c>
      <c r="B1223" s="4" t="s">
        <v>169</v>
      </c>
      <c r="C1223" s="4" t="s">
        <v>237</v>
      </c>
      <c r="D1223" s="4">
        <f>INDEX(Positions!$D$2:$D$4694,MATCH($A1223&amp;"|50",Positions!$A$2:$A$4694,0))</f>
        <v>49</v>
      </c>
      <c r="E1223" s="4">
        <f>INDEX(Positions!$D$2:$D$4694,MATCH($A1223&amp;"|64",Positions!$A$2:$A$4694,0))</f>
        <v>63</v>
      </c>
      <c r="F1223" s="4" t="str">
        <f>INDEX(Positions!$E$2:$E$4694,MATCH($A1223&amp;"|50",Positions!$A$2:$A$4694,0))</f>
        <v>C</v>
      </c>
      <c r="G1223" s="4" t="str">
        <f>INDEX(Positions!$E$2:$E$4694,MATCH($A1223&amp;"|64",Positions!$A$2:$A$4694,0))</f>
        <v>G</v>
      </c>
      <c r="H1223" s="3" t="str">
        <f t="shared" si="76"/>
        <v>C-G</v>
      </c>
      <c r="I1223" s="4">
        <f t="shared" si="77"/>
        <v>1</v>
      </c>
      <c r="J1223" s="4">
        <f t="shared" si="78"/>
        <v>1</v>
      </c>
      <c r="K1223" s="3">
        <f t="shared" si="79"/>
        <v>2</v>
      </c>
    </row>
    <row r="1224" spans="1:11">
      <c r="A1224" s="4" t="s">
        <v>80</v>
      </c>
      <c r="B1224" s="4" t="s">
        <v>169</v>
      </c>
      <c r="C1224" s="4" t="s">
        <v>238</v>
      </c>
      <c r="D1224" s="4">
        <f>INDEX(Positions!$D$2:$D$4694,MATCH($A1224&amp;"|51",Positions!$A$2:$A$4694,0))</f>
        <v>50</v>
      </c>
      <c r="E1224" s="4">
        <f>INDEX(Positions!$D$2:$D$4694,MATCH($A1224&amp;"|63",Positions!$A$2:$A$4694,0))</f>
        <v>62</v>
      </c>
      <c r="F1224" s="4" t="str">
        <f>INDEX(Positions!$E$2:$E$4694,MATCH($A1224&amp;"|51",Positions!$A$2:$A$4694,0))</f>
        <v>C</v>
      </c>
      <c r="G1224" s="4" t="str">
        <f>INDEX(Positions!$E$2:$E$4694,MATCH($A1224&amp;"|63",Positions!$A$2:$A$4694,0))</f>
        <v>G</v>
      </c>
      <c r="H1224" s="3" t="str">
        <f t="shared" si="76"/>
        <v>C-G</v>
      </c>
      <c r="I1224" s="4">
        <f t="shared" si="77"/>
        <v>1</v>
      </c>
      <c r="J1224" s="4">
        <f t="shared" si="78"/>
        <v>1</v>
      </c>
      <c r="K1224" s="3">
        <f t="shared" si="79"/>
        <v>2</v>
      </c>
    </row>
    <row r="1225" spans="1:11">
      <c r="A1225" s="4" t="s">
        <v>80</v>
      </c>
      <c r="B1225" s="4" t="s">
        <v>169</v>
      </c>
      <c r="C1225" s="4" t="s">
        <v>239</v>
      </c>
      <c r="D1225" s="4">
        <f>INDEX(Positions!$D$2:$D$4694,MATCH($A1225&amp;"|52",Positions!$A$2:$A$4694,0))</f>
        <v>51</v>
      </c>
      <c r="E1225" s="4">
        <f>INDEX(Positions!$D$2:$D$4694,MATCH($A1225&amp;"|62",Positions!$A$2:$A$4694,0))</f>
        <v>61</v>
      </c>
      <c r="F1225" s="4" t="str">
        <f>INDEX(Positions!$E$2:$E$4694,MATCH($A1225&amp;"|52",Positions!$A$2:$A$4694,0))</f>
        <v>G</v>
      </c>
      <c r="G1225" s="4" t="str">
        <f>INDEX(Positions!$E$2:$E$4694,MATCH($A1225&amp;"|62",Positions!$A$2:$A$4694,0))</f>
        <v>C</v>
      </c>
      <c r="H1225" s="3" t="str">
        <f t="shared" si="76"/>
        <v>G-C</v>
      </c>
      <c r="I1225" s="4">
        <f t="shared" si="77"/>
        <v>1</v>
      </c>
      <c r="J1225" s="4">
        <f t="shared" si="78"/>
        <v>1</v>
      </c>
      <c r="K1225" s="3">
        <f t="shared" si="79"/>
        <v>2</v>
      </c>
    </row>
    <row r="1226" spans="1:11">
      <c r="A1226" s="4" t="s">
        <v>80</v>
      </c>
      <c r="B1226" s="4" t="s">
        <v>169</v>
      </c>
      <c r="C1226" s="4" t="s">
        <v>240</v>
      </c>
      <c r="D1226" s="4">
        <f>INDEX(Positions!$D$2:$D$4694,MATCH($A1226&amp;"|53",Positions!$A$2:$A$4694,0))</f>
        <v>52</v>
      </c>
      <c r="E1226" s="4">
        <f>INDEX(Positions!$D$2:$D$4694,MATCH($A1226&amp;"|61",Positions!$A$2:$A$4694,0))</f>
        <v>60</v>
      </c>
      <c r="F1226" s="4" t="str">
        <f>INDEX(Positions!$E$2:$E$4694,MATCH($A1226&amp;"|53",Positions!$A$2:$A$4694,0))</f>
        <v>G</v>
      </c>
      <c r="G1226" s="4" t="str">
        <f>INDEX(Positions!$E$2:$E$4694,MATCH($A1226&amp;"|61",Positions!$A$2:$A$4694,0))</f>
        <v>C</v>
      </c>
      <c r="H1226" s="3" t="str">
        <f t="shared" si="76"/>
        <v>G-C</v>
      </c>
      <c r="I1226" s="4">
        <f t="shared" si="77"/>
        <v>1</v>
      </c>
      <c r="J1226" s="4">
        <f t="shared" si="78"/>
        <v>1</v>
      </c>
      <c r="K1226" s="3">
        <f t="shared" si="79"/>
        <v>2</v>
      </c>
    </row>
    <row r="1227" spans="1:11">
      <c r="A1227" s="23" t="s">
        <v>80</v>
      </c>
      <c r="B1227" s="23" t="s">
        <v>241</v>
      </c>
      <c r="C1227" s="23" t="s">
        <v>242</v>
      </c>
      <c r="D1227" s="23">
        <f>INDEX(Positions!$D$2:$D$4694,MATCH($A1227&amp;"|8",Positions!$A$2:$A$4694,0))</f>
        <v>8</v>
      </c>
      <c r="E1227" s="23">
        <f>INDEX(Positions!$D$2:$D$4694,MATCH($A1227&amp;"|14",Positions!$A$2:$A$4694,0))</f>
        <v>14</v>
      </c>
      <c r="F1227" s="23" t="str">
        <f>INDEX(Positions!$E$2:$E$4694,MATCH($A1227&amp;"|8",Positions!$A$2:$A$4694,0))</f>
        <v>U</v>
      </c>
      <c r="G1227" s="23" t="str">
        <f>INDEX(Positions!$E$2:$E$4694,MATCH($A1227&amp;"|14",Positions!$A$2:$A$4694,0))</f>
        <v>A</v>
      </c>
      <c r="H1227" s="24" t="str">
        <f t="shared" si="76"/>
        <v>U-A</v>
      </c>
      <c r="I1227" s="23">
        <f t="shared" si="77"/>
        <v>0</v>
      </c>
      <c r="J1227" s="23">
        <f t="shared" si="78"/>
        <v>0</v>
      </c>
      <c r="K1227" s="24">
        <f t="shared" si="79"/>
        <v>0</v>
      </c>
    </row>
    <row r="1228" spans="1:11">
      <c r="A1228" s="23" t="s">
        <v>80</v>
      </c>
      <c r="B1228" s="23" t="s">
        <v>241</v>
      </c>
      <c r="C1228" s="23" t="s">
        <v>243</v>
      </c>
      <c r="D1228" s="23">
        <f>INDEX(Positions!$D$2:$D$4694,MATCH($A1228&amp;"|15",Positions!$A$2:$A$4694,0))</f>
        <v>15</v>
      </c>
      <c r="E1228" s="23">
        <f>INDEX(Positions!$D$2:$D$4694,MATCH($A1228&amp;"|48",Positions!$A$2:$A$4694,0))</f>
        <v>47</v>
      </c>
      <c r="F1228" s="23" t="str">
        <f>INDEX(Positions!$E$2:$E$4694,MATCH($A1228&amp;"|15",Positions!$A$2:$A$4694,0))</f>
        <v>G</v>
      </c>
      <c r="G1228" s="23" t="str">
        <f>INDEX(Positions!$E$2:$E$4694,MATCH($A1228&amp;"|48",Positions!$A$2:$A$4694,0))</f>
        <v>C</v>
      </c>
      <c r="H1228" s="24" t="str">
        <f t="shared" si="76"/>
        <v>G-C</v>
      </c>
      <c r="I1228" s="23">
        <f t="shared" si="77"/>
        <v>1</v>
      </c>
      <c r="J1228" s="23">
        <f t="shared" si="78"/>
        <v>1</v>
      </c>
      <c r="K1228" s="24">
        <f t="shared" si="79"/>
        <v>2</v>
      </c>
    </row>
    <row r="1229" spans="1:11">
      <c r="A1229" s="23" t="s">
        <v>80</v>
      </c>
      <c r="B1229" s="23" t="s">
        <v>241</v>
      </c>
      <c r="C1229" s="23" t="s">
        <v>244</v>
      </c>
      <c r="D1229" s="23">
        <f>INDEX(Positions!$D$2:$D$4694,MATCH($A1229&amp;"|18",Positions!$A$2:$A$4694,0))</f>
        <v>17</v>
      </c>
      <c r="E1229" s="23">
        <f>INDEX(Positions!$D$2:$D$4694,MATCH($A1229&amp;"|55",Positions!$A$2:$A$4694,0))</f>
        <v>54</v>
      </c>
      <c r="F1229" s="23" t="str">
        <f>INDEX(Positions!$E$2:$E$4694,MATCH($A1229&amp;"|18",Positions!$A$2:$A$4694,0))</f>
        <v>G</v>
      </c>
      <c r="G1229" s="23" t="str">
        <f>INDEX(Positions!$E$2:$E$4694,MATCH($A1229&amp;"|55",Positions!$A$2:$A$4694,0))</f>
        <v>U</v>
      </c>
      <c r="H1229" s="24" t="str">
        <f t="shared" si="76"/>
        <v>G-U</v>
      </c>
      <c r="I1229" s="23">
        <f t="shared" si="77"/>
        <v>1</v>
      </c>
      <c r="J1229" s="23">
        <f t="shared" si="78"/>
        <v>0</v>
      </c>
      <c r="K1229" s="24">
        <f t="shared" si="79"/>
        <v>1</v>
      </c>
    </row>
    <row r="1230" spans="1:11">
      <c r="A1230" s="23" t="s">
        <v>80</v>
      </c>
      <c r="B1230" s="23" t="s">
        <v>241</v>
      </c>
      <c r="C1230" s="23" t="s">
        <v>245</v>
      </c>
      <c r="D1230" s="23">
        <f>INDEX(Positions!$D$2:$D$4694,MATCH($A1230&amp;"|19",Positions!$A$2:$A$4694,0))</f>
        <v>18</v>
      </c>
      <c r="E1230" s="23">
        <f>INDEX(Positions!$D$2:$D$4694,MATCH($A1230&amp;"|56",Positions!$A$2:$A$4694,0))</f>
        <v>55</v>
      </c>
      <c r="F1230" s="23" t="str">
        <f>INDEX(Positions!$E$2:$E$4694,MATCH($A1230&amp;"|19",Positions!$A$2:$A$4694,0))</f>
        <v>G</v>
      </c>
      <c r="G1230" s="23" t="str">
        <f>INDEX(Positions!$E$2:$E$4694,MATCH($A1230&amp;"|56",Positions!$A$2:$A$4694,0))</f>
        <v>C</v>
      </c>
      <c r="H1230" s="24" t="str">
        <f t="shared" si="76"/>
        <v>G-C</v>
      </c>
      <c r="I1230" s="23">
        <f t="shared" si="77"/>
        <v>1</v>
      </c>
      <c r="J1230" s="23">
        <f t="shared" si="78"/>
        <v>1</v>
      </c>
      <c r="K1230" s="24">
        <f t="shared" si="79"/>
        <v>2</v>
      </c>
    </row>
    <row r="1231" spans="1:11">
      <c r="A1231" s="23" t="s">
        <v>80</v>
      </c>
      <c r="B1231" s="23" t="s">
        <v>241</v>
      </c>
      <c r="C1231" s="23" t="s">
        <v>246</v>
      </c>
      <c r="D1231" s="23">
        <f>INDEX(Positions!$D$2:$D$4694,MATCH($A1231&amp;"|26",Positions!$A$2:$A$4694,0))</f>
        <v>25</v>
      </c>
      <c r="E1231" s="23">
        <f>INDEX(Positions!$D$2:$D$4694,MATCH($A1231&amp;"|44",Positions!$A$2:$A$4694,0))</f>
        <v>43</v>
      </c>
      <c r="F1231" s="23" t="str">
        <f>INDEX(Positions!$E$2:$E$4694,MATCH($A1231&amp;"|26",Positions!$A$2:$A$4694,0))</f>
        <v>G</v>
      </c>
      <c r="G1231" s="23" t="str">
        <f>INDEX(Positions!$E$2:$E$4694,MATCH($A1231&amp;"|44",Positions!$A$2:$A$4694,0))</f>
        <v>U</v>
      </c>
      <c r="H1231" s="24" t="str">
        <f t="shared" si="76"/>
        <v>G-U</v>
      </c>
      <c r="I1231" s="23">
        <f t="shared" si="77"/>
        <v>1</v>
      </c>
      <c r="J1231" s="23">
        <f t="shared" si="78"/>
        <v>0</v>
      </c>
      <c r="K1231" s="24">
        <f t="shared" si="79"/>
        <v>1</v>
      </c>
    </row>
    <row r="1232" spans="1:11">
      <c r="A1232" s="23" t="s">
        <v>80</v>
      </c>
      <c r="B1232" s="23" t="s">
        <v>241</v>
      </c>
      <c r="C1232" s="23" t="s">
        <v>247</v>
      </c>
      <c r="D1232" s="23">
        <f>INDEX(Positions!$D$2:$D$4694,MATCH($A1232&amp;"|32",Positions!$A$2:$A$4694,0))</f>
        <v>31</v>
      </c>
      <c r="E1232" s="23">
        <f>INDEX(Positions!$D$2:$D$4694,MATCH($A1232&amp;"|38",Positions!$A$2:$A$4694,0))</f>
        <v>37</v>
      </c>
      <c r="F1232" s="23" t="str">
        <f>INDEX(Positions!$E$2:$E$4694,MATCH($A1232&amp;"|32",Positions!$A$2:$A$4694,0))</f>
        <v>C</v>
      </c>
      <c r="G1232" s="23" t="str">
        <f>INDEX(Positions!$E$2:$E$4694,MATCH($A1232&amp;"|38",Positions!$A$2:$A$4694,0))</f>
        <v>A</v>
      </c>
      <c r="H1232" s="24" t="str">
        <f t="shared" si="76"/>
        <v>C-A</v>
      </c>
      <c r="I1232" s="23">
        <f t="shared" si="77"/>
        <v>0</v>
      </c>
      <c r="J1232" s="23">
        <f t="shared" si="78"/>
        <v>1</v>
      </c>
      <c r="K1232" s="24">
        <f t="shared" si="79"/>
        <v>1</v>
      </c>
    </row>
    <row r="1233" spans="1:11">
      <c r="A1233" s="23" t="s">
        <v>80</v>
      </c>
      <c r="B1233" s="23" t="s">
        <v>241</v>
      </c>
      <c r="C1233" s="23" t="s">
        <v>248</v>
      </c>
      <c r="D1233" s="23">
        <f>INDEX(Positions!$D$2:$D$4694,MATCH($A1233&amp;"|54",Positions!$A$2:$A$4694,0))</f>
        <v>53</v>
      </c>
      <c r="E1233" s="23">
        <f>INDEX(Positions!$D$2:$D$4694,MATCH($A1233&amp;"|58",Positions!$A$2:$A$4694,0))</f>
        <v>57</v>
      </c>
      <c r="F1233" s="23" t="str">
        <f>INDEX(Positions!$E$2:$E$4694,MATCH($A1233&amp;"|54",Positions!$A$2:$A$4694,0))</f>
        <v>U</v>
      </c>
      <c r="G1233" s="23" t="str">
        <f>INDEX(Positions!$E$2:$E$4694,MATCH($A1233&amp;"|58",Positions!$A$2:$A$4694,0))</f>
        <v>A</v>
      </c>
      <c r="H1233" s="24" t="str">
        <f t="shared" si="76"/>
        <v>U-A</v>
      </c>
      <c r="I1233" s="23">
        <f t="shared" si="77"/>
        <v>0</v>
      </c>
      <c r="J1233" s="23">
        <f t="shared" si="78"/>
        <v>0</v>
      </c>
      <c r="K1233" s="24">
        <f t="shared" si="79"/>
        <v>0</v>
      </c>
    </row>
    <row r="1234" spans="1:11">
      <c r="A1234" s="4" t="s">
        <v>81</v>
      </c>
      <c r="B1234" s="4" t="s">
        <v>110</v>
      </c>
      <c r="C1234" s="4" t="s">
        <v>220</v>
      </c>
      <c r="D1234" s="4">
        <f>INDEX(Positions!$D$2:$D$4694,MATCH($A1234&amp;"|1",Positions!$A$2:$A$4694,0))</f>
        <v>1</v>
      </c>
      <c r="E1234" s="4">
        <f>INDEX(Positions!$D$2:$D$4694,MATCH($A1234&amp;"|72",Positions!$A$2:$A$4694,0))</f>
        <v>71</v>
      </c>
      <c r="F1234" s="4" t="str">
        <f>INDEX(Positions!$E$2:$E$4694,MATCH($A1234&amp;"|1",Positions!$A$2:$A$4694,0))</f>
        <v>G</v>
      </c>
      <c r="G1234" s="4" t="str">
        <f>INDEX(Positions!$E$2:$E$4694,MATCH($A1234&amp;"|72",Positions!$A$2:$A$4694,0))</f>
        <v>C</v>
      </c>
      <c r="H1234" s="3" t="str">
        <f t="shared" si="76"/>
        <v>G-C</v>
      </c>
      <c r="I1234" s="4">
        <f t="shared" si="77"/>
        <v>1</v>
      </c>
      <c r="J1234" s="4">
        <f t="shared" si="78"/>
        <v>1</v>
      </c>
      <c r="K1234" s="3">
        <f t="shared" si="79"/>
        <v>2</v>
      </c>
    </row>
    <row r="1235" spans="1:11">
      <c r="A1235" s="4" t="s">
        <v>81</v>
      </c>
      <c r="B1235" s="4" t="s">
        <v>110</v>
      </c>
      <c r="C1235" s="4" t="s">
        <v>221</v>
      </c>
      <c r="D1235" s="4">
        <f>INDEX(Positions!$D$2:$D$4694,MATCH($A1235&amp;"|2",Positions!$A$2:$A$4694,0))</f>
        <v>2</v>
      </c>
      <c r="E1235" s="4">
        <f>INDEX(Positions!$D$2:$D$4694,MATCH($A1235&amp;"|71",Positions!$A$2:$A$4694,0))</f>
        <v>70</v>
      </c>
      <c r="F1235" s="4" t="str">
        <f>INDEX(Positions!$E$2:$E$4694,MATCH($A1235&amp;"|2",Positions!$A$2:$A$4694,0))</f>
        <v>C</v>
      </c>
      <c r="G1235" s="4" t="str">
        <f>INDEX(Positions!$E$2:$E$4694,MATCH($A1235&amp;"|71",Positions!$A$2:$A$4694,0))</f>
        <v>G</v>
      </c>
      <c r="H1235" s="3" t="str">
        <f t="shared" si="76"/>
        <v>C-G</v>
      </c>
      <c r="I1235" s="4">
        <f t="shared" si="77"/>
        <v>1</v>
      </c>
      <c r="J1235" s="4">
        <f t="shared" si="78"/>
        <v>1</v>
      </c>
      <c r="K1235" s="3">
        <f t="shared" si="79"/>
        <v>2</v>
      </c>
    </row>
    <row r="1236" spans="1:11">
      <c r="A1236" s="4" t="s">
        <v>81</v>
      </c>
      <c r="B1236" s="4" t="s">
        <v>110</v>
      </c>
      <c r="C1236" s="4" t="s">
        <v>222</v>
      </c>
      <c r="D1236" s="4">
        <f>INDEX(Positions!$D$2:$D$4694,MATCH($A1236&amp;"|3",Positions!$A$2:$A$4694,0))</f>
        <v>3</v>
      </c>
      <c r="E1236" s="4">
        <f>INDEX(Positions!$D$2:$D$4694,MATCH($A1236&amp;"|70",Positions!$A$2:$A$4694,0))</f>
        <v>69</v>
      </c>
      <c r="F1236" s="4" t="str">
        <f>INDEX(Positions!$E$2:$E$4694,MATCH($A1236&amp;"|3",Positions!$A$2:$A$4694,0))</f>
        <v>C</v>
      </c>
      <c r="G1236" s="4" t="str">
        <f>INDEX(Positions!$E$2:$E$4694,MATCH($A1236&amp;"|70",Positions!$A$2:$A$4694,0))</f>
        <v>G</v>
      </c>
      <c r="H1236" s="3" t="str">
        <f t="shared" si="76"/>
        <v>C-G</v>
      </c>
      <c r="I1236" s="4">
        <f t="shared" si="77"/>
        <v>1</v>
      </c>
      <c r="J1236" s="4">
        <f t="shared" si="78"/>
        <v>1</v>
      </c>
      <c r="K1236" s="3">
        <f t="shared" si="79"/>
        <v>2</v>
      </c>
    </row>
    <row r="1237" spans="1:11">
      <c r="A1237" s="4" t="s">
        <v>81</v>
      </c>
      <c r="B1237" s="4" t="s">
        <v>110</v>
      </c>
      <c r="C1237" s="4" t="s">
        <v>223</v>
      </c>
      <c r="D1237" s="4">
        <f>INDEX(Positions!$D$2:$D$4694,MATCH($A1237&amp;"|4",Positions!$A$2:$A$4694,0))</f>
        <v>4</v>
      </c>
      <c r="E1237" s="4">
        <f>INDEX(Positions!$D$2:$D$4694,MATCH($A1237&amp;"|69",Positions!$A$2:$A$4694,0))</f>
        <v>68</v>
      </c>
      <c r="F1237" s="4" t="str">
        <f>INDEX(Positions!$E$2:$E$4694,MATCH($A1237&amp;"|4",Positions!$A$2:$A$4694,0))</f>
        <v>C</v>
      </c>
      <c r="G1237" s="4" t="str">
        <f>INDEX(Positions!$E$2:$E$4694,MATCH($A1237&amp;"|69",Positions!$A$2:$A$4694,0))</f>
        <v>G</v>
      </c>
      <c r="H1237" s="3" t="str">
        <f t="shared" si="76"/>
        <v>C-G</v>
      </c>
      <c r="I1237" s="4">
        <f t="shared" si="77"/>
        <v>1</v>
      </c>
      <c r="J1237" s="4">
        <f t="shared" si="78"/>
        <v>1</v>
      </c>
      <c r="K1237" s="3">
        <f t="shared" si="79"/>
        <v>2</v>
      </c>
    </row>
    <row r="1238" spans="1:11">
      <c r="A1238" s="4" t="s">
        <v>81</v>
      </c>
      <c r="B1238" s="4" t="s">
        <v>110</v>
      </c>
      <c r="C1238" s="4" t="s">
        <v>224</v>
      </c>
      <c r="D1238" s="4">
        <f>INDEX(Positions!$D$2:$D$4694,MATCH($A1238&amp;"|5",Positions!$A$2:$A$4694,0))</f>
        <v>5</v>
      </c>
      <c r="E1238" s="4">
        <f>INDEX(Positions!$D$2:$D$4694,MATCH($A1238&amp;"|68",Positions!$A$2:$A$4694,0))</f>
        <v>67</v>
      </c>
      <c r="F1238" s="4" t="str">
        <f>INDEX(Positions!$E$2:$E$4694,MATCH($A1238&amp;"|5",Positions!$A$2:$A$4694,0))</f>
        <v>A</v>
      </c>
      <c r="G1238" s="4" t="str">
        <f>INDEX(Positions!$E$2:$E$4694,MATCH($A1238&amp;"|68",Positions!$A$2:$A$4694,0))</f>
        <v>U</v>
      </c>
      <c r="H1238" s="3" t="str">
        <f t="shared" si="76"/>
        <v>A-U</v>
      </c>
      <c r="I1238" s="4">
        <f t="shared" si="77"/>
        <v>0</v>
      </c>
      <c r="J1238" s="4">
        <f t="shared" si="78"/>
        <v>0</v>
      </c>
      <c r="K1238" s="3">
        <f t="shared" si="79"/>
        <v>0</v>
      </c>
    </row>
    <row r="1239" spans="1:11">
      <c r="A1239" s="4" t="s">
        <v>81</v>
      </c>
      <c r="B1239" s="4" t="s">
        <v>110</v>
      </c>
      <c r="C1239" s="4" t="s">
        <v>225</v>
      </c>
      <c r="D1239" s="4">
        <f>INDEX(Positions!$D$2:$D$4694,MATCH($A1239&amp;"|6",Positions!$A$2:$A$4694,0))</f>
        <v>6</v>
      </c>
      <c r="E1239" s="4">
        <f>INDEX(Positions!$D$2:$D$4694,MATCH($A1239&amp;"|67",Positions!$A$2:$A$4694,0))</f>
        <v>66</v>
      </c>
      <c r="F1239" s="4" t="str">
        <f>INDEX(Positions!$E$2:$E$4694,MATCH($A1239&amp;"|6",Positions!$A$2:$A$4694,0))</f>
        <v>G</v>
      </c>
      <c r="G1239" s="4" t="str">
        <f>INDEX(Positions!$E$2:$E$4694,MATCH($A1239&amp;"|67",Positions!$A$2:$A$4694,0))</f>
        <v>C</v>
      </c>
      <c r="H1239" s="3" t="str">
        <f t="shared" si="76"/>
        <v>G-C</v>
      </c>
      <c r="I1239" s="4">
        <f t="shared" si="77"/>
        <v>1</v>
      </c>
      <c r="J1239" s="4">
        <f t="shared" si="78"/>
        <v>1</v>
      </c>
      <c r="K1239" s="3">
        <f t="shared" si="79"/>
        <v>2</v>
      </c>
    </row>
    <row r="1240" spans="1:11">
      <c r="A1240" s="4" t="s">
        <v>81</v>
      </c>
      <c r="B1240" s="4" t="s">
        <v>110</v>
      </c>
      <c r="C1240" s="4" t="s">
        <v>226</v>
      </c>
      <c r="D1240" s="4">
        <f>INDEX(Positions!$D$2:$D$4694,MATCH($A1240&amp;"|7",Positions!$A$2:$A$4694,0))</f>
        <v>7</v>
      </c>
      <c r="E1240" s="4">
        <f>INDEX(Positions!$D$2:$D$4694,MATCH($A1240&amp;"|66",Positions!$A$2:$A$4694,0))</f>
        <v>65</v>
      </c>
      <c r="F1240" s="4" t="str">
        <f>INDEX(Positions!$E$2:$E$4694,MATCH($A1240&amp;"|7",Positions!$A$2:$A$4694,0))</f>
        <v>G</v>
      </c>
      <c r="G1240" s="4" t="str">
        <f>INDEX(Positions!$E$2:$E$4694,MATCH($A1240&amp;"|66",Positions!$A$2:$A$4694,0))</f>
        <v>U</v>
      </c>
      <c r="H1240" s="3" t="str">
        <f t="shared" si="76"/>
        <v>G-U</v>
      </c>
      <c r="I1240" s="4">
        <f t="shared" si="77"/>
        <v>1</v>
      </c>
      <c r="J1240" s="4">
        <f t="shared" si="78"/>
        <v>0</v>
      </c>
      <c r="K1240" s="3">
        <f t="shared" si="79"/>
        <v>1</v>
      </c>
    </row>
    <row r="1241" spans="1:11">
      <c r="A1241" s="4" t="s">
        <v>81</v>
      </c>
      <c r="B1241" s="4" t="s">
        <v>125</v>
      </c>
      <c r="C1241" s="4" t="s">
        <v>227</v>
      </c>
      <c r="D1241" s="4">
        <f>INDEX(Positions!$D$2:$D$4694,MATCH($A1241&amp;"|10",Positions!$A$2:$A$4694,0))</f>
        <v>10</v>
      </c>
      <c r="E1241" s="4">
        <f>INDEX(Positions!$D$2:$D$4694,MATCH($A1241&amp;"|25",Positions!$A$2:$A$4694,0))</f>
        <v>24</v>
      </c>
      <c r="F1241" s="4" t="str">
        <f>INDEX(Positions!$E$2:$E$4694,MATCH($A1241&amp;"|10",Positions!$A$2:$A$4694,0))</f>
        <v>G</v>
      </c>
      <c r="G1241" s="4" t="str">
        <f>INDEX(Positions!$E$2:$E$4694,MATCH($A1241&amp;"|25",Positions!$A$2:$A$4694,0))</f>
        <v>C</v>
      </c>
      <c r="H1241" s="3" t="str">
        <f t="shared" si="76"/>
        <v>G-C</v>
      </c>
      <c r="I1241" s="4">
        <f t="shared" si="77"/>
        <v>1</v>
      </c>
      <c r="J1241" s="4">
        <f t="shared" si="78"/>
        <v>1</v>
      </c>
      <c r="K1241" s="3">
        <f t="shared" si="79"/>
        <v>2</v>
      </c>
    </row>
    <row r="1242" spans="1:11">
      <c r="A1242" s="4" t="s">
        <v>81</v>
      </c>
      <c r="B1242" s="4" t="s">
        <v>125</v>
      </c>
      <c r="C1242" s="4" t="s">
        <v>228</v>
      </c>
      <c r="D1242" s="4">
        <f>INDEX(Positions!$D$2:$D$4694,MATCH($A1242&amp;"|11",Positions!$A$2:$A$4694,0))</f>
        <v>11</v>
      </c>
      <c r="E1242" s="4">
        <f>INDEX(Positions!$D$2:$D$4694,MATCH($A1242&amp;"|24",Positions!$A$2:$A$4694,0))</f>
        <v>23</v>
      </c>
      <c r="F1242" s="4" t="str">
        <f>INDEX(Positions!$E$2:$E$4694,MATCH($A1242&amp;"|11",Positions!$A$2:$A$4694,0))</f>
        <v>C</v>
      </c>
      <c r="G1242" s="4" t="str">
        <f>INDEX(Positions!$E$2:$E$4694,MATCH($A1242&amp;"|24",Positions!$A$2:$A$4694,0))</f>
        <v>G</v>
      </c>
      <c r="H1242" s="3" t="str">
        <f t="shared" si="76"/>
        <v>C-G</v>
      </c>
      <c r="I1242" s="4">
        <f t="shared" si="77"/>
        <v>1</v>
      </c>
      <c r="J1242" s="4">
        <f t="shared" si="78"/>
        <v>1</v>
      </c>
      <c r="K1242" s="3">
        <f t="shared" si="79"/>
        <v>2</v>
      </c>
    </row>
    <row r="1243" spans="1:11">
      <c r="A1243" s="4" t="s">
        <v>81</v>
      </c>
      <c r="B1243" s="4" t="s">
        <v>125</v>
      </c>
      <c r="C1243" s="4" t="s">
        <v>229</v>
      </c>
      <c r="D1243" s="4">
        <f>INDEX(Positions!$D$2:$D$4694,MATCH($A1243&amp;"|12",Positions!$A$2:$A$4694,0))</f>
        <v>12</v>
      </c>
      <c r="E1243" s="4">
        <f>INDEX(Positions!$D$2:$D$4694,MATCH($A1243&amp;"|23",Positions!$A$2:$A$4694,0))</f>
        <v>22</v>
      </c>
      <c r="F1243" s="4" t="str">
        <f>INDEX(Positions!$E$2:$E$4694,MATCH($A1243&amp;"|12",Positions!$A$2:$A$4694,0))</f>
        <v>U</v>
      </c>
      <c r="G1243" s="4" t="str">
        <f>INDEX(Positions!$E$2:$E$4694,MATCH($A1243&amp;"|23",Positions!$A$2:$A$4694,0))</f>
        <v>A</v>
      </c>
      <c r="H1243" s="3" t="str">
        <f t="shared" si="76"/>
        <v>U-A</v>
      </c>
      <c r="I1243" s="4">
        <f t="shared" si="77"/>
        <v>0</v>
      </c>
      <c r="J1243" s="4">
        <f t="shared" si="78"/>
        <v>0</v>
      </c>
      <c r="K1243" s="3">
        <f t="shared" si="79"/>
        <v>0</v>
      </c>
    </row>
    <row r="1244" spans="1:11">
      <c r="A1244" s="4" t="s">
        <v>81</v>
      </c>
      <c r="B1244" s="4" t="s">
        <v>125</v>
      </c>
      <c r="C1244" s="4" t="s">
        <v>230</v>
      </c>
      <c r="D1244" s="4">
        <f>INDEX(Positions!$D$2:$D$4694,MATCH($A1244&amp;"|13",Positions!$A$2:$A$4694,0))</f>
        <v>13</v>
      </c>
      <c r="E1244" s="4">
        <f>INDEX(Positions!$D$2:$D$4694,MATCH($A1244&amp;"|22",Positions!$A$2:$A$4694,0))</f>
        <v>21</v>
      </c>
      <c r="F1244" s="4" t="str">
        <f>INDEX(Positions!$E$2:$E$4694,MATCH($A1244&amp;"|13",Positions!$A$2:$A$4694,0))</f>
        <v>C</v>
      </c>
      <c r="G1244" s="4" t="str">
        <f>INDEX(Positions!$E$2:$E$4694,MATCH($A1244&amp;"|22",Positions!$A$2:$A$4694,0))</f>
        <v>G</v>
      </c>
      <c r="H1244" s="3" t="str">
        <f t="shared" si="76"/>
        <v>C-G</v>
      </c>
      <c r="I1244" s="4">
        <f t="shared" si="77"/>
        <v>1</v>
      </c>
      <c r="J1244" s="4">
        <f t="shared" si="78"/>
        <v>1</v>
      </c>
      <c r="K1244" s="3">
        <f t="shared" si="79"/>
        <v>2</v>
      </c>
    </row>
    <row r="1245" spans="1:11">
      <c r="A1245" s="4" t="s">
        <v>81</v>
      </c>
      <c r="B1245" s="4" t="s">
        <v>144</v>
      </c>
      <c r="C1245" s="4" t="s">
        <v>231</v>
      </c>
      <c r="D1245" s="4">
        <f>INDEX(Positions!$D$2:$D$4694,MATCH($A1245&amp;"|27",Positions!$A$2:$A$4694,0))</f>
        <v>26</v>
      </c>
      <c r="E1245" s="4">
        <f>INDEX(Positions!$D$2:$D$4694,MATCH($A1245&amp;"|43",Positions!$A$2:$A$4694,0))</f>
        <v>42</v>
      </c>
      <c r="F1245" s="4" t="str">
        <f>INDEX(Positions!$E$2:$E$4694,MATCH($A1245&amp;"|27",Positions!$A$2:$A$4694,0))</f>
        <v>C</v>
      </c>
      <c r="G1245" s="4" t="str">
        <f>INDEX(Positions!$E$2:$E$4694,MATCH($A1245&amp;"|43",Positions!$A$2:$A$4694,0))</f>
        <v>G</v>
      </c>
      <c r="H1245" s="3" t="str">
        <f t="shared" si="76"/>
        <v>C-G</v>
      </c>
      <c r="I1245" s="4">
        <f t="shared" si="77"/>
        <v>1</v>
      </c>
      <c r="J1245" s="4">
        <f t="shared" si="78"/>
        <v>1</v>
      </c>
      <c r="K1245" s="3">
        <f t="shared" si="79"/>
        <v>2</v>
      </c>
    </row>
    <row r="1246" spans="1:11">
      <c r="A1246" s="4" t="s">
        <v>81</v>
      </c>
      <c r="B1246" s="4" t="s">
        <v>144</v>
      </c>
      <c r="C1246" s="4" t="s">
        <v>232</v>
      </c>
      <c r="D1246" s="4">
        <f>INDEX(Positions!$D$2:$D$4694,MATCH($A1246&amp;"|28",Positions!$A$2:$A$4694,0))</f>
        <v>27</v>
      </c>
      <c r="E1246" s="4">
        <f>INDEX(Positions!$D$2:$D$4694,MATCH($A1246&amp;"|42",Positions!$A$2:$A$4694,0))</f>
        <v>41</v>
      </c>
      <c r="F1246" s="4" t="str">
        <f>INDEX(Positions!$E$2:$E$4694,MATCH($A1246&amp;"|28",Positions!$A$2:$A$4694,0))</f>
        <v>U</v>
      </c>
      <c r="G1246" s="4" t="str">
        <f>INDEX(Positions!$E$2:$E$4694,MATCH($A1246&amp;"|42",Positions!$A$2:$A$4694,0))</f>
        <v>A</v>
      </c>
      <c r="H1246" s="3" t="str">
        <f t="shared" si="76"/>
        <v>U-A</v>
      </c>
      <c r="I1246" s="4">
        <f t="shared" si="77"/>
        <v>0</v>
      </c>
      <c r="J1246" s="4">
        <f t="shared" si="78"/>
        <v>0</v>
      </c>
      <c r="K1246" s="3">
        <f t="shared" si="79"/>
        <v>0</v>
      </c>
    </row>
    <row r="1247" spans="1:11">
      <c r="A1247" s="4" t="s">
        <v>81</v>
      </c>
      <c r="B1247" s="4" t="s">
        <v>144</v>
      </c>
      <c r="C1247" s="4" t="s">
        <v>233</v>
      </c>
      <c r="D1247" s="4">
        <f>INDEX(Positions!$D$2:$D$4694,MATCH($A1247&amp;"|29",Positions!$A$2:$A$4694,0))</f>
        <v>28</v>
      </c>
      <c r="E1247" s="4">
        <f>INDEX(Positions!$D$2:$D$4694,MATCH($A1247&amp;"|41",Positions!$A$2:$A$4694,0))</f>
        <v>40</v>
      </c>
      <c r="F1247" s="4" t="str">
        <f>INDEX(Positions!$E$2:$E$4694,MATCH($A1247&amp;"|29",Positions!$A$2:$A$4694,0))</f>
        <v>G</v>
      </c>
      <c r="G1247" s="4" t="str">
        <f>INDEX(Positions!$E$2:$E$4694,MATCH($A1247&amp;"|41",Positions!$A$2:$A$4694,0))</f>
        <v>C</v>
      </c>
      <c r="H1247" s="3" t="str">
        <f t="shared" si="76"/>
        <v>G-C</v>
      </c>
      <c r="I1247" s="4">
        <f t="shared" si="77"/>
        <v>1</v>
      </c>
      <c r="J1247" s="4">
        <f t="shared" si="78"/>
        <v>1</v>
      </c>
      <c r="K1247" s="3">
        <f t="shared" si="79"/>
        <v>2</v>
      </c>
    </row>
    <row r="1248" spans="1:11">
      <c r="A1248" s="4" t="s">
        <v>81</v>
      </c>
      <c r="B1248" s="4" t="s">
        <v>144</v>
      </c>
      <c r="C1248" s="4" t="s">
        <v>234</v>
      </c>
      <c r="D1248" s="4">
        <f>INDEX(Positions!$D$2:$D$4694,MATCH($A1248&amp;"|30",Positions!$A$2:$A$4694,0))</f>
        <v>29</v>
      </c>
      <c r="E1248" s="4">
        <f>INDEX(Positions!$D$2:$D$4694,MATCH($A1248&amp;"|40",Positions!$A$2:$A$4694,0))</f>
        <v>39</v>
      </c>
      <c r="F1248" s="4" t="str">
        <f>INDEX(Positions!$E$2:$E$4694,MATCH($A1248&amp;"|30",Positions!$A$2:$A$4694,0))</f>
        <v>C</v>
      </c>
      <c r="G1248" s="4" t="str">
        <f>INDEX(Positions!$E$2:$E$4694,MATCH($A1248&amp;"|40",Positions!$A$2:$A$4694,0))</f>
        <v>G</v>
      </c>
      <c r="H1248" s="3" t="str">
        <f t="shared" si="76"/>
        <v>C-G</v>
      </c>
      <c r="I1248" s="4">
        <f t="shared" si="77"/>
        <v>1</v>
      </c>
      <c r="J1248" s="4">
        <f t="shared" si="78"/>
        <v>1</v>
      </c>
      <c r="K1248" s="3">
        <f t="shared" si="79"/>
        <v>2</v>
      </c>
    </row>
    <row r="1249" spans="1:11">
      <c r="A1249" s="4" t="s">
        <v>81</v>
      </c>
      <c r="B1249" s="4" t="s">
        <v>144</v>
      </c>
      <c r="C1249" s="4" t="s">
        <v>235</v>
      </c>
      <c r="D1249" s="4">
        <f>INDEX(Positions!$D$2:$D$4694,MATCH($A1249&amp;"|31",Positions!$A$2:$A$4694,0))</f>
        <v>30</v>
      </c>
      <c r="E1249" s="4">
        <f>INDEX(Positions!$D$2:$D$4694,MATCH($A1249&amp;"|39",Positions!$A$2:$A$4694,0))</f>
        <v>38</v>
      </c>
      <c r="F1249" s="4" t="str">
        <f>INDEX(Positions!$E$2:$E$4694,MATCH($A1249&amp;"|31",Positions!$A$2:$A$4694,0))</f>
        <v>C</v>
      </c>
      <c r="G1249" s="4" t="str">
        <f>INDEX(Positions!$E$2:$E$4694,MATCH($A1249&amp;"|39",Positions!$A$2:$A$4694,0))</f>
        <v>G</v>
      </c>
      <c r="H1249" s="3" t="str">
        <f t="shared" si="76"/>
        <v>C-G</v>
      </c>
      <c r="I1249" s="4">
        <f t="shared" si="77"/>
        <v>1</v>
      </c>
      <c r="J1249" s="4">
        <f t="shared" si="78"/>
        <v>1</v>
      </c>
      <c r="K1249" s="3">
        <f t="shared" si="79"/>
        <v>2</v>
      </c>
    </row>
    <row r="1250" spans="1:11">
      <c r="A1250" s="4" t="s">
        <v>81</v>
      </c>
      <c r="B1250" s="4" t="s">
        <v>169</v>
      </c>
      <c r="C1250" s="4" t="s">
        <v>236</v>
      </c>
      <c r="D1250" s="4">
        <f>INDEX(Positions!$D$2:$D$4694,MATCH($A1250&amp;"|49",Positions!$A$2:$A$4694,0))</f>
        <v>48</v>
      </c>
      <c r="E1250" s="4">
        <f>INDEX(Positions!$D$2:$D$4694,MATCH($A1250&amp;"|65",Positions!$A$2:$A$4694,0))</f>
        <v>64</v>
      </c>
      <c r="F1250" s="4" t="str">
        <f>INDEX(Positions!$E$2:$E$4694,MATCH($A1250&amp;"|49",Positions!$A$2:$A$4694,0))</f>
        <v>C</v>
      </c>
      <c r="G1250" s="4" t="str">
        <f>INDEX(Positions!$E$2:$E$4694,MATCH($A1250&amp;"|65",Positions!$A$2:$A$4694,0))</f>
        <v>G</v>
      </c>
      <c r="H1250" s="3" t="str">
        <f t="shared" si="76"/>
        <v>C-G</v>
      </c>
      <c r="I1250" s="4">
        <f t="shared" si="77"/>
        <v>1</v>
      </c>
      <c r="J1250" s="4">
        <f t="shared" si="78"/>
        <v>1</v>
      </c>
      <c r="K1250" s="3">
        <f t="shared" si="79"/>
        <v>2</v>
      </c>
    </row>
    <row r="1251" spans="1:11">
      <c r="A1251" s="4" t="s">
        <v>81</v>
      </c>
      <c r="B1251" s="4" t="s">
        <v>169</v>
      </c>
      <c r="C1251" s="4" t="s">
        <v>237</v>
      </c>
      <c r="D1251" s="4">
        <f>INDEX(Positions!$D$2:$D$4694,MATCH($A1251&amp;"|50",Positions!$A$2:$A$4694,0))</f>
        <v>49</v>
      </c>
      <c r="E1251" s="4">
        <f>INDEX(Positions!$D$2:$D$4694,MATCH($A1251&amp;"|64",Positions!$A$2:$A$4694,0))</f>
        <v>63</v>
      </c>
      <c r="F1251" s="4" t="str">
        <f>INDEX(Positions!$E$2:$E$4694,MATCH($A1251&amp;"|50",Positions!$A$2:$A$4694,0))</f>
        <v>C</v>
      </c>
      <c r="G1251" s="4" t="str">
        <f>INDEX(Positions!$E$2:$E$4694,MATCH($A1251&amp;"|64",Positions!$A$2:$A$4694,0))</f>
        <v>G</v>
      </c>
      <c r="H1251" s="3" t="str">
        <f t="shared" si="76"/>
        <v>C-G</v>
      </c>
      <c r="I1251" s="4">
        <f t="shared" si="77"/>
        <v>1</v>
      </c>
      <c r="J1251" s="4">
        <f t="shared" si="78"/>
        <v>1</v>
      </c>
      <c r="K1251" s="3">
        <f t="shared" si="79"/>
        <v>2</v>
      </c>
    </row>
    <row r="1252" spans="1:11">
      <c r="A1252" s="4" t="s">
        <v>81</v>
      </c>
      <c r="B1252" s="4" t="s">
        <v>169</v>
      </c>
      <c r="C1252" s="4" t="s">
        <v>238</v>
      </c>
      <c r="D1252" s="4">
        <f>INDEX(Positions!$D$2:$D$4694,MATCH($A1252&amp;"|51",Positions!$A$2:$A$4694,0))</f>
        <v>50</v>
      </c>
      <c r="E1252" s="4">
        <f>INDEX(Positions!$D$2:$D$4694,MATCH($A1252&amp;"|63",Positions!$A$2:$A$4694,0))</f>
        <v>62</v>
      </c>
      <c r="F1252" s="4" t="str">
        <f>INDEX(Positions!$E$2:$E$4694,MATCH($A1252&amp;"|51",Positions!$A$2:$A$4694,0))</f>
        <v>C</v>
      </c>
      <c r="G1252" s="4" t="str">
        <f>INDEX(Positions!$E$2:$E$4694,MATCH($A1252&amp;"|63",Positions!$A$2:$A$4694,0))</f>
        <v>G</v>
      </c>
      <c r="H1252" s="3" t="str">
        <f t="shared" si="76"/>
        <v>C-G</v>
      </c>
      <c r="I1252" s="4">
        <f t="shared" si="77"/>
        <v>1</v>
      </c>
      <c r="J1252" s="4">
        <f t="shared" si="78"/>
        <v>1</v>
      </c>
      <c r="K1252" s="3">
        <f t="shared" si="79"/>
        <v>2</v>
      </c>
    </row>
    <row r="1253" spans="1:11">
      <c r="A1253" s="4" t="s">
        <v>81</v>
      </c>
      <c r="B1253" s="4" t="s">
        <v>169</v>
      </c>
      <c r="C1253" s="4" t="s">
        <v>239</v>
      </c>
      <c r="D1253" s="4">
        <f>INDEX(Positions!$D$2:$D$4694,MATCH($A1253&amp;"|52",Positions!$A$2:$A$4694,0))</f>
        <v>51</v>
      </c>
      <c r="E1253" s="4">
        <f>INDEX(Positions!$D$2:$D$4694,MATCH($A1253&amp;"|62",Positions!$A$2:$A$4694,0))</f>
        <v>61</v>
      </c>
      <c r="F1253" s="4" t="str">
        <f>INDEX(Positions!$E$2:$E$4694,MATCH($A1253&amp;"|52",Positions!$A$2:$A$4694,0))</f>
        <v>G</v>
      </c>
      <c r="G1253" s="4" t="str">
        <f>INDEX(Positions!$E$2:$E$4694,MATCH($A1253&amp;"|62",Positions!$A$2:$A$4694,0))</f>
        <v>C</v>
      </c>
      <c r="H1253" s="3" t="str">
        <f t="shared" si="76"/>
        <v>G-C</v>
      </c>
      <c r="I1253" s="4">
        <f t="shared" si="77"/>
        <v>1</v>
      </c>
      <c r="J1253" s="4">
        <f t="shared" si="78"/>
        <v>1</v>
      </c>
      <c r="K1253" s="3">
        <f t="shared" si="79"/>
        <v>2</v>
      </c>
    </row>
    <row r="1254" spans="1:11">
      <c r="A1254" s="4" t="s">
        <v>81</v>
      </c>
      <c r="B1254" s="4" t="s">
        <v>169</v>
      </c>
      <c r="C1254" s="4" t="s">
        <v>240</v>
      </c>
      <c r="D1254" s="4">
        <f>INDEX(Positions!$D$2:$D$4694,MATCH($A1254&amp;"|53",Positions!$A$2:$A$4694,0))</f>
        <v>52</v>
      </c>
      <c r="E1254" s="4">
        <f>INDEX(Positions!$D$2:$D$4694,MATCH($A1254&amp;"|61",Positions!$A$2:$A$4694,0))</f>
        <v>60</v>
      </c>
      <c r="F1254" s="4" t="str">
        <f>INDEX(Positions!$E$2:$E$4694,MATCH($A1254&amp;"|53",Positions!$A$2:$A$4694,0))</f>
        <v>G</v>
      </c>
      <c r="G1254" s="4" t="str">
        <f>INDEX(Positions!$E$2:$E$4694,MATCH($A1254&amp;"|61",Positions!$A$2:$A$4694,0))</f>
        <v>C</v>
      </c>
      <c r="H1254" s="3" t="str">
        <f t="shared" si="76"/>
        <v>G-C</v>
      </c>
      <c r="I1254" s="4">
        <f t="shared" si="77"/>
        <v>1</v>
      </c>
      <c r="J1254" s="4">
        <f t="shared" si="78"/>
        <v>1</v>
      </c>
      <c r="K1254" s="3">
        <f t="shared" si="79"/>
        <v>2</v>
      </c>
    </row>
    <row r="1255" spans="1:11">
      <c r="A1255" s="23" t="s">
        <v>81</v>
      </c>
      <c r="B1255" s="23" t="s">
        <v>241</v>
      </c>
      <c r="C1255" s="23" t="s">
        <v>242</v>
      </c>
      <c r="D1255" s="23">
        <f>INDEX(Positions!$D$2:$D$4694,MATCH($A1255&amp;"|8",Positions!$A$2:$A$4694,0))</f>
        <v>8</v>
      </c>
      <c r="E1255" s="23">
        <f>INDEX(Positions!$D$2:$D$4694,MATCH($A1255&amp;"|14",Positions!$A$2:$A$4694,0))</f>
        <v>14</v>
      </c>
      <c r="F1255" s="23" t="str">
        <f>INDEX(Positions!$E$2:$E$4694,MATCH($A1255&amp;"|8",Positions!$A$2:$A$4694,0))</f>
        <v>U</v>
      </c>
      <c r="G1255" s="23" t="str">
        <f>INDEX(Positions!$E$2:$E$4694,MATCH($A1255&amp;"|14",Positions!$A$2:$A$4694,0))</f>
        <v>A</v>
      </c>
      <c r="H1255" s="24" t="str">
        <f t="shared" si="76"/>
        <v>U-A</v>
      </c>
      <c r="I1255" s="23">
        <f t="shared" si="77"/>
        <v>0</v>
      </c>
      <c r="J1255" s="23">
        <f t="shared" si="78"/>
        <v>0</v>
      </c>
      <c r="K1255" s="24">
        <f t="shared" si="79"/>
        <v>0</v>
      </c>
    </row>
    <row r="1256" spans="1:11">
      <c r="A1256" s="23" t="s">
        <v>81</v>
      </c>
      <c r="B1256" s="23" t="s">
        <v>241</v>
      </c>
      <c r="C1256" s="23" t="s">
        <v>243</v>
      </c>
      <c r="D1256" s="23">
        <f>INDEX(Positions!$D$2:$D$4694,MATCH($A1256&amp;"|15",Positions!$A$2:$A$4694,0))</f>
        <v>15</v>
      </c>
      <c r="E1256" s="23">
        <f>INDEX(Positions!$D$2:$D$4694,MATCH($A1256&amp;"|48",Positions!$A$2:$A$4694,0))</f>
        <v>47</v>
      </c>
      <c r="F1256" s="23" t="str">
        <f>INDEX(Positions!$E$2:$E$4694,MATCH($A1256&amp;"|15",Positions!$A$2:$A$4694,0))</f>
        <v>G</v>
      </c>
      <c r="G1256" s="23" t="str">
        <f>INDEX(Positions!$E$2:$E$4694,MATCH($A1256&amp;"|48",Positions!$A$2:$A$4694,0))</f>
        <v>C</v>
      </c>
      <c r="H1256" s="24" t="str">
        <f t="shared" si="76"/>
        <v>G-C</v>
      </c>
      <c r="I1256" s="23">
        <f t="shared" si="77"/>
        <v>1</v>
      </c>
      <c r="J1256" s="23">
        <f t="shared" si="78"/>
        <v>1</v>
      </c>
      <c r="K1256" s="24">
        <f t="shared" si="79"/>
        <v>2</v>
      </c>
    </row>
    <row r="1257" spans="1:11">
      <c r="A1257" s="23" t="s">
        <v>81</v>
      </c>
      <c r="B1257" s="23" t="s">
        <v>241</v>
      </c>
      <c r="C1257" s="23" t="s">
        <v>244</v>
      </c>
      <c r="D1257" s="23">
        <f>INDEX(Positions!$D$2:$D$4694,MATCH($A1257&amp;"|18",Positions!$A$2:$A$4694,0))</f>
        <v>17</v>
      </c>
      <c r="E1257" s="23">
        <f>INDEX(Positions!$D$2:$D$4694,MATCH($A1257&amp;"|55",Positions!$A$2:$A$4694,0))</f>
        <v>54</v>
      </c>
      <c r="F1257" s="23" t="str">
        <f>INDEX(Positions!$E$2:$E$4694,MATCH($A1257&amp;"|18",Positions!$A$2:$A$4694,0))</f>
        <v>G</v>
      </c>
      <c r="G1257" s="23" t="str">
        <f>INDEX(Positions!$E$2:$E$4694,MATCH($A1257&amp;"|55",Positions!$A$2:$A$4694,0))</f>
        <v>U</v>
      </c>
      <c r="H1257" s="24" t="str">
        <f t="shared" si="76"/>
        <v>G-U</v>
      </c>
      <c r="I1257" s="23">
        <f t="shared" si="77"/>
        <v>1</v>
      </c>
      <c r="J1257" s="23">
        <f t="shared" si="78"/>
        <v>0</v>
      </c>
      <c r="K1257" s="24">
        <f t="shared" si="79"/>
        <v>1</v>
      </c>
    </row>
    <row r="1258" spans="1:11">
      <c r="A1258" s="23" t="s">
        <v>81</v>
      </c>
      <c r="B1258" s="23" t="s">
        <v>241</v>
      </c>
      <c r="C1258" s="23" t="s">
        <v>245</v>
      </c>
      <c r="D1258" s="23">
        <f>INDEX(Positions!$D$2:$D$4694,MATCH($A1258&amp;"|19",Positions!$A$2:$A$4694,0))</f>
        <v>18</v>
      </c>
      <c r="E1258" s="23">
        <f>INDEX(Positions!$D$2:$D$4694,MATCH($A1258&amp;"|56",Positions!$A$2:$A$4694,0))</f>
        <v>55</v>
      </c>
      <c r="F1258" s="23" t="str">
        <f>INDEX(Positions!$E$2:$E$4694,MATCH($A1258&amp;"|19",Positions!$A$2:$A$4694,0))</f>
        <v>G</v>
      </c>
      <c r="G1258" s="23" t="str">
        <f>INDEX(Positions!$E$2:$E$4694,MATCH($A1258&amp;"|56",Positions!$A$2:$A$4694,0))</f>
        <v>C</v>
      </c>
      <c r="H1258" s="24" t="str">
        <f t="shared" si="76"/>
        <v>G-C</v>
      </c>
      <c r="I1258" s="23">
        <f t="shared" si="77"/>
        <v>1</v>
      </c>
      <c r="J1258" s="23">
        <f t="shared" si="78"/>
        <v>1</v>
      </c>
      <c r="K1258" s="24">
        <f t="shared" si="79"/>
        <v>2</v>
      </c>
    </row>
    <row r="1259" spans="1:11">
      <c r="A1259" s="23" t="s">
        <v>81</v>
      </c>
      <c r="B1259" s="23" t="s">
        <v>241</v>
      </c>
      <c r="C1259" s="23" t="s">
        <v>246</v>
      </c>
      <c r="D1259" s="23">
        <f>INDEX(Positions!$D$2:$D$4694,MATCH($A1259&amp;"|26",Positions!$A$2:$A$4694,0))</f>
        <v>25</v>
      </c>
      <c r="E1259" s="23">
        <f>INDEX(Positions!$D$2:$D$4694,MATCH($A1259&amp;"|44",Positions!$A$2:$A$4694,0))</f>
        <v>43</v>
      </c>
      <c r="F1259" s="23" t="str">
        <f>INDEX(Positions!$E$2:$E$4694,MATCH($A1259&amp;"|26",Positions!$A$2:$A$4694,0))</f>
        <v>G</v>
      </c>
      <c r="G1259" s="23" t="str">
        <f>INDEX(Positions!$E$2:$E$4694,MATCH($A1259&amp;"|44",Positions!$A$2:$A$4694,0))</f>
        <v>U</v>
      </c>
      <c r="H1259" s="24" t="str">
        <f t="shared" si="76"/>
        <v>G-U</v>
      </c>
      <c r="I1259" s="23">
        <f t="shared" si="77"/>
        <v>1</v>
      </c>
      <c r="J1259" s="23">
        <f t="shared" si="78"/>
        <v>0</v>
      </c>
      <c r="K1259" s="24">
        <f t="shared" si="79"/>
        <v>1</v>
      </c>
    </row>
    <row r="1260" spans="1:11">
      <c r="A1260" s="23" t="s">
        <v>81</v>
      </c>
      <c r="B1260" s="23" t="s">
        <v>241</v>
      </c>
      <c r="C1260" s="23" t="s">
        <v>247</v>
      </c>
      <c r="D1260" s="23">
        <f>INDEX(Positions!$D$2:$D$4694,MATCH($A1260&amp;"|32",Positions!$A$2:$A$4694,0))</f>
        <v>31</v>
      </c>
      <c r="E1260" s="23">
        <f>INDEX(Positions!$D$2:$D$4694,MATCH($A1260&amp;"|38",Positions!$A$2:$A$4694,0))</f>
        <v>37</v>
      </c>
      <c r="F1260" s="23" t="str">
        <f>INDEX(Positions!$E$2:$E$4694,MATCH($A1260&amp;"|32",Positions!$A$2:$A$4694,0))</f>
        <v>C</v>
      </c>
      <c r="G1260" s="23" t="str">
        <f>INDEX(Positions!$E$2:$E$4694,MATCH($A1260&amp;"|38",Positions!$A$2:$A$4694,0))</f>
        <v>A</v>
      </c>
      <c r="H1260" s="24" t="str">
        <f t="shared" si="76"/>
        <v>C-A</v>
      </c>
      <c r="I1260" s="23">
        <f t="shared" si="77"/>
        <v>0</v>
      </c>
      <c r="J1260" s="23">
        <f t="shared" si="78"/>
        <v>1</v>
      </c>
      <c r="K1260" s="24">
        <f t="shared" si="79"/>
        <v>1</v>
      </c>
    </row>
    <row r="1261" spans="1:11">
      <c r="A1261" s="23" t="s">
        <v>81</v>
      </c>
      <c r="B1261" s="23" t="s">
        <v>241</v>
      </c>
      <c r="C1261" s="23" t="s">
        <v>248</v>
      </c>
      <c r="D1261" s="23">
        <f>INDEX(Positions!$D$2:$D$4694,MATCH($A1261&amp;"|54",Positions!$A$2:$A$4694,0))</f>
        <v>53</v>
      </c>
      <c r="E1261" s="23">
        <f>INDEX(Positions!$D$2:$D$4694,MATCH($A1261&amp;"|58",Positions!$A$2:$A$4694,0))</f>
        <v>57</v>
      </c>
      <c r="F1261" s="23" t="str">
        <f>INDEX(Positions!$E$2:$E$4694,MATCH($A1261&amp;"|54",Positions!$A$2:$A$4694,0))</f>
        <v>U</v>
      </c>
      <c r="G1261" s="23" t="str">
        <f>INDEX(Positions!$E$2:$E$4694,MATCH($A1261&amp;"|58",Positions!$A$2:$A$4694,0))</f>
        <v>A</v>
      </c>
      <c r="H1261" s="24" t="str">
        <f t="shared" si="76"/>
        <v>U-A</v>
      </c>
      <c r="I1261" s="23">
        <f t="shared" si="77"/>
        <v>0</v>
      </c>
      <c r="J1261" s="23">
        <f t="shared" si="78"/>
        <v>0</v>
      </c>
      <c r="K1261" s="24">
        <f t="shared" si="79"/>
        <v>0</v>
      </c>
    </row>
    <row r="1262" spans="1:11">
      <c r="A1262" s="4" t="s">
        <v>82</v>
      </c>
      <c r="B1262" s="4" t="s">
        <v>110</v>
      </c>
      <c r="C1262" s="4" t="s">
        <v>220</v>
      </c>
      <c r="D1262" s="4">
        <f>INDEX(Positions!$D$2:$D$4694,MATCH($A1262&amp;"|1",Positions!$A$2:$A$4694,0))</f>
        <v>1</v>
      </c>
      <c r="E1262" s="4">
        <f>INDEX(Positions!$D$2:$D$4694,MATCH($A1262&amp;"|72",Positions!$A$2:$A$4694,0))</f>
        <v>74</v>
      </c>
      <c r="F1262" s="4" t="str">
        <f>INDEX(Positions!$E$2:$E$4694,MATCH($A1262&amp;"|1",Positions!$A$2:$A$4694,0))</f>
        <v>G</v>
      </c>
      <c r="G1262" s="4" t="str">
        <f>INDEX(Positions!$E$2:$E$4694,MATCH($A1262&amp;"|72",Positions!$A$2:$A$4694,0))</f>
        <v>C</v>
      </c>
      <c r="H1262" s="3" t="str">
        <f t="shared" si="76"/>
        <v>G-C</v>
      </c>
      <c r="I1262" s="4">
        <f t="shared" si="77"/>
        <v>1</v>
      </c>
      <c r="J1262" s="4">
        <f t="shared" si="78"/>
        <v>1</v>
      </c>
      <c r="K1262" s="3">
        <f t="shared" si="79"/>
        <v>2</v>
      </c>
    </row>
    <row r="1263" spans="1:11">
      <c r="A1263" s="4" t="s">
        <v>82</v>
      </c>
      <c r="B1263" s="4" t="s">
        <v>110</v>
      </c>
      <c r="C1263" s="4" t="s">
        <v>221</v>
      </c>
      <c r="D1263" s="4">
        <f>INDEX(Positions!$D$2:$D$4694,MATCH($A1263&amp;"|2",Positions!$A$2:$A$4694,0))</f>
        <v>2</v>
      </c>
      <c r="E1263" s="4">
        <f>INDEX(Positions!$D$2:$D$4694,MATCH($A1263&amp;"|71",Positions!$A$2:$A$4694,0))</f>
        <v>73</v>
      </c>
      <c r="F1263" s="4" t="str">
        <f>INDEX(Positions!$E$2:$E$4694,MATCH($A1263&amp;"|2",Positions!$A$2:$A$4694,0))</f>
        <v>G</v>
      </c>
      <c r="G1263" s="4" t="str">
        <f>INDEX(Positions!$E$2:$E$4694,MATCH($A1263&amp;"|71",Positions!$A$2:$A$4694,0))</f>
        <v>C</v>
      </c>
      <c r="H1263" s="3" t="str">
        <f t="shared" si="76"/>
        <v>G-C</v>
      </c>
      <c r="I1263" s="4">
        <f t="shared" si="77"/>
        <v>1</v>
      </c>
      <c r="J1263" s="4">
        <f t="shared" si="78"/>
        <v>1</v>
      </c>
      <c r="K1263" s="3">
        <f t="shared" si="79"/>
        <v>2</v>
      </c>
    </row>
    <row r="1264" spans="1:11">
      <c r="A1264" s="4" t="s">
        <v>82</v>
      </c>
      <c r="B1264" s="4" t="s">
        <v>110</v>
      </c>
      <c r="C1264" s="4" t="s">
        <v>222</v>
      </c>
      <c r="D1264" s="4">
        <f>INDEX(Positions!$D$2:$D$4694,MATCH($A1264&amp;"|3",Positions!$A$2:$A$4694,0))</f>
        <v>3</v>
      </c>
      <c r="E1264" s="4">
        <f>INDEX(Positions!$D$2:$D$4694,MATCH($A1264&amp;"|70",Positions!$A$2:$A$4694,0))</f>
        <v>72</v>
      </c>
      <c r="F1264" s="4" t="str">
        <f>INDEX(Positions!$E$2:$E$4694,MATCH($A1264&amp;"|3",Positions!$A$2:$A$4694,0))</f>
        <v>G</v>
      </c>
      <c r="G1264" s="4" t="str">
        <f>INDEX(Positions!$E$2:$E$4694,MATCH($A1264&amp;"|70",Positions!$A$2:$A$4694,0))</f>
        <v>C</v>
      </c>
      <c r="H1264" s="3" t="str">
        <f t="shared" si="76"/>
        <v>G-C</v>
      </c>
      <c r="I1264" s="4">
        <f t="shared" si="77"/>
        <v>1</v>
      </c>
      <c r="J1264" s="4">
        <f t="shared" si="78"/>
        <v>1</v>
      </c>
      <c r="K1264" s="3">
        <f t="shared" si="79"/>
        <v>2</v>
      </c>
    </row>
    <row r="1265" spans="1:11">
      <c r="A1265" s="4" t="s">
        <v>82</v>
      </c>
      <c r="B1265" s="4" t="s">
        <v>110</v>
      </c>
      <c r="C1265" s="4" t="s">
        <v>223</v>
      </c>
      <c r="D1265" s="4">
        <f>INDEX(Positions!$D$2:$D$4694,MATCH($A1265&amp;"|4",Positions!$A$2:$A$4694,0))</f>
        <v>4</v>
      </c>
      <c r="E1265" s="4">
        <f>INDEX(Positions!$D$2:$D$4694,MATCH($A1265&amp;"|69",Positions!$A$2:$A$4694,0))</f>
        <v>71</v>
      </c>
      <c r="F1265" s="4" t="str">
        <f>INDEX(Positions!$E$2:$E$4694,MATCH($A1265&amp;"|4",Positions!$A$2:$A$4694,0))</f>
        <v>A</v>
      </c>
      <c r="G1265" s="4" t="str">
        <f>INDEX(Positions!$E$2:$E$4694,MATCH($A1265&amp;"|69",Positions!$A$2:$A$4694,0))</f>
        <v>U</v>
      </c>
      <c r="H1265" s="3" t="str">
        <f t="shared" si="76"/>
        <v>A-U</v>
      </c>
      <c r="I1265" s="4">
        <f t="shared" si="77"/>
        <v>0</v>
      </c>
      <c r="J1265" s="4">
        <f t="shared" si="78"/>
        <v>0</v>
      </c>
      <c r="K1265" s="3">
        <f t="shared" si="79"/>
        <v>0</v>
      </c>
    </row>
    <row r="1266" spans="1:11">
      <c r="A1266" s="4" t="s">
        <v>82</v>
      </c>
      <c r="B1266" s="4" t="s">
        <v>110</v>
      </c>
      <c r="C1266" s="4" t="s">
        <v>224</v>
      </c>
      <c r="D1266" s="4">
        <f>INDEX(Positions!$D$2:$D$4694,MATCH($A1266&amp;"|5",Positions!$A$2:$A$4694,0))</f>
        <v>5</v>
      </c>
      <c r="E1266" s="4">
        <f>INDEX(Positions!$D$2:$D$4694,MATCH($A1266&amp;"|68",Positions!$A$2:$A$4694,0))</f>
        <v>70</v>
      </c>
      <c r="F1266" s="4" t="str">
        <f>INDEX(Positions!$E$2:$E$4694,MATCH($A1266&amp;"|5",Positions!$A$2:$A$4694,0))</f>
        <v>C</v>
      </c>
      <c r="G1266" s="4" t="str">
        <f>INDEX(Positions!$E$2:$E$4694,MATCH($A1266&amp;"|68",Positions!$A$2:$A$4694,0))</f>
        <v>G</v>
      </c>
      <c r="H1266" s="3" t="str">
        <f t="shared" si="76"/>
        <v>C-G</v>
      </c>
      <c r="I1266" s="4">
        <f t="shared" si="77"/>
        <v>1</v>
      </c>
      <c r="J1266" s="4">
        <f t="shared" si="78"/>
        <v>1</v>
      </c>
      <c r="K1266" s="3">
        <f t="shared" si="79"/>
        <v>2</v>
      </c>
    </row>
    <row r="1267" spans="1:11">
      <c r="A1267" s="4" t="s">
        <v>82</v>
      </c>
      <c r="B1267" s="4" t="s">
        <v>110</v>
      </c>
      <c r="C1267" s="4" t="s">
        <v>225</v>
      </c>
      <c r="D1267" s="4">
        <f>INDEX(Positions!$D$2:$D$4694,MATCH($A1267&amp;"|6",Positions!$A$2:$A$4694,0))</f>
        <v>6</v>
      </c>
      <c r="E1267" s="4">
        <f>INDEX(Positions!$D$2:$D$4694,MATCH($A1267&amp;"|67",Positions!$A$2:$A$4694,0))</f>
        <v>69</v>
      </c>
      <c r="F1267" s="4" t="str">
        <f>INDEX(Positions!$E$2:$E$4694,MATCH($A1267&amp;"|6",Positions!$A$2:$A$4694,0))</f>
        <v>C</v>
      </c>
      <c r="G1267" s="4" t="str">
        <f>INDEX(Positions!$E$2:$E$4694,MATCH($A1267&amp;"|67",Positions!$A$2:$A$4694,0))</f>
        <v>G</v>
      </c>
      <c r="H1267" s="3" t="str">
        <f t="shared" si="76"/>
        <v>C-G</v>
      </c>
      <c r="I1267" s="4">
        <f t="shared" si="77"/>
        <v>1</v>
      </c>
      <c r="J1267" s="4">
        <f t="shared" si="78"/>
        <v>1</v>
      </c>
      <c r="K1267" s="3">
        <f t="shared" si="79"/>
        <v>2</v>
      </c>
    </row>
    <row r="1268" spans="1:11">
      <c r="A1268" s="4" t="s">
        <v>82</v>
      </c>
      <c r="B1268" s="4" t="s">
        <v>110</v>
      </c>
      <c r="C1268" s="4" t="s">
        <v>226</v>
      </c>
      <c r="D1268" s="4">
        <f>INDEX(Positions!$D$2:$D$4694,MATCH($A1268&amp;"|7",Positions!$A$2:$A$4694,0))</f>
        <v>7</v>
      </c>
      <c r="E1268" s="4">
        <f>INDEX(Positions!$D$2:$D$4694,MATCH($A1268&amp;"|66",Positions!$A$2:$A$4694,0))</f>
        <v>68</v>
      </c>
      <c r="F1268" s="4" t="str">
        <f>INDEX(Positions!$E$2:$E$4694,MATCH($A1268&amp;"|7",Positions!$A$2:$A$4694,0))</f>
        <v>G</v>
      </c>
      <c r="G1268" s="4" t="str">
        <f>INDEX(Positions!$E$2:$E$4694,MATCH($A1268&amp;"|66",Positions!$A$2:$A$4694,0))</f>
        <v>C</v>
      </c>
      <c r="H1268" s="3" t="str">
        <f t="shared" si="76"/>
        <v>G-C</v>
      </c>
      <c r="I1268" s="4">
        <f t="shared" si="77"/>
        <v>1</v>
      </c>
      <c r="J1268" s="4">
        <f t="shared" si="78"/>
        <v>1</v>
      </c>
      <c r="K1268" s="3">
        <f t="shared" si="79"/>
        <v>2</v>
      </c>
    </row>
    <row r="1269" spans="1:11">
      <c r="A1269" s="4" t="s">
        <v>82</v>
      </c>
      <c r="B1269" s="4" t="s">
        <v>125</v>
      </c>
      <c r="C1269" s="4" t="s">
        <v>227</v>
      </c>
      <c r="D1269" s="4">
        <f>INDEX(Positions!$D$2:$D$4694,MATCH($A1269&amp;"|10",Positions!$A$2:$A$4694,0))</f>
        <v>10</v>
      </c>
      <c r="E1269" s="4">
        <f>INDEX(Positions!$D$2:$D$4694,MATCH($A1269&amp;"|25",Positions!$A$2:$A$4694,0))</f>
        <v>28</v>
      </c>
      <c r="F1269" s="4" t="str">
        <f>INDEX(Positions!$E$2:$E$4694,MATCH($A1269&amp;"|10",Positions!$A$2:$A$4694,0))</f>
        <v>G</v>
      </c>
      <c r="G1269" s="4" t="str">
        <f>INDEX(Positions!$E$2:$E$4694,MATCH($A1269&amp;"|25",Positions!$A$2:$A$4694,0))</f>
        <v>U</v>
      </c>
      <c r="H1269" s="3" t="str">
        <f t="shared" si="76"/>
        <v>G-U</v>
      </c>
      <c r="I1269" s="4">
        <f t="shared" si="77"/>
        <v>1</v>
      </c>
      <c r="J1269" s="4">
        <f t="shared" si="78"/>
        <v>0</v>
      </c>
      <c r="K1269" s="3">
        <f t="shared" si="79"/>
        <v>1</v>
      </c>
    </row>
    <row r="1270" spans="1:11">
      <c r="A1270" s="4" t="s">
        <v>82</v>
      </c>
      <c r="B1270" s="4" t="s">
        <v>125</v>
      </c>
      <c r="C1270" s="4" t="s">
        <v>228</v>
      </c>
      <c r="D1270" s="4">
        <f>INDEX(Positions!$D$2:$D$4694,MATCH($A1270&amp;"|11",Positions!$A$2:$A$4694,0))</f>
        <v>11</v>
      </c>
      <c r="E1270" s="4">
        <f>INDEX(Positions!$D$2:$D$4694,MATCH($A1270&amp;"|24",Positions!$A$2:$A$4694,0))</f>
        <v>27</v>
      </c>
      <c r="F1270" s="4" t="str">
        <f>INDEX(Positions!$E$2:$E$4694,MATCH($A1270&amp;"|11",Positions!$A$2:$A$4694,0))</f>
        <v>G</v>
      </c>
      <c r="G1270" s="4" t="str">
        <f>INDEX(Positions!$E$2:$E$4694,MATCH($A1270&amp;"|24",Positions!$A$2:$A$4694,0))</f>
        <v>C</v>
      </c>
      <c r="H1270" s="3" t="str">
        <f t="shared" si="76"/>
        <v>G-C</v>
      </c>
      <c r="I1270" s="4">
        <f t="shared" si="77"/>
        <v>1</v>
      </c>
      <c r="J1270" s="4">
        <f t="shared" si="78"/>
        <v>1</v>
      </c>
      <c r="K1270" s="3">
        <f t="shared" si="79"/>
        <v>2</v>
      </c>
    </row>
    <row r="1271" spans="1:11">
      <c r="A1271" s="4" t="s">
        <v>82</v>
      </c>
      <c r="B1271" s="4" t="s">
        <v>125</v>
      </c>
      <c r="C1271" s="4" t="s">
        <v>229</v>
      </c>
      <c r="D1271" s="4">
        <f>INDEX(Positions!$D$2:$D$4694,MATCH($A1271&amp;"|12",Positions!$A$2:$A$4694,0))</f>
        <v>12</v>
      </c>
      <c r="E1271" s="4">
        <f>INDEX(Positions!$D$2:$D$4694,MATCH($A1271&amp;"|23",Positions!$A$2:$A$4694,0))</f>
        <v>26</v>
      </c>
      <c r="F1271" s="4" t="str">
        <f>INDEX(Positions!$E$2:$E$4694,MATCH($A1271&amp;"|12",Positions!$A$2:$A$4694,0))</f>
        <v>G</v>
      </c>
      <c r="G1271" s="4" t="str">
        <f>INDEX(Positions!$E$2:$E$4694,MATCH($A1271&amp;"|23",Positions!$A$2:$A$4694,0))</f>
        <v>C</v>
      </c>
      <c r="H1271" s="3" t="str">
        <f t="shared" si="76"/>
        <v>G-C</v>
      </c>
      <c r="I1271" s="4">
        <f t="shared" si="77"/>
        <v>1</v>
      </c>
      <c r="J1271" s="4">
        <f t="shared" si="78"/>
        <v>1</v>
      </c>
      <c r="K1271" s="3">
        <f t="shared" si="79"/>
        <v>2</v>
      </c>
    </row>
    <row r="1272" spans="1:11">
      <c r="A1272" s="4" t="s">
        <v>82</v>
      </c>
      <c r="B1272" s="4" t="s">
        <v>125</v>
      </c>
      <c r="C1272" s="4" t="s">
        <v>230</v>
      </c>
      <c r="D1272" s="4">
        <f>INDEX(Positions!$D$2:$D$4694,MATCH($A1272&amp;"|13",Positions!$A$2:$A$4694,0))</f>
        <v>13</v>
      </c>
      <c r="E1272" s="4">
        <f>INDEX(Positions!$D$2:$D$4694,MATCH($A1272&amp;"|22",Positions!$A$2:$A$4694,0))</f>
        <v>25</v>
      </c>
      <c r="F1272" s="4" t="str">
        <f>INDEX(Positions!$E$2:$E$4694,MATCH($A1272&amp;"|13",Positions!$A$2:$A$4694,0))</f>
        <v>U</v>
      </c>
      <c r="G1272" s="4" t="str">
        <f>INDEX(Positions!$E$2:$E$4694,MATCH($A1272&amp;"|22",Positions!$A$2:$A$4694,0))</f>
        <v>U</v>
      </c>
      <c r="H1272" s="3" t="str">
        <f t="shared" si="76"/>
        <v>U-U</v>
      </c>
      <c r="I1272" s="4">
        <f t="shared" si="77"/>
        <v>0</v>
      </c>
      <c r="J1272" s="4">
        <f t="shared" si="78"/>
        <v>0</v>
      </c>
      <c r="K1272" s="3">
        <f t="shared" si="79"/>
        <v>0</v>
      </c>
    </row>
    <row r="1273" spans="1:11">
      <c r="A1273" s="4" t="s">
        <v>82</v>
      </c>
      <c r="B1273" s="4" t="s">
        <v>144</v>
      </c>
      <c r="C1273" s="4" t="s">
        <v>231</v>
      </c>
      <c r="D1273" s="4">
        <f>INDEX(Positions!$D$2:$D$4694,MATCH($A1273&amp;"|27",Positions!$A$2:$A$4694,0))</f>
        <v>30</v>
      </c>
      <c r="E1273" s="4">
        <f>INDEX(Positions!$D$2:$D$4694,MATCH($A1273&amp;"|43",Positions!$A$2:$A$4694,0))</f>
        <v>46</v>
      </c>
      <c r="F1273" s="4" t="str">
        <f>INDEX(Positions!$E$2:$E$4694,MATCH($A1273&amp;"|27",Positions!$A$2:$A$4694,0))</f>
        <v>C</v>
      </c>
      <c r="G1273" s="4" t="str">
        <f>INDEX(Positions!$E$2:$E$4694,MATCH($A1273&amp;"|43",Positions!$A$2:$A$4694,0))</f>
        <v>G</v>
      </c>
      <c r="H1273" s="3" t="str">
        <f t="shared" si="76"/>
        <v>C-G</v>
      </c>
      <c r="I1273" s="4">
        <f t="shared" si="77"/>
        <v>1</v>
      </c>
      <c r="J1273" s="4">
        <f t="shared" si="78"/>
        <v>1</v>
      </c>
      <c r="K1273" s="3">
        <f t="shared" si="79"/>
        <v>2</v>
      </c>
    </row>
    <row r="1274" spans="1:11">
      <c r="A1274" s="4" t="s">
        <v>82</v>
      </c>
      <c r="B1274" s="4" t="s">
        <v>144</v>
      </c>
      <c r="C1274" s="4" t="s">
        <v>232</v>
      </c>
      <c r="D1274" s="4">
        <f>INDEX(Positions!$D$2:$D$4694,MATCH($A1274&amp;"|28",Positions!$A$2:$A$4694,0))</f>
        <v>31</v>
      </c>
      <c r="E1274" s="4">
        <f>INDEX(Positions!$D$2:$D$4694,MATCH($A1274&amp;"|42",Positions!$A$2:$A$4694,0))</f>
        <v>45</v>
      </c>
      <c r="F1274" s="4" t="str">
        <f>INDEX(Positions!$E$2:$E$4694,MATCH($A1274&amp;"|28",Positions!$A$2:$A$4694,0))</f>
        <v>G</v>
      </c>
      <c r="G1274" s="4" t="str">
        <f>INDEX(Positions!$E$2:$E$4694,MATCH($A1274&amp;"|42",Positions!$A$2:$A$4694,0))</f>
        <v>C</v>
      </c>
      <c r="H1274" s="3" t="str">
        <f t="shared" si="76"/>
        <v>G-C</v>
      </c>
      <c r="I1274" s="4">
        <f t="shared" si="77"/>
        <v>1</v>
      </c>
      <c r="J1274" s="4">
        <f t="shared" si="78"/>
        <v>1</v>
      </c>
      <c r="K1274" s="3">
        <f t="shared" si="79"/>
        <v>2</v>
      </c>
    </row>
    <row r="1275" spans="1:11">
      <c r="A1275" s="4" t="s">
        <v>82</v>
      </c>
      <c r="B1275" s="4" t="s">
        <v>144</v>
      </c>
      <c r="C1275" s="4" t="s">
        <v>233</v>
      </c>
      <c r="D1275" s="4">
        <f>INDEX(Positions!$D$2:$D$4694,MATCH($A1275&amp;"|29",Positions!$A$2:$A$4694,0))</f>
        <v>32</v>
      </c>
      <c r="E1275" s="4">
        <f>INDEX(Positions!$D$2:$D$4694,MATCH($A1275&amp;"|41",Positions!$A$2:$A$4694,0))</f>
        <v>44</v>
      </c>
      <c r="F1275" s="4" t="str">
        <f>INDEX(Positions!$E$2:$E$4694,MATCH($A1275&amp;"|29",Positions!$A$2:$A$4694,0))</f>
        <v>G</v>
      </c>
      <c r="G1275" s="4" t="str">
        <f>INDEX(Positions!$E$2:$E$4694,MATCH($A1275&amp;"|41",Positions!$A$2:$A$4694,0))</f>
        <v>C</v>
      </c>
      <c r="H1275" s="3" t="str">
        <f t="shared" si="76"/>
        <v>G-C</v>
      </c>
      <c r="I1275" s="4">
        <f t="shared" si="77"/>
        <v>1</v>
      </c>
      <c r="J1275" s="4">
        <f t="shared" si="78"/>
        <v>1</v>
      </c>
      <c r="K1275" s="3">
        <f t="shared" si="79"/>
        <v>2</v>
      </c>
    </row>
    <row r="1276" spans="1:11">
      <c r="A1276" s="4" t="s">
        <v>82</v>
      </c>
      <c r="B1276" s="4" t="s">
        <v>144</v>
      </c>
      <c r="C1276" s="4" t="s">
        <v>234</v>
      </c>
      <c r="D1276" s="4">
        <f>INDEX(Positions!$D$2:$D$4694,MATCH($A1276&amp;"|30",Positions!$A$2:$A$4694,0))</f>
        <v>33</v>
      </c>
      <c r="E1276" s="4">
        <f>INDEX(Positions!$D$2:$D$4694,MATCH($A1276&amp;"|40",Positions!$A$2:$A$4694,0))</f>
        <v>43</v>
      </c>
      <c r="F1276" s="4" t="str">
        <f>INDEX(Positions!$E$2:$E$4694,MATCH($A1276&amp;"|30",Positions!$A$2:$A$4694,0))</f>
        <v>C</v>
      </c>
      <c r="G1276" s="4" t="str">
        <f>INDEX(Positions!$E$2:$E$4694,MATCH($A1276&amp;"|40",Positions!$A$2:$A$4694,0))</f>
        <v>G</v>
      </c>
      <c r="H1276" s="3" t="str">
        <f t="shared" si="76"/>
        <v>C-G</v>
      </c>
      <c r="I1276" s="4">
        <f t="shared" si="77"/>
        <v>1</v>
      </c>
      <c r="J1276" s="4">
        <f t="shared" si="78"/>
        <v>1</v>
      </c>
      <c r="K1276" s="3">
        <f t="shared" si="79"/>
        <v>2</v>
      </c>
    </row>
    <row r="1277" spans="1:11">
      <c r="A1277" s="4" t="s">
        <v>82</v>
      </c>
      <c r="B1277" s="4" t="s">
        <v>144</v>
      </c>
      <c r="C1277" s="4" t="s">
        <v>235</v>
      </c>
      <c r="D1277" s="4">
        <f>INDEX(Positions!$D$2:$D$4694,MATCH($A1277&amp;"|31",Positions!$A$2:$A$4694,0))</f>
        <v>34</v>
      </c>
      <c r="E1277" s="4">
        <f>INDEX(Positions!$D$2:$D$4694,MATCH($A1277&amp;"|39",Positions!$A$2:$A$4694,0))</f>
        <v>42</v>
      </c>
      <c r="F1277" s="4" t="str">
        <f>INDEX(Positions!$E$2:$E$4694,MATCH($A1277&amp;"|31",Positions!$A$2:$A$4694,0))</f>
        <v>G</v>
      </c>
      <c r="G1277" s="4" t="str">
        <f>INDEX(Positions!$E$2:$E$4694,MATCH($A1277&amp;"|39",Positions!$A$2:$A$4694,0))</f>
        <v>C</v>
      </c>
      <c r="H1277" s="3" t="str">
        <f t="shared" si="76"/>
        <v>G-C</v>
      </c>
      <c r="I1277" s="4">
        <f t="shared" si="77"/>
        <v>1</v>
      </c>
      <c r="J1277" s="4">
        <f t="shared" si="78"/>
        <v>1</v>
      </c>
      <c r="K1277" s="3">
        <f t="shared" si="79"/>
        <v>2</v>
      </c>
    </row>
    <row r="1278" spans="1:11">
      <c r="A1278" s="4" t="s">
        <v>82</v>
      </c>
      <c r="B1278" s="4" t="s">
        <v>169</v>
      </c>
      <c r="C1278" s="4" t="s">
        <v>236</v>
      </c>
      <c r="D1278" s="4">
        <f>INDEX(Positions!$D$2:$D$4694,MATCH($A1278&amp;"|49",Positions!$A$2:$A$4694,0))</f>
        <v>51</v>
      </c>
      <c r="E1278" s="4">
        <f>INDEX(Positions!$D$2:$D$4694,MATCH($A1278&amp;"|65",Positions!$A$2:$A$4694,0))</f>
        <v>67</v>
      </c>
      <c r="F1278" s="4" t="str">
        <f>INDEX(Positions!$E$2:$E$4694,MATCH($A1278&amp;"|49",Positions!$A$2:$A$4694,0))</f>
        <v>C</v>
      </c>
      <c r="G1278" s="4" t="str">
        <f>INDEX(Positions!$E$2:$E$4694,MATCH($A1278&amp;"|65",Positions!$A$2:$A$4694,0))</f>
        <v>G</v>
      </c>
      <c r="H1278" s="3" t="str">
        <f t="shared" si="76"/>
        <v>C-G</v>
      </c>
      <c r="I1278" s="4">
        <f t="shared" si="77"/>
        <v>1</v>
      </c>
      <c r="J1278" s="4">
        <f t="shared" si="78"/>
        <v>1</v>
      </c>
      <c r="K1278" s="3">
        <f t="shared" si="79"/>
        <v>2</v>
      </c>
    </row>
    <row r="1279" spans="1:11">
      <c r="A1279" s="4" t="s">
        <v>82</v>
      </c>
      <c r="B1279" s="4" t="s">
        <v>169</v>
      </c>
      <c r="C1279" s="4" t="s">
        <v>237</v>
      </c>
      <c r="D1279" s="4">
        <f>INDEX(Positions!$D$2:$D$4694,MATCH($A1279&amp;"|50",Positions!$A$2:$A$4694,0))</f>
        <v>52</v>
      </c>
      <c r="E1279" s="4">
        <f>INDEX(Positions!$D$2:$D$4694,MATCH($A1279&amp;"|64",Positions!$A$2:$A$4694,0))</f>
        <v>66</v>
      </c>
      <c r="F1279" s="4" t="str">
        <f>INDEX(Positions!$E$2:$E$4694,MATCH($A1279&amp;"|50",Positions!$A$2:$A$4694,0))</f>
        <v>U</v>
      </c>
      <c r="G1279" s="4" t="str">
        <f>INDEX(Positions!$E$2:$E$4694,MATCH($A1279&amp;"|64",Positions!$A$2:$A$4694,0))</f>
        <v>A</v>
      </c>
      <c r="H1279" s="3" t="str">
        <f t="shared" si="76"/>
        <v>U-A</v>
      </c>
      <c r="I1279" s="4">
        <f t="shared" si="77"/>
        <v>0</v>
      </c>
      <c r="J1279" s="4">
        <f t="shared" si="78"/>
        <v>0</v>
      </c>
      <c r="K1279" s="3">
        <f t="shared" si="79"/>
        <v>0</v>
      </c>
    </row>
    <row r="1280" spans="1:11">
      <c r="A1280" s="4" t="s">
        <v>82</v>
      </c>
      <c r="B1280" s="4" t="s">
        <v>169</v>
      </c>
      <c r="C1280" s="4" t="s">
        <v>238</v>
      </c>
      <c r="D1280" s="4">
        <f>INDEX(Positions!$D$2:$D$4694,MATCH($A1280&amp;"|51",Positions!$A$2:$A$4694,0))</f>
        <v>53</v>
      </c>
      <c r="E1280" s="4">
        <f>INDEX(Positions!$D$2:$D$4694,MATCH($A1280&amp;"|63",Positions!$A$2:$A$4694,0))</f>
        <v>65</v>
      </c>
      <c r="F1280" s="4" t="str">
        <f>INDEX(Positions!$E$2:$E$4694,MATCH($A1280&amp;"|51",Positions!$A$2:$A$4694,0))</f>
        <v>G</v>
      </c>
      <c r="G1280" s="4" t="str">
        <f>INDEX(Positions!$E$2:$E$4694,MATCH($A1280&amp;"|63",Positions!$A$2:$A$4694,0))</f>
        <v>C</v>
      </c>
      <c r="H1280" s="3" t="str">
        <f t="shared" si="76"/>
        <v>G-C</v>
      </c>
      <c r="I1280" s="4">
        <f t="shared" si="77"/>
        <v>1</v>
      </c>
      <c r="J1280" s="4">
        <f t="shared" si="78"/>
        <v>1</v>
      </c>
      <c r="K1280" s="3">
        <f t="shared" si="79"/>
        <v>2</v>
      </c>
    </row>
    <row r="1281" spans="1:11">
      <c r="A1281" s="4" t="s">
        <v>82</v>
      </c>
      <c r="B1281" s="4" t="s">
        <v>169</v>
      </c>
      <c r="C1281" s="4" t="s">
        <v>239</v>
      </c>
      <c r="D1281" s="4">
        <f>INDEX(Positions!$D$2:$D$4694,MATCH($A1281&amp;"|52",Positions!$A$2:$A$4694,0))</f>
        <v>54</v>
      </c>
      <c r="E1281" s="4">
        <f>INDEX(Positions!$D$2:$D$4694,MATCH($A1281&amp;"|62",Positions!$A$2:$A$4694,0))</f>
        <v>64</v>
      </c>
      <c r="F1281" s="4" t="str">
        <f>INDEX(Positions!$E$2:$E$4694,MATCH($A1281&amp;"|52",Positions!$A$2:$A$4694,0))</f>
        <v>A</v>
      </c>
      <c r="G1281" s="4" t="str">
        <f>INDEX(Positions!$E$2:$E$4694,MATCH($A1281&amp;"|62",Positions!$A$2:$A$4694,0))</f>
        <v>U</v>
      </c>
      <c r="H1281" s="3" t="str">
        <f t="shared" si="76"/>
        <v>A-U</v>
      </c>
      <c r="I1281" s="4">
        <f t="shared" si="77"/>
        <v>0</v>
      </c>
      <c r="J1281" s="4">
        <f t="shared" si="78"/>
        <v>0</v>
      </c>
      <c r="K1281" s="3">
        <f t="shared" si="79"/>
        <v>0</v>
      </c>
    </row>
    <row r="1282" spans="1:11">
      <c r="A1282" s="4" t="s">
        <v>82</v>
      </c>
      <c r="B1282" s="4" t="s">
        <v>169</v>
      </c>
      <c r="C1282" s="4" t="s">
        <v>240</v>
      </c>
      <c r="D1282" s="4">
        <f>INDEX(Positions!$D$2:$D$4694,MATCH($A1282&amp;"|53",Positions!$A$2:$A$4694,0))</f>
        <v>55</v>
      </c>
      <c r="E1282" s="4">
        <f>INDEX(Positions!$D$2:$D$4694,MATCH($A1282&amp;"|61",Positions!$A$2:$A$4694,0))</f>
        <v>63</v>
      </c>
      <c r="F1282" s="4" t="str">
        <f>INDEX(Positions!$E$2:$E$4694,MATCH($A1282&amp;"|53",Positions!$A$2:$A$4694,0))</f>
        <v>G</v>
      </c>
      <c r="G1282" s="4" t="str">
        <f>INDEX(Positions!$E$2:$E$4694,MATCH($A1282&amp;"|61",Positions!$A$2:$A$4694,0))</f>
        <v>C</v>
      </c>
      <c r="H1282" s="3" t="str">
        <f t="shared" ref="H1282:H1345" si="80">F1282&amp;"-"&amp;G1282</f>
        <v>G-C</v>
      </c>
      <c r="I1282" s="4">
        <f t="shared" ref="I1282:I1345" si="81">(F1282="G")+(G1282="G")</f>
        <v>1</v>
      </c>
      <c r="J1282" s="4">
        <f t="shared" ref="J1282:J1345" si="82">(F1282="C")+(G1282="C")</f>
        <v>1</v>
      </c>
      <c r="K1282" s="3">
        <f t="shared" ref="K1282:K1345" si="83">I1282+J1282</f>
        <v>2</v>
      </c>
    </row>
    <row r="1283" spans="1:11">
      <c r="A1283" s="23" t="s">
        <v>82</v>
      </c>
      <c r="B1283" s="23" t="s">
        <v>241</v>
      </c>
      <c r="C1283" s="23" t="s">
        <v>242</v>
      </c>
      <c r="D1283" s="23">
        <f>INDEX(Positions!$D$2:$D$4694,MATCH($A1283&amp;"|8",Positions!$A$2:$A$4694,0))</f>
        <v>8</v>
      </c>
      <c r="E1283" s="23">
        <f>INDEX(Positions!$D$2:$D$4694,MATCH($A1283&amp;"|14",Positions!$A$2:$A$4694,0))</f>
        <v>14</v>
      </c>
      <c r="F1283" s="23" t="str">
        <f>INDEX(Positions!$E$2:$E$4694,MATCH($A1283&amp;"|8",Positions!$A$2:$A$4694,0))</f>
        <v>U</v>
      </c>
      <c r="G1283" s="23" t="str">
        <f>INDEX(Positions!$E$2:$E$4694,MATCH($A1283&amp;"|14",Positions!$A$2:$A$4694,0))</f>
        <v>A</v>
      </c>
      <c r="H1283" s="24" t="str">
        <f t="shared" si="80"/>
        <v>U-A</v>
      </c>
      <c r="I1283" s="23">
        <f t="shared" si="81"/>
        <v>0</v>
      </c>
      <c r="J1283" s="23">
        <f t="shared" si="82"/>
        <v>0</v>
      </c>
      <c r="K1283" s="24">
        <f t="shared" si="83"/>
        <v>0</v>
      </c>
    </row>
    <row r="1284" spans="1:11">
      <c r="A1284" s="23" t="s">
        <v>82</v>
      </c>
      <c r="B1284" s="23" t="s">
        <v>241</v>
      </c>
      <c r="C1284" s="23" t="s">
        <v>243</v>
      </c>
      <c r="D1284" s="23">
        <f>INDEX(Positions!$D$2:$D$4694,MATCH($A1284&amp;"|15",Positions!$A$2:$A$4694,0))</f>
        <v>15</v>
      </c>
      <c r="E1284" s="23">
        <f>INDEX(Positions!$D$2:$D$4694,MATCH($A1284&amp;"|48",Positions!$A$2:$A$4694,0))</f>
        <v>50</v>
      </c>
      <c r="F1284" s="23" t="str">
        <f>INDEX(Positions!$E$2:$E$4694,MATCH($A1284&amp;"|15",Positions!$A$2:$A$4694,0))</f>
        <v>G</v>
      </c>
      <c r="G1284" s="23" t="str">
        <f>INDEX(Positions!$E$2:$E$4694,MATCH($A1284&amp;"|48",Positions!$A$2:$A$4694,0))</f>
        <v>C</v>
      </c>
      <c r="H1284" s="24" t="str">
        <f t="shared" si="80"/>
        <v>G-C</v>
      </c>
      <c r="I1284" s="23">
        <f t="shared" si="81"/>
        <v>1</v>
      </c>
      <c r="J1284" s="23">
        <f t="shared" si="82"/>
        <v>1</v>
      </c>
      <c r="K1284" s="24">
        <f t="shared" si="83"/>
        <v>2</v>
      </c>
    </row>
    <row r="1285" spans="1:11">
      <c r="A1285" s="23" t="s">
        <v>82</v>
      </c>
      <c r="B1285" s="23" t="s">
        <v>241</v>
      </c>
      <c r="C1285" s="23" t="s">
        <v>244</v>
      </c>
      <c r="D1285" s="23">
        <f>INDEX(Positions!$D$2:$D$4694,MATCH($A1285&amp;"|18",Positions!$A$2:$A$4694,0))</f>
        <v>19</v>
      </c>
      <c r="E1285" s="23">
        <f>INDEX(Positions!$D$2:$D$4694,MATCH($A1285&amp;"|55",Positions!$A$2:$A$4694,0))</f>
        <v>57</v>
      </c>
      <c r="F1285" s="23" t="str">
        <f>INDEX(Positions!$E$2:$E$4694,MATCH($A1285&amp;"|18",Positions!$A$2:$A$4694,0))</f>
        <v>G</v>
      </c>
      <c r="G1285" s="23" t="str">
        <f>INDEX(Positions!$E$2:$E$4694,MATCH($A1285&amp;"|55",Positions!$A$2:$A$4694,0))</f>
        <v>U</v>
      </c>
      <c r="H1285" s="24" t="str">
        <f t="shared" si="80"/>
        <v>G-U</v>
      </c>
      <c r="I1285" s="23">
        <f t="shared" si="81"/>
        <v>1</v>
      </c>
      <c r="J1285" s="23">
        <f t="shared" si="82"/>
        <v>0</v>
      </c>
      <c r="K1285" s="24">
        <f t="shared" si="83"/>
        <v>1</v>
      </c>
    </row>
    <row r="1286" spans="1:11">
      <c r="A1286" s="23" t="s">
        <v>82</v>
      </c>
      <c r="B1286" s="23" t="s">
        <v>241</v>
      </c>
      <c r="C1286" s="23" t="s">
        <v>245</v>
      </c>
      <c r="D1286" s="23">
        <f>INDEX(Positions!$D$2:$D$4694,MATCH($A1286&amp;"|19",Positions!$A$2:$A$4694,0))</f>
        <v>20</v>
      </c>
      <c r="E1286" s="23">
        <f>INDEX(Positions!$D$2:$D$4694,MATCH($A1286&amp;"|56",Positions!$A$2:$A$4694,0))</f>
        <v>58</v>
      </c>
      <c r="F1286" s="23" t="str">
        <f>INDEX(Positions!$E$2:$E$4694,MATCH($A1286&amp;"|19",Positions!$A$2:$A$4694,0))</f>
        <v>G</v>
      </c>
      <c r="G1286" s="23" t="str">
        <f>INDEX(Positions!$E$2:$E$4694,MATCH($A1286&amp;"|56",Positions!$A$2:$A$4694,0))</f>
        <v>C</v>
      </c>
      <c r="H1286" s="24" t="str">
        <f t="shared" si="80"/>
        <v>G-C</v>
      </c>
      <c r="I1286" s="23">
        <f t="shared" si="81"/>
        <v>1</v>
      </c>
      <c r="J1286" s="23">
        <f t="shared" si="82"/>
        <v>1</v>
      </c>
      <c r="K1286" s="24">
        <f t="shared" si="83"/>
        <v>2</v>
      </c>
    </row>
    <row r="1287" spans="1:11">
      <c r="A1287" s="23" t="s">
        <v>82</v>
      </c>
      <c r="B1287" s="23" t="s">
        <v>241</v>
      </c>
      <c r="C1287" s="23" t="s">
        <v>246</v>
      </c>
      <c r="D1287" s="23">
        <f>INDEX(Positions!$D$2:$D$4694,MATCH($A1287&amp;"|26",Positions!$A$2:$A$4694,0))</f>
        <v>29</v>
      </c>
      <c r="E1287" s="23">
        <f>INDEX(Positions!$D$2:$D$4694,MATCH($A1287&amp;"|44",Positions!$A$2:$A$4694,0))</f>
        <v>47</v>
      </c>
      <c r="F1287" s="23" t="str">
        <f>INDEX(Positions!$E$2:$E$4694,MATCH($A1287&amp;"|26",Positions!$A$2:$A$4694,0))</f>
        <v>U</v>
      </c>
      <c r="G1287" s="23" t="str">
        <f>INDEX(Positions!$E$2:$E$4694,MATCH($A1287&amp;"|44",Positions!$A$2:$A$4694,0))</f>
        <v>G</v>
      </c>
      <c r="H1287" s="24" t="str">
        <f t="shared" si="80"/>
        <v>U-G</v>
      </c>
      <c r="I1287" s="23">
        <f t="shared" si="81"/>
        <v>1</v>
      </c>
      <c r="J1287" s="23">
        <f t="shared" si="82"/>
        <v>0</v>
      </c>
      <c r="K1287" s="24">
        <f t="shared" si="83"/>
        <v>1</v>
      </c>
    </row>
    <row r="1288" spans="1:11">
      <c r="A1288" s="23" t="s">
        <v>82</v>
      </c>
      <c r="B1288" s="23" t="s">
        <v>241</v>
      </c>
      <c r="C1288" s="23" t="s">
        <v>247</v>
      </c>
      <c r="D1288" s="23">
        <f>INDEX(Positions!$D$2:$D$4694,MATCH($A1288&amp;"|32",Positions!$A$2:$A$4694,0))</f>
        <v>35</v>
      </c>
      <c r="E1288" s="23">
        <f>INDEX(Positions!$D$2:$D$4694,MATCH($A1288&amp;"|38",Positions!$A$2:$A$4694,0))</f>
        <v>41</v>
      </c>
      <c r="F1288" s="23" t="str">
        <f>INDEX(Positions!$E$2:$E$4694,MATCH($A1288&amp;"|32",Positions!$A$2:$A$4694,0))</f>
        <v>U</v>
      </c>
      <c r="G1288" s="23" t="str">
        <f>INDEX(Positions!$E$2:$E$4694,MATCH($A1288&amp;"|38",Positions!$A$2:$A$4694,0))</f>
        <v>A</v>
      </c>
      <c r="H1288" s="24" t="str">
        <f t="shared" si="80"/>
        <v>U-A</v>
      </c>
      <c r="I1288" s="23">
        <f t="shared" si="81"/>
        <v>0</v>
      </c>
      <c r="J1288" s="23">
        <f t="shared" si="82"/>
        <v>0</v>
      </c>
      <c r="K1288" s="24">
        <f t="shared" si="83"/>
        <v>0</v>
      </c>
    </row>
    <row r="1289" spans="1:11">
      <c r="A1289" s="23" t="s">
        <v>82</v>
      </c>
      <c r="B1289" s="23" t="s">
        <v>241</v>
      </c>
      <c r="C1289" s="23" t="s">
        <v>248</v>
      </c>
      <c r="D1289" s="23">
        <f>INDEX(Positions!$D$2:$D$4694,MATCH($A1289&amp;"|54",Positions!$A$2:$A$4694,0))</f>
        <v>56</v>
      </c>
      <c r="E1289" s="23">
        <f>INDEX(Positions!$D$2:$D$4694,MATCH($A1289&amp;"|58",Positions!$A$2:$A$4694,0))</f>
        <v>60</v>
      </c>
      <c r="F1289" s="23" t="str">
        <f>INDEX(Positions!$E$2:$E$4694,MATCH($A1289&amp;"|54",Positions!$A$2:$A$4694,0))</f>
        <v>U</v>
      </c>
      <c r="G1289" s="23" t="str">
        <f>INDEX(Positions!$E$2:$E$4694,MATCH($A1289&amp;"|58",Positions!$A$2:$A$4694,0))</f>
        <v>A</v>
      </c>
      <c r="H1289" s="24" t="str">
        <f t="shared" si="80"/>
        <v>U-A</v>
      </c>
      <c r="I1289" s="23">
        <f t="shared" si="81"/>
        <v>0</v>
      </c>
      <c r="J1289" s="23">
        <f t="shared" si="82"/>
        <v>0</v>
      </c>
      <c r="K1289" s="24">
        <f t="shared" si="83"/>
        <v>0</v>
      </c>
    </row>
    <row r="1290" spans="1:11">
      <c r="A1290" s="4" t="s">
        <v>83</v>
      </c>
      <c r="B1290" s="4" t="s">
        <v>110</v>
      </c>
      <c r="C1290" s="4" t="s">
        <v>220</v>
      </c>
      <c r="D1290" s="4">
        <f>INDEX(Positions!$D$2:$D$4694,MATCH($A1290&amp;"|1",Positions!$A$2:$A$4694,0))</f>
        <v>1</v>
      </c>
      <c r="E1290" s="4">
        <f>INDEX(Positions!$D$2:$D$4694,MATCH($A1290&amp;"|72",Positions!$A$2:$A$4694,0))</f>
        <v>74</v>
      </c>
      <c r="F1290" s="4" t="str">
        <f>INDEX(Positions!$E$2:$E$4694,MATCH($A1290&amp;"|1",Positions!$A$2:$A$4694,0))</f>
        <v>G</v>
      </c>
      <c r="G1290" s="4" t="str">
        <f>INDEX(Positions!$E$2:$E$4694,MATCH($A1290&amp;"|72",Positions!$A$2:$A$4694,0))</f>
        <v>C</v>
      </c>
      <c r="H1290" s="3" t="str">
        <f t="shared" si="80"/>
        <v>G-C</v>
      </c>
      <c r="I1290" s="4">
        <f t="shared" si="81"/>
        <v>1</v>
      </c>
      <c r="J1290" s="4">
        <f t="shared" si="82"/>
        <v>1</v>
      </c>
      <c r="K1290" s="3">
        <f t="shared" si="83"/>
        <v>2</v>
      </c>
    </row>
    <row r="1291" spans="1:11">
      <c r="A1291" s="4" t="s">
        <v>83</v>
      </c>
      <c r="B1291" s="4" t="s">
        <v>110</v>
      </c>
      <c r="C1291" s="4" t="s">
        <v>221</v>
      </c>
      <c r="D1291" s="4">
        <f>INDEX(Positions!$D$2:$D$4694,MATCH($A1291&amp;"|2",Positions!$A$2:$A$4694,0))</f>
        <v>2</v>
      </c>
      <c r="E1291" s="4">
        <f>INDEX(Positions!$D$2:$D$4694,MATCH($A1291&amp;"|71",Positions!$A$2:$A$4694,0))</f>
        <v>73</v>
      </c>
      <c r="F1291" s="4" t="str">
        <f>INDEX(Positions!$E$2:$E$4694,MATCH($A1291&amp;"|2",Positions!$A$2:$A$4694,0))</f>
        <v>G</v>
      </c>
      <c r="G1291" s="4" t="str">
        <f>INDEX(Positions!$E$2:$E$4694,MATCH($A1291&amp;"|71",Positions!$A$2:$A$4694,0))</f>
        <v>C</v>
      </c>
      <c r="H1291" s="3" t="str">
        <f t="shared" si="80"/>
        <v>G-C</v>
      </c>
      <c r="I1291" s="4">
        <f t="shared" si="81"/>
        <v>1</v>
      </c>
      <c r="J1291" s="4">
        <f t="shared" si="82"/>
        <v>1</v>
      </c>
      <c r="K1291" s="3">
        <f t="shared" si="83"/>
        <v>2</v>
      </c>
    </row>
    <row r="1292" spans="1:11">
      <c r="A1292" s="4" t="s">
        <v>83</v>
      </c>
      <c r="B1292" s="4" t="s">
        <v>110</v>
      </c>
      <c r="C1292" s="4" t="s">
        <v>222</v>
      </c>
      <c r="D1292" s="4">
        <f>INDEX(Positions!$D$2:$D$4694,MATCH($A1292&amp;"|3",Positions!$A$2:$A$4694,0))</f>
        <v>3</v>
      </c>
      <c r="E1292" s="4">
        <f>INDEX(Positions!$D$2:$D$4694,MATCH($A1292&amp;"|70",Positions!$A$2:$A$4694,0))</f>
        <v>72</v>
      </c>
      <c r="F1292" s="4" t="str">
        <f>INDEX(Positions!$E$2:$E$4694,MATCH($A1292&amp;"|3",Positions!$A$2:$A$4694,0))</f>
        <v>G</v>
      </c>
      <c r="G1292" s="4" t="str">
        <f>INDEX(Positions!$E$2:$E$4694,MATCH($A1292&amp;"|70",Positions!$A$2:$A$4694,0))</f>
        <v>C</v>
      </c>
      <c r="H1292" s="3" t="str">
        <f t="shared" si="80"/>
        <v>G-C</v>
      </c>
      <c r="I1292" s="4">
        <f t="shared" si="81"/>
        <v>1</v>
      </c>
      <c r="J1292" s="4">
        <f t="shared" si="82"/>
        <v>1</v>
      </c>
      <c r="K1292" s="3">
        <f t="shared" si="83"/>
        <v>2</v>
      </c>
    </row>
    <row r="1293" spans="1:11">
      <c r="A1293" s="4" t="s">
        <v>83</v>
      </c>
      <c r="B1293" s="4" t="s">
        <v>110</v>
      </c>
      <c r="C1293" s="4" t="s">
        <v>223</v>
      </c>
      <c r="D1293" s="4">
        <f>INDEX(Positions!$D$2:$D$4694,MATCH($A1293&amp;"|4",Positions!$A$2:$A$4694,0))</f>
        <v>4</v>
      </c>
      <c r="E1293" s="4">
        <f>INDEX(Positions!$D$2:$D$4694,MATCH($A1293&amp;"|69",Positions!$A$2:$A$4694,0))</f>
        <v>71</v>
      </c>
      <c r="F1293" s="4" t="str">
        <f>INDEX(Positions!$E$2:$E$4694,MATCH($A1293&amp;"|4",Positions!$A$2:$A$4694,0))</f>
        <v>G</v>
      </c>
      <c r="G1293" s="4" t="str">
        <f>INDEX(Positions!$E$2:$E$4694,MATCH($A1293&amp;"|69",Positions!$A$2:$A$4694,0))</f>
        <v>C</v>
      </c>
      <c r="H1293" s="3" t="str">
        <f t="shared" si="80"/>
        <v>G-C</v>
      </c>
      <c r="I1293" s="4">
        <f t="shared" si="81"/>
        <v>1</v>
      </c>
      <c r="J1293" s="4">
        <f t="shared" si="82"/>
        <v>1</v>
      </c>
      <c r="K1293" s="3">
        <f t="shared" si="83"/>
        <v>2</v>
      </c>
    </row>
    <row r="1294" spans="1:11">
      <c r="A1294" s="4" t="s">
        <v>83</v>
      </c>
      <c r="B1294" s="4" t="s">
        <v>110</v>
      </c>
      <c r="C1294" s="4" t="s">
        <v>224</v>
      </c>
      <c r="D1294" s="4">
        <f>INDEX(Positions!$D$2:$D$4694,MATCH($A1294&amp;"|5",Positions!$A$2:$A$4694,0))</f>
        <v>5</v>
      </c>
      <c r="E1294" s="4">
        <f>INDEX(Positions!$D$2:$D$4694,MATCH($A1294&amp;"|68",Positions!$A$2:$A$4694,0))</f>
        <v>70</v>
      </c>
      <c r="F1294" s="4" t="str">
        <f>INDEX(Positions!$E$2:$E$4694,MATCH($A1294&amp;"|5",Positions!$A$2:$A$4694,0))</f>
        <v>C</v>
      </c>
      <c r="G1294" s="4" t="str">
        <f>INDEX(Positions!$E$2:$E$4694,MATCH($A1294&amp;"|68",Positions!$A$2:$A$4694,0))</f>
        <v>G</v>
      </c>
      <c r="H1294" s="3" t="str">
        <f t="shared" si="80"/>
        <v>C-G</v>
      </c>
      <c r="I1294" s="4">
        <f t="shared" si="81"/>
        <v>1</v>
      </c>
      <c r="J1294" s="4">
        <f t="shared" si="82"/>
        <v>1</v>
      </c>
      <c r="K1294" s="3">
        <f t="shared" si="83"/>
        <v>2</v>
      </c>
    </row>
    <row r="1295" spans="1:11">
      <c r="A1295" s="4" t="s">
        <v>83</v>
      </c>
      <c r="B1295" s="4" t="s">
        <v>110</v>
      </c>
      <c r="C1295" s="4" t="s">
        <v>225</v>
      </c>
      <c r="D1295" s="4">
        <f>INDEX(Positions!$D$2:$D$4694,MATCH($A1295&amp;"|6",Positions!$A$2:$A$4694,0))</f>
        <v>6</v>
      </c>
      <c r="E1295" s="4">
        <f>INDEX(Positions!$D$2:$D$4694,MATCH($A1295&amp;"|67",Positions!$A$2:$A$4694,0))</f>
        <v>69</v>
      </c>
      <c r="F1295" s="4" t="str">
        <f>INDEX(Positions!$E$2:$E$4694,MATCH($A1295&amp;"|6",Positions!$A$2:$A$4694,0))</f>
        <v>C</v>
      </c>
      <c r="G1295" s="4" t="str">
        <f>INDEX(Positions!$E$2:$E$4694,MATCH($A1295&amp;"|67",Positions!$A$2:$A$4694,0))</f>
        <v>G</v>
      </c>
      <c r="H1295" s="3" t="str">
        <f t="shared" si="80"/>
        <v>C-G</v>
      </c>
      <c r="I1295" s="4">
        <f t="shared" si="81"/>
        <v>1</v>
      </c>
      <c r="J1295" s="4">
        <f t="shared" si="82"/>
        <v>1</v>
      </c>
      <c r="K1295" s="3">
        <f t="shared" si="83"/>
        <v>2</v>
      </c>
    </row>
    <row r="1296" spans="1:11">
      <c r="A1296" s="4" t="s">
        <v>83</v>
      </c>
      <c r="B1296" s="4" t="s">
        <v>110</v>
      </c>
      <c r="C1296" s="4" t="s">
        <v>226</v>
      </c>
      <c r="D1296" s="4">
        <f>INDEX(Positions!$D$2:$D$4694,MATCH($A1296&amp;"|7",Positions!$A$2:$A$4694,0))</f>
        <v>7</v>
      </c>
      <c r="E1296" s="4">
        <f>INDEX(Positions!$D$2:$D$4694,MATCH($A1296&amp;"|66",Positions!$A$2:$A$4694,0))</f>
        <v>68</v>
      </c>
      <c r="F1296" s="4" t="str">
        <f>INDEX(Positions!$E$2:$E$4694,MATCH($A1296&amp;"|7",Positions!$A$2:$A$4694,0))</f>
        <v>G</v>
      </c>
      <c r="G1296" s="4" t="str">
        <f>INDEX(Positions!$E$2:$E$4694,MATCH($A1296&amp;"|66",Positions!$A$2:$A$4694,0))</f>
        <v>C</v>
      </c>
      <c r="H1296" s="3" t="str">
        <f t="shared" si="80"/>
        <v>G-C</v>
      </c>
      <c r="I1296" s="4">
        <f t="shared" si="81"/>
        <v>1</v>
      </c>
      <c r="J1296" s="4">
        <f t="shared" si="82"/>
        <v>1</v>
      </c>
      <c r="K1296" s="3">
        <f t="shared" si="83"/>
        <v>2</v>
      </c>
    </row>
    <row r="1297" spans="1:11">
      <c r="A1297" s="4" t="s">
        <v>83</v>
      </c>
      <c r="B1297" s="4" t="s">
        <v>125</v>
      </c>
      <c r="C1297" s="4" t="s">
        <v>227</v>
      </c>
      <c r="D1297" s="4">
        <f>INDEX(Positions!$D$2:$D$4694,MATCH($A1297&amp;"|10",Positions!$A$2:$A$4694,0))</f>
        <v>10</v>
      </c>
      <c r="E1297" s="4">
        <f>INDEX(Positions!$D$2:$D$4694,MATCH($A1297&amp;"|25",Positions!$A$2:$A$4694,0))</f>
        <v>28</v>
      </c>
      <c r="F1297" s="4" t="str">
        <f>INDEX(Positions!$E$2:$E$4694,MATCH($A1297&amp;"|10",Positions!$A$2:$A$4694,0))</f>
        <v>G</v>
      </c>
      <c r="G1297" s="4" t="str">
        <f>INDEX(Positions!$E$2:$E$4694,MATCH($A1297&amp;"|25",Positions!$A$2:$A$4694,0))</f>
        <v>U</v>
      </c>
      <c r="H1297" s="3" t="str">
        <f t="shared" si="80"/>
        <v>G-U</v>
      </c>
      <c r="I1297" s="4">
        <f t="shared" si="81"/>
        <v>1</v>
      </c>
      <c r="J1297" s="4">
        <f t="shared" si="82"/>
        <v>0</v>
      </c>
      <c r="K1297" s="3">
        <f t="shared" si="83"/>
        <v>1</v>
      </c>
    </row>
    <row r="1298" spans="1:11">
      <c r="A1298" s="4" t="s">
        <v>83</v>
      </c>
      <c r="B1298" s="4" t="s">
        <v>125</v>
      </c>
      <c r="C1298" s="4" t="s">
        <v>228</v>
      </c>
      <c r="D1298" s="4">
        <f>INDEX(Positions!$D$2:$D$4694,MATCH($A1298&amp;"|11",Positions!$A$2:$A$4694,0))</f>
        <v>11</v>
      </c>
      <c r="E1298" s="4">
        <f>INDEX(Positions!$D$2:$D$4694,MATCH($A1298&amp;"|24",Positions!$A$2:$A$4694,0))</f>
        <v>27</v>
      </c>
      <c r="F1298" s="4" t="str">
        <f>INDEX(Positions!$E$2:$E$4694,MATCH($A1298&amp;"|11",Positions!$A$2:$A$4694,0))</f>
        <v>G</v>
      </c>
      <c r="G1298" s="4" t="str">
        <f>INDEX(Positions!$E$2:$E$4694,MATCH($A1298&amp;"|24",Positions!$A$2:$A$4694,0))</f>
        <v>C</v>
      </c>
      <c r="H1298" s="3" t="str">
        <f t="shared" si="80"/>
        <v>G-C</v>
      </c>
      <c r="I1298" s="4">
        <f t="shared" si="81"/>
        <v>1</v>
      </c>
      <c r="J1298" s="4">
        <f t="shared" si="82"/>
        <v>1</v>
      </c>
      <c r="K1298" s="3">
        <f t="shared" si="83"/>
        <v>2</v>
      </c>
    </row>
    <row r="1299" spans="1:11">
      <c r="A1299" s="4" t="s">
        <v>83</v>
      </c>
      <c r="B1299" s="4" t="s">
        <v>125</v>
      </c>
      <c r="C1299" s="4" t="s">
        <v>229</v>
      </c>
      <c r="D1299" s="4">
        <f>INDEX(Positions!$D$2:$D$4694,MATCH($A1299&amp;"|12",Positions!$A$2:$A$4694,0))</f>
        <v>12</v>
      </c>
      <c r="E1299" s="4">
        <f>INDEX(Positions!$D$2:$D$4694,MATCH($A1299&amp;"|23",Positions!$A$2:$A$4694,0))</f>
        <v>26</v>
      </c>
      <c r="F1299" s="4" t="str">
        <f>INDEX(Positions!$E$2:$E$4694,MATCH($A1299&amp;"|12",Positions!$A$2:$A$4694,0))</f>
        <v>G</v>
      </c>
      <c r="G1299" s="4" t="str">
        <f>INDEX(Positions!$E$2:$E$4694,MATCH($A1299&amp;"|23",Positions!$A$2:$A$4694,0))</f>
        <v>C</v>
      </c>
      <c r="H1299" s="3" t="str">
        <f t="shared" si="80"/>
        <v>G-C</v>
      </c>
      <c r="I1299" s="4">
        <f t="shared" si="81"/>
        <v>1</v>
      </c>
      <c r="J1299" s="4">
        <f t="shared" si="82"/>
        <v>1</v>
      </c>
      <c r="K1299" s="3">
        <f t="shared" si="83"/>
        <v>2</v>
      </c>
    </row>
    <row r="1300" spans="1:11">
      <c r="A1300" s="4" t="s">
        <v>83</v>
      </c>
      <c r="B1300" s="4" t="s">
        <v>125</v>
      </c>
      <c r="C1300" s="4" t="s">
        <v>230</v>
      </c>
      <c r="D1300" s="4">
        <f>INDEX(Positions!$D$2:$D$4694,MATCH($A1300&amp;"|13",Positions!$A$2:$A$4694,0))</f>
        <v>13</v>
      </c>
      <c r="E1300" s="4">
        <f>INDEX(Positions!$D$2:$D$4694,MATCH($A1300&amp;"|22",Positions!$A$2:$A$4694,0))</f>
        <v>25</v>
      </c>
      <c r="F1300" s="4" t="str">
        <f>INDEX(Positions!$E$2:$E$4694,MATCH($A1300&amp;"|13",Positions!$A$2:$A$4694,0))</f>
        <v>U</v>
      </c>
      <c r="G1300" s="4" t="str">
        <f>INDEX(Positions!$E$2:$E$4694,MATCH($A1300&amp;"|22",Positions!$A$2:$A$4694,0))</f>
        <v>U</v>
      </c>
      <c r="H1300" s="3" t="str">
        <f t="shared" si="80"/>
        <v>U-U</v>
      </c>
      <c r="I1300" s="4">
        <f t="shared" si="81"/>
        <v>0</v>
      </c>
      <c r="J1300" s="4">
        <f t="shared" si="82"/>
        <v>0</v>
      </c>
      <c r="K1300" s="3">
        <f t="shared" si="83"/>
        <v>0</v>
      </c>
    </row>
    <row r="1301" spans="1:11">
      <c r="A1301" s="4" t="s">
        <v>83</v>
      </c>
      <c r="B1301" s="4" t="s">
        <v>144</v>
      </c>
      <c r="C1301" s="4" t="s">
        <v>231</v>
      </c>
      <c r="D1301" s="4">
        <f>INDEX(Positions!$D$2:$D$4694,MATCH($A1301&amp;"|27",Positions!$A$2:$A$4694,0))</f>
        <v>30</v>
      </c>
      <c r="E1301" s="4">
        <f>INDEX(Positions!$D$2:$D$4694,MATCH($A1301&amp;"|43",Positions!$A$2:$A$4694,0))</f>
        <v>46</v>
      </c>
      <c r="F1301" s="4" t="str">
        <f>INDEX(Positions!$E$2:$E$4694,MATCH($A1301&amp;"|27",Positions!$A$2:$A$4694,0))</f>
        <v>C</v>
      </c>
      <c r="G1301" s="4" t="str">
        <f>INDEX(Positions!$E$2:$E$4694,MATCH($A1301&amp;"|43",Positions!$A$2:$A$4694,0))</f>
        <v>G</v>
      </c>
      <c r="H1301" s="3" t="str">
        <f t="shared" si="80"/>
        <v>C-G</v>
      </c>
      <c r="I1301" s="4">
        <f t="shared" si="81"/>
        <v>1</v>
      </c>
      <c r="J1301" s="4">
        <f t="shared" si="82"/>
        <v>1</v>
      </c>
      <c r="K1301" s="3">
        <f t="shared" si="83"/>
        <v>2</v>
      </c>
    </row>
    <row r="1302" spans="1:11">
      <c r="A1302" s="4" t="s">
        <v>83</v>
      </c>
      <c r="B1302" s="4" t="s">
        <v>144</v>
      </c>
      <c r="C1302" s="4" t="s">
        <v>232</v>
      </c>
      <c r="D1302" s="4">
        <f>INDEX(Positions!$D$2:$D$4694,MATCH($A1302&amp;"|28",Positions!$A$2:$A$4694,0))</f>
        <v>31</v>
      </c>
      <c r="E1302" s="4">
        <f>INDEX(Positions!$D$2:$D$4694,MATCH($A1302&amp;"|42",Positions!$A$2:$A$4694,0))</f>
        <v>45</v>
      </c>
      <c r="F1302" s="4" t="str">
        <f>INDEX(Positions!$E$2:$E$4694,MATCH($A1302&amp;"|28",Positions!$A$2:$A$4694,0))</f>
        <v>A</v>
      </c>
      <c r="G1302" s="4" t="str">
        <f>INDEX(Positions!$E$2:$E$4694,MATCH($A1302&amp;"|42",Positions!$A$2:$A$4694,0))</f>
        <v>U</v>
      </c>
      <c r="H1302" s="3" t="str">
        <f t="shared" si="80"/>
        <v>A-U</v>
      </c>
      <c r="I1302" s="4">
        <f t="shared" si="81"/>
        <v>0</v>
      </c>
      <c r="J1302" s="4">
        <f t="shared" si="82"/>
        <v>0</v>
      </c>
      <c r="K1302" s="3">
        <f t="shared" si="83"/>
        <v>0</v>
      </c>
    </row>
    <row r="1303" spans="1:11">
      <c r="A1303" s="4" t="s">
        <v>83</v>
      </c>
      <c r="B1303" s="4" t="s">
        <v>144</v>
      </c>
      <c r="C1303" s="4" t="s">
        <v>233</v>
      </c>
      <c r="D1303" s="4">
        <f>INDEX(Positions!$D$2:$D$4694,MATCH($A1303&amp;"|29",Positions!$A$2:$A$4694,0))</f>
        <v>32</v>
      </c>
      <c r="E1303" s="4">
        <f>INDEX(Positions!$D$2:$D$4694,MATCH($A1303&amp;"|41",Positions!$A$2:$A$4694,0))</f>
        <v>44</v>
      </c>
      <c r="F1303" s="4" t="str">
        <f>INDEX(Positions!$E$2:$E$4694,MATCH($A1303&amp;"|29",Positions!$A$2:$A$4694,0))</f>
        <v>A</v>
      </c>
      <c r="G1303" s="4" t="str">
        <f>INDEX(Positions!$E$2:$E$4694,MATCH($A1303&amp;"|41",Positions!$A$2:$A$4694,0))</f>
        <v>U</v>
      </c>
      <c r="H1303" s="3" t="str">
        <f t="shared" si="80"/>
        <v>A-U</v>
      </c>
      <c r="I1303" s="4">
        <f t="shared" si="81"/>
        <v>0</v>
      </c>
      <c r="J1303" s="4">
        <f t="shared" si="82"/>
        <v>0</v>
      </c>
      <c r="K1303" s="3">
        <f t="shared" si="83"/>
        <v>0</v>
      </c>
    </row>
    <row r="1304" spans="1:11">
      <c r="A1304" s="4" t="s">
        <v>83</v>
      </c>
      <c r="B1304" s="4" t="s">
        <v>144</v>
      </c>
      <c r="C1304" s="4" t="s">
        <v>234</v>
      </c>
      <c r="D1304" s="4">
        <f>INDEX(Positions!$D$2:$D$4694,MATCH($A1304&amp;"|30",Positions!$A$2:$A$4694,0))</f>
        <v>33</v>
      </c>
      <c r="E1304" s="4">
        <f>INDEX(Positions!$D$2:$D$4694,MATCH($A1304&amp;"|40",Positions!$A$2:$A$4694,0))</f>
        <v>43</v>
      </c>
      <c r="F1304" s="4" t="str">
        <f>INDEX(Positions!$E$2:$E$4694,MATCH($A1304&amp;"|30",Positions!$A$2:$A$4694,0))</f>
        <v>G</v>
      </c>
      <c r="G1304" s="4" t="str">
        <f>INDEX(Positions!$E$2:$E$4694,MATCH($A1304&amp;"|40",Positions!$A$2:$A$4694,0))</f>
        <v>C</v>
      </c>
      <c r="H1304" s="3" t="str">
        <f t="shared" si="80"/>
        <v>G-C</v>
      </c>
      <c r="I1304" s="4">
        <f t="shared" si="81"/>
        <v>1</v>
      </c>
      <c r="J1304" s="4">
        <f t="shared" si="82"/>
        <v>1</v>
      </c>
      <c r="K1304" s="3">
        <f t="shared" si="83"/>
        <v>2</v>
      </c>
    </row>
    <row r="1305" spans="1:11">
      <c r="A1305" s="4" t="s">
        <v>83</v>
      </c>
      <c r="B1305" s="4" t="s">
        <v>144</v>
      </c>
      <c r="C1305" s="4" t="s">
        <v>235</v>
      </c>
      <c r="D1305" s="4">
        <f>INDEX(Positions!$D$2:$D$4694,MATCH($A1305&amp;"|31",Positions!$A$2:$A$4694,0))</f>
        <v>34</v>
      </c>
      <c r="E1305" s="4">
        <f>INDEX(Positions!$D$2:$D$4694,MATCH($A1305&amp;"|39",Positions!$A$2:$A$4694,0))</f>
        <v>42</v>
      </c>
      <c r="F1305" s="4" t="str">
        <f>INDEX(Positions!$E$2:$E$4694,MATCH($A1305&amp;"|31",Positions!$A$2:$A$4694,0))</f>
        <v>G</v>
      </c>
      <c r="G1305" s="4" t="str">
        <f>INDEX(Positions!$E$2:$E$4694,MATCH($A1305&amp;"|39",Positions!$A$2:$A$4694,0))</f>
        <v>U</v>
      </c>
      <c r="H1305" s="3" t="str">
        <f t="shared" si="80"/>
        <v>G-U</v>
      </c>
      <c r="I1305" s="4">
        <f t="shared" si="81"/>
        <v>1</v>
      </c>
      <c r="J1305" s="4">
        <f t="shared" si="82"/>
        <v>0</v>
      </c>
      <c r="K1305" s="3">
        <f t="shared" si="83"/>
        <v>1</v>
      </c>
    </row>
    <row r="1306" spans="1:11">
      <c r="A1306" s="4" t="s">
        <v>83</v>
      </c>
      <c r="B1306" s="4" t="s">
        <v>169</v>
      </c>
      <c r="C1306" s="4" t="s">
        <v>236</v>
      </c>
      <c r="D1306" s="4">
        <f>INDEX(Positions!$D$2:$D$4694,MATCH($A1306&amp;"|49",Positions!$A$2:$A$4694,0))</f>
        <v>51</v>
      </c>
      <c r="E1306" s="4">
        <f>INDEX(Positions!$D$2:$D$4694,MATCH($A1306&amp;"|65",Positions!$A$2:$A$4694,0))</f>
        <v>67</v>
      </c>
      <c r="F1306" s="4" t="str">
        <f>INDEX(Positions!$E$2:$E$4694,MATCH($A1306&amp;"|49",Positions!$A$2:$A$4694,0))</f>
        <v>C</v>
      </c>
      <c r="G1306" s="4" t="str">
        <f>INDEX(Positions!$E$2:$E$4694,MATCH($A1306&amp;"|65",Positions!$A$2:$A$4694,0))</f>
        <v>G</v>
      </c>
      <c r="H1306" s="3" t="str">
        <f t="shared" si="80"/>
        <v>C-G</v>
      </c>
      <c r="I1306" s="4">
        <f t="shared" si="81"/>
        <v>1</v>
      </c>
      <c r="J1306" s="4">
        <f t="shared" si="82"/>
        <v>1</v>
      </c>
      <c r="K1306" s="3">
        <f t="shared" si="83"/>
        <v>2</v>
      </c>
    </row>
    <row r="1307" spans="1:11">
      <c r="A1307" s="4" t="s">
        <v>83</v>
      </c>
      <c r="B1307" s="4" t="s">
        <v>169</v>
      </c>
      <c r="C1307" s="4" t="s">
        <v>237</v>
      </c>
      <c r="D1307" s="4">
        <f>INDEX(Positions!$D$2:$D$4694,MATCH($A1307&amp;"|50",Positions!$A$2:$A$4694,0))</f>
        <v>52</v>
      </c>
      <c r="E1307" s="4">
        <f>INDEX(Positions!$D$2:$D$4694,MATCH($A1307&amp;"|64",Positions!$A$2:$A$4694,0))</f>
        <v>66</v>
      </c>
      <c r="F1307" s="4" t="str">
        <f>INDEX(Positions!$E$2:$E$4694,MATCH($A1307&amp;"|50",Positions!$A$2:$A$4694,0))</f>
        <v>U</v>
      </c>
      <c r="G1307" s="4" t="str">
        <f>INDEX(Positions!$E$2:$E$4694,MATCH($A1307&amp;"|64",Positions!$A$2:$A$4694,0))</f>
        <v>A</v>
      </c>
      <c r="H1307" s="3" t="str">
        <f t="shared" si="80"/>
        <v>U-A</v>
      </c>
      <c r="I1307" s="4">
        <f t="shared" si="81"/>
        <v>0</v>
      </c>
      <c r="J1307" s="4">
        <f t="shared" si="82"/>
        <v>0</v>
      </c>
      <c r="K1307" s="3">
        <f t="shared" si="83"/>
        <v>0</v>
      </c>
    </row>
    <row r="1308" spans="1:11">
      <c r="A1308" s="4" t="s">
        <v>83</v>
      </c>
      <c r="B1308" s="4" t="s">
        <v>169</v>
      </c>
      <c r="C1308" s="4" t="s">
        <v>238</v>
      </c>
      <c r="D1308" s="4">
        <f>INDEX(Positions!$D$2:$D$4694,MATCH($A1308&amp;"|51",Positions!$A$2:$A$4694,0))</f>
        <v>53</v>
      </c>
      <c r="E1308" s="4">
        <f>INDEX(Positions!$D$2:$D$4694,MATCH($A1308&amp;"|63",Positions!$A$2:$A$4694,0))</f>
        <v>65</v>
      </c>
      <c r="F1308" s="4" t="str">
        <f>INDEX(Positions!$E$2:$E$4694,MATCH($A1308&amp;"|51",Positions!$A$2:$A$4694,0))</f>
        <v>G</v>
      </c>
      <c r="G1308" s="4" t="str">
        <f>INDEX(Positions!$E$2:$E$4694,MATCH($A1308&amp;"|63",Positions!$A$2:$A$4694,0))</f>
        <v>C</v>
      </c>
      <c r="H1308" s="3" t="str">
        <f t="shared" si="80"/>
        <v>G-C</v>
      </c>
      <c r="I1308" s="4">
        <f t="shared" si="81"/>
        <v>1</v>
      </c>
      <c r="J1308" s="4">
        <f t="shared" si="82"/>
        <v>1</v>
      </c>
      <c r="K1308" s="3">
        <f t="shared" si="83"/>
        <v>2</v>
      </c>
    </row>
    <row r="1309" spans="1:11">
      <c r="A1309" s="4" t="s">
        <v>83</v>
      </c>
      <c r="B1309" s="4" t="s">
        <v>169</v>
      </c>
      <c r="C1309" s="4" t="s">
        <v>239</v>
      </c>
      <c r="D1309" s="4">
        <f>INDEX(Positions!$D$2:$D$4694,MATCH($A1309&amp;"|52",Positions!$A$2:$A$4694,0))</f>
        <v>54</v>
      </c>
      <c r="E1309" s="4">
        <f>INDEX(Positions!$D$2:$D$4694,MATCH($A1309&amp;"|62",Positions!$A$2:$A$4694,0))</f>
        <v>64</v>
      </c>
      <c r="F1309" s="4" t="str">
        <f>INDEX(Positions!$E$2:$E$4694,MATCH($A1309&amp;"|52",Positions!$A$2:$A$4694,0))</f>
        <v>A</v>
      </c>
      <c r="G1309" s="4" t="str">
        <f>INDEX(Positions!$E$2:$E$4694,MATCH($A1309&amp;"|62",Positions!$A$2:$A$4694,0))</f>
        <v>U</v>
      </c>
      <c r="H1309" s="3" t="str">
        <f t="shared" si="80"/>
        <v>A-U</v>
      </c>
      <c r="I1309" s="4">
        <f t="shared" si="81"/>
        <v>0</v>
      </c>
      <c r="J1309" s="4">
        <f t="shared" si="82"/>
        <v>0</v>
      </c>
      <c r="K1309" s="3">
        <f t="shared" si="83"/>
        <v>0</v>
      </c>
    </row>
    <row r="1310" spans="1:11">
      <c r="A1310" s="4" t="s">
        <v>83</v>
      </c>
      <c r="B1310" s="4" t="s">
        <v>169</v>
      </c>
      <c r="C1310" s="4" t="s">
        <v>240</v>
      </c>
      <c r="D1310" s="4">
        <f>INDEX(Positions!$D$2:$D$4694,MATCH($A1310&amp;"|53",Positions!$A$2:$A$4694,0))</f>
        <v>55</v>
      </c>
      <c r="E1310" s="4">
        <f>INDEX(Positions!$D$2:$D$4694,MATCH($A1310&amp;"|61",Positions!$A$2:$A$4694,0))</f>
        <v>63</v>
      </c>
      <c r="F1310" s="4" t="str">
        <f>INDEX(Positions!$E$2:$E$4694,MATCH($A1310&amp;"|53",Positions!$A$2:$A$4694,0))</f>
        <v>G</v>
      </c>
      <c r="G1310" s="4" t="str">
        <f>INDEX(Positions!$E$2:$E$4694,MATCH($A1310&amp;"|61",Positions!$A$2:$A$4694,0))</f>
        <v>C</v>
      </c>
      <c r="H1310" s="3" t="str">
        <f t="shared" si="80"/>
        <v>G-C</v>
      </c>
      <c r="I1310" s="4">
        <f t="shared" si="81"/>
        <v>1</v>
      </c>
      <c r="J1310" s="4">
        <f t="shared" si="82"/>
        <v>1</v>
      </c>
      <c r="K1310" s="3">
        <f t="shared" si="83"/>
        <v>2</v>
      </c>
    </row>
    <row r="1311" spans="1:11">
      <c r="A1311" s="23" t="s">
        <v>83</v>
      </c>
      <c r="B1311" s="23" t="s">
        <v>241</v>
      </c>
      <c r="C1311" s="23" t="s">
        <v>242</v>
      </c>
      <c r="D1311" s="23">
        <f>INDEX(Positions!$D$2:$D$4694,MATCH($A1311&amp;"|8",Positions!$A$2:$A$4694,0))</f>
        <v>8</v>
      </c>
      <c r="E1311" s="23">
        <f>INDEX(Positions!$D$2:$D$4694,MATCH($A1311&amp;"|14",Positions!$A$2:$A$4694,0))</f>
        <v>14</v>
      </c>
      <c r="F1311" s="23" t="str">
        <f>INDEX(Positions!$E$2:$E$4694,MATCH($A1311&amp;"|8",Positions!$A$2:$A$4694,0))</f>
        <v>U</v>
      </c>
      <c r="G1311" s="23" t="str">
        <f>INDEX(Positions!$E$2:$E$4694,MATCH($A1311&amp;"|14",Positions!$A$2:$A$4694,0))</f>
        <v>A</v>
      </c>
      <c r="H1311" s="24" t="str">
        <f t="shared" si="80"/>
        <v>U-A</v>
      </c>
      <c r="I1311" s="23">
        <f t="shared" si="81"/>
        <v>0</v>
      </c>
      <c r="J1311" s="23">
        <f t="shared" si="82"/>
        <v>0</v>
      </c>
      <c r="K1311" s="24">
        <f t="shared" si="83"/>
        <v>0</v>
      </c>
    </row>
    <row r="1312" spans="1:11">
      <c r="A1312" s="23" t="s">
        <v>83</v>
      </c>
      <c r="B1312" s="23" t="s">
        <v>241</v>
      </c>
      <c r="C1312" s="23" t="s">
        <v>243</v>
      </c>
      <c r="D1312" s="23">
        <f>INDEX(Positions!$D$2:$D$4694,MATCH($A1312&amp;"|15",Positions!$A$2:$A$4694,0))</f>
        <v>15</v>
      </c>
      <c r="E1312" s="23">
        <f>INDEX(Positions!$D$2:$D$4694,MATCH($A1312&amp;"|48",Positions!$A$2:$A$4694,0))</f>
        <v>50</v>
      </c>
      <c r="F1312" s="23" t="str">
        <f>INDEX(Positions!$E$2:$E$4694,MATCH($A1312&amp;"|15",Positions!$A$2:$A$4694,0))</f>
        <v>G</v>
      </c>
      <c r="G1312" s="23" t="str">
        <f>INDEX(Positions!$E$2:$E$4694,MATCH($A1312&amp;"|48",Positions!$A$2:$A$4694,0))</f>
        <v>C</v>
      </c>
      <c r="H1312" s="24" t="str">
        <f t="shared" si="80"/>
        <v>G-C</v>
      </c>
      <c r="I1312" s="23">
        <f t="shared" si="81"/>
        <v>1</v>
      </c>
      <c r="J1312" s="23">
        <f t="shared" si="82"/>
        <v>1</v>
      </c>
      <c r="K1312" s="24">
        <f t="shared" si="83"/>
        <v>2</v>
      </c>
    </row>
    <row r="1313" spans="1:11">
      <c r="A1313" s="23" t="s">
        <v>83</v>
      </c>
      <c r="B1313" s="23" t="s">
        <v>241</v>
      </c>
      <c r="C1313" s="23" t="s">
        <v>244</v>
      </c>
      <c r="D1313" s="23">
        <f>INDEX(Positions!$D$2:$D$4694,MATCH($A1313&amp;"|18",Positions!$A$2:$A$4694,0))</f>
        <v>19</v>
      </c>
      <c r="E1313" s="23">
        <f>INDEX(Positions!$D$2:$D$4694,MATCH($A1313&amp;"|55",Positions!$A$2:$A$4694,0))</f>
        <v>57</v>
      </c>
      <c r="F1313" s="23" t="str">
        <f>INDEX(Positions!$E$2:$E$4694,MATCH($A1313&amp;"|18",Positions!$A$2:$A$4694,0))</f>
        <v>G</v>
      </c>
      <c r="G1313" s="23" t="str">
        <f>INDEX(Positions!$E$2:$E$4694,MATCH($A1313&amp;"|55",Positions!$A$2:$A$4694,0))</f>
        <v>C</v>
      </c>
      <c r="H1313" s="24" t="str">
        <f t="shared" si="80"/>
        <v>G-C</v>
      </c>
      <c r="I1313" s="23">
        <f t="shared" si="81"/>
        <v>1</v>
      </c>
      <c r="J1313" s="23">
        <f t="shared" si="82"/>
        <v>1</v>
      </c>
      <c r="K1313" s="24">
        <f t="shared" si="83"/>
        <v>2</v>
      </c>
    </row>
    <row r="1314" spans="1:11">
      <c r="A1314" s="23" t="s">
        <v>83</v>
      </c>
      <c r="B1314" s="23" t="s">
        <v>241</v>
      </c>
      <c r="C1314" s="23" t="s">
        <v>245</v>
      </c>
      <c r="D1314" s="23">
        <f>INDEX(Positions!$D$2:$D$4694,MATCH($A1314&amp;"|19",Positions!$A$2:$A$4694,0))</f>
        <v>20</v>
      </c>
      <c r="E1314" s="23">
        <f>INDEX(Positions!$D$2:$D$4694,MATCH($A1314&amp;"|56",Positions!$A$2:$A$4694,0))</f>
        <v>58</v>
      </c>
      <c r="F1314" s="23" t="str">
        <f>INDEX(Positions!$E$2:$E$4694,MATCH($A1314&amp;"|19",Positions!$A$2:$A$4694,0))</f>
        <v>G</v>
      </c>
      <c r="G1314" s="23" t="str">
        <f>INDEX(Positions!$E$2:$E$4694,MATCH($A1314&amp;"|56",Positions!$A$2:$A$4694,0))</f>
        <v>C</v>
      </c>
      <c r="H1314" s="24" t="str">
        <f t="shared" si="80"/>
        <v>G-C</v>
      </c>
      <c r="I1314" s="23">
        <f t="shared" si="81"/>
        <v>1</v>
      </c>
      <c r="J1314" s="23">
        <f t="shared" si="82"/>
        <v>1</v>
      </c>
      <c r="K1314" s="24">
        <f t="shared" si="83"/>
        <v>2</v>
      </c>
    </row>
    <row r="1315" spans="1:11">
      <c r="A1315" s="23" t="s">
        <v>83</v>
      </c>
      <c r="B1315" s="23" t="s">
        <v>241</v>
      </c>
      <c r="C1315" s="23" t="s">
        <v>246</v>
      </c>
      <c r="D1315" s="23">
        <f>INDEX(Positions!$D$2:$D$4694,MATCH($A1315&amp;"|26",Positions!$A$2:$A$4694,0))</f>
        <v>29</v>
      </c>
      <c r="E1315" s="23">
        <f>INDEX(Positions!$D$2:$D$4694,MATCH($A1315&amp;"|44",Positions!$A$2:$A$4694,0))</f>
        <v>47</v>
      </c>
      <c r="F1315" s="23" t="str">
        <f>INDEX(Positions!$E$2:$E$4694,MATCH($A1315&amp;"|26",Positions!$A$2:$A$4694,0))</f>
        <v>G</v>
      </c>
      <c r="G1315" s="23" t="str">
        <f>INDEX(Positions!$E$2:$E$4694,MATCH($A1315&amp;"|44",Positions!$A$2:$A$4694,0))</f>
        <v>C</v>
      </c>
      <c r="H1315" s="24" t="str">
        <f t="shared" si="80"/>
        <v>G-C</v>
      </c>
      <c r="I1315" s="23">
        <f t="shared" si="81"/>
        <v>1</v>
      </c>
      <c r="J1315" s="23">
        <f t="shared" si="82"/>
        <v>1</v>
      </c>
      <c r="K1315" s="24">
        <f t="shared" si="83"/>
        <v>2</v>
      </c>
    </row>
    <row r="1316" spans="1:11">
      <c r="A1316" s="23" t="s">
        <v>83</v>
      </c>
      <c r="B1316" s="23" t="s">
        <v>241</v>
      </c>
      <c r="C1316" s="23" t="s">
        <v>247</v>
      </c>
      <c r="D1316" s="23">
        <f>INDEX(Positions!$D$2:$D$4694,MATCH($A1316&amp;"|32",Positions!$A$2:$A$4694,0))</f>
        <v>35</v>
      </c>
      <c r="E1316" s="23">
        <f>INDEX(Positions!$D$2:$D$4694,MATCH($A1316&amp;"|38",Positions!$A$2:$A$4694,0))</f>
        <v>41</v>
      </c>
      <c r="F1316" s="23" t="str">
        <f>INDEX(Positions!$E$2:$E$4694,MATCH($A1316&amp;"|32",Positions!$A$2:$A$4694,0))</f>
        <v>C</v>
      </c>
      <c r="G1316" s="23" t="str">
        <f>INDEX(Positions!$E$2:$E$4694,MATCH($A1316&amp;"|38",Positions!$A$2:$A$4694,0))</f>
        <v>G</v>
      </c>
      <c r="H1316" s="24" t="str">
        <f t="shared" si="80"/>
        <v>C-G</v>
      </c>
      <c r="I1316" s="23">
        <f t="shared" si="81"/>
        <v>1</v>
      </c>
      <c r="J1316" s="23">
        <f t="shared" si="82"/>
        <v>1</v>
      </c>
      <c r="K1316" s="24">
        <f t="shared" si="83"/>
        <v>2</v>
      </c>
    </row>
    <row r="1317" spans="1:11">
      <c r="A1317" s="23" t="s">
        <v>83</v>
      </c>
      <c r="B1317" s="23" t="s">
        <v>241</v>
      </c>
      <c r="C1317" s="23" t="s">
        <v>248</v>
      </c>
      <c r="D1317" s="23">
        <f>INDEX(Positions!$D$2:$D$4694,MATCH($A1317&amp;"|54",Positions!$A$2:$A$4694,0))</f>
        <v>56</v>
      </c>
      <c r="E1317" s="23">
        <f>INDEX(Positions!$D$2:$D$4694,MATCH($A1317&amp;"|58",Positions!$A$2:$A$4694,0))</f>
        <v>60</v>
      </c>
      <c r="F1317" s="23" t="str">
        <f>INDEX(Positions!$E$2:$E$4694,MATCH($A1317&amp;"|54",Positions!$A$2:$A$4694,0))</f>
        <v>U</v>
      </c>
      <c r="G1317" s="23" t="str">
        <f>INDEX(Positions!$E$2:$E$4694,MATCH($A1317&amp;"|58",Positions!$A$2:$A$4694,0))</f>
        <v>A</v>
      </c>
      <c r="H1317" s="24" t="str">
        <f t="shared" si="80"/>
        <v>U-A</v>
      </c>
      <c r="I1317" s="23">
        <f t="shared" si="81"/>
        <v>0</v>
      </c>
      <c r="J1317" s="23">
        <f t="shared" si="82"/>
        <v>0</v>
      </c>
      <c r="K1317" s="24">
        <f t="shared" si="83"/>
        <v>0</v>
      </c>
    </row>
    <row r="1318" spans="1:11">
      <c r="A1318" s="4" t="s">
        <v>84</v>
      </c>
      <c r="B1318" s="4" t="s">
        <v>110</v>
      </c>
      <c r="C1318" s="4" t="s">
        <v>220</v>
      </c>
      <c r="D1318" s="4">
        <f>INDEX(Positions!$D$2:$D$4694,MATCH($A1318&amp;"|1",Positions!$A$2:$A$4694,0))</f>
        <v>1</v>
      </c>
      <c r="E1318" s="4">
        <f>INDEX(Positions!$D$2:$D$4694,MATCH($A1318&amp;"|72",Positions!$A$2:$A$4694,0))</f>
        <v>74</v>
      </c>
      <c r="F1318" s="4" t="str">
        <f>INDEX(Positions!$E$2:$E$4694,MATCH($A1318&amp;"|1",Positions!$A$2:$A$4694,0))</f>
        <v>G</v>
      </c>
      <c r="G1318" s="4" t="str">
        <f>INDEX(Positions!$E$2:$E$4694,MATCH($A1318&amp;"|72",Positions!$A$2:$A$4694,0))</f>
        <v>C</v>
      </c>
      <c r="H1318" s="3" t="str">
        <f t="shared" si="80"/>
        <v>G-C</v>
      </c>
      <c r="I1318" s="4">
        <f t="shared" si="81"/>
        <v>1</v>
      </c>
      <c r="J1318" s="4">
        <f t="shared" si="82"/>
        <v>1</v>
      </c>
      <c r="K1318" s="3">
        <f t="shared" si="83"/>
        <v>2</v>
      </c>
    </row>
    <row r="1319" spans="1:11">
      <c r="A1319" s="4" t="s">
        <v>84</v>
      </c>
      <c r="B1319" s="4" t="s">
        <v>110</v>
      </c>
      <c r="C1319" s="4" t="s">
        <v>221</v>
      </c>
      <c r="D1319" s="4">
        <f>INDEX(Positions!$D$2:$D$4694,MATCH($A1319&amp;"|2",Positions!$A$2:$A$4694,0))</f>
        <v>2</v>
      </c>
      <c r="E1319" s="4">
        <f>INDEX(Positions!$D$2:$D$4694,MATCH($A1319&amp;"|71",Positions!$A$2:$A$4694,0))</f>
        <v>73</v>
      </c>
      <c r="F1319" s="4" t="str">
        <f>INDEX(Positions!$E$2:$E$4694,MATCH($A1319&amp;"|2",Positions!$A$2:$A$4694,0))</f>
        <v>G</v>
      </c>
      <c r="G1319" s="4" t="str">
        <f>INDEX(Positions!$E$2:$E$4694,MATCH($A1319&amp;"|71",Positions!$A$2:$A$4694,0))</f>
        <v>C</v>
      </c>
      <c r="H1319" s="3" t="str">
        <f t="shared" si="80"/>
        <v>G-C</v>
      </c>
      <c r="I1319" s="4">
        <f t="shared" si="81"/>
        <v>1</v>
      </c>
      <c r="J1319" s="4">
        <f t="shared" si="82"/>
        <v>1</v>
      </c>
      <c r="K1319" s="3">
        <f t="shared" si="83"/>
        <v>2</v>
      </c>
    </row>
    <row r="1320" spans="1:11">
      <c r="A1320" s="4" t="s">
        <v>84</v>
      </c>
      <c r="B1320" s="4" t="s">
        <v>110</v>
      </c>
      <c r="C1320" s="4" t="s">
        <v>222</v>
      </c>
      <c r="D1320" s="4">
        <f>INDEX(Positions!$D$2:$D$4694,MATCH($A1320&amp;"|3",Positions!$A$2:$A$4694,0))</f>
        <v>3</v>
      </c>
      <c r="E1320" s="4">
        <f>INDEX(Positions!$D$2:$D$4694,MATCH($A1320&amp;"|70",Positions!$A$2:$A$4694,0))</f>
        <v>72</v>
      </c>
      <c r="F1320" s="4" t="str">
        <f>INDEX(Positions!$E$2:$E$4694,MATCH($A1320&amp;"|3",Positions!$A$2:$A$4694,0))</f>
        <v>G</v>
      </c>
      <c r="G1320" s="4" t="str">
        <f>INDEX(Positions!$E$2:$E$4694,MATCH($A1320&amp;"|70",Positions!$A$2:$A$4694,0))</f>
        <v>C</v>
      </c>
      <c r="H1320" s="3" t="str">
        <f t="shared" si="80"/>
        <v>G-C</v>
      </c>
      <c r="I1320" s="4">
        <f t="shared" si="81"/>
        <v>1</v>
      </c>
      <c r="J1320" s="4">
        <f t="shared" si="82"/>
        <v>1</v>
      </c>
      <c r="K1320" s="3">
        <f t="shared" si="83"/>
        <v>2</v>
      </c>
    </row>
    <row r="1321" spans="1:11">
      <c r="A1321" s="4" t="s">
        <v>84</v>
      </c>
      <c r="B1321" s="4" t="s">
        <v>110</v>
      </c>
      <c r="C1321" s="4" t="s">
        <v>223</v>
      </c>
      <c r="D1321" s="4">
        <f>INDEX(Positions!$D$2:$D$4694,MATCH($A1321&amp;"|4",Positions!$A$2:$A$4694,0))</f>
        <v>4</v>
      </c>
      <c r="E1321" s="4">
        <f>INDEX(Positions!$D$2:$D$4694,MATCH($A1321&amp;"|69",Positions!$A$2:$A$4694,0))</f>
        <v>71</v>
      </c>
      <c r="F1321" s="4" t="str">
        <f>INDEX(Positions!$E$2:$E$4694,MATCH($A1321&amp;"|4",Positions!$A$2:$A$4694,0))</f>
        <v>A</v>
      </c>
      <c r="G1321" s="4" t="str">
        <f>INDEX(Positions!$E$2:$E$4694,MATCH($A1321&amp;"|69",Positions!$A$2:$A$4694,0))</f>
        <v>U</v>
      </c>
      <c r="H1321" s="3" t="str">
        <f t="shared" si="80"/>
        <v>A-U</v>
      </c>
      <c r="I1321" s="4">
        <f t="shared" si="81"/>
        <v>0</v>
      </c>
      <c r="J1321" s="4">
        <f t="shared" si="82"/>
        <v>0</v>
      </c>
      <c r="K1321" s="3">
        <f t="shared" si="83"/>
        <v>0</v>
      </c>
    </row>
    <row r="1322" spans="1:11">
      <c r="A1322" s="4" t="s">
        <v>84</v>
      </c>
      <c r="B1322" s="4" t="s">
        <v>110</v>
      </c>
      <c r="C1322" s="4" t="s">
        <v>224</v>
      </c>
      <c r="D1322" s="4">
        <f>INDEX(Positions!$D$2:$D$4694,MATCH($A1322&amp;"|5",Positions!$A$2:$A$4694,0))</f>
        <v>5</v>
      </c>
      <c r="E1322" s="4">
        <f>INDEX(Positions!$D$2:$D$4694,MATCH($A1322&amp;"|68",Positions!$A$2:$A$4694,0))</f>
        <v>70</v>
      </c>
      <c r="F1322" s="4" t="str">
        <f>INDEX(Positions!$E$2:$E$4694,MATCH($A1322&amp;"|5",Positions!$A$2:$A$4694,0))</f>
        <v>U</v>
      </c>
      <c r="G1322" s="4" t="str">
        <f>INDEX(Positions!$E$2:$E$4694,MATCH($A1322&amp;"|68",Positions!$A$2:$A$4694,0))</f>
        <v>A</v>
      </c>
      <c r="H1322" s="3" t="str">
        <f t="shared" si="80"/>
        <v>U-A</v>
      </c>
      <c r="I1322" s="4">
        <f t="shared" si="81"/>
        <v>0</v>
      </c>
      <c r="J1322" s="4">
        <f t="shared" si="82"/>
        <v>0</v>
      </c>
      <c r="K1322" s="3">
        <f t="shared" si="83"/>
        <v>0</v>
      </c>
    </row>
    <row r="1323" spans="1:11">
      <c r="A1323" s="4" t="s">
        <v>84</v>
      </c>
      <c r="B1323" s="4" t="s">
        <v>110</v>
      </c>
      <c r="C1323" s="4" t="s">
        <v>225</v>
      </c>
      <c r="D1323" s="4">
        <f>INDEX(Positions!$D$2:$D$4694,MATCH($A1323&amp;"|6",Positions!$A$2:$A$4694,0))</f>
        <v>6</v>
      </c>
      <c r="E1323" s="4">
        <f>INDEX(Positions!$D$2:$D$4694,MATCH($A1323&amp;"|67",Positions!$A$2:$A$4694,0))</f>
        <v>69</v>
      </c>
      <c r="F1323" s="4" t="str">
        <f>INDEX(Positions!$E$2:$E$4694,MATCH($A1323&amp;"|6",Positions!$A$2:$A$4694,0))</f>
        <v>A</v>
      </c>
      <c r="G1323" s="4" t="str">
        <f>INDEX(Positions!$E$2:$E$4694,MATCH($A1323&amp;"|67",Positions!$A$2:$A$4694,0))</f>
        <v>U</v>
      </c>
      <c r="H1323" s="3" t="str">
        <f t="shared" si="80"/>
        <v>A-U</v>
      </c>
      <c r="I1323" s="4">
        <f t="shared" si="81"/>
        <v>0</v>
      </c>
      <c r="J1323" s="4">
        <f t="shared" si="82"/>
        <v>0</v>
      </c>
      <c r="K1323" s="3">
        <f t="shared" si="83"/>
        <v>0</v>
      </c>
    </row>
    <row r="1324" spans="1:11">
      <c r="A1324" s="4" t="s">
        <v>84</v>
      </c>
      <c r="B1324" s="4" t="s">
        <v>110</v>
      </c>
      <c r="C1324" s="4" t="s">
        <v>226</v>
      </c>
      <c r="D1324" s="4">
        <f>INDEX(Positions!$D$2:$D$4694,MATCH($A1324&amp;"|7",Positions!$A$2:$A$4694,0))</f>
        <v>7</v>
      </c>
      <c r="E1324" s="4">
        <f>INDEX(Positions!$D$2:$D$4694,MATCH($A1324&amp;"|66",Positions!$A$2:$A$4694,0))</f>
        <v>68</v>
      </c>
      <c r="F1324" s="4" t="str">
        <f>INDEX(Positions!$E$2:$E$4694,MATCH($A1324&amp;"|7",Positions!$A$2:$A$4694,0))</f>
        <v>G</v>
      </c>
      <c r="G1324" s="4" t="str">
        <f>INDEX(Positions!$E$2:$E$4694,MATCH($A1324&amp;"|66",Positions!$A$2:$A$4694,0))</f>
        <v>C</v>
      </c>
      <c r="H1324" s="3" t="str">
        <f t="shared" si="80"/>
        <v>G-C</v>
      </c>
      <c r="I1324" s="4">
        <f t="shared" si="81"/>
        <v>1</v>
      </c>
      <c r="J1324" s="4">
        <f t="shared" si="82"/>
        <v>1</v>
      </c>
      <c r="K1324" s="3">
        <f t="shared" si="83"/>
        <v>2</v>
      </c>
    </row>
    <row r="1325" spans="1:11">
      <c r="A1325" s="4" t="s">
        <v>84</v>
      </c>
      <c r="B1325" s="4" t="s">
        <v>125</v>
      </c>
      <c r="C1325" s="4" t="s">
        <v>227</v>
      </c>
      <c r="D1325" s="4">
        <f>INDEX(Positions!$D$2:$D$4694,MATCH($A1325&amp;"|10",Positions!$A$2:$A$4694,0))</f>
        <v>10</v>
      </c>
      <c r="E1325" s="4">
        <f>INDEX(Positions!$D$2:$D$4694,MATCH($A1325&amp;"|25",Positions!$A$2:$A$4694,0))</f>
        <v>28</v>
      </c>
      <c r="F1325" s="4" t="str">
        <f>INDEX(Positions!$E$2:$E$4694,MATCH($A1325&amp;"|10",Positions!$A$2:$A$4694,0))</f>
        <v>G</v>
      </c>
      <c r="G1325" s="4" t="str">
        <f>INDEX(Positions!$E$2:$E$4694,MATCH($A1325&amp;"|25",Positions!$A$2:$A$4694,0))</f>
        <v>U</v>
      </c>
      <c r="H1325" s="3" t="str">
        <f t="shared" si="80"/>
        <v>G-U</v>
      </c>
      <c r="I1325" s="4">
        <f t="shared" si="81"/>
        <v>1</v>
      </c>
      <c r="J1325" s="4">
        <f t="shared" si="82"/>
        <v>0</v>
      </c>
      <c r="K1325" s="3">
        <f t="shared" si="83"/>
        <v>1</v>
      </c>
    </row>
    <row r="1326" spans="1:11">
      <c r="A1326" s="4" t="s">
        <v>84</v>
      </c>
      <c r="B1326" s="4" t="s">
        <v>125</v>
      </c>
      <c r="C1326" s="4" t="s">
        <v>228</v>
      </c>
      <c r="D1326" s="4">
        <f>INDEX(Positions!$D$2:$D$4694,MATCH($A1326&amp;"|11",Positions!$A$2:$A$4694,0))</f>
        <v>11</v>
      </c>
      <c r="E1326" s="4">
        <f>INDEX(Positions!$D$2:$D$4694,MATCH($A1326&amp;"|24",Positions!$A$2:$A$4694,0))</f>
        <v>27</v>
      </c>
      <c r="F1326" s="4" t="str">
        <f>INDEX(Positions!$E$2:$E$4694,MATCH($A1326&amp;"|11",Positions!$A$2:$A$4694,0))</f>
        <v>G</v>
      </c>
      <c r="G1326" s="4" t="str">
        <f>INDEX(Positions!$E$2:$E$4694,MATCH($A1326&amp;"|24",Positions!$A$2:$A$4694,0))</f>
        <v>C</v>
      </c>
      <c r="H1326" s="3" t="str">
        <f t="shared" si="80"/>
        <v>G-C</v>
      </c>
      <c r="I1326" s="4">
        <f t="shared" si="81"/>
        <v>1</v>
      </c>
      <c r="J1326" s="4">
        <f t="shared" si="82"/>
        <v>1</v>
      </c>
      <c r="K1326" s="3">
        <f t="shared" si="83"/>
        <v>2</v>
      </c>
    </row>
    <row r="1327" spans="1:11">
      <c r="A1327" s="4" t="s">
        <v>84</v>
      </c>
      <c r="B1327" s="4" t="s">
        <v>125</v>
      </c>
      <c r="C1327" s="4" t="s">
        <v>229</v>
      </c>
      <c r="D1327" s="4">
        <f>INDEX(Positions!$D$2:$D$4694,MATCH($A1327&amp;"|12",Positions!$A$2:$A$4694,0))</f>
        <v>12</v>
      </c>
      <c r="E1327" s="4">
        <f>INDEX(Positions!$D$2:$D$4694,MATCH($A1327&amp;"|23",Positions!$A$2:$A$4694,0))</f>
        <v>26</v>
      </c>
      <c r="F1327" s="4" t="str">
        <f>INDEX(Positions!$E$2:$E$4694,MATCH($A1327&amp;"|12",Positions!$A$2:$A$4694,0))</f>
        <v>G</v>
      </c>
      <c r="G1327" s="4" t="str">
        <f>INDEX(Positions!$E$2:$E$4694,MATCH($A1327&amp;"|23",Positions!$A$2:$A$4694,0))</f>
        <v>C</v>
      </c>
      <c r="H1327" s="3" t="str">
        <f t="shared" si="80"/>
        <v>G-C</v>
      </c>
      <c r="I1327" s="4">
        <f t="shared" si="81"/>
        <v>1</v>
      </c>
      <c r="J1327" s="4">
        <f t="shared" si="82"/>
        <v>1</v>
      </c>
      <c r="K1327" s="3">
        <f t="shared" si="83"/>
        <v>2</v>
      </c>
    </row>
    <row r="1328" spans="1:11">
      <c r="A1328" s="4" t="s">
        <v>84</v>
      </c>
      <c r="B1328" s="4" t="s">
        <v>125</v>
      </c>
      <c r="C1328" s="4" t="s">
        <v>230</v>
      </c>
      <c r="D1328" s="4">
        <f>INDEX(Positions!$D$2:$D$4694,MATCH($A1328&amp;"|13",Positions!$A$2:$A$4694,0))</f>
        <v>13</v>
      </c>
      <c r="E1328" s="4">
        <f>INDEX(Positions!$D$2:$D$4694,MATCH($A1328&amp;"|22",Positions!$A$2:$A$4694,0))</f>
        <v>25</v>
      </c>
      <c r="F1328" s="4" t="str">
        <f>INDEX(Positions!$E$2:$E$4694,MATCH($A1328&amp;"|13",Positions!$A$2:$A$4694,0))</f>
        <v>U</v>
      </c>
      <c r="G1328" s="4" t="str">
        <f>INDEX(Positions!$E$2:$E$4694,MATCH($A1328&amp;"|22",Positions!$A$2:$A$4694,0))</f>
        <v>U</v>
      </c>
      <c r="H1328" s="3" t="str">
        <f t="shared" si="80"/>
        <v>U-U</v>
      </c>
      <c r="I1328" s="4">
        <f t="shared" si="81"/>
        <v>0</v>
      </c>
      <c r="J1328" s="4">
        <f t="shared" si="82"/>
        <v>0</v>
      </c>
      <c r="K1328" s="3">
        <f t="shared" si="83"/>
        <v>0</v>
      </c>
    </row>
    <row r="1329" spans="1:11">
      <c r="A1329" s="4" t="s">
        <v>84</v>
      </c>
      <c r="B1329" s="4" t="s">
        <v>144</v>
      </c>
      <c r="C1329" s="4" t="s">
        <v>231</v>
      </c>
      <c r="D1329" s="4">
        <f>INDEX(Positions!$D$2:$D$4694,MATCH($A1329&amp;"|27",Positions!$A$2:$A$4694,0))</f>
        <v>30</v>
      </c>
      <c r="E1329" s="4">
        <f>INDEX(Positions!$D$2:$D$4694,MATCH($A1329&amp;"|43",Positions!$A$2:$A$4694,0))</f>
        <v>46</v>
      </c>
      <c r="F1329" s="4" t="str">
        <f>INDEX(Positions!$E$2:$E$4694,MATCH($A1329&amp;"|27",Positions!$A$2:$A$4694,0))</f>
        <v>G</v>
      </c>
      <c r="G1329" s="4" t="str">
        <f>INDEX(Positions!$E$2:$E$4694,MATCH($A1329&amp;"|43",Positions!$A$2:$A$4694,0))</f>
        <v>U</v>
      </c>
      <c r="H1329" s="3" t="str">
        <f t="shared" si="80"/>
        <v>G-U</v>
      </c>
      <c r="I1329" s="4">
        <f t="shared" si="81"/>
        <v>1</v>
      </c>
      <c r="J1329" s="4">
        <f t="shared" si="82"/>
        <v>0</v>
      </c>
      <c r="K1329" s="3">
        <f t="shared" si="83"/>
        <v>1</v>
      </c>
    </row>
    <row r="1330" spans="1:11">
      <c r="A1330" s="4" t="s">
        <v>84</v>
      </c>
      <c r="B1330" s="4" t="s">
        <v>144</v>
      </c>
      <c r="C1330" s="4" t="s">
        <v>232</v>
      </c>
      <c r="D1330" s="4">
        <f>INDEX(Positions!$D$2:$D$4694,MATCH($A1330&amp;"|28",Positions!$A$2:$A$4694,0))</f>
        <v>31</v>
      </c>
      <c r="E1330" s="4">
        <f>INDEX(Positions!$D$2:$D$4694,MATCH($A1330&amp;"|42",Positions!$A$2:$A$4694,0))</f>
        <v>45</v>
      </c>
      <c r="F1330" s="4" t="str">
        <f>INDEX(Positions!$E$2:$E$4694,MATCH($A1330&amp;"|28",Positions!$A$2:$A$4694,0))</f>
        <v>A</v>
      </c>
      <c r="G1330" s="4" t="str">
        <f>INDEX(Positions!$E$2:$E$4694,MATCH($A1330&amp;"|42",Positions!$A$2:$A$4694,0))</f>
        <v>U</v>
      </c>
      <c r="H1330" s="3" t="str">
        <f t="shared" si="80"/>
        <v>A-U</v>
      </c>
      <c r="I1330" s="4">
        <f t="shared" si="81"/>
        <v>0</v>
      </c>
      <c r="J1330" s="4">
        <f t="shared" si="82"/>
        <v>0</v>
      </c>
      <c r="K1330" s="3">
        <f t="shared" si="83"/>
        <v>0</v>
      </c>
    </row>
    <row r="1331" spans="1:11">
      <c r="A1331" s="4" t="s">
        <v>84</v>
      </c>
      <c r="B1331" s="4" t="s">
        <v>144</v>
      </c>
      <c r="C1331" s="4" t="s">
        <v>233</v>
      </c>
      <c r="D1331" s="4">
        <f>INDEX(Positions!$D$2:$D$4694,MATCH($A1331&amp;"|29",Positions!$A$2:$A$4694,0))</f>
        <v>32</v>
      </c>
      <c r="E1331" s="4">
        <f>INDEX(Positions!$D$2:$D$4694,MATCH($A1331&amp;"|41",Positions!$A$2:$A$4694,0))</f>
        <v>44</v>
      </c>
      <c r="F1331" s="4" t="str">
        <f>INDEX(Positions!$E$2:$E$4694,MATCH($A1331&amp;"|29",Positions!$A$2:$A$4694,0))</f>
        <v>G</v>
      </c>
      <c r="G1331" s="4" t="str">
        <f>INDEX(Positions!$E$2:$E$4694,MATCH($A1331&amp;"|41",Positions!$A$2:$A$4694,0))</f>
        <v>C</v>
      </c>
      <c r="H1331" s="3" t="str">
        <f t="shared" si="80"/>
        <v>G-C</v>
      </c>
      <c r="I1331" s="4">
        <f t="shared" si="81"/>
        <v>1</v>
      </c>
      <c r="J1331" s="4">
        <f t="shared" si="82"/>
        <v>1</v>
      </c>
      <c r="K1331" s="3">
        <f t="shared" si="83"/>
        <v>2</v>
      </c>
    </row>
    <row r="1332" spans="1:11">
      <c r="A1332" s="4" t="s">
        <v>84</v>
      </c>
      <c r="B1332" s="4" t="s">
        <v>144</v>
      </c>
      <c r="C1332" s="4" t="s">
        <v>234</v>
      </c>
      <c r="D1332" s="4">
        <f>INDEX(Positions!$D$2:$D$4694,MATCH($A1332&amp;"|30",Positions!$A$2:$A$4694,0))</f>
        <v>33</v>
      </c>
      <c r="E1332" s="4">
        <f>INDEX(Positions!$D$2:$D$4694,MATCH($A1332&amp;"|40",Positions!$A$2:$A$4694,0))</f>
        <v>43</v>
      </c>
      <c r="F1332" s="4" t="str">
        <f>INDEX(Positions!$E$2:$E$4694,MATCH($A1332&amp;"|30",Positions!$A$2:$A$4694,0))</f>
        <v>C</v>
      </c>
      <c r="G1332" s="4" t="str">
        <f>INDEX(Positions!$E$2:$E$4694,MATCH($A1332&amp;"|40",Positions!$A$2:$A$4694,0))</f>
        <v>G</v>
      </c>
      <c r="H1332" s="3" t="str">
        <f t="shared" si="80"/>
        <v>C-G</v>
      </c>
      <c r="I1332" s="4">
        <f t="shared" si="81"/>
        <v>1</v>
      </c>
      <c r="J1332" s="4">
        <f t="shared" si="82"/>
        <v>1</v>
      </c>
      <c r="K1332" s="3">
        <f t="shared" si="83"/>
        <v>2</v>
      </c>
    </row>
    <row r="1333" spans="1:11">
      <c r="A1333" s="4" t="s">
        <v>84</v>
      </c>
      <c r="B1333" s="4" t="s">
        <v>144</v>
      </c>
      <c r="C1333" s="4" t="s">
        <v>235</v>
      </c>
      <c r="D1333" s="4">
        <f>INDEX(Positions!$D$2:$D$4694,MATCH($A1333&amp;"|31",Positions!$A$2:$A$4694,0))</f>
        <v>34</v>
      </c>
      <c r="E1333" s="4">
        <f>INDEX(Positions!$D$2:$D$4694,MATCH($A1333&amp;"|39",Positions!$A$2:$A$4694,0))</f>
        <v>42</v>
      </c>
      <c r="F1333" s="4" t="str">
        <f>INDEX(Positions!$E$2:$E$4694,MATCH($A1333&amp;"|31",Positions!$A$2:$A$4694,0))</f>
        <v>G</v>
      </c>
      <c r="G1333" s="4" t="str">
        <f>INDEX(Positions!$E$2:$E$4694,MATCH($A1333&amp;"|39",Positions!$A$2:$A$4694,0))</f>
        <v>C</v>
      </c>
      <c r="H1333" s="3" t="str">
        <f t="shared" si="80"/>
        <v>G-C</v>
      </c>
      <c r="I1333" s="4">
        <f t="shared" si="81"/>
        <v>1</v>
      </c>
      <c r="J1333" s="4">
        <f t="shared" si="82"/>
        <v>1</v>
      </c>
      <c r="K1333" s="3">
        <f t="shared" si="83"/>
        <v>2</v>
      </c>
    </row>
    <row r="1334" spans="1:11">
      <c r="A1334" s="4" t="s">
        <v>84</v>
      </c>
      <c r="B1334" s="4" t="s">
        <v>169</v>
      </c>
      <c r="C1334" s="4" t="s">
        <v>236</v>
      </c>
      <c r="D1334" s="4">
        <f>INDEX(Positions!$D$2:$D$4694,MATCH($A1334&amp;"|49",Positions!$A$2:$A$4694,0))</f>
        <v>51</v>
      </c>
      <c r="E1334" s="4">
        <f>INDEX(Positions!$D$2:$D$4694,MATCH($A1334&amp;"|65",Positions!$A$2:$A$4694,0))</f>
        <v>67</v>
      </c>
      <c r="F1334" s="4" t="str">
        <f>INDEX(Positions!$E$2:$E$4694,MATCH($A1334&amp;"|49",Positions!$A$2:$A$4694,0))</f>
        <v>C</v>
      </c>
      <c r="G1334" s="4" t="str">
        <f>INDEX(Positions!$E$2:$E$4694,MATCH($A1334&amp;"|65",Positions!$A$2:$A$4694,0))</f>
        <v>G</v>
      </c>
      <c r="H1334" s="3" t="str">
        <f t="shared" si="80"/>
        <v>C-G</v>
      </c>
      <c r="I1334" s="4">
        <f t="shared" si="81"/>
        <v>1</v>
      </c>
      <c r="J1334" s="4">
        <f t="shared" si="82"/>
        <v>1</v>
      </c>
      <c r="K1334" s="3">
        <f t="shared" si="83"/>
        <v>2</v>
      </c>
    </row>
    <row r="1335" spans="1:11">
      <c r="A1335" s="4" t="s">
        <v>84</v>
      </c>
      <c r="B1335" s="4" t="s">
        <v>169</v>
      </c>
      <c r="C1335" s="4" t="s">
        <v>237</v>
      </c>
      <c r="D1335" s="4">
        <f>INDEX(Positions!$D$2:$D$4694,MATCH($A1335&amp;"|50",Positions!$A$2:$A$4694,0))</f>
        <v>52</v>
      </c>
      <c r="E1335" s="4">
        <f>INDEX(Positions!$D$2:$D$4694,MATCH($A1335&amp;"|64",Positions!$A$2:$A$4694,0))</f>
        <v>66</v>
      </c>
      <c r="F1335" s="4" t="str">
        <f>INDEX(Positions!$E$2:$E$4694,MATCH($A1335&amp;"|50",Positions!$A$2:$A$4694,0))</f>
        <v>G</v>
      </c>
      <c r="G1335" s="4" t="str">
        <f>INDEX(Positions!$E$2:$E$4694,MATCH($A1335&amp;"|64",Positions!$A$2:$A$4694,0))</f>
        <v>C</v>
      </c>
      <c r="H1335" s="3" t="str">
        <f t="shared" si="80"/>
        <v>G-C</v>
      </c>
      <c r="I1335" s="4">
        <f t="shared" si="81"/>
        <v>1</v>
      </c>
      <c r="J1335" s="4">
        <f t="shared" si="82"/>
        <v>1</v>
      </c>
      <c r="K1335" s="3">
        <f t="shared" si="83"/>
        <v>2</v>
      </c>
    </row>
    <row r="1336" spans="1:11">
      <c r="A1336" s="4" t="s">
        <v>84</v>
      </c>
      <c r="B1336" s="4" t="s">
        <v>169</v>
      </c>
      <c r="C1336" s="4" t="s">
        <v>238</v>
      </c>
      <c r="D1336" s="4">
        <f>INDEX(Positions!$D$2:$D$4694,MATCH($A1336&amp;"|51",Positions!$A$2:$A$4694,0))</f>
        <v>53</v>
      </c>
      <c r="E1336" s="4">
        <f>INDEX(Positions!$D$2:$D$4694,MATCH($A1336&amp;"|63",Positions!$A$2:$A$4694,0))</f>
        <v>65</v>
      </c>
      <c r="F1336" s="4" t="str">
        <f>INDEX(Positions!$E$2:$E$4694,MATCH($A1336&amp;"|51",Positions!$A$2:$A$4694,0))</f>
        <v>C</v>
      </c>
      <c r="G1336" s="4" t="str">
        <f>INDEX(Positions!$E$2:$E$4694,MATCH($A1336&amp;"|63",Positions!$A$2:$A$4694,0))</f>
        <v>G</v>
      </c>
      <c r="H1336" s="3" t="str">
        <f t="shared" si="80"/>
        <v>C-G</v>
      </c>
      <c r="I1336" s="4">
        <f t="shared" si="81"/>
        <v>1</v>
      </c>
      <c r="J1336" s="4">
        <f t="shared" si="82"/>
        <v>1</v>
      </c>
      <c r="K1336" s="3">
        <f t="shared" si="83"/>
        <v>2</v>
      </c>
    </row>
    <row r="1337" spans="1:11">
      <c r="A1337" s="4" t="s">
        <v>84</v>
      </c>
      <c r="B1337" s="4" t="s">
        <v>169</v>
      </c>
      <c r="C1337" s="4" t="s">
        <v>239</v>
      </c>
      <c r="D1337" s="4">
        <f>INDEX(Positions!$D$2:$D$4694,MATCH($A1337&amp;"|52",Positions!$A$2:$A$4694,0))</f>
        <v>54</v>
      </c>
      <c r="E1337" s="4">
        <f>INDEX(Positions!$D$2:$D$4694,MATCH($A1337&amp;"|62",Positions!$A$2:$A$4694,0))</f>
        <v>64</v>
      </c>
      <c r="F1337" s="4" t="str">
        <f>INDEX(Positions!$E$2:$E$4694,MATCH($A1337&amp;"|52",Positions!$A$2:$A$4694,0))</f>
        <v>G</v>
      </c>
      <c r="G1337" s="4" t="str">
        <f>INDEX(Positions!$E$2:$E$4694,MATCH($A1337&amp;"|62",Positions!$A$2:$A$4694,0))</f>
        <v>C</v>
      </c>
      <c r="H1337" s="3" t="str">
        <f t="shared" si="80"/>
        <v>G-C</v>
      </c>
      <c r="I1337" s="4">
        <f t="shared" si="81"/>
        <v>1</v>
      </c>
      <c r="J1337" s="4">
        <f t="shared" si="82"/>
        <v>1</v>
      </c>
      <c r="K1337" s="3">
        <f t="shared" si="83"/>
        <v>2</v>
      </c>
    </row>
    <row r="1338" spans="1:11">
      <c r="A1338" s="4" t="s">
        <v>84</v>
      </c>
      <c r="B1338" s="4" t="s">
        <v>169</v>
      </c>
      <c r="C1338" s="4" t="s">
        <v>240</v>
      </c>
      <c r="D1338" s="4">
        <f>INDEX(Positions!$D$2:$D$4694,MATCH($A1338&amp;"|53",Positions!$A$2:$A$4694,0))</f>
        <v>55</v>
      </c>
      <c r="E1338" s="4">
        <f>INDEX(Positions!$D$2:$D$4694,MATCH($A1338&amp;"|61",Positions!$A$2:$A$4694,0))</f>
        <v>63</v>
      </c>
      <c r="F1338" s="4" t="str">
        <f>INDEX(Positions!$E$2:$E$4694,MATCH($A1338&amp;"|53",Positions!$A$2:$A$4694,0))</f>
        <v>G</v>
      </c>
      <c r="G1338" s="4" t="str">
        <f>INDEX(Positions!$E$2:$E$4694,MATCH($A1338&amp;"|61",Positions!$A$2:$A$4694,0))</f>
        <v>C</v>
      </c>
      <c r="H1338" s="3" t="str">
        <f t="shared" si="80"/>
        <v>G-C</v>
      </c>
      <c r="I1338" s="4">
        <f t="shared" si="81"/>
        <v>1</v>
      </c>
      <c r="J1338" s="4">
        <f t="shared" si="82"/>
        <v>1</v>
      </c>
      <c r="K1338" s="3">
        <f t="shared" si="83"/>
        <v>2</v>
      </c>
    </row>
    <row r="1339" spans="1:11">
      <c r="A1339" s="23" t="s">
        <v>84</v>
      </c>
      <c r="B1339" s="23" t="s">
        <v>241</v>
      </c>
      <c r="C1339" s="23" t="s">
        <v>242</v>
      </c>
      <c r="D1339" s="23">
        <f>INDEX(Positions!$D$2:$D$4694,MATCH($A1339&amp;"|8",Positions!$A$2:$A$4694,0))</f>
        <v>8</v>
      </c>
      <c r="E1339" s="23">
        <f>INDEX(Positions!$D$2:$D$4694,MATCH($A1339&amp;"|14",Positions!$A$2:$A$4694,0))</f>
        <v>14</v>
      </c>
      <c r="F1339" s="23" t="str">
        <f>INDEX(Positions!$E$2:$E$4694,MATCH($A1339&amp;"|8",Positions!$A$2:$A$4694,0))</f>
        <v>U</v>
      </c>
      <c r="G1339" s="23" t="str">
        <f>INDEX(Positions!$E$2:$E$4694,MATCH($A1339&amp;"|14",Positions!$A$2:$A$4694,0))</f>
        <v>A</v>
      </c>
      <c r="H1339" s="24" t="str">
        <f t="shared" si="80"/>
        <v>U-A</v>
      </c>
      <c r="I1339" s="23">
        <f t="shared" si="81"/>
        <v>0</v>
      </c>
      <c r="J1339" s="23">
        <f t="shared" si="82"/>
        <v>0</v>
      </c>
      <c r="K1339" s="24">
        <f t="shared" si="83"/>
        <v>0</v>
      </c>
    </row>
    <row r="1340" spans="1:11">
      <c r="A1340" s="23" t="s">
        <v>84</v>
      </c>
      <c r="B1340" s="23" t="s">
        <v>241</v>
      </c>
      <c r="C1340" s="23" t="s">
        <v>243</v>
      </c>
      <c r="D1340" s="23">
        <f>INDEX(Positions!$D$2:$D$4694,MATCH($A1340&amp;"|15",Positions!$A$2:$A$4694,0))</f>
        <v>15</v>
      </c>
      <c r="E1340" s="23">
        <f>INDEX(Positions!$D$2:$D$4694,MATCH($A1340&amp;"|48",Positions!$A$2:$A$4694,0))</f>
        <v>50</v>
      </c>
      <c r="F1340" s="23" t="str">
        <f>INDEX(Positions!$E$2:$E$4694,MATCH($A1340&amp;"|15",Positions!$A$2:$A$4694,0))</f>
        <v>G</v>
      </c>
      <c r="G1340" s="23" t="str">
        <f>INDEX(Positions!$E$2:$E$4694,MATCH($A1340&amp;"|48",Positions!$A$2:$A$4694,0))</f>
        <v>C</v>
      </c>
      <c r="H1340" s="24" t="str">
        <f t="shared" si="80"/>
        <v>G-C</v>
      </c>
      <c r="I1340" s="23">
        <f t="shared" si="81"/>
        <v>1</v>
      </c>
      <c r="J1340" s="23">
        <f t="shared" si="82"/>
        <v>1</v>
      </c>
      <c r="K1340" s="24">
        <f t="shared" si="83"/>
        <v>2</v>
      </c>
    </row>
    <row r="1341" spans="1:11">
      <c r="A1341" s="23" t="s">
        <v>84</v>
      </c>
      <c r="B1341" s="23" t="s">
        <v>241</v>
      </c>
      <c r="C1341" s="23" t="s">
        <v>244</v>
      </c>
      <c r="D1341" s="23">
        <f>INDEX(Positions!$D$2:$D$4694,MATCH($A1341&amp;"|18",Positions!$A$2:$A$4694,0))</f>
        <v>19</v>
      </c>
      <c r="E1341" s="23">
        <f>INDEX(Positions!$D$2:$D$4694,MATCH($A1341&amp;"|55",Positions!$A$2:$A$4694,0))</f>
        <v>57</v>
      </c>
      <c r="F1341" s="23" t="str">
        <f>INDEX(Positions!$E$2:$E$4694,MATCH($A1341&amp;"|18",Positions!$A$2:$A$4694,0))</f>
        <v>G</v>
      </c>
      <c r="G1341" s="23" t="str">
        <f>INDEX(Positions!$E$2:$E$4694,MATCH($A1341&amp;"|55",Positions!$A$2:$A$4694,0))</f>
        <v>U</v>
      </c>
      <c r="H1341" s="24" t="str">
        <f t="shared" si="80"/>
        <v>G-U</v>
      </c>
      <c r="I1341" s="23">
        <f t="shared" si="81"/>
        <v>1</v>
      </c>
      <c r="J1341" s="23">
        <f t="shared" si="82"/>
        <v>0</v>
      </c>
      <c r="K1341" s="24">
        <f t="shared" si="83"/>
        <v>1</v>
      </c>
    </row>
    <row r="1342" spans="1:11">
      <c r="A1342" s="23" t="s">
        <v>84</v>
      </c>
      <c r="B1342" s="23" t="s">
        <v>241</v>
      </c>
      <c r="C1342" s="23" t="s">
        <v>245</v>
      </c>
      <c r="D1342" s="23">
        <f>INDEX(Positions!$D$2:$D$4694,MATCH($A1342&amp;"|19",Positions!$A$2:$A$4694,0))</f>
        <v>20</v>
      </c>
      <c r="E1342" s="23">
        <f>INDEX(Positions!$D$2:$D$4694,MATCH($A1342&amp;"|56",Positions!$A$2:$A$4694,0))</f>
        <v>58</v>
      </c>
      <c r="F1342" s="23" t="str">
        <f>INDEX(Positions!$E$2:$E$4694,MATCH($A1342&amp;"|19",Positions!$A$2:$A$4694,0))</f>
        <v>G</v>
      </c>
      <c r="G1342" s="23" t="str">
        <f>INDEX(Positions!$E$2:$E$4694,MATCH($A1342&amp;"|56",Positions!$A$2:$A$4694,0))</f>
        <v>C</v>
      </c>
      <c r="H1342" s="24" t="str">
        <f t="shared" si="80"/>
        <v>G-C</v>
      </c>
      <c r="I1342" s="23">
        <f t="shared" si="81"/>
        <v>1</v>
      </c>
      <c r="J1342" s="23">
        <f t="shared" si="82"/>
        <v>1</v>
      </c>
      <c r="K1342" s="24">
        <f t="shared" si="83"/>
        <v>2</v>
      </c>
    </row>
    <row r="1343" spans="1:11">
      <c r="A1343" s="23" t="s">
        <v>84</v>
      </c>
      <c r="B1343" s="23" t="s">
        <v>241</v>
      </c>
      <c r="C1343" s="23" t="s">
        <v>246</v>
      </c>
      <c r="D1343" s="23">
        <f>INDEX(Positions!$D$2:$D$4694,MATCH($A1343&amp;"|26",Positions!$A$2:$A$4694,0))</f>
        <v>29</v>
      </c>
      <c r="E1343" s="23">
        <f>INDEX(Positions!$D$2:$D$4694,MATCH($A1343&amp;"|44",Positions!$A$2:$A$4694,0))</f>
        <v>47</v>
      </c>
      <c r="F1343" s="23" t="str">
        <f>INDEX(Positions!$E$2:$E$4694,MATCH($A1343&amp;"|26",Positions!$A$2:$A$4694,0))</f>
        <v>C</v>
      </c>
      <c r="G1343" s="23" t="str">
        <f>INDEX(Positions!$E$2:$E$4694,MATCH($A1343&amp;"|44",Positions!$A$2:$A$4694,0))</f>
        <v>G</v>
      </c>
      <c r="H1343" s="24" t="str">
        <f t="shared" si="80"/>
        <v>C-G</v>
      </c>
      <c r="I1343" s="23">
        <f t="shared" si="81"/>
        <v>1</v>
      </c>
      <c r="J1343" s="23">
        <f t="shared" si="82"/>
        <v>1</v>
      </c>
      <c r="K1343" s="24">
        <f t="shared" si="83"/>
        <v>2</v>
      </c>
    </row>
    <row r="1344" spans="1:11">
      <c r="A1344" s="23" t="s">
        <v>84</v>
      </c>
      <c r="B1344" s="23" t="s">
        <v>241</v>
      </c>
      <c r="C1344" s="23" t="s">
        <v>247</v>
      </c>
      <c r="D1344" s="23">
        <f>INDEX(Positions!$D$2:$D$4694,MATCH($A1344&amp;"|32",Positions!$A$2:$A$4694,0))</f>
        <v>35</v>
      </c>
      <c r="E1344" s="23">
        <f>INDEX(Positions!$D$2:$D$4694,MATCH($A1344&amp;"|38",Positions!$A$2:$A$4694,0))</f>
        <v>41</v>
      </c>
      <c r="F1344" s="23" t="str">
        <f>INDEX(Positions!$E$2:$E$4694,MATCH($A1344&amp;"|32",Positions!$A$2:$A$4694,0))</f>
        <v>U</v>
      </c>
      <c r="G1344" s="23" t="str">
        <f>INDEX(Positions!$E$2:$E$4694,MATCH($A1344&amp;"|38",Positions!$A$2:$A$4694,0))</f>
        <v>A</v>
      </c>
      <c r="H1344" s="24" t="str">
        <f t="shared" si="80"/>
        <v>U-A</v>
      </c>
      <c r="I1344" s="23">
        <f t="shared" si="81"/>
        <v>0</v>
      </c>
      <c r="J1344" s="23">
        <f t="shared" si="82"/>
        <v>0</v>
      </c>
      <c r="K1344" s="24">
        <f t="shared" si="83"/>
        <v>0</v>
      </c>
    </row>
    <row r="1345" spans="1:11">
      <c r="A1345" s="23" t="s">
        <v>84</v>
      </c>
      <c r="B1345" s="23" t="s">
        <v>241</v>
      </c>
      <c r="C1345" s="23" t="s">
        <v>248</v>
      </c>
      <c r="D1345" s="23">
        <f>INDEX(Positions!$D$2:$D$4694,MATCH($A1345&amp;"|54",Positions!$A$2:$A$4694,0))</f>
        <v>56</v>
      </c>
      <c r="E1345" s="23">
        <f>INDEX(Positions!$D$2:$D$4694,MATCH($A1345&amp;"|58",Positions!$A$2:$A$4694,0))</f>
        <v>60</v>
      </c>
      <c r="F1345" s="23" t="str">
        <f>INDEX(Positions!$E$2:$E$4694,MATCH($A1345&amp;"|54",Positions!$A$2:$A$4694,0))</f>
        <v>U</v>
      </c>
      <c r="G1345" s="23" t="str">
        <f>INDEX(Positions!$E$2:$E$4694,MATCH($A1345&amp;"|58",Positions!$A$2:$A$4694,0))</f>
        <v>A</v>
      </c>
      <c r="H1345" s="24" t="str">
        <f t="shared" si="80"/>
        <v>U-A</v>
      </c>
      <c r="I1345" s="23">
        <f t="shared" si="81"/>
        <v>0</v>
      </c>
      <c r="J1345" s="23">
        <f t="shared" si="82"/>
        <v>0</v>
      </c>
      <c r="K1345" s="24">
        <f t="shared" si="83"/>
        <v>0</v>
      </c>
    </row>
    <row r="1346" spans="1:11">
      <c r="A1346" s="4" t="s">
        <v>85</v>
      </c>
      <c r="B1346" s="4" t="s">
        <v>110</v>
      </c>
      <c r="C1346" s="4" t="s">
        <v>220</v>
      </c>
      <c r="D1346" s="4">
        <f>INDEX(Positions!$D$2:$D$4694,MATCH($A1346&amp;"|1",Positions!$A$2:$A$4694,0))</f>
        <v>1</v>
      </c>
      <c r="E1346" s="4">
        <f>INDEX(Positions!$D$2:$D$4694,MATCH($A1346&amp;"|72",Positions!$A$2:$A$4694,0))</f>
        <v>83</v>
      </c>
      <c r="F1346" s="4" t="str">
        <f>INDEX(Positions!$E$2:$E$4694,MATCH($A1346&amp;"|1",Positions!$A$2:$A$4694,0))</f>
        <v>G</v>
      </c>
      <c r="G1346" s="4" t="str">
        <f>INDEX(Positions!$E$2:$E$4694,MATCH($A1346&amp;"|72",Positions!$A$2:$A$4694,0))</f>
        <v>C</v>
      </c>
      <c r="H1346" s="3" t="str">
        <f t="shared" ref="H1346:H1409" si="84">F1346&amp;"-"&amp;G1346</f>
        <v>G-C</v>
      </c>
      <c r="I1346" s="4">
        <f t="shared" ref="I1346:I1409" si="85">(F1346="G")+(G1346="G")</f>
        <v>1</v>
      </c>
      <c r="J1346" s="4">
        <f t="shared" ref="J1346:J1409" si="86">(F1346="C")+(G1346="C")</f>
        <v>1</v>
      </c>
      <c r="K1346" s="3">
        <f t="shared" ref="K1346:K1409" si="87">I1346+J1346</f>
        <v>2</v>
      </c>
    </row>
    <row r="1347" spans="1:11">
      <c r="A1347" s="4" t="s">
        <v>85</v>
      </c>
      <c r="B1347" s="4" t="s">
        <v>110</v>
      </c>
      <c r="C1347" s="4" t="s">
        <v>221</v>
      </c>
      <c r="D1347" s="4">
        <f>INDEX(Positions!$D$2:$D$4694,MATCH($A1347&amp;"|2",Positions!$A$2:$A$4694,0))</f>
        <v>2</v>
      </c>
      <c r="E1347" s="4">
        <f>INDEX(Positions!$D$2:$D$4694,MATCH($A1347&amp;"|71",Positions!$A$2:$A$4694,0))</f>
        <v>82</v>
      </c>
      <c r="F1347" s="4" t="str">
        <f>INDEX(Positions!$E$2:$E$4694,MATCH($A1347&amp;"|2",Positions!$A$2:$A$4694,0))</f>
        <v>C</v>
      </c>
      <c r="G1347" s="4" t="str">
        <f>INDEX(Positions!$E$2:$E$4694,MATCH($A1347&amp;"|71",Positions!$A$2:$A$4694,0))</f>
        <v>G</v>
      </c>
      <c r="H1347" s="3" t="str">
        <f t="shared" si="84"/>
        <v>C-G</v>
      </c>
      <c r="I1347" s="4">
        <f t="shared" si="85"/>
        <v>1</v>
      </c>
      <c r="J1347" s="4">
        <f t="shared" si="86"/>
        <v>1</v>
      </c>
      <c r="K1347" s="3">
        <f t="shared" si="87"/>
        <v>2</v>
      </c>
    </row>
    <row r="1348" spans="1:11">
      <c r="A1348" s="4" t="s">
        <v>85</v>
      </c>
      <c r="B1348" s="4" t="s">
        <v>110</v>
      </c>
      <c r="C1348" s="4" t="s">
        <v>222</v>
      </c>
      <c r="D1348" s="4">
        <f>INDEX(Positions!$D$2:$D$4694,MATCH($A1348&amp;"|3",Positions!$A$2:$A$4694,0))</f>
        <v>3</v>
      </c>
      <c r="E1348" s="4">
        <f>INDEX(Positions!$D$2:$D$4694,MATCH($A1348&amp;"|70",Positions!$A$2:$A$4694,0))</f>
        <v>81</v>
      </c>
      <c r="F1348" s="4" t="str">
        <f>INDEX(Positions!$E$2:$E$4694,MATCH($A1348&amp;"|3",Positions!$A$2:$A$4694,0))</f>
        <v>C</v>
      </c>
      <c r="G1348" s="4" t="str">
        <f>INDEX(Positions!$E$2:$E$4694,MATCH($A1348&amp;"|70",Positions!$A$2:$A$4694,0))</f>
        <v>G</v>
      </c>
      <c r="H1348" s="3" t="str">
        <f t="shared" si="84"/>
        <v>C-G</v>
      </c>
      <c r="I1348" s="4">
        <f t="shared" si="85"/>
        <v>1</v>
      </c>
      <c r="J1348" s="4">
        <f t="shared" si="86"/>
        <v>1</v>
      </c>
      <c r="K1348" s="3">
        <f t="shared" si="87"/>
        <v>2</v>
      </c>
    </row>
    <row r="1349" spans="1:11">
      <c r="A1349" s="4" t="s">
        <v>85</v>
      </c>
      <c r="B1349" s="4" t="s">
        <v>110</v>
      </c>
      <c r="C1349" s="4" t="s">
        <v>223</v>
      </c>
      <c r="D1349" s="4">
        <f>INDEX(Positions!$D$2:$D$4694,MATCH($A1349&amp;"|4",Positions!$A$2:$A$4694,0))</f>
        <v>4</v>
      </c>
      <c r="E1349" s="4">
        <f>INDEX(Positions!$D$2:$D$4694,MATCH($A1349&amp;"|69",Positions!$A$2:$A$4694,0))</f>
        <v>80</v>
      </c>
      <c r="F1349" s="4" t="str">
        <f>INDEX(Positions!$E$2:$E$4694,MATCH($A1349&amp;"|4",Positions!$A$2:$A$4694,0))</f>
        <v>C</v>
      </c>
      <c r="G1349" s="4" t="str">
        <f>INDEX(Positions!$E$2:$E$4694,MATCH($A1349&amp;"|69",Positions!$A$2:$A$4694,0))</f>
        <v>G</v>
      </c>
      <c r="H1349" s="3" t="str">
        <f t="shared" si="84"/>
        <v>C-G</v>
      </c>
      <c r="I1349" s="4">
        <f t="shared" si="85"/>
        <v>1</v>
      </c>
      <c r="J1349" s="4">
        <f t="shared" si="86"/>
        <v>1</v>
      </c>
      <c r="K1349" s="3">
        <f t="shared" si="87"/>
        <v>2</v>
      </c>
    </row>
    <row r="1350" spans="1:11">
      <c r="A1350" s="4" t="s">
        <v>85</v>
      </c>
      <c r="B1350" s="4" t="s">
        <v>110</v>
      </c>
      <c r="C1350" s="4" t="s">
        <v>224</v>
      </c>
      <c r="D1350" s="4">
        <f>INDEX(Positions!$D$2:$D$4694,MATCH($A1350&amp;"|5",Positions!$A$2:$A$4694,0))</f>
        <v>5</v>
      </c>
      <c r="E1350" s="4">
        <f>INDEX(Positions!$D$2:$D$4694,MATCH($A1350&amp;"|68",Positions!$A$2:$A$4694,0))</f>
        <v>79</v>
      </c>
      <c r="F1350" s="4" t="str">
        <f>INDEX(Positions!$E$2:$E$4694,MATCH($A1350&amp;"|5",Positions!$A$2:$A$4694,0))</f>
        <v>A</v>
      </c>
      <c r="G1350" s="4" t="str">
        <f>INDEX(Positions!$E$2:$E$4694,MATCH($A1350&amp;"|68",Positions!$A$2:$A$4694,0))</f>
        <v>U</v>
      </c>
      <c r="H1350" s="3" t="str">
        <f t="shared" si="84"/>
        <v>A-U</v>
      </c>
      <c r="I1350" s="4">
        <f t="shared" si="85"/>
        <v>0</v>
      </c>
      <c r="J1350" s="4">
        <f t="shared" si="86"/>
        <v>0</v>
      </c>
      <c r="K1350" s="3">
        <f t="shared" si="87"/>
        <v>0</v>
      </c>
    </row>
    <row r="1351" spans="1:11">
      <c r="A1351" s="4" t="s">
        <v>85</v>
      </c>
      <c r="B1351" s="4" t="s">
        <v>110</v>
      </c>
      <c r="C1351" s="4" t="s">
        <v>225</v>
      </c>
      <c r="D1351" s="4">
        <f>INDEX(Positions!$D$2:$D$4694,MATCH($A1351&amp;"|6",Positions!$A$2:$A$4694,0))</f>
        <v>6</v>
      </c>
      <c r="E1351" s="4">
        <f>INDEX(Positions!$D$2:$D$4694,MATCH($A1351&amp;"|67",Positions!$A$2:$A$4694,0))</f>
        <v>78</v>
      </c>
      <c r="F1351" s="4" t="str">
        <f>INDEX(Positions!$E$2:$E$4694,MATCH($A1351&amp;"|6",Positions!$A$2:$A$4694,0))</f>
        <v>G</v>
      </c>
      <c r="G1351" s="4" t="str">
        <f>INDEX(Positions!$E$2:$E$4694,MATCH($A1351&amp;"|67",Positions!$A$2:$A$4694,0))</f>
        <v>C</v>
      </c>
      <c r="H1351" s="3" t="str">
        <f t="shared" si="84"/>
        <v>G-C</v>
      </c>
      <c r="I1351" s="4">
        <f t="shared" si="85"/>
        <v>1</v>
      </c>
      <c r="J1351" s="4">
        <f t="shared" si="86"/>
        <v>1</v>
      </c>
      <c r="K1351" s="3">
        <f t="shared" si="87"/>
        <v>2</v>
      </c>
    </row>
    <row r="1352" spans="1:11">
      <c r="A1352" s="4" t="s">
        <v>85</v>
      </c>
      <c r="B1352" s="4" t="s">
        <v>110</v>
      </c>
      <c r="C1352" s="4" t="s">
        <v>226</v>
      </c>
      <c r="D1352" s="4">
        <f>INDEX(Positions!$D$2:$D$4694,MATCH($A1352&amp;"|7",Positions!$A$2:$A$4694,0))</f>
        <v>7</v>
      </c>
      <c r="E1352" s="4">
        <f>INDEX(Positions!$D$2:$D$4694,MATCH($A1352&amp;"|66",Positions!$A$2:$A$4694,0))</f>
        <v>77</v>
      </c>
      <c r="F1352" s="4" t="str">
        <f>INDEX(Positions!$E$2:$E$4694,MATCH($A1352&amp;"|7",Positions!$A$2:$A$4694,0))</f>
        <v>G</v>
      </c>
      <c r="G1352" s="4" t="str">
        <f>INDEX(Positions!$E$2:$E$4694,MATCH($A1352&amp;"|66",Positions!$A$2:$A$4694,0))</f>
        <v>C</v>
      </c>
      <c r="H1352" s="3" t="str">
        <f t="shared" si="84"/>
        <v>G-C</v>
      </c>
      <c r="I1352" s="4">
        <f t="shared" si="85"/>
        <v>1</v>
      </c>
      <c r="J1352" s="4">
        <f t="shared" si="86"/>
        <v>1</v>
      </c>
      <c r="K1352" s="3">
        <f t="shared" si="87"/>
        <v>2</v>
      </c>
    </row>
    <row r="1353" spans="1:11">
      <c r="A1353" s="4" t="s">
        <v>85</v>
      </c>
      <c r="B1353" s="4" t="s">
        <v>125</v>
      </c>
      <c r="C1353" s="4" t="s">
        <v>227</v>
      </c>
      <c r="D1353" s="4">
        <f>INDEX(Positions!$D$2:$D$4694,MATCH($A1353&amp;"|10",Positions!$A$2:$A$4694,0))</f>
        <v>10</v>
      </c>
      <c r="E1353" s="4">
        <f>INDEX(Positions!$D$2:$D$4694,MATCH($A1353&amp;"|25",Positions!$A$2:$A$4694,0))</f>
        <v>24</v>
      </c>
      <c r="F1353" s="4" t="str">
        <f>INDEX(Positions!$E$2:$E$4694,MATCH($A1353&amp;"|10",Positions!$A$2:$A$4694,0))</f>
        <v>G</v>
      </c>
      <c r="G1353" s="4" t="str">
        <f>INDEX(Positions!$E$2:$E$4694,MATCH($A1353&amp;"|25",Positions!$A$2:$A$4694,0))</f>
        <v>C</v>
      </c>
      <c r="H1353" s="3" t="str">
        <f t="shared" si="84"/>
        <v>G-C</v>
      </c>
      <c r="I1353" s="4">
        <f t="shared" si="85"/>
        <v>1</v>
      </c>
      <c r="J1353" s="4">
        <f t="shared" si="86"/>
        <v>1</v>
      </c>
      <c r="K1353" s="3">
        <f t="shared" si="87"/>
        <v>2</v>
      </c>
    </row>
    <row r="1354" spans="1:11">
      <c r="A1354" s="4" t="s">
        <v>85</v>
      </c>
      <c r="B1354" s="4" t="s">
        <v>125</v>
      </c>
      <c r="C1354" s="4" t="s">
        <v>228</v>
      </c>
      <c r="D1354" s="4">
        <f>INDEX(Positions!$D$2:$D$4694,MATCH($A1354&amp;"|11",Positions!$A$2:$A$4694,0))</f>
        <v>11</v>
      </c>
      <c r="E1354" s="4">
        <f>INDEX(Positions!$D$2:$D$4694,MATCH($A1354&amp;"|24",Positions!$A$2:$A$4694,0))</f>
        <v>23</v>
      </c>
      <c r="F1354" s="4" t="str">
        <f>INDEX(Positions!$E$2:$E$4694,MATCH($A1354&amp;"|11",Positions!$A$2:$A$4694,0))</f>
        <v>U</v>
      </c>
      <c r="G1354" s="4" t="str">
        <f>INDEX(Positions!$E$2:$E$4694,MATCH($A1354&amp;"|24",Positions!$A$2:$A$4694,0))</f>
        <v>G</v>
      </c>
      <c r="H1354" s="3" t="str">
        <f t="shared" si="84"/>
        <v>U-G</v>
      </c>
      <c r="I1354" s="4">
        <f t="shared" si="85"/>
        <v>1</v>
      </c>
      <c r="J1354" s="4">
        <f t="shared" si="86"/>
        <v>0</v>
      </c>
      <c r="K1354" s="3">
        <f t="shared" si="87"/>
        <v>1</v>
      </c>
    </row>
    <row r="1355" spans="1:11">
      <c r="A1355" s="4" t="s">
        <v>85</v>
      </c>
      <c r="B1355" s="4" t="s">
        <v>125</v>
      </c>
      <c r="C1355" s="4" t="s">
        <v>229</v>
      </c>
      <c r="D1355" s="4">
        <f>INDEX(Positions!$D$2:$D$4694,MATCH($A1355&amp;"|12",Positions!$A$2:$A$4694,0))</f>
        <v>12</v>
      </c>
      <c r="E1355" s="4">
        <f>INDEX(Positions!$D$2:$D$4694,MATCH($A1355&amp;"|23",Positions!$A$2:$A$4694,0))</f>
        <v>22</v>
      </c>
      <c r="F1355" s="4" t="str">
        <f>INDEX(Positions!$E$2:$E$4694,MATCH($A1355&amp;"|12",Positions!$A$2:$A$4694,0))</f>
        <v>C</v>
      </c>
      <c r="G1355" s="4" t="str">
        <f>INDEX(Positions!$E$2:$E$4694,MATCH($A1355&amp;"|23",Positions!$A$2:$A$4694,0))</f>
        <v>G</v>
      </c>
      <c r="H1355" s="3" t="str">
        <f t="shared" si="84"/>
        <v>C-G</v>
      </c>
      <c r="I1355" s="4">
        <f t="shared" si="85"/>
        <v>1</v>
      </c>
      <c r="J1355" s="4">
        <f t="shared" si="86"/>
        <v>1</v>
      </c>
      <c r="K1355" s="3">
        <f t="shared" si="87"/>
        <v>2</v>
      </c>
    </row>
    <row r="1356" spans="1:11">
      <c r="A1356" s="4" t="s">
        <v>85</v>
      </c>
      <c r="B1356" s="4" t="s">
        <v>125</v>
      </c>
      <c r="C1356" s="4" t="s">
        <v>230</v>
      </c>
      <c r="D1356" s="4">
        <f>INDEX(Positions!$D$2:$D$4694,MATCH($A1356&amp;"|13",Positions!$A$2:$A$4694,0))</f>
        <v>13</v>
      </c>
      <c r="E1356" s="4">
        <f>INDEX(Positions!$D$2:$D$4694,MATCH($A1356&amp;"|22",Positions!$A$2:$A$4694,0))</f>
        <v>21</v>
      </c>
      <c r="F1356" s="4" t="str">
        <f>INDEX(Positions!$E$2:$E$4694,MATCH($A1356&amp;"|13",Positions!$A$2:$A$4694,0))</f>
        <v>U</v>
      </c>
      <c r="G1356" s="4" t="str">
        <f>INDEX(Positions!$E$2:$E$4694,MATCH($A1356&amp;"|22",Positions!$A$2:$A$4694,0))</f>
        <v>A</v>
      </c>
      <c r="H1356" s="3" t="str">
        <f t="shared" si="84"/>
        <v>U-A</v>
      </c>
      <c r="I1356" s="4">
        <f t="shared" si="85"/>
        <v>0</v>
      </c>
      <c r="J1356" s="4">
        <f t="shared" si="86"/>
        <v>0</v>
      </c>
      <c r="K1356" s="3">
        <f t="shared" si="87"/>
        <v>0</v>
      </c>
    </row>
    <row r="1357" spans="1:11">
      <c r="A1357" s="4" t="s">
        <v>85</v>
      </c>
      <c r="B1357" s="4" t="s">
        <v>144</v>
      </c>
      <c r="C1357" s="4" t="s">
        <v>231</v>
      </c>
      <c r="D1357" s="4">
        <f>INDEX(Positions!$D$2:$D$4694,MATCH($A1357&amp;"|27",Positions!$A$2:$A$4694,0))</f>
        <v>26</v>
      </c>
      <c r="E1357" s="4">
        <f>INDEX(Positions!$D$2:$D$4694,MATCH($A1357&amp;"|43",Positions!$A$2:$A$4694,0))</f>
        <v>42</v>
      </c>
      <c r="F1357" s="4" t="str">
        <f>INDEX(Positions!$E$2:$E$4694,MATCH($A1357&amp;"|27",Positions!$A$2:$A$4694,0))</f>
        <v>A</v>
      </c>
      <c r="G1357" s="4" t="str">
        <f>INDEX(Positions!$E$2:$E$4694,MATCH($A1357&amp;"|43",Positions!$A$2:$A$4694,0))</f>
        <v>U</v>
      </c>
      <c r="H1357" s="3" t="str">
        <f t="shared" si="84"/>
        <v>A-U</v>
      </c>
      <c r="I1357" s="4">
        <f t="shared" si="85"/>
        <v>0</v>
      </c>
      <c r="J1357" s="4">
        <f t="shared" si="86"/>
        <v>0</v>
      </c>
      <c r="K1357" s="3">
        <f t="shared" si="87"/>
        <v>0</v>
      </c>
    </row>
    <row r="1358" spans="1:11">
      <c r="A1358" s="4" t="s">
        <v>85</v>
      </c>
      <c r="B1358" s="4" t="s">
        <v>144</v>
      </c>
      <c r="C1358" s="4" t="s">
        <v>232</v>
      </c>
      <c r="D1358" s="4">
        <f>INDEX(Positions!$D$2:$D$4694,MATCH($A1358&amp;"|28",Positions!$A$2:$A$4694,0))</f>
        <v>27</v>
      </c>
      <c r="E1358" s="4">
        <f>INDEX(Positions!$D$2:$D$4694,MATCH($A1358&amp;"|42",Positions!$A$2:$A$4694,0))</f>
        <v>41</v>
      </c>
      <c r="F1358" s="4" t="str">
        <f>INDEX(Positions!$E$2:$E$4694,MATCH($A1358&amp;"|28",Positions!$A$2:$A$4694,0))</f>
        <v>C</v>
      </c>
      <c r="G1358" s="4" t="str">
        <f>INDEX(Positions!$E$2:$E$4694,MATCH($A1358&amp;"|42",Positions!$A$2:$A$4694,0))</f>
        <v>G</v>
      </c>
      <c r="H1358" s="3" t="str">
        <f t="shared" si="84"/>
        <v>C-G</v>
      </c>
      <c r="I1358" s="4">
        <f t="shared" si="85"/>
        <v>1</v>
      </c>
      <c r="J1358" s="4">
        <f t="shared" si="86"/>
        <v>1</v>
      </c>
      <c r="K1358" s="3">
        <f t="shared" si="87"/>
        <v>2</v>
      </c>
    </row>
    <row r="1359" spans="1:11">
      <c r="A1359" s="4" t="s">
        <v>85</v>
      </c>
      <c r="B1359" s="4" t="s">
        <v>144</v>
      </c>
      <c r="C1359" s="4" t="s">
        <v>233</v>
      </c>
      <c r="D1359" s="4">
        <f>INDEX(Positions!$D$2:$D$4694,MATCH($A1359&amp;"|29",Positions!$A$2:$A$4694,0))</f>
        <v>28</v>
      </c>
      <c r="E1359" s="4">
        <f>INDEX(Positions!$D$2:$D$4694,MATCH($A1359&amp;"|41",Positions!$A$2:$A$4694,0))</f>
        <v>40</v>
      </c>
      <c r="F1359" s="4" t="str">
        <f>INDEX(Positions!$E$2:$E$4694,MATCH($A1359&amp;"|29",Positions!$A$2:$A$4694,0))</f>
        <v>G</v>
      </c>
      <c r="G1359" s="4" t="str">
        <f>INDEX(Positions!$E$2:$E$4694,MATCH($A1359&amp;"|41",Positions!$A$2:$A$4694,0))</f>
        <v>C</v>
      </c>
      <c r="H1359" s="3" t="str">
        <f t="shared" si="84"/>
        <v>G-C</v>
      </c>
      <c r="I1359" s="4">
        <f t="shared" si="85"/>
        <v>1</v>
      </c>
      <c r="J1359" s="4">
        <f t="shared" si="86"/>
        <v>1</v>
      </c>
      <c r="K1359" s="3">
        <f t="shared" si="87"/>
        <v>2</v>
      </c>
    </row>
    <row r="1360" spans="1:11">
      <c r="A1360" s="4" t="s">
        <v>85</v>
      </c>
      <c r="B1360" s="4" t="s">
        <v>144</v>
      </c>
      <c r="C1360" s="4" t="s">
        <v>234</v>
      </c>
      <c r="D1360" s="4">
        <f>INDEX(Positions!$D$2:$D$4694,MATCH($A1360&amp;"|30",Positions!$A$2:$A$4694,0))</f>
        <v>29</v>
      </c>
      <c r="E1360" s="4">
        <f>INDEX(Positions!$D$2:$D$4694,MATCH($A1360&amp;"|40",Positions!$A$2:$A$4694,0))</f>
        <v>39</v>
      </c>
      <c r="F1360" s="4" t="str">
        <f>INDEX(Positions!$E$2:$E$4694,MATCH($A1360&amp;"|30",Positions!$A$2:$A$4694,0))</f>
        <v>G</v>
      </c>
      <c r="G1360" s="4" t="str">
        <f>INDEX(Positions!$E$2:$E$4694,MATCH($A1360&amp;"|40",Positions!$A$2:$A$4694,0))</f>
        <v>C</v>
      </c>
      <c r="H1360" s="3" t="str">
        <f t="shared" si="84"/>
        <v>G-C</v>
      </c>
      <c r="I1360" s="4">
        <f t="shared" si="85"/>
        <v>1</v>
      </c>
      <c r="J1360" s="4">
        <f t="shared" si="86"/>
        <v>1</v>
      </c>
      <c r="K1360" s="3">
        <f t="shared" si="87"/>
        <v>2</v>
      </c>
    </row>
    <row r="1361" spans="1:11">
      <c r="A1361" s="4" t="s">
        <v>85</v>
      </c>
      <c r="B1361" s="4" t="s">
        <v>144</v>
      </c>
      <c r="C1361" s="4" t="s">
        <v>235</v>
      </c>
      <c r="D1361" s="4">
        <f>INDEX(Positions!$D$2:$D$4694,MATCH($A1361&amp;"|31",Positions!$A$2:$A$4694,0))</f>
        <v>30</v>
      </c>
      <c r="E1361" s="4">
        <f>INDEX(Positions!$D$2:$D$4694,MATCH($A1361&amp;"|39",Positions!$A$2:$A$4694,0))</f>
        <v>38</v>
      </c>
      <c r="F1361" s="4" t="str">
        <f>INDEX(Positions!$E$2:$E$4694,MATCH($A1361&amp;"|31",Positions!$A$2:$A$4694,0))</f>
        <v>U</v>
      </c>
      <c r="G1361" s="4" t="str">
        <f>INDEX(Positions!$E$2:$E$4694,MATCH($A1361&amp;"|39",Positions!$A$2:$A$4694,0))</f>
        <v>A</v>
      </c>
      <c r="H1361" s="3" t="str">
        <f t="shared" si="84"/>
        <v>U-A</v>
      </c>
      <c r="I1361" s="4">
        <f t="shared" si="85"/>
        <v>0</v>
      </c>
      <c r="J1361" s="4">
        <f t="shared" si="86"/>
        <v>0</v>
      </c>
      <c r="K1361" s="3">
        <f t="shared" si="87"/>
        <v>0</v>
      </c>
    </row>
    <row r="1362" spans="1:11">
      <c r="A1362" s="4" t="s">
        <v>85</v>
      </c>
      <c r="B1362" s="4" t="s">
        <v>169</v>
      </c>
      <c r="C1362" s="4" t="s">
        <v>236</v>
      </c>
      <c r="D1362" s="4">
        <f>INDEX(Positions!$D$2:$D$4694,MATCH($A1362&amp;"|49",Positions!$A$2:$A$4694,0))</f>
        <v>60</v>
      </c>
      <c r="E1362" s="4">
        <f>INDEX(Positions!$D$2:$D$4694,MATCH($A1362&amp;"|65",Positions!$A$2:$A$4694,0))</f>
        <v>76</v>
      </c>
      <c r="F1362" s="4" t="str">
        <f>INDEX(Positions!$E$2:$E$4694,MATCH($A1362&amp;"|49",Positions!$A$2:$A$4694,0))</f>
        <v>G</v>
      </c>
      <c r="G1362" s="4" t="str">
        <f>INDEX(Positions!$E$2:$E$4694,MATCH($A1362&amp;"|65",Positions!$A$2:$A$4694,0))</f>
        <v>C</v>
      </c>
      <c r="H1362" s="3" t="str">
        <f t="shared" si="84"/>
        <v>G-C</v>
      </c>
      <c r="I1362" s="4">
        <f t="shared" si="85"/>
        <v>1</v>
      </c>
      <c r="J1362" s="4">
        <f t="shared" si="86"/>
        <v>1</v>
      </c>
      <c r="K1362" s="3">
        <f t="shared" si="87"/>
        <v>2</v>
      </c>
    </row>
    <row r="1363" spans="1:11">
      <c r="A1363" s="4" t="s">
        <v>85</v>
      </c>
      <c r="B1363" s="4" t="s">
        <v>169</v>
      </c>
      <c r="C1363" s="4" t="s">
        <v>237</v>
      </c>
      <c r="D1363" s="4">
        <f>INDEX(Positions!$D$2:$D$4694,MATCH($A1363&amp;"|50",Positions!$A$2:$A$4694,0))</f>
        <v>61</v>
      </c>
      <c r="E1363" s="4">
        <f>INDEX(Positions!$D$2:$D$4694,MATCH($A1363&amp;"|64",Positions!$A$2:$A$4694,0))</f>
        <v>75</v>
      </c>
      <c r="F1363" s="4" t="str">
        <f>INDEX(Positions!$E$2:$E$4694,MATCH($A1363&amp;"|50",Positions!$A$2:$A$4694,0))</f>
        <v>C</v>
      </c>
      <c r="G1363" s="4" t="str">
        <f>INDEX(Positions!$E$2:$E$4694,MATCH($A1363&amp;"|64",Positions!$A$2:$A$4694,0))</f>
        <v>G</v>
      </c>
      <c r="H1363" s="3" t="str">
        <f t="shared" si="84"/>
        <v>C-G</v>
      </c>
      <c r="I1363" s="4">
        <f t="shared" si="85"/>
        <v>1</v>
      </c>
      <c r="J1363" s="4">
        <f t="shared" si="86"/>
        <v>1</v>
      </c>
      <c r="K1363" s="3">
        <f t="shared" si="87"/>
        <v>2</v>
      </c>
    </row>
    <row r="1364" spans="1:11">
      <c r="A1364" s="4" t="s">
        <v>85</v>
      </c>
      <c r="B1364" s="4" t="s">
        <v>169</v>
      </c>
      <c r="C1364" s="4" t="s">
        <v>238</v>
      </c>
      <c r="D1364" s="4">
        <f>INDEX(Positions!$D$2:$D$4694,MATCH($A1364&amp;"|51",Positions!$A$2:$A$4694,0))</f>
        <v>62</v>
      </c>
      <c r="E1364" s="4">
        <f>INDEX(Positions!$D$2:$D$4694,MATCH($A1364&amp;"|63",Positions!$A$2:$A$4694,0))</f>
        <v>74</v>
      </c>
      <c r="F1364" s="4" t="str">
        <f>INDEX(Positions!$E$2:$E$4694,MATCH($A1364&amp;"|51",Positions!$A$2:$A$4694,0))</f>
        <v>A</v>
      </c>
      <c r="G1364" s="4" t="str">
        <f>INDEX(Positions!$E$2:$E$4694,MATCH($A1364&amp;"|63",Positions!$A$2:$A$4694,0))</f>
        <v>U</v>
      </c>
      <c r="H1364" s="3" t="str">
        <f t="shared" si="84"/>
        <v>A-U</v>
      </c>
      <c r="I1364" s="4">
        <f t="shared" si="85"/>
        <v>0</v>
      </c>
      <c r="J1364" s="4">
        <f t="shared" si="86"/>
        <v>0</v>
      </c>
      <c r="K1364" s="3">
        <f t="shared" si="87"/>
        <v>0</v>
      </c>
    </row>
    <row r="1365" spans="1:11">
      <c r="A1365" s="4" t="s">
        <v>85</v>
      </c>
      <c r="B1365" s="4" t="s">
        <v>169</v>
      </c>
      <c r="C1365" s="4" t="s">
        <v>239</v>
      </c>
      <c r="D1365" s="4">
        <f>INDEX(Positions!$D$2:$D$4694,MATCH($A1365&amp;"|52",Positions!$A$2:$A$4694,0))</f>
        <v>63</v>
      </c>
      <c r="E1365" s="4">
        <f>INDEX(Positions!$D$2:$D$4694,MATCH($A1365&amp;"|62",Positions!$A$2:$A$4694,0))</f>
        <v>73</v>
      </c>
      <c r="F1365" s="4" t="str">
        <f>INDEX(Positions!$E$2:$E$4694,MATCH($A1365&amp;"|52",Positions!$A$2:$A$4694,0))</f>
        <v>G</v>
      </c>
      <c r="G1365" s="4" t="str">
        <f>INDEX(Positions!$E$2:$E$4694,MATCH($A1365&amp;"|62",Positions!$A$2:$A$4694,0))</f>
        <v>C</v>
      </c>
      <c r="H1365" s="3" t="str">
        <f t="shared" si="84"/>
        <v>G-C</v>
      </c>
      <c r="I1365" s="4">
        <f t="shared" si="85"/>
        <v>1</v>
      </c>
      <c r="J1365" s="4">
        <f t="shared" si="86"/>
        <v>1</v>
      </c>
      <c r="K1365" s="3">
        <f t="shared" si="87"/>
        <v>2</v>
      </c>
    </row>
    <row r="1366" spans="1:11">
      <c r="A1366" s="4" t="s">
        <v>85</v>
      </c>
      <c r="B1366" s="4" t="s">
        <v>169</v>
      </c>
      <c r="C1366" s="4" t="s">
        <v>240</v>
      </c>
      <c r="D1366" s="4">
        <f>INDEX(Positions!$D$2:$D$4694,MATCH($A1366&amp;"|53",Positions!$A$2:$A$4694,0))</f>
        <v>64</v>
      </c>
      <c r="E1366" s="4">
        <f>INDEX(Positions!$D$2:$D$4694,MATCH($A1366&amp;"|61",Positions!$A$2:$A$4694,0))</f>
        <v>72</v>
      </c>
      <c r="F1366" s="4" t="str">
        <f>INDEX(Positions!$E$2:$E$4694,MATCH($A1366&amp;"|53",Positions!$A$2:$A$4694,0))</f>
        <v>G</v>
      </c>
      <c r="G1366" s="4" t="str">
        <f>INDEX(Positions!$E$2:$E$4694,MATCH($A1366&amp;"|61",Positions!$A$2:$A$4694,0))</f>
        <v>C</v>
      </c>
      <c r="H1366" s="3" t="str">
        <f t="shared" si="84"/>
        <v>G-C</v>
      </c>
      <c r="I1366" s="4">
        <f t="shared" si="85"/>
        <v>1</v>
      </c>
      <c r="J1366" s="4">
        <f t="shared" si="86"/>
        <v>1</v>
      </c>
      <c r="K1366" s="3">
        <f t="shared" si="87"/>
        <v>2</v>
      </c>
    </row>
    <row r="1367" spans="1:11">
      <c r="A1367" s="23" t="s">
        <v>85</v>
      </c>
      <c r="B1367" s="23" t="s">
        <v>241</v>
      </c>
      <c r="C1367" s="23" t="s">
        <v>242</v>
      </c>
      <c r="D1367" s="23">
        <f>INDEX(Positions!$D$2:$D$4694,MATCH($A1367&amp;"|8",Positions!$A$2:$A$4694,0))</f>
        <v>8</v>
      </c>
      <c r="E1367" s="23">
        <f>INDEX(Positions!$D$2:$D$4694,MATCH($A1367&amp;"|14",Positions!$A$2:$A$4694,0))</f>
        <v>14</v>
      </c>
      <c r="F1367" s="23" t="str">
        <f>INDEX(Positions!$E$2:$E$4694,MATCH($A1367&amp;"|8",Positions!$A$2:$A$4694,0))</f>
        <v>U</v>
      </c>
      <c r="G1367" s="23" t="str">
        <f>INDEX(Positions!$E$2:$E$4694,MATCH($A1367&amp;"|14",Positions!$A$2:$A$4694,0))</f>
        <v>A</v>
      </c>
      <c r="H1367" s="24" t="str">
        <f t="shared" si="84"/>
        <v>U-A</v>
      </c>
      <c r="I1367" s="23">
        <f t="shared" si="85"/>
        <v>0</v>
      </c>
      <c r="J1367" s="23">
        <f t="shared" si="86"/>
        <v>0</v>
      </c>
      <c r="K1367" s="24">
        <f t="shared" si="87"/>
        <v>0</v>
      </c>
    </row>
    <row r="1368" spans="1:11">
      <c r="A1368" s="23" t="s">
        <v>85</v>
      </c>
      <c r="B1368" s="23" t="s">
        <v>241</v>
      </c>
      <c r="C1368" s="23" t="s">
        <v>243</v>
      </c>
      <c r="D1368" s="23">
        <f>INDEX(Positions!$D$2:$D$4694,MATCH($A1368&amp;"|15",Positions!$A$2:$A$4694,0))</f>
        <v>15</v>
      </c>
      <c r="E1368" s="23">
        <f>INDEX(Positions!$D$2:$D$4694,MATCH($A1368&amp;"|48",Positions!$A$2:$A$4694,0))</f>
        <v>59</v>
      </c>
      <c r="F1368" s="23" t="str">
        <f>INDEX(Positions!$E$2:$E$4694,MATCH($A1368&amp;"|15",Positions!$A$2:$A$4694,0))</f>
        <v>G</v>
      </c>
      <c r="G1368" s="23" t="str">
        <f>INDEX(Positions!$E$2:$E$4694,MATCH($A1368&amp;"|48",Positions!$A$2:$A$4694,0))</f>
        <v>C</v>
      </c>
      <c r="H1368" s="24" t="str">
        <f t="shared" si="84"/>
        <v>G-C</v>
      </c>
      <c r="I1368" s="23">
        <f t="shared" si="85"/>
        <v>1</v>
      </c>
      <c r="J1368" s="23">
        <f t="shared" si="86"/>
        <v>1</v>
      </c>
      <c r="K1368" s="24">
        <f t="shared" si="87"/>
        <v>2</v>
      </c>
    </row>
    <row r="1369" spans="1:11">
      <c r="A1369" s="23" t="s">
        <v>85</v>
      </c>
      <c r="B1369" s="23" t="s">
        <v>241</v>
      </c>
      <c r="C1369" s="23" t="s">
        <v>244</v>
      </c>
      <c r="D1369" s="23">
        <f>INDEX(Positions!$D$2:$D$4694,MATCH($A1369&amp;"|18",Positions!$A$2:$A$4694,0))</f>
        <v>17</v>
      </c>
      <c r="E1369" s="23">
        <f>INDEX(Positions!$D$2:$D$4694,MATCH($A1369&amp;"|55",Positions!$A$2:$A$4694,0))</f>
        <v>66</v>
      </c>
      <c r="F1369" s="23" t="str">
        <f>INDEX(Positions!$E$2:$E$4694,MATCH($A1369&amp;"|18",Positions!$A$2:$A$4694,0))</f>
        <v>G</v>
      </c>
      <c r="G1369" s="23" t="str">
        <f>INDEX(Positions!$E$2:$E$4694,MATCH($A1369&amp;"|55",Positions!$A$2:$A$4694,0))</f>
        <v>U</v>
      </c>
      <c r="H1369" s="24" t="str">
        <f t="shared" si="84"/>
        <v>G-U</v>
      </c>
      <c r="I1369" s="23">
        <f t="shared" si="85"/>
        <v>1</v>
      </c>
      <c r="J1369" s="23">
        <f t="shared" si="86"/>
        <v>0</v>
      </c>
      <c r="K1369" s="24">
        <f t="shared" si="87"/>
        <v>1</v>
      </c>
    </row>
    <row r="1370" spans="1:11">
      <c r="A1370" s="23" t="s">
        <v>85</v>
      </c>
      <c r="B1370" s="23" t="s">
        <v>241</v>
      </c>
      <c r="C1370" s="23" t="s">
        <v>245</v>
      </c>
      <c r="D1370" s="23">
        <f>INDEX(Positions!$D$2:$D$4694,MATCH($A1370&amp;"|19",Positions!$A$2:$A$4694,0))</f>
        <v>18</v>
      </c>
      <c r="E1370" s="23">
        <f>INDEX(Positions!$D$2:$D$4694,MATCH($A1370&amp;"|56",Positions!$A$2:$A$4694,0))</f>
        <v>67</v>
      </c>
      <c r="F1370" s="23" t="str">
        <f>INDEX(Positions!$E$2:$E$4694,MATCH($A1370&amp;"|19",Positions!$A$2:$A$4694,0))</f>
        <v>G</v>
      </c>
      <c r="G1370" s="23" t="str">
        <f>INDEX(Positions!$E$2:$E$4694,MATCH($A1370&amp;"|56",Positions!$A$2:$A$4694,0))</f>
        <v>C</v>
      </c>
      <c r="H1370" s="24" t="str">
        <f t="shared" si="84"/>
        <v>G-C</v>
      </c>
      <c r="I1370" s="23">
        <f t="shared" si="85"/>
        <v>1</v>
      </c>
      <c r="J1370" s="23">
        <f t="shared" si="86"/>
        <v>1</v>
      </c>
      <c r="K1370" s="24">
        <f t="shared" si="87"/>
        <v>2</v>
      </c>
    </row>
    <row r="1371" spans="1:11">
      <c r="A1371" s="23" t="s">
        <v>85</v>
      </c>
      <c r="B1371" s="23" t="s">
        <v>241</v>
      </c>
      <c r="C1371" s="23" t="s">
        <v>246</v>
      </c>
      <c r="D1371" s="23">
        <f>INDEX(Positions!$D$2:$D$4694,MATCH($A1371&amp;"|26",Positions!$A$2:$A$4694,0))</f>
        <v>25</v>
      </c>
      <c r="E1371" s="23">
        <f>INDEX(Positions!$D$2:$D$4694,MATCH($A1371&amp;"|44",Positions!$A$2:$A$4694,0))</f>
        <v>43</v>
      </c>
      <c r="F1371" s="23" t="str">
        <f>INDEX(Positions!$E$2:$E$4694,MATCH($A1371&amp;"|26",Positions!$A$2:$A$4694,0))</f>
        <v>G</v>
      </c>
      <c r="G1371" s="23" t="str">
        <f>INDEX(Positions!$E$2:$E$4694,MATCH($A1371&amp;"|44",Positions!$A$2:$A$4694,0))</f>
        <v>U</v>
      </c>
      <c r="H1371" s="24" t="str">
        <f t="shared" si="84"/>
        <v>G-U</v>
      </c>
      <c r="I1371" s="23">
        <f t="shared" si="85"/>
        <v>1</v>
      </c>
      <c r="J1371" s="23">
        <f t="shared" si="86"/>
        <v>0</v>
      </c>
      <c r="K1371" s="24">
        <f t="shared" si="87"/>
        <v>1</v>
      </c>
    </row>
    <row r="1372" spans="1:11">
      <c r="A1372" s="23" t="s">
        <v>85</v>
      </c>
      <c r="B1372" s="23" t="s">
        <v>241</v>
      </c>
      <c r="C1372" s="23" t="s">
        <v>247</v>
      </c>
      <c r="D1372" s="23">
        <f>INDEX(Positions!$D$2:$D$4694,MATCH($A1372&amp;"|32",Positions!$A$2:$A$4694,0))</f>
        <v>31</v>
      </c>
      <c r="E1372" s="23">
        <f>INDEX(Positions!$D$2:$D$4694,MATCH($A1372&amp;"|38",Positions!$A$2:$A$4694,0))</f>
        <v>37</v>
      </c>
      <c r="F1372" s="23" t="str">
        <f>INDEX(Positions!$E$2:$E$4694,MATCH($A1372&amp;"|32",Positions!$A$2:$A$4694,0))</f>
        <v>C</v>
      </c>
      <c r="G1372" s="23" t="str">
        <f>INDEX(Positions!$E$2:$E$4694,MATCH($A1372&amp;"|38",Positions!$A$2:$A$4694,0))</f>
        <v>A</v>
      </c>
      <c r="H1372" s="24" t="str">
        <f t="shared" si="84"/>
        <v>C-A</v>
      </c>
      <c r="I1372" s="23">
        <f t="shared" si="85"/>
        <v>0</v>
      </c>
      <c r="J1372" s="23">
        <f t="shared" si="86"/>
        <v>1</v>
      </c>
      <c r="K1372" s="24">
        <f t="shared" si="87"/>
        <v>1</v>
      </c>
    </row>
    <row r="1373" spans="1:11">
      <c r="A1373" s="23" t="s">
        <v>85</v>
      </c>
      <c r="B1373" s="23" t="s">
        <v>241</v>
      </c>
      <c r="C1373" s="23" t="s">
        <v>248</v>
      </c>
      <c r="D1373" s="23">
        <f>INDEX(Positions!$D$2:$D$4694,MATCH($A1373&amp;"|54",Positions!$A$2:$A$4694,0))</f>
        <v>65</v>
      </c>
      <c r="E1373" s="23">
        <f>INDEX(Positions!$D$2:$D$4694,MATCH($A1373&amp;"|58",Positions!$A$2:$A$4694,0))</f>
        <v>69</v>
      </c>
      <c r="F1373" s="23" t="str">
        <f>INDEX(Positions!$E$2:$E$4694,MATCH($A1373&amp;"|54",Positions!$A$2:$A$4694,0))</f>
        <v>U</v>
      </c>
      <c r="G1373" s="23" t="str">
        <f>INDEX(Positions!$E$2:$E$4694,MATCH($A1373&amp;"|58",Positions!$A$2:$A$4694,0))</f>
        <v>A</v>
      </c>
      <c r="H1373" s="24" t="str">
        <f t="shared" si="84"/>
        <v>U-A</v>
      </c>
      <c r="I1373" s="23">
        <f t="shared" si="85"/>
        <v>0</v>
      </c>
      <c r="J1373" s="23">
        <f t="shared" si="86"/>
        <v>0</v>
      </c>
      <c r="K1373" s="24">
        <f t="shared" si="87"/>
        <v>0</v>
      </c>
    </row>
    <row r="1374" spans="1:11">
      <c r="A1374" s="4" t="s">
        <v>86</v>
      </c>
      <c r="B1374" s="4" t="s">
        <v>110</v>
      </c>
      <c r="C1374" s="4" t="s">
        <v>220</v>
      </c>
      <c r="D1374" s="4">
        <f>INDEX(Positions!$D$2:$D$4694,MATCH($A1374&amp;"|1",Positions!$A$2:$A$4694,0))</f>
        <v>1</v>
      </c>
      <c r="E1374" s="4">
        <f>INDEX(Positions!$D$2:$D$4694,MATCH($A1374&amp;"|72",Positions!$A$2:$A$4694,0))</f>
        <v>84</v>
      </c>
      <c r="F1374" s="4" t="str">
        <f>INDEX(Positions!$E$2:$E$4694,MATCH($A1374&amp;"|1",Positions!$A$2:$A$4694,0))</f>
        <v>G</v>
      </c>
      <c r="G1374" s="4" t="str">
        <f>INDEX(Positions!$E$2:$E$4694,MATCH($A1374&amp;"|72",Positions!$A$2:$A$4694,0))</f>
        <v>C</v>
      </c>
      <c r="H1374" s="3" t="str">
        <f t="shared" si="84"/>
        <v>G-C</v>
      </c>
      <c r="I1374" s="4">
        <f t="shared" si="85"/>
        <v>1</v>
      </c>
      <c r="J1374" s="4">
        <f t="shared" si="86"/>
        <v>1</v>
      </c>
      <c r="K1374" s="3">
        <f t="shared" si="87"/>
        <v>2</v>
      </c>
    </row>
    <row r="1375" spans="1:11">
      <c r="A1375" s="4" t="s">
        <v>86</v>
      </c>
      <c r="B1375" s="4" t="s">
        <v>110</v>
      </c>
      <c r="C1375" s="4" t="s">
        <v>221</v>
      </c>
      <c r="D1375" s="4">
        <f>INDEX(Positions!$D$2:$D$4694,MATCH($A1375&amp;"|2",Positions!$A$2:$A$4694,0))</f>
        <v>2</v>
      </c>
      <c r="E1375" s="4">
        <f>INDEX(Positions!$D$2:$D$4694,MATCH($A1375&amp;"|71",Positions!$A$2:$A$4694,0))</f>
        <v>83</v>
      </c>
      <c r="F1375" s="4" t="str">
        <f>INDEX(Positions!$E$2:$E$4694,MATCH($A1375&amp;"|2",Positions!$A$2:$A$4694,0))</f>
        <v>A</v>
      </c>
      <c r="G1375" s="4" t="str">
        <f>INDEX(Positions!$E$2:$E$4694,MATCH($A1375&amp;"|71",Positions!$A$2:$A$4694,0))</f>
        <v>U</v>
      </c>
      <c r="H1375" s="3" t="str">
        <f t="shared" si="84"/>
        <v>A-U</v>
      </c>
      <c r="I1375" s="4">
        <f t="shared" si="85"/>
        <v>0</v>
      </c>
      <c r="J1375" s="4">
        <f t="shared" si="86"/>
        <v>0</v>
      </c>
      <c r="K1375" s="3">
        <f t="shared" si="87"/>
        <v>0</v>
      </c>
    </row>
    <row r="1376" spans="1:11">
      <c r="A1376" s="4" t="s">
        <v>86</v>
      </c>
      <c r="B1376" s="4" t="s">
        <v>110</v>
      </c>
      <c r="C1376" s="4" t="s">
        <v>222</v>
      </c>
      <c r="D1376" s="4">
        <f>INDEX(Positions!$D$2:$D$4694,MATCH($A1376&amp;"|3",Positions!$A$2:$A$4694,0))</f>
        <v>3</v>
      </c>
      <c r="E1376" s="4">
        <f>INDEX(Positions!$D$2:$D$4694,MATCH($A1376&amp;"|70",Positions!$A$2:$A$4694,0))</f>
        <v>82</v>
      </c>
      <c r="F1376" s="4" t="str">
        <f>INDEX(Positions!$E$2:$E$4694,MATCH($A1376&amp;"|3",Positions!$A$2:$A$4694,0))</f>
        <v>C</v>
      </c>
      <c r="G1376" s="4" t="str">
        <f>INDEX(Positions!$E$2:$E$4694,MATCH($A1376&amp;"|70",Positions!$A$2:$A$4694,0))</f>
        <v>G</v>
      </c>
      <c r="H1376" s="3" t="str">
        <f t="shared" si="84"/>
        <v>C-G</v>
      </c>
      <c r="I1376" s="4">
        <f t="shared" si="85"/>
        <v>1</v>
      </c>
      <c r="J1376" s="4">
        <f t="shared" si="86"/>
        <v>1</v>
      </c>
      <c r="K1376" s="3">
        <f t="shared" si="87"/>
        <v>2</v>
      </c>
    </row>
    <row r="1377" spans="1:11">
      <c r="A1377" s="4" t="s">
        <v>86</v>
      </c>
      <c r="B1377" s="4" t="s">
        <v>110</v>
      </c>
      <c r="C1377" s="4" t="s">
        <v>223</v>
      </c>
      <c r="D1377" s="4">
        <f>INDEX(Positions!$D$2:$D$4694,MATCH($A1377&amp;"|4",Positions!$A$2:$A$4694,0))</f>
        <v>4</v>
      </c>
      <c r="E1377" s="4">
        <f>INDEX(Positions!$D$2:$D$4694,MATCH($A1377&amp;"|69",Positions!$A$2:$A$4694,0))</f>
        <v>81</v>
      </c>
      <c r="F1377" s="4" t="str">
        <f>INDEX(Positions!$E$2:$E$4694,MATCH($A1377&amp;"|4",Positions!$A$2:$A$4694,0))</f>
        <v>G</v>
      </c>
      <c r="G1377" s="4" t="str">
        <f>INDEX(Positions!$E$2:$E$4694,MATCH($A1377&amp;"|69",Positions!$A$2:$A$4694,0))</f>
        <v>C</v>
      </c>
      <c r="H1377" s="3" t="str">
        <f t="shared" si="84"/>
        <v>G-C</v>
      </c>
      <c r="I1377" s="4">
        <f t="shared" si="85"/>
        <v>1</v>
      </c>
      <c r="J1377" s="4">
        <f t="shared" si="86"/>
        <v>1</v>
      </c>
      <c r="K1377" s="3">
        <f t="shared" si="87"/>
        <v>2</v>
      </c>
    </row>
    <row r="1378" spans="1:11">
      <c r="A1378" s="4" t="s">
        <v>86</v>
      </c>
      <c r="B1378" s="4" t="s">
        <v>110</v>
      </c>
      <c r="C1378" s="4" t="s">
        <v>224</v>
      </c>
      <c r="D1378" s="4">
        <f>INDEX(Positions!$D$2:$D$4694,MATCH($A1378&amp;"|5",Positions!$A$2:$A$4694,0))</f>
        <v>5</v>
      </c>
      <c r="E1378" s="4">
        <f>INDEX(Positions!$D$2:$D$4694,MATCH($A1378&amp;"|68",Positions!$A$2:$A$4694,0))</f>
        <v>80</v>
      </c>
      <c r="F1378" s="4" t="str">
        <f>INDEX(Positions!$E$2:$E$4694,MATCH($A1378&amp;"|5",Positions!$A$2:$A$4694,0))</f>
        <v>A</v>
      </c>
      <c r="G1378" s="4" t="str">
        <f>INDEX(Positions!$E$2:$E$4694,MATCH($A1378&amp;"|68",Positions!$A$2:$A$4694,0))</f>
        <v>U</v>
      </c>
      <c r="H1378" s="3" t="str">
        <f t="shared" si="84"/>
        <v>A-U</v>
      </c>
      <c r="I1378" s="4">
        <f t="shared" si="85"/>
        <v>0</v>
      </c>
      <c r="J1378" s="4">
        <f t="shared" si="86"/>
        <v>0</v>
      </c>
      <c r="K1378" s="3">
        <f t="shared" si="87"/>
        <v>0</v>
      </c>
    </row>
    <row r="1379" spans="1:11">
      <c r="A1379" s="4" t="s">
        <v>86</v>
      </c>
      <c r="B1379" s="4" t="s">
        <v>110</v>
      </c>
      <c r="C1379" s="4" t="s">
        <v>225</v>
      </c>
      <c r="D1379" s="4">
        <f>INDEX(Positions!$D$2:$D$4694,MATCH($A1379&amp;"|6",Positions!$A$2:$A$4694,0))</f>
        <v>6</v>
      </c>
      <c r="E1379" s="4">
        <f>INDEX(Positions!$D$2:$D$4694,MATCH($A1379&amp;"|67",Positions!$A$2:$A$4694,0))</f>
        <v>79</v>
      </c>
      <c r="F1379" s="4" t="str">
        <f>INDEX(Positions!$E$2:$E$4694,MATCH($A1379&amp;"|6",Positions!$A$2:$A$4694,0))</f>
        <v>G</v>
      </c>
      <c r="G1379" s="4" t="str">
        <f>INDEX(Positions!$E$2:$E$4694,MATCH($A1379&amp;"|67",Positions!$A$2:$A$4694,0))</f>
        <v>C</v>
      </c>
      <c r="H1379" s="3" t="str">
        <f t="shared" si="84"/>
        <v>G-C</v>
      </c>
      <c r="I1379" s="4">
        <f t="shared" si="85"/>
        <v>1</v>
      </c>
      <c r="J1379" s="4">
        <f t="shared" si="86"/>
        <v>1</v>
      </c>
      <c r="K1379" s="3">
        <f t="shared" si="87"/>
        <v>2</v>
      </c>
    </row>
    <row r="1380" spans="1:11">
      <c r="A1380" s="4" t="s">
        <v>86</v>
      </c>
      <c r="B1380" s="4" t="s">
        <v>110</v>
      </c>
      <c r="C1380" s="4" t="s">
        <v>226</v>
      </c>
      <c r="D1380" s="4">
        <f>INDEX(Positions!$D$2:$D$4694,MATCH($A1380&amp;"|7",Positions!$A$2:$A$4694,0))</f>
        <v>7</v>
      </c>
      <c r="E1380" s="4">
        <f>INDEX(Positions!$D$2:$D$4694,MATCH($A1380&amp;"|66",Positions!$A$2:$A$4694,0))</f>
        <v>78</v>
      </c>
      <c r="F1380" s="4" t="str">
        <f>INDEX(Positions!$E$2:$E$4694,MATCH($A1380&amp;"|7",Positions!$A$2:$A$4694,0))</f>
        <v>A</v>
      </c>
      <c r="G1380" s="4" t="str">
        <f>INDEX(Positions!$E$2:$E$4694,MATCH($A1380&amp;"|66",Positions!$A$2:$A$4694,0))</f>
        <v>U</v>
      </c>
      <c r="H1380" s="3" t="str">
        <f t="shared" si="84"/>
        <v>A-U</v>
      </c>
      <c r="I1380" s="4">
        <f t="shared" si="85"/>
        <v>0</v>
      </c>
      <c r="J1380" s="4">
        <f t="shared" si="86"/>
        <v>0</v>
      </c>
      <c r="K1380" s="3">
        <f t="shared" si="87"/>
        <v>0</v>
      </c>
    </row>
    <row r="1381" spans="1:11">
      <c r="A1381" s="4" t="s">
        <v>86</v>
      </c>
      <c r="B1381" s="4" t="s">
        <v>125</v>
      </c>
      <c r="C1381" s="4" t="s">
        <v>227</v>
      </c>
      <c r="D1381" s="4">
        <f>INDEX(Positions!$D$2:$D$4694,MATCH($A1381&amp;"|10",Positions!$A$2:$A$4694,0))</f>
        <v>10</v>
      </c>
      <c r="E1381" s="4">
        <f>INDEX(Positions!$D$2:$D$4694,MATCH($A1381&amp;"|25",Positions!$A$2:$A$4694,0))</f>
        <v>26</v>
      </c>
      <c r="F1381" s="4" t="str">
        <f>INDEX(Positions!$E$2:$E$4694,MATCH($A1381&amp;"|10",Positions!$A$2:$A$4694,0))</f>
        <v>G</v>
      </c>
      <c r="G1381" s="4" t="str">
        <f>INDEX(Positions!$E$2:$E$4694,MATCH($A1381&amp;"|25",Positions!$A$2:$A$4694,0))</f>
        <v>C</v>
      </c>
      <c r="H1381" s="3" t="str">
        <f t="shared" si="84"/>
        <v>G-C</v>
      </c>
      <c r="I1381" s="4">
        <f t="shared" si="85"/>
        <v>1</v>
      </c>
      <c r="J1381" s="4">
        <f t="shared" si="86"/>
        <v>1</v>
      </c>
      <c r="K1381" s="3">
        <f t="shared" si="87"/>
        <v>2</v>
      </c>
    </row>
    <row r="1382" spans="1:11">
      <c r="A1382" s="4" t="s">
        <v>86</v>
      </c>
      <c r="B1382" s="4" t="s">
        <v>125</v>
      </c>
      <c r="C1382" s="4" t="s">
        <v>228</v>
      </c>
      <c r="D1382" s="4">
        <f>INDEX(Positions!$D$2:$D$4694,MATCH($A1382&amp;"|11",Positions!$A$2:$A$4694,0))</f>
        <v>11</v>
      </c>
      <c r="E1382" s="4">
        <f>INDEX(Positions!$D$2:$D$4694,MATCH($A1382&amp;"|24",Positions!$A$2:$A$4694,0))</f>
        <v>25</v>
      </c>
      <c r="F1382" s="4" t="str">
        <f>INDEX(Positions!$E$2:$E$4694,MATCH($A1382&amp;"|11",Positions!$A$2:$A$4694,0))</f>
        <v>C</v>
      </c>
      <c r="G1382" s="4" t="str">
        <f>INDEX(Positions!$E$2:$E$4694,MATCH($A1382&amp;"|24",Positions!$A$2:$A$4694,0))</f>
        <v>G</v>
      </c>
      <c r="H1382" s="3" t="str">
        <f t="shared" si="84"/>
        <v>C-G</v>
      </c>
      <c r="I1382" s="4">
        <f t="shared" si="85"/>
        <v>1</v>
      </c>
      <c r="J1382" s="4">
        <f t="shared" si="86"/>
        <v>1</v>
      </c>
      <c r="K1382" s="3">
        <f t="shared" si="87"/>
        <v>2</v>
      </c>
    </row>
    <row r="1383" spans="1:11">
      <c r="A1383" s="4" t="s">
        <v>86</v>
      </c>
      <c r="B1383" s="4" t="s">
        <v>125</v>
      </c>
      <c r="C1383" s="4" t="s">
        <v>229</v>
      </c>
      <c r="D1383" s="4">
        <f>INDEX(Positions!$D$2:$D$4694,MATCH($A1383&amp;"|12",Positions!$A$2:$A$4694,0))</f>
        <v>12</v>
      </c>
      <c r="E1383" s="4">
        <f>INDEX(Positions!$D$2:$D$4694,MATCH($A1383&amp;"|23",Positions!$A$2:$A$4694,0))</f>
        <v>24</v>
      </c>
      <c r="F1383" s="4" t="str">
        <f>INDEX(Positions!$E$2:$E$4694,MATCH($A1383&amp;"|12",Positions!$A$2:$A$4694,0))</f>
        <v>C</v>
      </c>
      <c r="G1383" s="4" t="str">
        <f>INDEX(Positions!$E$2:$E$4694,MATCH($A1383&amp;"|23",Positions!$A$2:$A$4694,0))</f>
        <v>G</v>
      </c>
      <c r="H1383" s="3" t="str">
        <f t="shared" si="84"/>
        <v>C-G</v>
      </c>
      <c r="I1383" s="4">
        <f t="shared" si="85"/>
        <v>1</v>
      </c>
      <c r="J1383" s="4">
        <f t="shared" si="86"/>
        <v>1</v>
      </c>
      <c r="K1383" s="3">
        <f t="shared" si="87"/>
        <v>2</v>
      </c>
    </row>
    <row r="1384" spans="1:11">
      <c r="A1384" s="4" t="s">
        <v>86</v>
      </c>
      <c r="B1384" s="4" t="s">
        <v>125</v>
      </c>
      <c r="C1384" s="4" t="s">
        <v>230</v>
      </c>
      <c r="D1384" s="4">
        <f>INDEX(Positions!$D$2:$D$4694,MATCH($A1384&amp;"|13",Positions!$A$2:$A$4694,0))</f>
        <v>13</v>
      </c>
      <c r="E1384" s="4">
        <f>INDEX(Positions!$D$2:$D$4694,MATCH($A1384&amp;"|22",Positions!$A$2:$A$4694,0))</f>
        <v>23</v>
      </c>
      <c r="F1384" s="4" t="str">
        <f>INDEX(Positions!$E$2:$E$4694,MATCH($A1384&amp;"|13",Positions!$A$2:$A$4694,0))</f>
        <v>A</v>
      </c>
      <c r="G1384" s="4" t="str">
        <f>INDEX(Positions!$E$2:$E$4694,MATCH($A1384&amp;"|22",Positions!$A$2:$A$4694,0))</f>
        <v>U</v>
      </c>
      <c r="H1384" s="3" t="str">
        <f t="shared" si="84"/>
        <v>A-U</v>
      </c>
      <c r="I1384" s="4">
        <f t="shared" si="85"/>
        <v>0</v>
      </c>
      <c r="J1384" s="4">
        <f t="shared" si="86"/>
        <v>0</v>
      </c>
      <c r="K1384" s="3">
        <f t="shared" si="87"/>
        <v>0</v>
      </c>
    </row>
    <row r="1385" spans="1:11">
      <c r="A1385" s="4" t="s">
        <v>86</v>
      </c>
      <c r="B1385" s="4" t="s">
        <v>144</v>
      </c>
      <c r="C1385" s="4" t="s">
        <v>231</v>
      </c>
      <c r="D1385" s="4">
        <f>INDEX(Positions!$D$2:$D$4694,MATCH($A1385&amp;"|27",Positions!$A$2:$A$4694,0))</f>
        <v>28</v>
      </c>
      <c r="E1385" s="4">
        <f>INDEX(Positions!$D$2:$D$4694,MATCH($A1385&amp;"|43",Positions!$A$2:$A$4694,0))</f>
        <v>44</v>
      </c>
      <c r="F1385" s="4" t="str">
        <f>INDEX(Positions!$E$2:$E$4694,MATCH($A1385&amp;"|27",Positions!$A$2:$A$4694,0))</f>
        <v>C</v>
      </c>
      <c r="G1385" s="4" t="str">
        <f>INDEX(Positions!$E$2:$E$4694,MATCH($A1385&amp;"|43",Positions!$A$2:$A$4694,0))</f>
        <v>G</v>
      </c>
      <c r="H1385" s="3" t="str">
        <f t="shared" si="84"/>
        <v>C-G</v>
      </c>
      <c r="I1385" s="4">
        <f t="shared" si="85"/>
        <v>1</v>
      </c>
      <c r="J1385" s="4">
        <f t="shared" si="86"/>
        <v>1</v>
      </c>
      <c r="K1385" s="3">
        <f t="shared" si="87"/>
        <v>2</v>
      </c>
    </row>
    <row r="1386" spans="1:11">
      <c r="A1386" s="4" t="s">
        <v>86</v>
      </c>
      <c r="B1386" s="4" t="s">
        <v>144</v>
      </c>
      <c r="C1386" s="4" t="s">
        <v>232</v>
      </c>
      <c r="D1386" s="4">
        <f>INDEX(Positions!$D$2:$D$4694,MATCH($A1386&amp;"|28",Positions!$A$2:$A$4694,0))</f>
        <v>29</v>
      </c>
      <c r="E1386" s="4">
        <f>INDEX(Positions!$D$2:$D$4694,MATCH($A1386&amp;"|42",Positions!$A$2:$A$4694,0))</f>
        <v>43</v>
      </c>
      <c r="F1386" s="4" t="str">
        <f>INDEX(Positions!$E$2:$E$4694,MATCH($A1386&amp;"|28",Positions!$A$2:$A$4694,0))</f>
        <v>G</v>
      </c>
      <c r="G1386" s="4" t="str">
        <f>INDEX(Positions!$E$2:$E$4694,MATCH($A1386&amp;"|42",Positions!$A$2:$A$4694,0))</f>
        <v>C</v>
      </c>
      <c r="H1386" s="3" t="str">
        <f t="shared" si="84"/>
        <v>G-C</v>
      </c>
      <c r="I1386" s="4">
        <f t="shared" si="85"/>
        <v>1</v>
      </c>
      <c r="J1386" s="4">
        <f t="shared" si="86"/>
        <v>1</v>
      </c>
      <c r="K1386" s="3">
        <f t="shared" si="87"/>
        <v>2</v>
      </c>
    </row>
    <row r="1387" spans="1:11">
      <c r="A1387" s="4" t="s">
        <v>86</v>
      </c>
      <c r="B1387" s="4" t="s">
        <v>144</v>
      </c>
      <c r="C1387" s="4" t="s">
        <v>233</v>
      </c>
      <c r="D1387" s="4">
        <f>INDEX(Positions!$D$2:$D$4694,MATCH($A1387&amp;"|29",Positions!$A$2:$A$4694,0))</f>
        <v>30</v>
      </c>
      <c r="E1387" s="4">
        <f>INDEX(Positions!$D$2:$D$4694,MATCH($A1387&amp;"|41",Positions!$A$2:$A$4694,0))</f>
        <v>42</v>
      </c>
      <c r="F1387" s="4" t="str">
        <f>INDEX(Positions!$E$2:$E$4694,MATCH($A1387&amp;"|29",Positions!$A$2:$A$4694,0))</f>
        <v>G</v>
      </c>
      <c r="G1387" s="4" t="str">
        <f>INDEX(Positions!$E$2:$E$4694,MATCH($A1387&amp;"|41",Positions!$A$2:$A$4694,0))</f>
        <v>C</v>
      </c>
      <c r="H1387" s="3" t="str">
        <f t="shared" si="84"/>
        <v>G-C</v>
      </c>
      <c r="I1387" s="4">
        <f t="shared" si="85"/>
        <v>1</v>
      </c>
      <c r="J1387" s="4">
        <f t="shared" si="86"/>
        <v>1</v>
      </c>
      <c r="K1387" s="3">
        <f t="shared" si="87"/>
        <v>2</v>
      </c>
    </row>
    <row r="1388" spans="1:11">
      <c r="A1388" s="4" t="s">
        <v>86</v>
      </c>
      <c r="B1388" s="4" t="s">
        <v>144</v>
      </c>
      <c r="C1388" s="4" t="s">
        <v>234</v>
      </c>
      <c r="D1388" s="4">
        <f>INDEX(Positions!$D$2:$D$4694,MATCH($A1388&amp;"|30",Positions!$A$2:$A$4694,0))</f>
        <v>31</v>
      </c>
      <c r="E1388" s="4">
        <f>INDEX(Positions!$D$2:$D$4694,MATCH($A1388&amp;"|40",Positions!$A$2:$A$4694,0))</f>
        <v>41</v>
      </c>
      <c r="F1388" s="4" t="str">
        <f>INDEX(Positions!$E$2:$E$4694,MATCH($A1388&amp;"|30",Positions!$A$2:$A$4694,0))</f>
        <v>G</v>
      </c>
      <c r="G1388" s="4" t="str">
        <f>INDEX(Positions!$E$2:$E$4694,MATCH($A1388&amp;"|40",Positions!$A$2:$A$4694,0))</f>
        <v>C</v>
      </c>
      <c r="H1388" s="3" t="str">
        <f t="shared" si="84"/>
        <v>G-C</v>
      </c>
      <c r="I1388" s="4">
        <f t="shared" si="85"/>
        <v>1</v>
      </c>
      <c r="J1388" s="4">
        <f t="shared" si="86"/>
        <v>1</v>
      </c>
      <c r="K1388" s="3">
        <f t="shared" si="87"/>
        <v>2</v>
      </c>
    </row>
    <row r="1389" spans="1:11">
      <c r="A1389" s="4" t="s">
        <v>86</v>
      </c>
      <c r="B1389" s="4" t="s">
        <v>144</v>
      </c>
      <c r="C1389" s="4" t="s">
        <v>235</v>
      </c>
      <c r="D1389" s="4">
        <f>INDEX(Positions!$D$2:$D$4694,MATCH($A1389&amp;"|31",Positions!$A$2:$A$4694,0))</f>
        <v>32</v>
      </c>
      <c r="E1389" s="4">
        <f>INDEX(Positions!$D$2:$D$4694,MATCH($A1389&amp;"|39",Positions!$A$2:$A$4694,0))</f>
        <v>40</v>
      </c>
      <c r="F1389" s="4" t="str">
        <f>INDEX(Positions!$E$2:$E$4694,MATCH($A1389&amp;"|31",Positions!$A$2:$A$4694,0))</f>
        <v>A</v>
      </c>
      <c r="G1389" s="4" t="str">
        <f>INDEX(Positions!$E$2:$E$4694,MATCH($A1389&amp;"|39",Positions!$A$2:$A$4694,0))</f>
        <v>U</v>
      </c>
      <c r="H1389" s="3" t="str">
        <f t="shared" si="84"/>
        <v>A-U</v>
      </c>
      <c r="I1389" s="4">
        <f t="shared" si="85"/>
        <v>0</v>
      </c>
      <c r="J1389" s="4">
        <f t="shared" si="86"/>
        <v>0</v>
      </c>
      <c r="K1389" s="3">
        <f t="shared" si="87"/>
        <v>0</v>
      </c>
    </row>
    <row r="1390" spans="1:11">
      <c r="A1390" s="4" t="s">
        <v>86</v>
      </c>
      <c r="B1390" s="4" t="s">
        <v>169</v>
      </c>
      <c r="C1390" s="4" t="s">
        <v>236</v>
      </c>
      <c r="D1390" s="4">
        <f>INDEX(Positions!$D$2:$D$4694,MATCH($A1390&amp;"|49",Positions!$A$2:$A$4694,0))</f>
        <v>61</v>
      </c>
      <c r="E1390" s="4">
        <f>INDEX(Positions!$D$2:$D$4694,MATCH($A1390&amp;"|65",Positions!$A$2:$A$4694,0))</f>
        <v>77</v>
      </c>
      <c r="F1390" s="4" t="str">
        <f>INDEX(Positions!$E$2:$E$4694,MATCH($A1390&amp;"|49",Positions!$A$2:$A$4694,0))</f>
        <v>G</v>
      </c>
      <c r="G1390" s="4" t="str">
        <f>INDEX(Positions!$E$2:$E$4694,MATCH($A1390&amp;"|65",Positions!$A$2:$A$4694,0))</f>
        <v>C</v>
      </c>
      <c r="H1390" s="3" t="str">
        <f t="shared" si="84"/>
        <v>G-C</v>
      </c>
      <c r="I1390" s="4">
        <f t="shared" si="85"/>
        <v>1</v>
      </c>
      <c r="J1390" s="4">
        <f t="shared" si="86"/>
        <v>1</v>
      </c>
      <c r="K1390" s="3">
        <f t="shared" si="87"/>
        <v>2</v>
      </c>
    </row>
    <row r="1391" spans="1:11">
      <c r="A1391" s="4" t="s">
        <v>86</v>
      </c>
      <c r="B1391" s="4" t="s">
        <v>169</v>
      </c>
      <c r="C1391" s="4" t="s">
        <v>237</v>
      </c>
      <c r="D1391" s="4">
        <f>INDEX(Positions!$D$2:$D$4694,MATCH($A1391&amp;"|50",Positions!$A$2:$A$4694,0))</f>
        <v>62</v>
      </c>
      <c r="E1391" s="4">
        <f>INDEX(Positions!$D$2:$D$4694,MATCH($A1391&amp;"|64",Positions!$A$2:$A$4694,0))</f>
        <v>76</v>
      </c>
      <c r="F1391" s="4" t="str">
        <f>INDEX(Positions!$E$2:$E$4694,MATCH($A1391&amp;"|50",Positions!$A$2:$A$4694,0))</f>
        <v>G</v>
      </c>
      <c r="G1391" s="4" t="str">
        <f>INDEX(Positions!$E$2:$E$4694,MATCH($A1391&amp;"|64",Positions!$A$2:$A$4694,0))</f>
        <v>C</v>
      </c>
      <c r="H1391" s="3" t="str">
        <f t="shared" si="84"/>
        <v>G-C</v>
      </c>
      <c r="I1391" s="4">
        <f t="shared" si="85"/>
        <v>1</v>
      </c>
      <c r="J1391" s="4">
        <f t="shared" si="86"/>
        <v>1</v>
      </c>
      <c r="K1391" s="3">
        <f t="shared" si="87"/>
        <v>2</v>
      </c>
    </row>
    <row r="1392" spans="1:11">
      <c r="A1392" s="4" t="s">
        <v>86</v>
      </c>
      <c r="B1392" s="4" t="s">
        <v>169</v>
      </c>
      <c r="C1392" s="4" t="s">
        <v>238</v>
      </c>
      <c r="D1392" s="4">
        <f>INDEX(Positions!$D$2:$D$4694,MATCH($A1392&amp;"|51",Positions!$A$2:$A$4694,0))</f>
        <v>63</v>
      </c>
      <c r="E1392" s="4">
        <f>INDEX(Positions!$D$2:$D$4694,MATCH($A1392&amp;"|63",Positions!$A$2:$A$4694,0))</f>
        <v>75</v>
      </c>
      <c r="F1392" s="4" t="str">
        <f>INDEX(Positions!$E$2:$E$4694,MATCH($A1392&amp;"|51",Positions!$A$2:$A$4694,0))</f>
        <v>G</v>
      </c>
      <c r="G1392" s="4" t="str">
        <f>INDEX(Positions!$E$2:$E$4694,MATCH($A1392&amp;"|63",Positions!$A$2:$A$4694,0))</f>
        <v>C</v>
      </c>
      <c r="H1392" s="3" t="str">
        <f t="shared" si="84"/>
        <v>G-C</v>
      </c>
      <c r="I1392" s="4">
        <f t="shared" si="85"/>
        <v>1</v>
      </c>
      <c r="J1392" s="4">
        <f t="shared" si="86"/>
        <v>1</v>
      </c>
      <c r="K1392" s="3">
        <f t="shared" si="87"/>
        <v>2</v>
      </c>
    </row>
    <row r="1393" spans="1:11">
      <c r="A1393" s="4" t="s">
        <v>86</v>
      </c>
      <c r="B1393" s="4" t="s">
        <v>169</v>
      </c>
      <c r="C1393" s="4" t="s">
        <v>239</v>
      </c>
      <c r="D1393" s="4">
        <f>INDEX(Positions!$D$2:$D$4694,MATCH($A1393&amp;"|52",Positions!$A$2:$A$4694,0))</f>
        <v>64</v>
      </c>
      <c r="E1393" s="4">
        <f>INDEX(Positions!$D$2:$D$4694,MATCH($A1393&amp;"|62",Positions!$A$2:$A$4694,0))</f>
        <v>74</v>
      </c>
      <c r="F1393" s="4" t="str">
        <f>INDEX(Positions!$E$2:$E$4694,MATCH($A1393&amp;"|52",Positions!$A$2:$A$4694,0))</f>
        <v>G</v>
      </c>
      <c r="G1393" s="4" t="str">
        <f>INDEX(Positions!$E$2:$E$4694,MATCH($A1393&amp;"|62",Positions!$A$2:$A$4694,0))</f>
        <v>C</v>
      </c>
      <c r="H1393" s="3" t="str">
        <f t="shared" si="84"/>
        <v>G-C</v>
      </c>
      <c r="I1393" s="4">
        <f t="shared" si="85"/>
        <v>1</v>
      </c>
      <c r="J1393" s="4">
        <f t="shared" si="86"/>
        <v>1</v>
      </c>
      <c r="K1393" s="3">
        <f t="shared" si="87"/>
        <v>2</v>
      </c>
    </row>
    <row r="1394" spans="1:11">
      <c r="A1394" s="4" t="s">
        <v>86</v>
      </c>
      <c r="B1394" s="4" t="s">
        <v>169</v>
      </c>
      <c r="C1394" s="4" t="s">
        <v>240</v>
      </c>
      <c r="D1394" s="4">
        <f>INDEX(Positions!$D$2:$D$4694,MATCH($A1394&amp;"|53",Positions!$A$2:$A$4694,0))</f>
        <v>65</v>
      </c>
      <c r="E1394" s="4">
        <f>INDEX(Positions!$D$2:$D$4694,MATCH($A1394&amp;"|61",Positions!$A$2:$A$4694,0))</f>
        <v>73</v>
      </c>
      <c r="F1394" s="4" t="str">
        <f>INDEX(Positions!$E$2:$E$4694,MATCH($A1394&amp;"|53",Positions!$A$2:$A$4694,0))</f>
        <v>G</v>
      </c>
      <c r="G1394" s="4" t="str">
        <f>INDEX(Positions!$E$2:$E$4694,MATCH($A1394&amp;"|61",Positions!$A$2:$A$4694,0))</f>
        <v>C</v>
      </c>
      <c r="H1394" s="3" t="str">
        <f t="shared" si="84"/>
        <v>G-C</v>
      </c>
      <c r="I1394" s="4">
        <f t="shared" si="85"/>
        <v>1</v>
      </c>
      <c r="J1394" s="4">
        <f t="shared" si="86"/>
        <v>1</v>
      </c>
      <c r="K1394" s="3">
        <f t="shared" si="87"/>
        <v>2</v>
      </c>
    </row>
    <row r="1395" spans="1:11">
      <c r="A1395" s="23" t="s">
        <v>86</v>
      </c>
      <c r="B1395" s="23" t="s">
        <v>241</v>
      </c>
      <c r="C1395" s="23" t="s">
        <v>242</v>
      </c>
      <c r="D1395" s="23">
        <f>INDEX(Positions!$D$2:$D$4694,MATCH($A1395&amp;"|8",Positions!$A$2:$A$4694,0))</f>
        <v>8</v>
      </c>
      <c r="E1395" s="23">
        <f>INDEX(Positions!$D$2:$D$4694,MATCH($A1395&amp;"|14",Positions!$A$2:$A$4694,0))</f>
        <v>14</v>
      </c>
      <c r="F1395" s="23" t="str">
        <f>INDEX(Positions!$E$2:$E$4694,MATCH($A1395&amp;"|8",Positions!$A$2:$A$4694,0))</f>
        <v>U</v>
      </c>
      <c r="G1395" s="23" t="str">
        <f>INDEX(Positions!$E$2:$E$4694,MATCH($A1395&amp;"|14",Positions!$A$2:$A$4694,0))</f>
        <v>A</v>
      </c>
      <c r="H1395" s="24" t="str">
        <f t="shared" si="84"/>
        <v>U-A</v>
      </c>
      <c r="I1395" s="23">
        <f t="shared" si="85"/>
        <v>0</v>
      </c>
      <c r="J1395" s="23">
        <f t="shared" si="86"/>
        <v>0</v>
      </c>
      <c r="K1395" s="24">
        <f t="shared" si="87"/>
        <v>0</v>
      </c>
    </row>
    <row r="1396" spans="1:11">
      <c r="A1396" s="23" t="s">
        <v>86</v>
      </c>
      <c r="B1396" s="23" t="s">
        <v>241</v>
      </c>
      <c r="C1396" s="23" t="s">
        <v>243</v>
      </c>
      <c r="D1396" s="23">
        <f>INDEX(Positions!$D$2:$D$4694,MATCH($A1396&amp;"|15",Positions!$A$2:$A$4694,0))</f>
        <v>15</v>
      </c>
      <c r="E1396" s="23">
        <f>INDEX(Positions!$D$2:$D$4694,MATCH($A1396&amp;"|48",Positions!$A$2:$A$4694,0))</f>
        <v>60</v>
      </c>
      <c r="F1396" s="23" t="str">
        <f>INDEX(Positions!$E$2:$E$4694,MATCH($A1396&amp;"|15",Positions!$A$2:$A$4694,0))</f>
        <v>G</v>
      </c>
      <c r="G1396" s="23" t="str">
        <f>INDEX(Positions!$E$2:$E$4694,MATCH($A1396&amp;"|48",Positions!$A$2:$A$4694,0))</f>
        <v>C</v>
      </c>
      <c r="H1396" s="24" t="str">
        <f t="shared" si="84"/>
        <v>G-C</v>
      </c>
      <c r="I1396" s="23">
        <f t="shared" si="85"/>
        <v>1</v>
      </c>
      <c r="J1396" s="23">
        <f t="shared" si="86"/>
        <v>1</v>
      </c>
      <c r="K1396" s="24">
        <f t="shared" si="87"/>
        <v>2</v>
      </c>
    </row>
    <row r="1397" spans="1:11">
      <c r="A1397" s="23" t="s">
        <v>86</v>
      </c>
      <c r="B1397" s="23" t="s">
        <v>241</v>
      </c>
      <c r="C1397" s="23" t="s">
        <v>244</v>
      </c>
      <c r="D1397" s="23">
        <f>INDEX(Positions!$D$2:$D$4694,MATCH($A1397&amp;"|18",Positions!$A$2:$A$4694,0))</f>
        <v>19</v>
      </c>
      <c r="E1397" s="23">
        <f>INDEX(Positions!$D$2:$D$4694,MATCH($A1397&amp;"|55",Positions!$A$2:$A$4694,0))</f>
        <v>67</v>
      </c>
      <c r="F1397" s="23" t="str">
        <f>INDEX(Positions!$E$2:$E$4694,MATCH($A1397&amp;"|18",Positions!$A$2:$A$4694,0))</f>
        <v>G</v>
      </c>
      <c r="G1397" s="23" t="str">
        <f>INDEX(Positions!$E$2:$E$4694,MATCH($A1397&amp;"|55",Positions!$A$2:$A$4694,0))</f>
        <v>U</v>
      </c>
      <c r="H1397" s="24" t="str">
        <f t="shared" si="84"/>
        <v>G-U</v>
      </c>
      <c r="I1397" s="23">
        <f t="shared" si="85"/>
        <v>1</v>
      </c>
      <c r="J1397" s="23">
        <f t="shared" si="86"/>
        <v>0</v>
      </c>
      <c r="K1397" s="24">
        <f t="shared" si="87"/>
        <v>1</v>
      </c>
    </row>
    <row r="1398" spans="1:11">
      <c r="A1398" s="23" t="s">
        <v>86</v>
      </c>
      <c r="B1398" s="23" t="s">
        <v>241</v>
      </c>
      <c r="C1398" s="23" t="s">
        <v>245</v>
      </c>
      <c r="D1398" s="23">
        <f>INDEX(Positions!$D$2:$D$4694,MATCH($A1398&amp;"|19",Positions!$A$2:$A$4694,0))</f>
        <v>20</v>
      </c>
      <c r="E1398" s="23">
        <f>INDEX(Positions!$D$2:$D$4694,MATCH($A1398&amp;"|56",Positions!$A$2:$A$4694,0))</f>
        <v>68</v>
      </c>
      <c r="F1398" s="23" t="str">
        <f>INDEX(Positions!$E$2:$E$4694,MATCH($A1398&amp;"|19",Positions!$A$2:$A$4694,0))</f>
        <v>G</v>
      </c>
      <c r="G1398" s="23" t="str">
        <f>INDEX(Positions!$E$2:$E$4694,MATCH($A1398&amp;"|56",Positions!$A$2:$A$4694,0))</f>
        <v>C</v>
      </c>
      <c r="H1398" s="24" t="str">
        <f t="shared" si="84"/>
        <v>G-C</v>
      </c>
      <c r="I1398" s="23">
        <f t="shared" si="85"/>
        <v>1</v>
      </c>
      <c r="J1398" s="23">
        <f t="shared" si="86"/>
        <v>1</v>
      </c>
      <c r="K1398" s="24">
        <f t="shared" si="87"/>
        <v>2</v>
      </c>
    </row>
    <row r="1399" spans="1:11">
      <c r="A1399" s="23" t="s">
        <v>86</v>
      </c>
      <c r="B1399" s="23" t="s">
        <v>241</v>
      </c>
      <c r="C1399" s="23" t="s">
        <v>246</v>
      </c>
      <c r="D1399" s="23">
        <f>INDEX(Positions!$D$2:$D$4694,MATCH($A1399&amp;"|26",Positions!$A$2:$A$4694,0))</f>
        <v>27</v>
      </c>
      <c r="E1399" s="23">
        <f>INDEX(Positions!$D$2:$D$4694,MATCH($A1399&amp;"|44",Positions!$A$2:$A$4694,0))</f>
        <v>45</v>
      </c>
      <c r="F1399" s="23" t="str">
        <f>INDEX(Positions!$E$2:$E$4694,MATCH($A1399&amp;"|26",Positions!$A$2:$A$4694,0))</f>
        <v>G</v>
      </c>
      <c r="G1399" s="23" t="str">
        <f>INDEX(Positions!$E$2:$E$4694,MATCH($A1399&amp;"|44",Positions!$A$2:$A$4694,0))</f>
        <v>U</v>
      </c>
      <c r="H1399" s="24" t="str">
        <f t="shared" si="84"/>
        <v>G-U</v>
      </c>
      <c r="I1399" s="23">
        <f t="shared" si="85"/>
        <v>1</v>
      </c>
      <c r="J1399" s="23">
        <f t="shared" si="86"/>
        <v>0</v>
      </c>
      <c r="K1399" s="24">
        <f t="shared" si="87"/>
        <v>1</v>
      </c>
    </row>
    <row r="1400" spans="1:11">
      <c r="A1400" s="23" t="s">
        <v>86</v>
      </c>
      <c r="B1400" s="23" t="s">
        <v>241</v>
      </c>
      <c r="C1400" s="23" t="s">
        <v>247</v>
      </c>
      <c r="D1400" s="23">
        <f>INDEX(Positions!$D$2:$D$4694,MATCH($A1400&amp;"|32",Positions!$A$2:$A$4694,0))</f>
        <v>33</v>
      </c>
      <c r="E1400" s="23">
        <f>INDEX(Positions!$D$2:$D$4694,MATCH($A1400&amp;"|38",Positions!$A$2:$A$4694,0))</f>
        <v>39</v>
      </c>
      <c r="F1400" s="23" t="str">
        <f>INDEX(Positions!$E$2:$E$4694,MATCH($A1400&amp;"|32",Positions!$A$2:$A$4694,0))</f>
        <v>U</v>
      </c>
      <c r="G1400" s="23" t="str">
        <f>INDEX(Positions!$E$2:$E$4694,MATCH($A1400&amp;"|38",Positions!$A$2:$A$4694,0))</f>
        <v>A</v>
      </c>
      <c r="H1400" s="24" t="str">
        <f t="shared" si="84"/>
        <v>U-A</v>
      </c>
      <c r="I1400" s="23">
        <f t="shared" si="85"/>
        <v>0</v>
      </c>
      <c r="J1400" s="23">
        <f t="shared" si="86"/>
        <v>0</v>
      </c>
      <c r="K1400" s="24">
        <f t="shared" si="87"/>
        <v>0</v>
      </c>
    </row>
    <row r="1401" spans="1:11">
      <c r="A1401" s="23" t="s">
        <v>86</v>
      </c>
      <c r="B1401" s="23" t="s">
        <v>241</v>
      </c>
      <c r="C1401" s="23" t="s">
        <v>248</v>
      </c>
      <c r="D1401" s="23">
        <f>INDEX(Positions!$D$2:$D$4694,MATCH($A1401&amp;"|54",Positions!$A$2:$A$4694,0))</f>
        <v>66</v>
      </c>
      <c r="E1401" s="23">
        <f>INDEX(Positions!$D$2:$D$4694,MATCH($A1401&amp;"|58",Positions!$A$2:$A$4694,0))</f>
        <v>70</v>
      </c>
      <c r="F1401" s="23" t="str">
        <f>INDEX(Positions!$E$2:$E$4694,MATCH($A1401&amp;"|54",Positions!$A$2:$A$4694,0))</f>
        <v>U</v>
      </c>
      <c r="G1401" s="23" t="str">
        <f>INDEX(Positions!$E$2:$E$4694,MATCH($A1401&amp;"|58",Positions!$A$2:$A$4694,0))</f>
        <v>A</v>
      </c>
      <c r="H1401" s="24" t="str">
        <f t="shared" si="84"/>
        <v>U-A</v>
      </c>
      <c r="I1401" s="23">
        <f t="shared" si="85"/>
        <v>0</v>
      </c>
      <c r="J1401" s="23">
        <f t="shared" si="86"/>
        <v>0</v>
      </c>
      <c r="K1401" s="24">
        <f t="shared" si="87"/>
        <v>0</v>
      </c>
    </row>
    <row r="1402" spans="1:11">
      <c r="A1402" s="4" t="s">
        <v>87</v>
      </c>
      <c r="B1402" s="4" t="s">
        <v>110</v>
      </c>
      <c r="C1402" s="4" t="s">
        <v>220</v>
      </c>
      <c r="D1402" s="4">
        <f>INDEX(Positions!$D$2:$D$4694,MATCH($A1402&amp;"|1",Positions!$A$2:$A$4694,0))</f>
        <v>1</v>
      </c>
      <c r="E1402" s="4">
        <f>INDEX(Positions!$D$2:$D$4694,MATCH($A1402&amp;"|72",Positions!$A$2:$A$4694,0))</f>
        <v>82</v>
      </c>
      <c r="F1402" s="4" t="str">
        <f>INDEX(Positions!$E$2:$E$4694,MATCH($A1402&amp;"|1",Positions!$A$2:$A$4694,0))</f>
        <v>G</v>
      </c>
      <c r="G1402" s="4" t="str">
        <f>INDEX(Positions!$E$2:$E$4694,MATCH($A1402&amp;"|72",Positions!$A$2:$A$4694,0))</f>
        <v>C</v>
      </c>
      <c r="H1402" s="3" t="str">
        <f t="shared" si="84"/>
        <v>G-C</v>
      </c>
      <c r="I1402" s="4">
        <f t="shared" si="85"/>
        <v>1</v>
      </c>
      <c r="J1402" s="4">
        <f t="shared" si="86"/>
        <v>1</v>
      </c>
      <c r="K1402" s="3">
        <f t="shared" si="87"/>
        <v>2</v>
      </c>
    </row>
    <row r="1403" spans="1:11">
      <c r="A1403" s="4" t="s">
        <v>87</v>
      </c>
      <c r="B1403" s="4" t="s">
        <v>110</v>
      </c>
      <c r="C1403" s="4" t="s">
        <v>221</v>
      </c>
      <c r="D1403" s="4">
        <f>INDEX(Positions!$D$2:$D$4694,MATCH($A1403&amp;"|2",Positions!$A$2:$A$4694,0))</f>
        <v>2</v>
      </c>
      <c r="E1403" s="4">
        <f>INDEX(Positions!$D$2:$D$4694,MATCH($A1403&amp;"|71",Positions!$A$2:$A$4694,0))</f>
        <v>81</v>
      </c>
      <c r="F1403" s="4" t="str">
        <f>INDEX(Positions!$E$2:$E$4694,MATCH($A1403&amp;"|2",Positions!$A$2:$A$4694,0))</f>
        <v>C</v>
      </c>
      <c r="G1403" s="4" t="str">
        <f>INDEX(Positions!$E$2:$E$4694,MATCH($A1403&amp;"|71",Positions!$A$2:$A$4694,0))</f>
        <v>G</v>
      </c>
      <c r="H1403" s="3" t="str">
        <f t="shared" si="84"/>
        <v>C-G</v>
      </c>
      <c r="I1403" s="4">
        <f t="shared" si="85"/>
        <v>1</v>
      </c>
      <c r="J1403" s="4">
        <f t="shared" si="86"/>
        <v>1</v>
      </c>
      <c r="K1403" s="3">
        <f t="shared" si="87"/>
        <v>2</v>
      </c>
    </row>
    <row r="1404" spans="1:11">
      <c r="A1404" s="4" t="s">
        <v>87</v>
      </c>
      <c r="B1404" s="4" t="s">
        <v>110</v>
      </c>
      <c r="C1404" s="4" t="s">
        <v>222</v>
      </c>
      <c r="D1404" s="4">
        <f>INDEX(Positions!$D$2:$D$4694,MATCH($A1404&amp;"|3",Positions!$A$2:$A$4694,0))</f>
        <v>3</v>
      </c>
      <c r="E1404" s="4">
        <f>INDEX(Positions!$D$2:$D$4694,MATCH($A1404&amp;"|70",Positions!$A$2:$A$4694,0))</f>
        <v>80</v>
      </c>
      <c r="F1404" s="4" t="str">
        <f>INDEX(Positions!$E$2:$E$4694,MATCH($A1404&amp;"|3",Positions!$A$2:$A$4694,0))</f>
        <v>C</v>
      </c>
      <c r="G1404" s="4" t="str">
        <f>INDEX(Positions!$E$2:$E$4694,MATCH($A1404&amp;"|70",Positions!$A$2:$A$4694,0))</f>
        <v>G</v>
      </c>
      <c r="H1404" s="3" t="str">
        <f t="shared" si="84"/>
        <v>C-G</v>
      </c>
      <c r="I1404" s="4">
        <f t="shared" si="85"/>
        <v>1</v>
      </c>
      <c r="J1404" s="4">
        <f t="shared" si="86"/>
        <v>1</v>
      </c>
      <c r="K1404" s="3">
        <f t="shared" si="87"/>
        <v>2</v>
      </c>
    </row>
    <row r="1405" spans="1:11">
      <c r="A1405" s="4" t="s">
        <v>87</v>
      </c>
      <c r="B1405" s="4" t="s">
        <v>110</v>
      </c>
      <c r="C1405" s="4" t="s">
        <v>223</v>
      </c>
      <c r="D1405" s="4">
        <f>INDEX(Positions!$D$2:$D$4694,MATCH($A1405&amp;"|4",Positions!$A$2:$A$4694,0))</f>
        <v>4</v>
      </c>
      <c r="E1405" s="4">
        <f>INDEX(Positions!$D$2:$D$4694,MATCH($A1405&amp;"|69",Positions!$A$2:$A$4694,0))</f>
        <v>79</v>
      </c>
      <c r="F1405" s="4" t="str">
        <f>INDEX(Positions!$E$2:$E$4694,MATCH($A1405&amp;"|4",Positions!$A$2:$A$4694,0))</f>
        <v>G</v>
      </c>
      <c r="G1405" s="4" t="str">
        <f>INDEX(Positions!$E$2:$E$4694,MATCH($A1405&amp;"|69",Positions!$A$2:$A$4694,0))</f>
        <v>C</v>
      </c>
      <c r="H1405" s="3" t="str">
        <f t="shared" si="84"/>
        <v>G-C</v>
      </c>
      <c r="I1405" s="4">
        <f t="shared" si="85"/>
        <v>1</v>
      </c>
      <c r="J1405" s="4">
        <f t="shared" si="86"/>
        <v>1</v>
      </c>
      <c r="K1405" s="3">
        <f t="shared" si="87"/>
        <v>2</v>
      </c>
    </row>
    <row r="1406" spans="1:11">
      <c r="A1406" s="4" t="s">
        <v>87</v>
      </c>
      <c r="B1406" s="4" t="s">
        <v>110</v>
      </c>
      <c r="C1406" s="4" t="s">
        <v>224</v>
      </c>
      <c r="D1406" s="4">
        <f>INDEX(Positions!$D$2:$D$4694,MATCH($A1406&amp;"|5",Positions!$A$2:$A$4694,0))</f>
        <v>5</v>
      </c>
      <c r="E1406" s="4">
        <f>INDEX(Positions!$D$2:$D$4694,MATCH($A1406&amp;"|68",Positions!$A$2:$A$4694,0))</f>
        <v>78</v>
      </c>
      <c r="F1406" s="4" t="str">
        <f>INDEX(Positions!$E$2:$E$4694,MATCH($A1406&amp;"|5",Positions!$A$2:$A$4694,0))</f>
        <v>A</v>
      </c>
      <c r="G1406" s="4" t="str">
        <f>INDEX(Positions!$E$2:$E$4694,MATCH($A1406&amp;"|68",Positions!$A$2:$A$4694,0))</f>
        <v>U</v>
      </c>
      <c r="H1406" s="3" t="str">
        <f t="shared" si="84"/>
        <v>A-U</v>
      </c>
      <c r="I1406" s="4">
        <f t="shared" si="85"/>
        <v>0</v>
      </c>
      <c r="J1406" s="4">
        <f t="shared" si="86"/>
        <v>0</v>
      </c>
      <c r="K1406" s="3">
        <f t="shared" si="87"/>
        <v>0</v>
      </c>
    </row>
    <row r="1407" spans="1:11">
      <c r="A1407" s="4" t="s">
        <v>87</v>
      </c>
      <c r="B1407" s="4" t="s">
        <v>110</v>
      </c>
      <c r="C1407" s="4" t="s">
        <v>225</v>
      </c>
      <c r="D1407" s="4">
        <f>INDEX(Positions!$D$2:$D$4694,MATCH($A1407&amp;"|6",Positions!$A$2:$A$4694,0))</f>
        <v>6</v>
      </c>
      <c r="E1407" s="4">
        <f>INDEX(Positions!$D$2:$D$4694,MATCH($A1407&amp;"|67",Positions!$A$2:$A$4694,0))</f>
        <v>77</v>
      </c>
      <c r="F1407" s="4" t="str">
        <f>INDEX(Positions!$E$2:$E$4694,MATCH($A1407&amp;"|6",Positions!$A$2:$A$4694,0))</f>
        <v>G</v>
      </c>
      <c r="G1407" s="4" t="str">
        <f>INDEX(Positions!$E$2:$E$4694,MATCH($A1407&amp;"|67",Positions!$A$2:$A$4694,0))</f>
        <v>C</v>
      </c>
      <c r="H1407" s="3" t="str">
        <f t="shared" si="84"/>
        <v>G-C</v>
      </c>
      <c r="I1407" s="4">
        <f t="shared" si="85"/>
        <v>1</v>
      </c>
      <c r="J1407" s="4">
        <f t="shared" si="86"/>
        <v>1</v>
      </c>
      <c r="K1407" s="3">
        <f t="shared" si="87"/>
        <v>2</v>
      </c>
    </row>
    <row r="1408" spans="1:11">
      <c r="A1408" s="4" t="s">
        <v>87</v>
      </c>
      <c r="B1408" s="4" t="s">
        <v>110</v>
      </c>
      <c r="C1408" s="4" t="s">
        <v>226</v>
      </c>
      <c r="D1408" s="4">
        <f>INDEX(Positions!$D$2:$D$4694,MATCH($A1408&amp;"|7",Positions!$A$2:$A$4694,0))</f>
        <v>7</v>
      </c>
      <c r="E1408" s="4">
        <f>INDEX(Positions!$D$2:$D$4694,MATCH($A1408&amp;"|66",Positions!$A$2:$A$4694,0))</f>
        <v>76</v>
      </c>
      <c r="F1408" s="4" t="str">
        <f>INDEX(Positions!$E$2:$E$4694,MATCH($A1408&amp;"|7",Positions!$A$2:$A$4694,0))</f>
        <v>G</v>
      </c>
      <c r="G1408" s="4" t="str">
        <f>INDEX(Positions!$E$2:$E$4694,MATCH($A1408&amp;"|66",Positions!$A$2:$A$4694,0))</f>
        <v>C</v>
      </c>
      <c r="H1408" s="3" t="str">
        <f t="shared" si="84"/>
        <v>G-C</v>
      </c>
      <c r="I1408" s="4">
        <f t="shared" si="85"/>
        <v>1</v>
      </c>
      <c r="J1408" s="4">
        <f t="shared" si="86"/>
        <v>1</v>
      </c>
      <c r="K1408" s="3">
        <f t="shared" si="87"/>
        <v>2</v>
      </c>
    </row>
    <row r="1409" spans="1:11">
      <c r="A1409" s="4" t="s">
        <v>87</v>
      </c>
      <c r="B1409" s="4" t="s">
        <v>125</v>
      </c>
      <c r="C1409" s="4" t="s">
        <v>227</v>
      </c>
      <c r="D1409" s="4">
        <f>INDEX(Positions!$D$2:$D$4694,MATCH($A1409&amp;"|10",Positions!$A$2:$A$4694,0))</f>
        <v>10</v>
      </c>
      <c r="E1409" s="4">
        <f>INDEX(Positions!$D$2:$D$4694,MATCH($A1409&amp;"|25",Positions!$A$2:$A$4694,0))</f>
        <v>24</v>
      </c>
      <c r="F1409" s="4" t="str">
        <f>INDEX(Positions!$E$2:$E$4694,MATCH($A1409&amp;"|10",Positions!$A$2:$A$4694,0))</f>
        <v>G</v>
      </c>
      <c r="G1409" s="4" t="str">
        <f>INDEX(Positions!$E$2:$E$4694,MATCH($A1409&amp;"|25",Positions!$A$2:$A$4694,0))</f>
        <v>C</v>
      </c>
      <c r="H1409" s="3" t="str">
        <f t="shared" si="84"/>
        <v>G-C</v>
      </c>
      <c r="I1409" s="4">
        <f t="shared" si="85"/>
        <v>1</v>
      </c>
      <c r="J1409" s="4">
        <f t="shared" si="86"/>
        <v>1</v>
      </c>
      <c r="K1409" s="3">
        <f t="shared" si="87"/>
        <v>2</v>
      </c>
    </row>
    <row r="1410" spans="1:11">
      <c r="A1410" s="4" t="s">
        <v>87</v>
      </c>
      <c r="B1410" s="4" t="s">
        <v>125</v>
      </c>
      <c r="C1410" s="4" t="s">
        <v>228</v>
      </c>
      <c r="D1410" s="4">
        <f>INDEX(Positions!$D$2:$D$4694,MATCH($A1410&amp;"|11",Positions!$A$2:$A$4694,0))</f>
        <v>11</v>
      </c>
      <c r="E1410" s="4">
        <f>INDEX(Positions!$D$2:$D$4694,MATCH($A1410&amp;"|24",Positions!$A$2:$A$4694,0))</f>
        <v>23</v>
      </c>
      <c r="F1410" s="4" t="str">
        <f>INDEX(Positions!$E$2:$E$4694,MATCH($A1410&amp;"|11",Positions!$A$2:$A$4694,0))</f>
        <v>U</v>
      </c>
      <c r="G1410" s="4" t="str">
        <f>INDEX(Positions!$E$2:$E$4694,MATCH($A1410&amp;"|24",Positions!$A$2:$A$4694,0))</f>
        <v>G</v>
      </c>
      <c r="H1410" s="3" t="str">
        <f t="shared" ref="H1410:H1473" si="88">F1410&amp;"-"&amp;G1410</f>
        <v>U-G</v>
      </c>
      <c r="I1410" s="4">
        <f t="shared" ref="I1410:I1473" si="89">(F1410="G")+(G1410="G")</f>
        <v>1</v>
      </c>
      <c r="J1410" s="4">
        <f t="shared" ref="J1410:J1473" si="90">(F1410="C")+(G1410="C")</f>
        <v>0</v>
      </c>
      <c r="K1410" s="3">
        <f t="shared" ref="K1410:K1473" si="91">I1410+J1410</f>
        <v>1</v>
      </c>
    </row>
    <row r="1411" spans="1:11">
      <c r="A1411" s="4" t="s">
        <v>87</v>
      </c>
      <c r="B1411" s="4" t="s">
        <v>125</v>
      </c>
      <c r="C1411" s="4" t="s">
        <v>229</v>
      </c>
      <c r="D1411" s="4">
        <f>INDEX(Positions!$D$2:$D$4694,MATCH($A1411&amp;"|12",Positions!$A$2:$A$4694,0))</f>
        <v>12</v>
      </c>
      <c r="E1411" s="4">
        <f>INDEX(Positions!$D$2:$D$4694,MATCH($A1411&amp;"|23",Positions!$A$2:$A$4694,0))</f>
        <v>22</v>
      </c>
      <c r="F1411" s="4" t="str">
        <f>INDEX(Positions!$E$2:$E$4694,MATCH($A1411&amp;"|12",Positions!$A$2:$A$4694,0))</f>
        <v>C</v>
      </c>
      <c r="G1411" s="4" t="str">
        <f>INDEX(Positions!$E$2:$E$4694,MATCH($A1411&amp;"|23",Positions!$A$2:$A$4694,0))</f>
        <v>G</v>
      </c>
      <c r="H1411" s="3" t="str">
        <f t="shared" si="88"/>
        <v>C-G</v>
      </c>
      <c r="I1411" s="4">
        <f t="shared" si="89"/>
        <v>1</v>
      </c>
      <c r="J1411" s="4">
        <f t="shared" si="90"/>
        <v>1</v>
      </c>
      <c r="K1411" s="3">
        <f t="shared" si="91"/>
        <v>2</v>
      </c>
    </row>
    <row r="1412" spans="1:11">
      <c r="A1412" s="4" t="s">
        <v>87</v>
      </c>
      <c r="B1412" s="4" t="s">
        <v>125</v>
      </c>
      <c r="C1412" s="4" t="s">
        <v>230</v>
      </c>
      <c r="D1412" s="4">
        <f>INDEX(Positions!$D$2:$D$4694,MATCH($A1412&amp;"|13",Positions!$A$2:$A$4694,0))</f>
        <v>13</v>
      </c>
      <c r="E1412" s="4">
        <f>INDEX(Positions!$D$2:$D$4694,MATCH($A1412&amp;"|22",Positions!$A$2:$A$4694,0))</f>
        <v>21</v>
      </c>
      <c r="F1412" s="4" t="str">
        <f>INDEX(Positions!$E$2:$E$4694,MATCH($A1412&amp;"|13",Positions!$A$2:$A$4694,0))</f>
        <v>U</v>
      </c>
      <c r="G1412" s="4" t="str">
        <f>INDEX(Positions!$E$2:$E$4694,MATCH($A1412&amp;"|22",Positions!$A$2:$A$4694,0))</f>
        <v>G</v>
      </c>
      <c r="H1412" s="3" t="str">
        <f t="shared" si="88"/>
        <v>U-G</v>
      </c>
      <c r="I1412" s="4">
        <f t="shared" si="89"/>
        <v>1</v>
      </c>
      <c r="J1412" s="4">
        <f t="shared" si="90"/>
        <v>0</v>
      </c>
      <c r="K1412" s="3">
        <f t="shared" si="91"/>
        <v>1</v>
      </c>
    </row>
    <row r="1413" spans="1:11">
      <c r="A1413" s="4" t="s">
        <v>87</v>
      </c>
      <c r="B1413" s="4" t="s">
        <v>144</v>
      </c>
      <c r="C1413" s="4" t="s">
        <v>231</v>
      </c>
      <c r="D1413" s="4">
        <f>INDEX(Positions!$D$2:$D$4694,MATCH($A1413&amp;"|27",Positions!$A$2:$A$4694,0))</f>
        <v>26</v>
      </c>
      <c r="E1413" s="4">
        <f>INDEX(Positions!$D$2:$D$4694,MATCH($A1413&amp;"|43",Positions!$A$2:$A$4694,0))</f>
        <v>42</v>
      </c>
      <c r="F1413" s="4" t="str">
        <f>INDEX(Positions!$E$2:$E$4694,MATCH($A1413&amp;"|27",Positions!$A$2:$A$4694,0))</f>
        <v>C</v>
      </c>
      <c r="G1413" s="4" t="str">
        <f>INDEX(Positions!$E$2:$E$4694,MATCH($A1413&amp;"|43",Positions!$A$2:$A$4694,0))</f>
        <v>G</v>
      </c>
      <c r="H1413" s="3" t="str">
        <f t="shared" si="88"/>
        <v>C-G</v>
      </c>
      <c r="I1413" s="4">
        <f t="shared" si="89"/>
        <v>1</v>
      </c>
      <c r="J1413" s="4">
        <f t="shared" si="90"/>
        <v>1</v>
      </c>
      <c r="K1413" s="3">
        <f t="shared" si="91"/>
        <v>2</v>
      </c>
    </row>
    <row r="1414" spans="1:11">
      <c r="A1414" s="4" t="s">
        <v>87</v>
      </c>
      <c r="B1414" s="4" t="s">
        <v>144</v>
      </c>
      <c r="C1414" s="4" t="s">
        <v>232</v>
      </c>
      <c r="D1414" s="4">
        <f>INDEX(Positions!$D$2:$D$4694,MATCH($A1414&amp;"|28",Positions!$A$2:$A$4694,0))</f>
        <v>27</v>
      </c>
      <c r="E1414" s="4">
        <f>INDEX(Positions!$D$2:$D$4694,MATCH($A1414&amp;"|42",Positions!$A$2:$A$4694,0))</f>
        <v>41</v>
      </c>
      <c r="F1414" s="4" t="str">
        <f>INDEX(Positions!$E$2:$E$4694,MATCH($A1414&amp;"|28",Positions!$A$2:$A$4694,0))</f>
        <v>A</v>
      </c>
      <c r="G1414" s="4" t="str">
        <f>INDEX(Positions!$E$2:$E$4694,MATCH($A1414&amp;"|42",Positions!$A$2:$A$4694,0))</f>
        <v>U</v>
      </c>
      <c r="H1414" s="3" t="str">
        <f t="shared" si="88"/>
        <v>A-U</v>
      </c>
      <c r="I1414" s="4">
        <f t="shared" si="89"/>
        <v>0</v>
      </c>
      <c r="J1414" s="4">
        <f t="shared" si="90"/>
        <v>0</v>
      </c>
      <c r="K1414" s="3">
        <f t="shared" si="91"/>
        <v>0</v>
      </c>
    </row>
    <row r="1415" spans="1:11">
      <c r="A1415" s="4" t="s">
        <v>87</v>
      </c>
      <c r="B1415" s="4" t="s">
        <v>144</v>
      </c>
      <c r="C1415" s="4" t="s">
        <v>233</v>
      </c>
      <c r="D1415" s="4">
        <f>INDEX(Positions!$D$2:$D$4694,MATCH($A1415&amp;"|29",Positions!$A$2:$A$4694,0))</f>
        <v>28</v>
      </c>
      <c r="E1415" s="4">
        <f>INDEX(Positions!$D$2:$D$4694,MATCH($A1415&amp;"|41",Positions!$A$2:$A$4694,0))</f>
        <v>40</v>
      </c>
      <c r="F1415" s="4" t="str">
        <f>INDEX(Positions!$E$2:$E$4694,MATCH($A1415&amp;"|29",Positions!$A$2:$A$4694,0))</f>
        <v>A</v>
      </c>
      <c r="G1415" s="4" t="str">
        <f>INDEX(Positions!$E$2:$E$4694,MATCH($A1415&amp;"|41",Positions!$A$2:$A$4694,0))</f>
        <v>U</v>
      </c>
      <c r="H1415" s="3" t="str">
        <f t="shared" si="88"/>
        <v>A-U</v>
      </c>
      <c r="I1415" s="4">
        <f t="shared" si="89"/>
        <v>0</v>
      </c>
      <c r="J1415" s="4">
        <f t="shared" si="90"/>
        <v>0</v>
      </c>
      <c r="K1415" s="3">
        <f t="shared" si="91"/>
        <v>0</v>
      </c>
    </row>
    <row r="1416" spans="1:11">
      <c r="A1416" s="4" t="s">
        <v>87</v>
      </c>
      <c r="B1416" s="4" t="s">
        <v>144</v>
      </c>
      <c r="C1416" s="4" t="s">
        <v>234</v>
      </c>
      <c r="D1416" s="4">
        <f>INDEX(Positions!$D$2:$D$4694,MATCH($A1416&amp;"|30",Positions!$A$2:$A$4694,0))</f>
        <v>29</v>
      </c>
      <c r="E1416" s="4">
        <f>INDEX(Positions!$D$2:$D$4694,MATCH($A1416&amp;"|40",Positions!$A$2:$A$4694,0))</f>
        <v>39</v>
      </c>
      <c r="F1416" s="4" t="str">
        <f>INDEX(Positions!$E$2:$E$4694,MATCH($A1416&amp;"|30",Positions!$A$2:$A$4694,0))</f>
        <v>G</v>
      </c>
      <c r="G1416" s="4" t="str">
        <f>INDEX(Positions!$E$2:$E$4694,MATCH($A1416&amp;"|40",Positions!$A$2:$A$4694,0))</f>
        <v>C</v>
      </c>
      <c r="H1416" s="3" t="str">
        <f t="shared" si="88"/>
        <v>G-C</v>
      </c>
      <c r="I1416" s="4">
        <f t="shared" si="89"/>
        <v>1</v>
      </c>
      <c r="J1416" s="4">
        <f t="shared" si="90"/>
        <v>1</v>
      </c>
      <c r="K1416" s="3">
        <f t="shared" si="91"/>
        <v>2</v>
      </c>
    </row>
    <row r="1417" spans="1:11">
      <c r="A1417" s="4" t="s">
        <v>87</v>
      </c>
      <c r="B1417" s="4" t="s">
        <v>144</v>
      </c>
      <c r="C1417" s="4" t="s">
        <v>235</v>
      </c>
      <c r="D1417" s="4">
        <f>INDEX(Positions!$D$2:$D$4694,MATCH($A1417&amp;"|31",Positions!$A$2:$A$4694,0))</f>
        <v>30</v>
      </c>
      <c r="E1417" s="4">
        <f>INDEX(Positions!$D$2:$D$4694,MATCH($A1417&amp;"|39",Positions!$A$2:$A$4694,0))</f>
        <v>38</v>
      </c>
      <c r="F1417" s="4" t="str">
        <f>INDEX(Positions!$E$2:$E$4694,MATCH($A1417&amp;"|31",Positions!$A$2:$A$4694,0))</f>
        <v>C</v>
      </c>
      <c r="G1417" s="4" t="str">
        <f>INDEX(Positions!$E$2:$E$4694,MATCH($A1417&amp;"|39",Positions!$A$2:$A$4694,0))</f>
        <v>G</v>
      </c>
      <c r="H1417" s="3" t="str">
        <f t="shared" si="88"/>
        <v>C-G</v>
      </c>
      <c r="I1417" s="4">
        <f t="shared" si="89"/>
        <v>1</v>
      </c>
      <c r="J1417" s="4">
        <f t="shared" si="90"/>
        <v>1</v>
      </c>
      <c r="K1417" s="3">
        <f t="shared" si="91"/>
        <v>2</v>
      </c>
    </row>
    <row r="1418" spans="1:11">
      <c r="A1418" s="4" t="s">
        <v>87</v>
      </c>
      <c r="B1418" s="4" t="s">
        <v>169</v>
      </c>
      <c r="C1418" s="4" t="s">
        <v>236</v>
      </c>
      <c r="D1418" s="4">
        <f>INDEX(Positions!$D$2:$D$4694,MATCH($A1418&amp;"|49",Positions!$A$2:$A$4694,0))</f>
        <v>59</v>
      </c>
      <c r="E1418" s="4">
        <f>INDEX(Positions!$D$2:$D$4694,MATCH($A1418&amp;"|65",Positions!$A$2:$A$4694,0))</f>
        <v>75</v>
      </c>
      <c r="F1418" s="4" t="str">
        <f>INDEX(Positions!$E$2:$E$4694,MATCH($A1418&amp;"|49",Positions!$A$2:$A$4694,0))</f>
        <v>G</v>
      </c>
      <c r="G1418" s="4" t="str">
        <f>INDEX(Positions!$E$2:$E$4694,MATCH($A1418&amp;"|65",Positions!$A$2:$A$4694,0))</f>
        <v>C</v>
      </c>
      <c r="H1418" s="3" t="str">
        <f t="shared" si="88"/>
        <v>G-C</v>
      </c>
      <c r="I1418" s="4">
        <f t="shared" si="89"/>
        <v>1</v>
      </c>
      <c r="J1418" s="4">
        <f t="shared" si="90"/>
        <v>1</v>
      </c>
      <c r="K1418" s="3">
        <f t="shared" si="91"/>
        <v>2</v>
      </c>
    </row>
    <row r="1419" spans="1:11">
      <c r="A1419" s="4" t="s">
        <v>87</v>
      </c>
      <c r="B1419" s="4" t="s">
        <v>169</v>
      </c>
      <c r="C1419" s="4" t="s">
        <v>237</v>
      </c>
      <c r="D1419" s="4">
        <f>INDEX(Positions!$D$2:$D$4694,MATCH($A1419&amp;"|50",Positions!$A$2:$A$4694,0))</f>
        <v>60</v>
      </c>
      <c r="E1419" s="4">
        <f>INDEX(Positions!$D$2:$D$4694,MATCH($A1419&amp;"|64",Positions!$A$2:$A$4694,0))</f>
        <v>74</v>
      </c>
      <c r="F1419" s="4" t="str">
        <f>INDEX(Positions!$E$2:$E$4694,MATCH($A1419&amp;"|50",Positions!$A$2:$A$4694,0))</f>
        <v>G</v>
      </c>
      <c r="G1419" s="4" t="str">
        <f>INDEX(Positions!$E$2:$E$4694,MATCH($A1419&amp;"|64",Positions!$A$2:$A$4694,0))</f>
        <v>C</v>
      </c>
      <c r="H1419" s="3" t="str">
        <f t="shared" si="88"/>
        <v>G-C</v>
      </c>
      <c r="I1419" s="4">
        <f t="shared" si="89"/>
        <v>1</v>
      </c>
      <c r="J1419" s="4">
        <f t="shared" si="90"/>
        <v>1</v>
      </c>
      <c r="K1419" s="3">
        <f t="shared" si="91"/>
        <v>2</v>
      </c>
    </row>
    <row r="1420" spans="1:11">
      <c r="A1420" s="4" t="s">
        <v>87</v>
      </c>
      <c r="B1420" s="4" t="s">
        <v>169</v>
      </c>
      <c r="C1420" s="4" t="s">
        <v>238</v>
      </c>
      <c r="D1420" s="4">
        <f>INDEX(Positions!$D$2:$D$4694,MATCH($A1420&amp;"|51",Positions!$A$2:$A$4694,0))</f>
        <v>61</v>
      </c>
      <c r="E1420" s="4">
        <f>INDEX(Positions!$D$2:$D$4694,MATCH($A1420&amp;"|63",Positions!$A$2:$A$4694,0))</f>
        <v>73</v>
      </c>
      <c r="F1420" s="4" t="str">
        <f>INDEX(Positions!$E$2:$E$4694,MATCH($A1420&amp;"|51",Positions!$A$2:$A$4694,0))</f>
        <v>G</v>
      </c>
      <c r="G1420" s="4" t="str">
        <f>INDEX(Positions!$E$2:$E$4694,MATCH($A1420&amp;"|63",Positions!$A$2:$A$4694,0))</f>
        <v>C</v>
      </c>
      <c r="H1420" s="3" t="str">
        <f t="shared" si="88"/>
        <v>G-C</v>
      </c>
      <c r="I1420" s="4">
        <f t="shared" si="89"/>
        <v>1</v>
      </c>
      <c r="J1420" s="4">
        <f t="shared" si="90"/>
        <v>1</v>
      </c>
      <c r="K1420" s="3">
        <f t="shared" si="91"/>
        <v>2</v>
      </c>
    </row>
    <row r="1421" spans="1:11">
      <c r="A1421" s="4" t="s">
        <v>87</v>
      </c>
      <c r="B1421" s="4" t="s">
        <v>169</v>
      </c>
      <c r="C1421" s="4" t="s">
        <v>239</v>
      </c>
      <c r="D1421" s="4">
        <f>INDEX(Positions!$D$2:$D$4694,MATCH($A1421&amp;"|52",Positions!$A$2:$A$4694,0))</f>
        <v>62</v>
      </c>
      <c r="E1421" s="4">
        <f>INDEX(Positions!$D$2:$D$4694,MATCH($A1421&amp;"|62",Positions!$A$2:$A$4694,0))</f>
        <v>72</v>
      </c>
      <c r="F1421" s="4" t="str">
        <f>INDEX(Positions!$E$2:$E$4694,MATCH($A1421&amp;"|52",Positions!$A$2:$A$4694,0))</f>
        <v>A</v>
      </c>
      <c r="G1421" s="4" t="str">
        <f>INDEX(Positions!$E$2:$E$4694,MATCH($A1421&amp;"|62",Positions!$A$2:$A$4694,0))</f>
        <v>U</v>
      </c>
      <c r="H1421" s="3" t="str">
        <f t="shared" si="88"/>
        <v>A-U</v>
      </c>
      <c r="I1421" s="4">
        <f t="shared" si="89"/>
        <v>0</v>
      </c>
      <c r="J1421" s="4">
        <f t="shared" si="90"/>
        <v>0</v>
      </c>
      <c r="K1421" s="3">
        <f t="shared" si="91"/>
        <v>0</v>
      </c>
    </row>
    <row r="1422" spans="1:11">
      <c r="A1422" s="4" t="s">
        <v>87</v>
      </c>
      <c r="B1422" s="4" t="s">
        <v>169</v>
      </c>
      <c r="C1422" s="4" t="s">
        <v>240</v>
      </c>
      <c r="D1422" s="4">
        <f>INDEX(Positions!$D$2:$D$4694,MATCH($A1422&amp;"|53",Positions!$A$2:$A$4694,0))</f>
        <v>63</v>
      </c>
      <c r="E1422" s="4">
        <f>INDEX(Positions!$D$2:$D$4694,MATCH($A1422&amp;"|61",Positions!$A$2:$A$4694,0))</f>
        <v>71</v>
      </c>
      <c r="F1422" s="4" t="str">
        <f>INDEX(Positions!$E$2:$E$4694,MATCH($A1422&amp;"|53",Positions!$A$2:$A$4694,0))</f>
        <v>G</v>
      </c>
      <c r="G1422" s="4" t="str">
        <f>INDEX(Positions!$E$2:$E$4694,MATCH($A1422&amp;"|61",Positions!$A$2:$A$4694,0))</f>
        <v>C</v>
      </c>
      <c r="H1422" s="3" t="str">
        <f t="shared" si="88"/>
        <v>G-C</v>
      </c>
      <c r="I1422" s="4">
        <f t="shared" si="89"/>
        <v>1</v>
      </c>
      <c r="J1422" s="4">
        <f t="shared" si="90"/>
        <v>1</v>
      </c>
      <c r="K1422" s="3">
        <f t="shared" si="91"/>
        <v>2</v>
      </c>
    </row>
    <row r="1423" spans="1:11">
      <c r="A1423" s="23" t="s">
        <v>87</v>
      </c>
      <c r="B1423" s="23" t="s">
        <v>241</v>
      </c>
      <c r="C1423" s="23" t="s">
        <v>242</v>
      </c>
      <c r="D1423" s="23">
        <f>INDEX(Positions!$D$2:$D$4694,MATCH($A1423&amp;"|8",Positions!$A$2:$A$4694,0))</f>
        <v>8</v>
      </c>
      <c r="E1423" s="23">
        <f>INDEX(Positions!$D$2:$D$4694,MATCH($A1423&amp;"|14",Positions!$A$2:$A$4694,0))</f>
        <v>14</v>
      </c>
      <c r="F1423" s="23" t="str">
        <f>INDEX(Positions!$E$2:$E$4694,MATCH($A1423&amp;"|8",Positions!$A$2:$A$4694,0))</f>
        <v>U</v>
      </c>
      <c r="G1423" s="23" t="str">
        <f>INDEX(Positions!$E$2:$E$4694,MATCH($A1423&amp;"|14",Positions!$A$2:$A$4694,0))</f>
        <v>A</v>
      </c>
      <c r="H1423" s="24" t="str">
        <f t="shared" si="88"/>
        <v>U-A</v>
      </c>
      <c r="I1423" s="23">
        <f t="shared" si="89"/>
        <v>0</v>
      </c>
      <c r="J1423" s="23">
        <f t="shared" si="90"/>
        <v>0</v>
      </c>
      <c r="K1423" s="24">
        <f t="shared" si="91"/>
        <v>0</v>
      </c>
    </row>
    <row r="1424" spans="1:11">
      <c r="A1424" s="23" t="s">
        <v>87</v>
      </c>
      <c r="B1424" s="23" t="s">
        <v>241</v>
      </c>
      <c r="C1424" s="23" t="s">
        <v>243</v>
      </c>
      <c r="D1424" s="23">
        <f>INDEX(Positions!$D$2:$D$4694,MATCH($A1424&amp;"|15",Positions!$A$2:$A$4694,0))</f>
        <v>15</v>
      </c>
      <c r="E1424" s="23">
        <f>INDEX(Positions!$D$2:$D$4694,MATCH($A1424&amp;"|48",Positions!$A$2:$A$4694,0))</f>
        <v>58</v>
      </c>
      <c r="F1424" s="23" t="str">
        <f>INDEX(Positions!$E$2:$E$4694,MATCH($A1424&amp;"|15",Positions!$A$2:$A$4694,0))</f>
        <v>G</v>
      </c>
      <c r="G1424" s="23" t="str">
        <f>INDEX(Positions!$E$2:$E$4694,MATCH($A1424&amp;"|48",Positions!$A$2:$A$4694,0))</f>
        <v>C</v>
      </c>
      <c r="H1424" s="24" t="str">
        <f t="shared" si="88"/>
        <v>G-C</v>
      </c>
      <c r="I1424" s="23">
        <f t="shared" si="89"/>
        <v>1</v>
      </c>
      <c r="J1424" s="23">
        <f t="shared" si="90"/>
        <v>1</v>
      </c>
      <c r="K1424" s="24">
        <f t="shared" si="91"/>
        <v>2</v>
      </c>
    </row>
    <row r="1425" spans="1:11">
      <c r="A1425" s="23" t="s">
        <v>87</v>
      </c>
      <c r="B1425" s="23" t="s">
        <v>241</v>
      </c>
      <c r="C1425" s="23" t="s">
        <v>244</v>
      </c>
      <c r="D1425" s="23">
        <f>INDEX(Positions!$D$2:$D$4694,MATCH($A1425&amp;"|18",Positions!$A$2:$A$4694,0))</f>
        <v>17</v>
      </c>
      <c r="E1425" s="23">
        <f>INDEX(Positions!$D$2:$D$4694,MATCH($A1425&amp;"|55",Positions!$A$2:$A$4694,0))</f>
        <v>65</v>
      </c>
      <c r="F1425" s="23" t="str">
        <f>INDEX(Positions!$E$2:$E$4694,MATCH($A1425&amp;"|18",Positions!$A$2:$A$4694,0))</f>
        <v>G</v>
      </c>
      <c r="G1425" s="23" t="str">
        <f>INDEX(Positions!$E$2:$E$4694,MATCH($A1425&amp;"|55",Positions!$A$2:$A$4694,0))</f>
        <v>U</v>
      </c>
      <c r="H1425" s="24" t="str">
        <f t="shared" si="88"/>
        <v>G-U</v>
      </c>
      <c r="I1425" s="23">
        <f t="shared" si="89"/>
        <v>1</v>
      </c>
      <c r="J1425" s="23">
        <f t="shared" si="90"/>
        <v>0</v>
      </c>
      <c r="K1425" s="24">
        <f t="shared" si="91"/>
        <v>1</v>
      </c>
    </row>
    <row r="1426" spans="1:11">
      <c r="A1426" s="23" t="s">
        <v>87</v>
      </c>
      <c r="B1426" s="23" t="s">
        <v>241</v>
      </c>
      <c r="C1426" s="23" t="s">
        <v>245</v>
      </c>
      <c r="D1426" s="23">
        <f>INDEX(Positions!$D$2:$D$4694,MATCH($A1426&amp;"|19",Positions!$A$2:$A$4694,0))</f>
        <v>18</v>
      </c>
      <c r="E1426" s="23">
        <f>INDEX(Positions!$D$2:$D$4694,MATCH($A1426&amp;"|56",Positions!$A$2:$A$4694,0))</f>
        <v>66</v>
      </c>
      <c r="F1426" s="23" t="str">
        <f>INDEX(Positions!$E$2:$E$4694,MATCH($A1426&amp;"|19",Positions!$A$2:$A$4694,0))</f>
        <v>G</v>
      </c>
      <c r="G1426" s="23" t="str">
        <f>INDEX(Positions!$E$2:$E$4694,MATCH($A1426&amp;"|56",Positions!$A$2:$A$4694,0))</f>
        <v>C</v>
      </c>
      <c r="H1426" s="24" t="str">
        <f t="shared" si="88"/>
        <v>G-C</v>
      </c>
      <c r="I1426" s="23">
        <f t="shared" si="89"/>
        <v>1</v>
      </c>
      <c r="J1426" s="23">
        <f t="shared" si="90"/>
        <v>1</v>
      </c>
      <c r="K1426" s="24">
        <f t="shared" si="91"/>
        <v>2</v>
      </c>
    </row>
    <row r="1427" spans="1:11">
      <c r="A1427" s="23" t="s">
        <v>87</v>
      </c>
      <c r="B1427" s="23" t="s">
        <v>241</v>
      </c>
      <c r="C1427" s="23" t="s">
        <v>246</v>
      </c>
      <c r="D1427" s="23">
        <f>INDEX(Positions!$D$2:$D$4694,MATCH($A1427&amp;"|26",Positions!$A$2:$A$4694,0))</f>
        <v>25</v>
      </c>
      <c r="E1427" s="23">
        <f>INDEX(Positions!$D$2:$D$4694,MATCH($A1427&amp;"|44",Positions!$A$2:$A$4694,0))</f>
        <v>43</v>
      </c>
      <c r="F1427" s="23" t="str">
        <f>INDEX(Positions!$E$2:$E$4694,MATCH($A1427&amp;"|26",Positions!$A$2:$A$4694,0))</f>
        <v>G</v>
      </c>
      <c r="G1427" s="23" t="str">
        <f>INDEX(Positions!$E$2:$E$4694,MATCH($A1427&amp;"|44",Positions!$A$2:$A$4694,0))</f>
        <v>U</v>
      </c>
      <c r="H1427" s="24" t="str">
        <f t="shared" si="88"/>
        <v>G-U</v>
      </c>
      <c r="I1427" s="23">
        <f t="shared" si="89"/>
        <v>1</v>
      </c>
      <c r="J1427" s="23">
        <f t="shared" si="90"/>
        <v>0</v>
      </c>
      <c r="K1427" s="24">
        <f t="shared" si="91"/>
        <v>1</v>
      </c>
    </row>
    <row r="1428" spans="1:11">
      <c r="A1428" s="23" t="s">
        <v>87</v>
      </c>
      <c r="B1428" s="23" t="s">
        <v>241</v>
      </c>
      <c r="C1428" s="23" t="s">
        <v>247</v>
      </c>
      <c r="D1428" s="23">
        <f>INDEX(Positions!$D$2:$D$4694,MATCH($A1428&amp;"|32",Positions!$A$2:$A$4694,0))</f>
        <v>31</v>
      </c>
      <c r="E1428" s="23">
        <f>INDEX(Positions!$D$2:$D$4694,MATCH($A1428&amp;"|38",Positions!$A$2:$A$4694,0))</f>
        <v>37</v>
      </c>
      <c r="F1428" s="23" t="str">
        <f>INDEX(Positions!$E$2:$E$4694,MATCH($A1428&amp;"|32",Positions!$A$2:$A$4694,0))</f>
        <v>C</v>
      </c>
      <c r="G1428" s="23" t="str">
        <f>INDEX(Positions!$E$2:$E$4694,MATCH($A1428&amp;"|38",Positions!$A$2:$A$4694,0))</f>
        <v>A</v>
      </c>
      <c r="H1428" s="24" t="str">
        <f t="shared" si="88"/>
        <v>C-A</v>
      </c>
      <c r="I1428" s="23">
        <f t="shared" si="89"/>
        <v>0</v>
      </c>
      <c r="J1428" s="23">
        <f t="shared" si="90"/>
        <v>1</v>
      </c>
      <c r="K1428" s="24">
        <f t="shared" si="91"/>
        <v>1</v>
      </c>
    </row>
    <row r="1429" spans="1:11">
      <c r="A1429" s="23" t="s">
        <v>87</v>
      </c>
      <c r="B1429" s="23" t="s">
        <v>241</v>
      </c>
      <c r="C1429" s="23" t="s">
        <v>248</v>
      </c>
      <c r="D1429" s="23">
        <f>INDEX(Positions!$D$2:$D$4694,MATCH($A1429&amp;"|54",Positions!$A$2:$A$4694,0))</f>
        <v>64</v>
      </c>
      <c r="E1429" s="23">
        <f>INDEX(Positions!$D$2:$D$4694,MATCH($A1429&amp;"|58",Positions!$A$2:$A$4694,0))</f>
        <v>68</v>
      </c>
      <c r="F1429" s="23" t="str">
        <f>INDEX(Positions!$E$2:$E$4694,MATCH($A1429&amp;"|54",Positions!$A$2:$A$4694,0))</f>
        <v>U</v>
      </c>
      <c r="G1429" s="23" t="str">
        <f>INDEX(Positions!$E$2:$E$4694,MATCH($A1429&amp;"|58",Positions!$A$2:$A$4694,0))</f>
        <v>A</v>
      </c>
      <c r="H1429" s="24" t="str">
        <f t="shared" si="88"/>
        <v>U-A</v>
      </c>
      <c r="I1429" s="23">
        <f t="shared" si="89"/>
        <v>0</v>
      </c>
      <c r="J1429" s="23">
        <f t="shared" si="90"/>
        <v>0</v>
      </c>
      <c r="K1429" s="24">
        <f t="shared" si="91"/>
        <v>0</v>
      </c>
    </row>
    <row r="1430" spans="1:11">
      <c r="A1430" s="4" t="s">
        <v>88</v>
      </c>
      <c r="B1430" s="4" t="s">
        <v>110</v>
      </c>
      <c r="C1430" s="4" t="s">
        <v>220</v>
      </c>
      <c r="D1430" s="4">
        <f>INDEX(Positions!$D$2:$D$4694,MATCH($A1430&amp;"|1",Positions!$A$2:$A$4694,0))</f>
        <v>1</v>
      </c>
      <c r="E1430" s="4">
        <f>INDEX(Positions!$D$2:$D$4694,MATCH($A1430&amp;"|72",Positions!$A$2:$A$4694,0))</f>
        <v>84</v>
      </c>
      <c r="F1430" s="4" t="str">
        <f>INDEX(Positions!$E$2:$E$4694,MATCH($A1430&amp;"|1",Positions!$A$2:$A$4694,0))</f>
        <v>G</v>
      </c>
      <c r="G1430" s="4" t="str">
        <f>INDEX(Positions!$E$2:$E$4694,MATCH($A1430&amp;"|72",Positions!$A$2:$A$4694,0))</f>
        <v>C</v>
      </c>
      <c r="H1430" s="3" t="str">
        <f t="shared" si="88"/>
        <v>G-C</v>
      </c>
      <c r="I1430" s="4">
        <f t="shared" si="89"/>
        <v>1</v>
      </c>
      <c r="J1430" s="4">
        <f t="shared" si="90"/>
        <v>1</v>
      </c>
      <c r="K1430" s="3">
        <f t="shared" si="91"/>
        <v>2</v>
      </c>
    </row>
    <row r="1431" spans="1:11">
      <c r="A1431" s="4" t="s">
        <v>88</v>
      </c>
      <c r="B1431" s="4" t="s">
        <v>110</v>
      </c>
      <c r="C1431" s="4" t="s">
        <v>221</v>
      </c>
      <c r="D1431" s="4">
        <f>INDEX(Positions!$D$2:$D$4694,MATCH($A1431&amp;"|2",Positions!$A$2:$A$4694,0))</f>
        <v>2</v>
      </c>
      <c r="E1431" s="4">
        <f>INDEX(Positions!$D$2:$D$4694,MATCH($A1431&amp;"|71",Positions!$A$2:$A$4694,0))</f>
        <v>83</v>
      </c>
      <c r="F1431" s="4" t="str">
        <f>INDEX(Positions!$E$2:$E$4694,MATCH($A1431&amp;"|2",Positions!$A$2:$A$4694,0))</f>
        <v>C</v>
      </c>
      <c r="G1431" s="4" t="str">
        <f>INDEX(Positions!$E$2:$E$4694,MATCH($A1431&amp;"|71",Positions!$A$2:$A$4694,0))</f>
        <v>G</v>
      </c>
      <c r="H1431" s="3" t="str">
        <f t="shared" si="88"/>
        <v>C-G</v>
      </c>
      <c r="I1431" s="4">
        <f t="shared" si="89"/>
        <v>1</v>
      </c>
      <c r="J1431" s="4">
        <f t="shared" si="90"/>
        <v>1</v>
      </c>
      <c r="K1431" s="3">
        <f t="shared" si="91"/>
        <v>2</v>
      </c>
    </row>
    <row r="1432" spans="1:11">
      <c r="A1432" s="4" t="s">
        <v>88</v>
      </c>
      <c r="B1432" s="4" t="s">
        <v>110</v>
      </c>
      <c r="C1432" s="4" t="s">
        <v>222</v>
      </c>
      <c r="D1432" s="4">
        <f>INDEX(Positions!$D$2:$D$4694,MATCH($A1432&amp;"|3",Positions!$A$2:$A$4694,0))</f>
        <v>3</v>
      </c>
      <c r="E1432" s="4">
        <f>INDEX(Positions!$D$2:$D$4694,MATCH($A1432&amp;"|70",Positions!$A$2:$A$4694,0))</f>
        <v>82</v>
      </c>
      <c r="F1432" s="4" t="str">
        <f>INDEX(Positions!$E$2:$E$4694,MATCH($A1432&amp;"|3",Positions!$A$2:$A$4694,0))</f>
        <v>U</v>
      </c>
      <c r="G1432" s="4" t="str">
        <f>INDEX(Positions!$E$2:$E$4694,MATCH($A1432&amp;"|70",Positions!$A$2:$A$4694,0))</f>
        <v>A</v>
      </c>
      <c r="H1432" s="3" t="str">
        <f t="shared" si="88"/>
        <v>U-A</v>
      </c>
      <c r="I1432" s="4">
        <f t="shared" si="89"/>
        <v>0</v>
      </c>
      <c r="J1432" s="4">
        <f t="shared" si="90"/>
        <v>0</v>
      </c>
      <c r="K1432" s="3">
        <f t="shared" si="91"/>
        <v>0</v>
      </c>
    </row>
    <row r="1433" spans="1:11">
      <c r="A1433" s="4" t="s">
        <v>88</v>
      </c>
      <c r="B1433" s="4" t="s">
        <v>110</v>
      </c>
      <c r="C1433" s="4" t="s">
        <v>223</v>
      </c>
      <c r="D1433" s="4">
        <f>INDEX(Positions!$D$2:$D$4694,MATCH($A1433&amp;"|4",Positions!$A$2:$A$4694,0))</f>
        <v>4</v>
      </c>
      <c r="E1433" s="4">
        <f>INDEX(Positions!$D$2:$D$4694,MATCH($A1433&amp;"|69",Positions!$A$2:$A$4694,0))</f>
        <v>81</v>
      </c>
      <c r="F1433" s="4" t="str">
        <f>INDEX(Positions!$E$2:$E$4694,MATCH($A1433&amp;"|4",Positions!$A$2:$A$4694,0))</f>
        <v>G</v>
      </c>
      <c r="G1433" s="4" t="str">
        <f>INDEX(Positions!$E$2:$E$4694,MATCH($A1433&amp;"|69",Positions!$A$2:$A$4694,0))</f>
        <v>C</v>
      </c>
      <c r="H1433" s="3" t="str">
        <f t="shared" si="88"/>
        <v>G-C</v>
      </c>
      <c r="I1433" s="4">
        <f t="shared" si="89"/>
        <v>1</v>
      </c>
      <c r="J1433" s="4">
        <f t="shared" si="90"/>
        <v>1</v>
      </c>
      <c r="K1433" s="3">
        <f t="shared" si="91"/>
        <v>2</v>
      </c>
    </row>
    <row r="1434" spans="1:11">
      <c r="A1434" s="4" t="s">
        <v>88</v>
      </c>
      <c r="B1434" s="4" t="s">
        <v>110</v>
      </c>
      <c r="C1434" s="4" t="s">
        <v>224</v>
      </c>
      <c r="D1434" s="4">
        <f>INDEX(Positions!$D$2:$D$4694,MATCH($A1434&amp;"|5",Positions!$A$2:$A$4694,0))</f>
        <v>5</v>
      </c>
      <c r="E1434" s="4">
        <f>INDEX(Positions!$D$2:$D$4694,MATCH($A1434&amp;"|68",Positions!$A$2:$A$4694,0))</f>
        <v>80</v>
      </c>
      <c r="F1434" s="4" t="str">
        <f>INDEX(Positions!$E$2:$E$4694,MATCH($A1434&amp;"|5",Positions!$A$2:$A$4694,0))</f>
        <v>A</v>
      </c>
      <c r="G1434" s="4" t="str">
        <f>INDEX(Positions!$E$2:$E$4694,MATCH($A1434&amp;"|68",Positions!$A$2:$A$4694,0))</f>
        <v>U</v>
      </c>
      <c r="H1434" s="3" t="str">
        <f t="shared" si="88"/>
        <v>A-U</v>
      </c>
      <c r="I1434" s="4">
        <f t="shared" si="89"/>
        <v>0</v>
      </c>
      <c r="J1434" s="4">
        <f t="shared" si="90"/>
        <v>0</v>
      </c>
      <c r="K1434" s="3">
        <f t="shared" si="91"/>
        <v>0</v>
      </c>
    </row>
    <row r="1435" spans="1:11">
      <c r="A1435" s="4" t="s">
        <v>88</v>
      </c>
      <c r="B1435" s="4" t="s">
        <v>110</v>
      </c>
      <c r="C1435" s="4" t="s">
        <v>225</v>
      </c>
      <c r="D1435" s="4">
        <f>INDEX(Positions!$D$2:$D$4694,MATCH($A1435&amp;"|6",Positions!$A$2:$A$4694,0))</f>
        <v>6</v>
      </c>
      <c r="E1435" s="4">
        <f>INDEX(Positions!$D$2:$D$4694,MATCH($A1435&amp;"|67",Positions!$A$2:$A$4694,0))</f>
        <v>79</v>
      </c>
      <c r="F1435" s="4" t="str">
        <f>INDEX(Positions!$E$2:$E$4694,MATCH($A1435&amp;"|6",Positions!$A$2:$A$4694,0))</f>
        <v>G</v>
      </c>
      <c r="G1435" s="4" t="str">
        <f>INDEX(Positions!$E$2:$E$4694,MATCH($A1435&amp;"|67",Positions!$A$2:$A$4694,0))</f>
        <v>C</v>
      </c>
      <c r="H1435" s="3" t="str">
        <f t="shared" si="88"/>
        <v>G-C</v>
      </c>
      <c r="I1435" s="4">
        <f t="shared" si="89"/>
        <v>1</v>
      </c>
      <c r="J1435" s="4">
        <f t="shared" si="90"/>
        <v>1</v>
      </c>
      <c r="K1435" s="3">
        <f t="shared" si="91"/>
        <v>2</v>
      </c>
    </row>
    <row r="1436" spans="1:11">
      <c r="A1436" s="4" t="s">
        <v>88</v>
      </c>
      <c r="B1436" s="4" t="s">
        <v>110</v>
      </c>
      <c r="C1436" s="4" t="s">
        <v>226</v>
      </c>
      <c r="D1436" s="4">
        <f>INDEX(Positions!$D$2:$D$4694,MATCH($A1436&amp;"|7",Positions!$A$2:$A$4694,0))</f>
        <v>7</v>
      </c>
      <c r="E1436" s="4">
        <f>INDEX(Positions!$D$2:$D$4694,MATCH($A1436&amp;"|66",Positions!$A$2:$A$4694,0))</f>
        <v>78</v>
      </c>
      <c r="F1436" s="4" t="str">
        <f>INDEX(Positions!$E$2:$E$4694,MATCH($A1436&amp;"|7",Positions!$A$2:$A$4694,0))</f>
        <v>G</v>
      </c>
      <c r="G1436" s="4" t="str">
        <f>INDEX(Positions!$E$2:$E$4694,MATCH($A1436&amp;"|66",Positions!$A$2:$A$4694,0))</f>
        <v>C</v>
      </c>
      <c r="H1436" s="3" t="str">
        <f t="shared" si="88"/>
        <v>G-C</v>
      </c>
      <c r="I1436" s="4">
        <f t="shared" si="89"/>
        <v>1</v>
      </c>
      <c r="J1436" s="4">
        <f t="shared" si="90"/>
        <v>1</v>
      </c>
      <c r="K1436" s="3">
        <f t="shared" si="91"/>
        <v>2</v>
      </c>
    </row>
    <row r="1437" spans="1:11">
      <c r="A1437" s="4" t="s">
        <v>88</v>
      </c>
      <c r="B1437" s="4" t="s">
        <v>125</v>
      </c>
      <c r="C1437" s="4" t="s">
        <v>227</v>
      </c>
      <c r="D1437" s="4">
        <f>INDEX(Positions!$D$2:$D$4694,MATCH($A1437&amp;"|10",Positions!$A$2:$A$4694,0))</f>
        <v>10</v>
      </c>
      <c r="E1437" s="4">
        <f>INDEX(Positions!$D$2:$D$4694,MATCH($A1437&amp;"|25",Positions!$A$2:$A$4694,0))</f>
        <v>26</v>
      </c>
      <c r="F1437" s="4" t="str">
        <f>INDEX(Positions!$E$2:$E$4694,MATCH($A1437&amp;"|10",Positions!$A$2:$A$4694,0))</f>
        <v>G</v>
      </c>
      <c r="G1437" s="4" t="str">
        <f>INDEX(Positions!$E$2:$E$4694,MATCH($A1437&amp;"|25",Positions!$A$2:$A$4694,0))</f>
        <v>C</v>
      </c>
      <c r="H1437" s="3" t="str">
        <f t="shared" si="88"/>
        <v>G-C</v>
      </c>
      <c r="I1437" s="4">
        <f t="shared" si="89"/>
        <v>1</v>
      </c>
      <c r="J1437" s="4">
        <f t="shared" si="90"/>
        <v>1</v>
      </c>
      <c r="K1437" s="3">
        <f t="shared" si="91"/>
        <v>2</v>
      </c>
    </row>
    <row r="1438" spans="1:11">
      <c r="A1438" s="4" t="s">
        <v>88</v>
      </c>
      <c r="B1438" s="4" t="s">
        <v>125</v>
      </c>
      <c r="C1438" s="4" t="s">
        <v>228</v>
      </c>
      <c r="D1438" s="4">
        <f>INDEX(Positions!$D$2:$D$4694,MATCH($A1438&amp;"|11",Positions!$A$2:$A$4694,0))</f>
        <v>11</v>
      </c>
      <c r="E1438" s="4">
        <f>INDEX(Positions!$D$2:$D$4694,MATCH($A1438&amp;"|24",Positions!$A$2:$A$4694,0))</f>
        <v>25</v>
      </c>
      <c r="F1438" s="4" t="str">
        <f>INDEX(Positions!$E$2:$E$4694,MATCH($A1438&amp;"|11",Positions!$A$2:$A$4694,0))</f>
        <v>C</v>
      </c>
      <c r="G1438" s="4" t="str">
        <f>INDEX(Positions!$E$2:$E$4694,MATCH($A1438&amp;"|24",Positions!$A$2:$A$4694,0))</f>
        <v>G</v>
      </c>
      <c r="H1438" s="3" t="str">
        <f t="shared" si="88"/>
        <v>C-G</v>
      </c>
      <c r="I1438" s="4">
        <f t="shared" si="89"/>
        <v>1</v>
      </c>
      <c r="J1438" s="4">
        <f t="shared" si="90"/>
        <v>1</v>
      </c>
      <c r="K1438" s="3">
        <f t="shared" si="91"/>
        <v>2</v>
      </c>
    </row>
    <row r="1439" spans="1:11">
      <c r="A1439" s="4" t="s">
        <v>88</v>
      </c>
      <c r="B1439" s="4" t="s">
        <v>125</v>
      </c>
      <c r="C1439" s="4" t="s">
        <v>229</v>
      </c>
      <c r="D1439" s="4">
        <f>INDEX(Positions!$D$2:$D$4694,MATCH($A1439&amp;"|12",Positions!$A$2:$A$4694,0))</f>
        <v>12</v>
      </c>
      <c r="E1439" s="4">
        <f>INDEX(Positions!$D$2:$D$4694,MATCH($A1439&amp;"|23",Positions!$A$2:$A$4694,0))</f>
        <v>24</v>
      </c>
      <c r="F1439" s="4" t="str">
        <f>INDEX(Positions!$E$2:$E$4694,MATCH($A1439&amp;"|12",Positions!$A$2:$A$4694,0))</f>
        <v>C</v>
      </c>
      <c r="G1439" s="4" t="str">
        <f>INDEX(Positions!$E$2:$E$4694,MATCH($A1439&amp;"|23",Positions!$A$2:$A$4694,0))</f>
        <v>G</v>
      </c>
      <c r="H1439" s="3" t="str">
        <f t="shared" si="88"/>
        <v>C-G</v>
      </c>
      <c r="I1439" s="4">
        <f t="shared" si="89"/>
        <v>1</v>
      </c>
      <c r="J1439" s="4">
        <f t="shared" si="90"/>
        <v>1</v>
      </c>
      <c r="K1439" s="3">
        <f t="shared" si="91"/>
        <v>2</v>
      </c>
    </row>
    <row r="1440" spans="1:11">
      <c r="A1440" s="4" t="s">
        <v>88</v>
      </c>
      <c r="B1440" s="4" t="s">
        <v>125</v>
      </c>
      <c r="C1440" s="4" t="s">
        <v>230</v>
      </c>
      <c r="D1440" s="4">
        <f>INDEX(Positions!$D$2:$D$4694,MATCH($A1440&amp;"|13",Positions!$A$2:$A$4694,0))</f>
        <v>13</v>
      </c>
      <c r="E1440" s="4">
        <f>INDEX(Positions!$D$2:$D$4694,MATCH($A1440&amp;"|22",Positions!$A$2:$A$4694,0))</f>
        <v>23</v>
      </c>
      <c r="F1440" s="4" t="str">
        <f>INDEX(Positions!$E$2:$E$4694,MATCH($A1440&amp;"|13",Positions!$A$2:$A$4694,0))</f>
        <v>C</v>
      </c>
      <c r="G1440" s="4" t="str">
        <f>INDEX(Positions!$E$2:$E$4694,MATCH($A1440&amp;"|22",Positions!$A$2:$A$4694,0))</f>
        <v>C</v>
      </c>
      <c r="H1440" s="3" t="str">
        <f t="shared" si="88"/>
        <v>C-C</v>
      </c>
      <c r="I1440" s="4">
        <f t="shared" si="89"/>
        <v>0</v>
      </c>
      <c r="J1440" s="4">
        <f t="shared" si="90"/>
        <v>2</v>
      </c>
      <c r="K1440" s="3">
        <f t="shared" si="91"/>
        <v>2</v>
      </c>
    </row>
    <row r="1441" spans="1:11">
      <c r="A1441" s="4" t="s">
        <v>88</v>
      </c>
      <c r="B1441" s="4" t="s">
        <v>144</v>
      </c>
      <c r="C1441" s="4" t="s">
        <v>231</v>
      </c>
      <c r="D1441" s="4">
        <f>INDEX(Positions!$D$2:$D$4694,MATCH($A1441&amp;"|27",Positions!$A$2:$A$4694,0))</f>
        <v>28</v>
      </c>
      <c r="E1441" s="4">
        <f>INDEX(Positions!$D$2:$D$4694,MATCH($A1441&amp;"|43",Positions!$A$2:$A$4694,0))</f>
        <v>44</v>
      </c>
      <c r="F1441" s="4" t="str">
        <f>INDEX(Positions!$E$2:$E$4694,MATCH($A1441&amp;"|27",Positions!$A$2:$A$4694,0))</f>
        <v>C</v>
      </c>
      <c r="G1441" s="4" t="str">
        <f>INDEX(Positions!$E$2:$E$4694,MATCH($A1441&amp;"|43",Positions!$A$2:$A$4694,0))</f>
        <v>G</v>
      </c>
      <c r="H1441" s="3" t="str">
        <f t="shared" si="88"/>
        <v>C-G</v>
      </c>
      <c r="I1441" s="4">
        <f t="shared" si="89"/>
        <v>1</v>
      </c>
      <c r="J1441" s="4">
        <f t="shared" si="90"/>
        <v>1</v>
      </c>
      <c r="K1441" s="3">
        <f t="shared" si="91"/>
        <v>2</v>
      </c>
    </row>
    <row r="1442" spans="1:11">
      <c r="A1442" s="4" t="s">
        <v>88</v>
      </c>
      <c r="B1442" s="4" t="s">
        <v>144</v>
      </c>
      <c r="C1442" s="4" t="s">
        <v>232</v>
      </c>
      <c r="D1442" s="4">
        <f>INDEX(Positions!$D$2:$D$4694,MATCH($A1442&amp;"|28",Positions!$A$2:$A$4694,0))</f>
        <v>29</v>
      </c>
      <c r="E1442" s="4">
        <f>INDEX(Positions!$D$2:$D$4694,MATCH($A1442&amp;"|42",Positions!$A$2:$A$4694,0))</f>
        <v>43</v>
      </c>
      <c r="F1442" s="4" t="str">
        <f>INDEX(Positions!$E$2:$E$4694,MATCH($A1442&amp;"|28",Positions!$A$2:$A$4694,0))</f>
        <v>C</v>
      </c>
      <c r="G1442" s="4" t="str">
        <f>INDEX(Positions!$E$2:$E$4694,MATCH($A1442&amp;"|42",Positions!$A$2:$A$4694,0))</f>
        <v>G</v>
      </c>
      <c r="H1442" s="3" t="str">
        <f t="shared" si="88"/>
        <v>C-G</v>
      </c>
      <c r="I1442" s="4">
        <f t="shared" si="89"/>
        <v>1</v>
      </c>
      <c r="J1442" s="4">
        <f t="shared" si="90"/>
        <v>1</v>
      </c>
      <c r="K1442" s="3">
        <f t="shared" si="91"/>
        <v>2</v>
      </c>
    </row>
    <row r="1443" spans="1:11">
      <c r="A1443" s="4" t="s">
        <v>88</v>
      </c>
      <c r="B1443" s="4" t="s">
        <v>144</v>
      </c>
      <c r="C1443" s="4" t="s">
        <v>233</v>
      </c>
      <c r="D1443" s="4">
        <f>INDEX(Positions!$D$2:$D$4694,MATCH($A1443&amp;"|29",Positions!$A$2:$A$4694,0))</f>
        <v>30</v>
      </c>
      <c r="E1443" s="4">
        <f>INDEX(Positions!$D$2:$D$4694,MATCH($A1443&amp;"|41",Positions!$A$2:$A$4694,0))</f>
        <v>42</v>
      </c>
      <c r="F1443" s="4" t="str">
        <f>INDEX(Positions!$E$2:$E$4694,MATCH($A1443&amp;"|29",Positions!$A$2:$A$4694,0))</f>
        <v>G</v>
      </c>
      <c r="G1443" s="4" t="str">
        <f>INDEX(Positions!$E$2:$E$4694,MATCH($A1443&amp;"|41",Positions!$A$2:$A$4694,0))</f>
        <v>C</v>
      </c>
      <c r="H1443" s="3" t="str">
        <f t="shared" si="88"/>
        <v>G-C</v>
      </c>
      <c r="I1443" s="4">
        <f t="shared" si="89"/>
        <v>1</v>
      </c>
      <c r="J1443" s="4">
        <f t="shared" si="90"/>
        <v>1</v>
      </c>
      <c r="K1443" s="3">
        <f t="shared" si="91"/>
        <v>2</v>
      </c>
    </row>
    <row r="1444" spans="1:11">
      <c r="A1444" s="4" t="s">
        <v>88</v>
      </c>
      <c r="B1444" s="4" t="s">
        <v>144</v>
      </c>
      <c r="C1444" s="4" t="s">
        <v>234</v>
      </c>
      <c r="D1444" s="4">
        <f>INDEX(Positions!$D$2:$D$4694,MATCH($A1444&amp;"|30",Positions!$A$2:$A$4694,0))</f>
        <v>31</v>
      </c>
      <c r="E1444" s="4">
        <f>INDEX(Positions!$D$2:$D$4694,MATCH($A1444&amp;"|40",Positions!$A$2:$A$4694,0))</f>
        <v>41</v>
      </c>
      <c r="F1444" s="4" t="str">
        <f>INDEX(Positions!$E$2:$E$4694,MATCH($A1444&amp;"|30",Positions!$A$2:$A$4694,0))</f>
        <v>G</v>
      </c>
      <c r="G1444" s="4" t="str">
        <f>INDEX(Positions!$E$2:$E$4694,MATCH($A1444&amp;"|40",Positions!$A$2:$A$4694,0))</f>
        <v>C</v>
      </c>
      <c r="H1444" s="3" t="str">
        <f t="shared" si="88"/>
        <v>G-C</v>
      </c>
      <c r="I1444" s="4">
        <f t="shared" si="89"/>
        <v>1</v>
      </c>
      <c r="J1444" s="4">
        <f t="shared" si="90"/>
        <v>1</v>
      </c>
      <c r="K1444" s="3">
        <f t="shared" si="91"/>
        <v>2</v>
      </c>
    </row>
    <row r="1445" spans="1:11">
      <c r="A1445" s="4" t="s">
        <v>88</v>
      </c>
      <c r="B1445" s="4" t="s">
        <v>144</v>
      </c>
      <c r="C1445" s="4" t="s">
        <v>235</v>
      </c>
      <c r="D1445" s="4">
        <f>INDEX(Positions!$D$2:$D$4694,MATCH($A1445&amp;"|31",Positions!$A$2:$A$4694,0))</f>
        <v>32</v>
      </c>
      <c r="E1445" s="4">
        <f>INDEX(Positions!$D$2:$D$4694,MATCH($A1445&amp;"|39",Positions!$A$2:$A$4694,0))</f>
        <v>40</v>
      </c>
      <c r="F1445" s="4" t="str">
        <f>INDEX(Positions!$E$2:$E$4694,MATCH($A1445&amp;"|31",Positions!$A$2:$A$4694,0))</f>
        <v>U</v>
      </c>
      <c r="G1445" s="4" t="str">
        <f>INDEX(Positions!$E$2:$E$4694,MATCH($A1445&amp;"|39",Positions!$A$2:$A$4694,0))</f>
        <v>A</v>
      </c>
      <c r="H1445" s="3" t="str">
        <f t="shared" si="88"/>
        <v>U-A</v>
      </c>
      <c r="I1445" s="4">
        <f t="shared" si="89"/>
        <v>0</v>
      </c>
      <c r="J1445" s="4">
        <f t="shared" si="90"/>
        <v>0</v>
      </c>
      <c r="K1445" s="3">
        <f t="shared" si="91"/>
        <v>0</v>
      </c>
    </row>
    <row r="1446" spans="1:11">
      <c r="A1446" s="4" t="s">
        <v>88</v>
      </c>
      <c r="B1446" s="4" t="s">
        <v>169</v>
      </c>
      <c r="C1446" s="4" t="s">
        <v>236</v>
      </c>
      <c r="D1446" s="4">
        <f>INDEX(Positions!$D$2:$D$4694,MATCH($A1446&amp;"|49",Positions!$A$2:$A$4694,0))</f>
        <v>61</v>
      </c>
      <c r="E1446" s="4">
        <f>INDEX(Positions!$D$2:$D$4694,MATCH($A1446&amp;"|65",Positions!$A$2:$A$4694,0))</f>
        <v>77</v>
      </c>
      <c r="F1446" s="4" t="str">
        <f>INDEX(Positions!$E$2:$E$4694,MATCH($A1446&amp;"|49",Positions!$A$2:$A$4694,0))</f>
        <v>G</v>
      </c>
      <c r="G1446" s="4" t="str">
        <f>INDEX(Positions!$E$2:$E$4694,MATCH($A1446&amp;"|65",Positions!$A$2:$A$4694,0))</f>
        <v>C</v>
      </c>
      <c r="H1446" s="3" t="str">
        <f t="shared" si="88"/>
        <v>G-C</v>
      </c>
      <c r="I1446" s="4">
        <f t="shared" si="89"/>
        <v>1</v>
      </c>
      <c r="J1446" s="4">
        <f t="shared" si="90"/>
        <v>1</v>
      </c>
      <c r="K1446" s="3">
        <f t="shared" si="91"/>
        <v>2</v>
      </c>
    </row>
    <row r="1447" spans="1:11">
      <c r="A1447" s="4" t="s">
        <v>88</v>
      </c>
      <c r="B1447" s="4" t="s">
        <v>169</v>
      </c>
      <c r="C1447" s="4" t="s">
        <v>237</v>
      </c>
      <c r="D1447" s="4">
        <f>INDEX(Positions!$D$2:$D$4694,MATCH($A1447&amp;"|50",Positions!$A$2:$A$4694,0))</f>
        <v>62</v>
      </c>
      <c r="E1447" s="4">
        <f>INDEX(Positions!$D$2:$D$4694,MATCH($A1447&amp;"|64",Positions!$A$2:$A$4694,0))</f>
        <v>76</v>
      </c>
      <c r="F1447" s="4" t="str">
        <f>INDEX(Positions!$E$2:$E$4694,MATCH($A1447&amp;"|50",Positions!$A$2:$A$4694,0))</f>
        <v>G</v>
      </c>
      <c r="G1447" s="4" t="str">
        <f>INDEX(Positions!$E$2:$E$4694,MATCH($A1447&amp;"|64",Positions!$A$2:$A$4694,0))</f>
        <v>C</v>
      </c>
      <c r="H1447" s="3" t="str">
        <f t="shared" si="88"/>
        <v>G-C</v>
      </c>
      <c r="I1447" s="4">
        <f t="shared" si="89"/>
        <v>1</v>
      </c>
      <c r="J1447" s="4">
        <f t="shared" si="90"/>
        <v>1</v>
      </c>
      <c r="K1447" s="3">
        <f t="shared" si="91"/>
        <v>2</v>
      </c>
    </row>
    <row r="1448" spans="1:11">
      <c r="A1448" s="4" t="s">
        <v>88</v>
      </c>
      <c r="B1448" s="4" t="s">
        <v>169</v>
      </c>
      <c r="C1448" s="4" t="s">
        <v>238</v>
      </c>
      <c r="D1448" s="4">
        <f>INDEX(Positions!$D$2:$D$4694,MATCH($A1448&amp;"|51",Positions!$A$2:$A$4694,0))</f>
        <v>63</v>
      </c>
      <c r="E1448" s="4">
        <f>INDEX(Positions!$D$2:$D$4694,MATCH($A1448&amp;"|63",Positions!$A$2:$A$4694,0))</f>
        <v>75</v>
      </c>
      <c r="F1448" s="4" t="str">
        <f>INDEX(Positions!$E$2:$E$4694,MATCH($A1448&amp;"|51",Positions!$A$2:$A$4694,0))</f>
        <v>G</v>
      </c>
      <c r="G1448" s="4" t="str">
        <f>INDEX(Positions!$E$2:$E$4694,MATCH($A1448&amp;"|63",Positions!$A$2:$A$4694,0))</f>
        <v>C</v>
      </c>
      <c r="H1448" s="3" t="str">
        <f t="shared" si="88"/>
        <v>G-C</v>
      </c>
      <c r="I1448" s="4">
        <f t="shared" si="89"/>
        <v>1</v>
      </c>
      <c r="J1448" s="4">
        <f t="shared" si="90"/>
        <v>1</v>
      </c>
      <c r="K1448" s="3">
        <f t="shared" si="91"/>
        <v>2</v>
      </c>
    </row>
    <row r="1449" spans="1:11">
      <c r="A1449" s="4" t="s">
        <v>88</v>
      </c>
      <c r="B1449" s="4" t="s">
        <v>169</v>
      </c>
      <c r="C1449" s="4" t="s">
        <v>239</v>
      </c>
      <c r="D1449" s="4">
        <f>INDEX(Positions!$D$2:$D$4694,MATCH($A1449&amp;"|52",Positions!$A$2:$A$4694,0))</f>
        <v>64</v>
      </c>
      <c r="E1449" s="4">
        <f>INDEX(Positions!$D$2:$D$4694,MATCH($A1449&amp;"|62",Positions!$A$2:$A$4694,0))</f>
        <v>74</v>
      </c>
      <c r="F1449" s="4" t="str">
        <f>INDEX(Positions!$E$2:$E$4694,MATCH($A1449&amp;"|52",Positions!$A$2:$A$4694,0))</f>
        <v>A</v>
      </c>
      <c r="G1449" s="4" t="str">
        <f>INDEX(Positions!$E$2:$E$4694,MATCH($A1449&amp;"|62",Positions!$A$2:$A$4694,0))</f>
        <v>U</v>
      </c>
      <c r="H1449" s="3" t="str">
        <f t="shared" si="88"/>
        <v>A-U</v>
      </c>
      <c r="I1449" s="4">
        <f t="shared" si="89"/>
        <v>0</v>
      </c>
      <c r="J1449" s="4">
        <f t="shared" si="90"/>
        <v>0</v>
      </c>
      <c r="K1449" s="3">
        <f t="shared" si="91"/>
        <v>0</v>
      </c>
    </row>
    <row r="1450" spans="1:11">
      <c r="A1450" s="4" t="s">
        <v>88</v>
      </c>
      <c r="B1450" s="4" t="s">
        <v>169</v>
      </c>
      <c r="C1450" s="4" t="s">
        <v>240</v>
      </c>
      <c r="D1450" s="4">
        <f>INDEX(Positions!$D$2:$D$4694,MATCH($A1450&amp;"|53",Positions!$A$2:$A$4694,0))</f>
        <v>65</v>
      </c>
      <c r="E1450" s="4">
        <f>INDEX(Positions!$D$2:$D$4694,MATCH($A1450&amp;"|61",Positions!$A$2:$A$4694,0))</f>
        <v>73</v>
      </c>
      <c r="F1450" s="4" t="str">
        <f>INDEX(Positions!$E$2:$E$4694,MATCH($A1450&amp;"|53",Positions!$A$2:$A$4694,0))</f>
        <v>G</v>
      </c>
      <c r="G1450" s="4" t="str">
        <f>INDEX(Positions!$E$2:$E$4694,MATCH($A1450&amp;"|61",Positions!$A$2:$A$4694,0))</f>
        <v>C</v>
      </c>
      <c r="H1450" s="3" t="str">
        <f t="shared" si="88"/>
        <v>G-C</v>
      </c>
      <c r="I1450" s="4">
        <f t="shared" si="89"/>
        <v>1</v>
      </c>
      <c r="J1450" s="4">
        <f t="shared" si="90"/>
        <v>1</v>
      </c>
      <c r="K1450" s="3">
        <f t="shared" si="91"/>
        <v>2</v>
      </c>
    </row>
    <row r="1451" spans="1:11">
      <c r="A1451" s="23" t="s">
        <v>88</v>
      </c>
      <c r="B1451" s="23" t="s">
        <v>241</v>
      </c>
      <c r="C1451" s="23" t="s">
        <v>242</v>
      </c>
      <c r="D1451" s="23">
        <f>INDEX(Positions!$D$2:$D$4694,MATCH($A1451&amp;"|8",Positions!$A$2:$A$4694,0))</f>
        <v>8</v>
      </c>
      <c r="E1451" s="23">
        <f>INDEX(Positions!$D$2:$D$4694,MATCH($A1451&amp;"|14",Positions!$A$2:$A$4694,0))</f>
        <v>14</v>
      </c>
      <c r="F1451" s="23" t="str">
        <f>INDEX(Positions!$E$2:$E$4694,MATCH($A1451&amp;"|8",Positions!$A$2:$A$4694,0))</f>
        <v>U</v>
      </c>
      <c r="G1451" s="23" t="str">
        <f>INDEX(Positions!$E$2:$E$4694,MATCH($A1451&amp;"|14",Positions!$A$2:$A$4694,0))</f>
        <v>A</v>
      </c>
      <c r="H1451" s="24" t="str">
        <f t="shared" si="88"/>
        <v>U-A</v>
      </c>
      <c r="I1451" s="23">
        <f t="shared" si="89"/>
        <v>0</v>
      </c>
      <c r="J1451" s="23">
        <f t="shared" si="90"/>
        <v>0</v>
      </c>
      <c r="K1451" s="24">
        <f t="shared" si="91"/>
        <v>0</v>
      </c>
    </row>
    <row r="1452" spans="1:11">
      <c r="A1452" s="23" t="s">
        <v>88</v>
      </c>
      <c r="B1452" s="23" t="s">
        <v>241</v>
      </c>
      <c r="C1452" s="23" t="s">
        <v>243</v>
      </c>
      <c r="D1452" s="23">
        <f>INDEX(Positions!$D$2:$D$4694,MATCH($A1452&amp;"|15",Positions!$A$2:$A$4694,0))</f>
        <v>15</v>
      </c>
      <c r="E1452" s="23">
        <f>INDEX(Positions!$D$2:$D$4694,MATCH($A1452&amp;"|48",Positions!$A$2:$A$4694,0))</f>
        <v>60</v>
      </c>
      <c r="F1452" s="23" t="str">
        <f>INDEX(Positions!$E$2:$E$4694,MATCH($A1452&amp;"|15",Positions!$A$2:$A$4694,0))</f>
        <v>G</v>
      </c>
      <c r="G1452" s="23" t="str">
        <f>INDEX(Positions!$E$2:$E$4694,MATCH($A1452&amp;"|48",Positions!$A$2:$A$4694,0))</f>
        <v>C</v>
      </c>
      <c r="H1452" s="24" t="str">
        <f t="shared" si="88"/>
        <v>G-C</v>
      </c>
      <c r="I1452" s="23">
        <f t="shared" si="89"/>
        <v>1</v>
      </c>
      <c r="J1452" s="23">
        <f t="shared" si="90"/>
        <v>1</v>
      </c>
      <c r="K1452" s="24">
        <f t="shared" si="91"/>
        <v>2</v>
      </c>
    </row>
    <row r="1453" spans="1:11">
      <c r="A1453" s="23" t="s">
        <v>88</v>
      </c>
      <c r="B1453" s="23" t="s">
        <v>241</v>
      </c>
      <c r="C1453" s="23" t="s">
        <v>244</v>
      </c>
      <c r="D1453" s="23">
        <f>INDEX(Positions!$D$2:$D$4694,MATCH($A1453&amp;"|18",Positions!$A$2:$A$4694,0))</f>
        <v>17</v>
      </c>
      <c r="E1453" s="23">
        <f>INDEX(Positions!$D$2:$D$4694,MATCH($A1453&amp;"|55",Positions!$A$2:$A$4694,0))</f>
        <v>67</v>
      </c>
      <c r="F1453" s="23" t="str">
        <f>INDEX(Positions!$E$2:$E$4694,MATCH($A1453&amp;"|18",Positions!$A$2:$A$4694,0))</f>
        <v>G</v>
      </c>
      <c r="G1453" s="23" t="str">
        <f>INDEX(Positions!$E$2:$E$4694,MATCH($A1453&amp;"|55",Positions!$A$2:$A$4694,0))</f>
        <v>U</v>
      </c>
      <c r="H1453" s="24" t="str">
        <f t="shared" si="88"/>
        <v>G-U</v>
      </c>
      <c r="I1453" s="23">
        <f t="shared" si="89"/>
        <v>1</v>
      </c>
      <c r="J1453" s="23">
        <f t="shared" si="90"/>
        <v>0</v>
      </c>
      <c r="K1453" s="24">
        <f t="shared" si="91"/>
        <v>1</v>
      </c>
    </row>
    <row r="1454" spans="1:11">
      <c r="A1454" s="23" t="s">
        <v>88</v>
      </c>
      <c r="B1454" s="23" t="s">
        <v>241</v>
      </c>
      <c r="C1454" s="23" t="s">
        <v>245</v>
      </c>
      <c r="D1454" s="23">
        <f>INDEX(Positions!$D$2:$D$4694,MATCH($A1454&amp;"|19",Positions!$A$2:$A$4694,0))</f>
        <v>18</v>
      </c>
      <c r="E1454" s="23">
        <f>INDEX(Positions!$D$2:$D$4694,MATCH($A1454&amp;"|56",Positions!$A$2:$A$4694,0))</f>
        <v>68</v>
      </c>
      <c r="F1454" s="23" t="str">
        <f>INDEX(Positions!$E$2:$E$4694,MATCH($A1454&amp;"|19",Positions!$A$2:$A$4694,0))</f>
        <v>G</v>
      </c>
      <c r="G1454" s="23" t="str">
        <f>INDEX(Positions!$E$2:$E$4694,MATCH($A1454&amp;"|56",Positions!$A$2:$A$4694,0))</f>
        <v>C</v>
      </c>
      <c r="H1454" s="24" t="str">
        <f t="shared" si="88"/>
        <v>G-C</v>
      </c>
      <c r="I1454" s="23">
        <f t="shared" si="89"/>
        <v>1</v>
      </c>
      <c r="J1454" s="23">
        <f t="shared" si="90"/>
        <v>1</v>
      </c>
      <c r="K1454" s="24">
        <f t="shared" si="91"/>
        <v>2</v>
      </c>
    </row>
    <row r="1455" spans="1:11">
      <c r="A1455" s="23" t="s">
        <v>88</v>
      </c>
      <c r="B1455" s="23" t="s">
        <v>241</v>
      </c>
      <c r="C1455" s="23" t="s">
        <v>246</v>
      </c>
      <c r="D1455" s="23">
        <f>INDEX(Positions!$D$2:$D$4694,MATCH($A1455&amp;"|26",Positions!$A$2:$A$4694,0))</f>
        <v>27</v>
      </c>
      <c r="E1455" s="23">
        <f>INDEX(Positions!$D$2:$D$4694,MATCH($A1455&amp;"|44",Positions!$A$2:$A$4694,0))</f>
        <v>45</v>
      </c>
      <c r="F1455" s="23" t="str">
        <f>INDEX(Positions!$E$2:$E$4694,MATCH($A1455&amp;"|26",Positions!$A$2:$A$4694,0))</f>
        <v>G</v>
      </c>
      <c r="G1455" s="23" t="str">
        <f>INDEX(Positions!$E$2:$E$4694,MATCH($A1455&amp;"|44",Positions!$A$2:$A$4694,0))</f>
        <v>U</v>
      </c>
      <c r="H1455" s="24" t="str">
        <f t="shared" si="88"/>
        <v>G-U</v>
      </c>
      <c r="I1455" s="23">
        <f t="shared" si="89"/>
        <v>1</v>
      </c>
      <c r="J1455" s="23">
        <f t="shared" si="90"/>
        <v>0</v>
      </c>
      <c r="K1455" s="24">
        <f t="shared" si="91"/>
        <v>1</v>
      </c>
    </row>
    <row r="1456" spans="1:11">
      <c r="A1456" s="23" t="s">
        <v>88</v>
      </c>
      <c r="B1456" s="23" t="s">
        <v>241</v>
      </c>
      <c r="C1456" s="23" t="s">
        <v>247</v>
      </c>
      <c r="D1456" s="23">
        <f>INDEX(Positions!$D$2:$D$4694,MATCH($A1456&amp;"|32",Positions!$A$2:$A$4694,0))</f>
        <v>33</v>
      </c>
      <c r="E1456" s="23">
        <f>INDEX(Positions!$D$2:$D$4694,MATCH($A1456&amp;"|38",Positions!$A$2:$A$4694,0))</f>
        <v>39</v>
      </c>
      <c r="F1456" s="23" t="str">
        <f>INDEX(Positions!$E$2:$E$4694,MATCH($A1456&amp;"|32",Positions!$A$2:$A$4694,0))</f>
        <v>C</v>
      </c>
      <c r="G1456" s="23" t="str">
        <f>INDEX(Positions!$E$2:$E$4694,MATCH($A1456&amp;"|38",Positions!$A$2:$A$4694,0))</f>
        <v>A</v>
      </c>
      <c r="H1456" s="24" t="str">
        <f t="shared" si="88"/>
        <v>C-A</v>
      </c>
      <c r="I1456" s="23">
        <f t="shared" si="89"/>
        <v>0</v>
      </c>
      <c r="J1456" s="23">
        <f t="shared" si="90"/>
        <v>1</v>
      </c>
      <c r="K1456" s="24">
        <f t="shared" si="91"/>
        <v>1</v>
      </c>
    </row>
    <row r="1457" spans="1:11">
      <c r="A1457" s="23" t="s">
        <v>88</v>
      </c>
      <c r="B1457" s="23" t="s">
        <v>241</v>
      </c>
      <c r="C1457" s="23" t="s">
        <v>248</v>
      </c>
      <c r="D1457" s="23">
        <f>INDEX(Positions!$D$2:$D$4694,MATCH($A1457&amp;"|54",Positions!$A$2:$A$4694,0))</f>
        <v>66</v>
      </c>
      <c r="E1457" s="23">
        <f>INDEX(Positions!$D$2:$D$4694,MATCH($A1457&amp;"|58",Positions!$A$2:$A$4694,0))</f>
        <v>70</v>
      </c>
      <c r="F1457" s="23" t="str">
        <f>INDEX(Positions!$E$2:$E$4694,MATCH($A1457&amp;"|54",Positions!$A$2:$A$4694,0))</f>
        <v>U</v>
      </c>
      <c r="G1457" s="23" t="str">
        <f>INDEX(Positions!$E$2:$E$4694,MATCH($A1457&amp;"|58",Positions!$A$2:$A$4694,0))</f>
        <v>A</v>
      </c>
      <c r="H1457" s="24" t="str">
        <f t="shared" si="88"/>
        <v>U-A</v>
      </c>
      <c r="I1457" s="23">
        <f t="shared" si="89"/>
        <v>0</v>
      </c>
      <c r="J1457" s="23">
        <f t="shared" si="90"/>
        <v>0</v>
      </c>
      <c r="K1457" s="24">
        <f t="shared" si="91"/>
        <v>0</v>
      </c>
    </row>
    <row r="1458" spans="1:11">
      <c r="A1458" s="4" t="s">
        <v>89</v>
      </c>
      <c r="B1458" s="4" t="s">
        <v>110</v>
      </c>
      <c r="C1458" s="4" t="s">
        <v>220</v>
      </c>
      <c r="D1458" s="4">
        <f>INDEX(Positions!$D$2:$D$4694,MATCH($A1458&amp;"|1",Positions!$A$2:$A$4694,0))</f>
        <v>1</v>
      </c>
      <c r="E1458" s="4">
        <f>INDEX(Positions!$D$2:$D$4694,MATCH($A1458&amp;"|72",Positions!$A$2:$A$4694,0))</f>
        <v>71</v>
      </c>
      <c r="F1458" s="4" t="str">
        <f>INDEX(Positions!$E$2:$E$4694,MATCH($A1458&amp;"|1",Positions!$A$2:$A$4694,0))</f>
        <v>G</v>
      </c>
      <c r="G1458" s="4" t="str">
        <f>INDEX(Positions!$E$2:$E$4694,MATCH($A1458&amp;"|72",Positions!$A$2:$A$4694,0))</f>
        <v>C</v>
      </c>
      <c r="H1458" s="3" t="str">
        <f t="shared" si="88"/>
        <v>G-C</v>
      </c>
      <c r="I1458" s="4">
        <f t="shared" si="89"/>
        <v>1</v>
      </c>
      <c r="J1458" s="4">
        <f t="shared" si="90"/>
        <v>1</v>
      </c>
      <c r="K1458" s="3">
        <f t="shared" si="91"/>
        <v>2</v>
      </c>
    </row>
    <row r="1459" spans="1:11">
      <c r="A1459" s="4" t="s">
        <v>89</v>
      </c>
      <c r="B1459" s="4" t="s">
        <v>110</v>
      </c>
      <c r="C1459" s="4" t="s">
        <v>221</v>
      </c>
      <c r="D1459" s="4">
        <f>INDEX(Positions!$D$2:$D$4694,MATCH($A1459&amp;"|2",Positions!$A$2:$A$4694,0))</f>
        <v>2</v>
      </c>
      <c r="E1459" s="4">
        <f>INDEX(Positions!$D$2:$D$4694,MATCH($A1459&amp;"|71",Positions!$A$2:$A$4694,0))</f>
        <v>70</v>
      </c>
      <c r="F1459" s="4" t="str">
        <f>INDEX(Positions!$E$2:$E$4694,MATCH($A1459&amp;"|2",Positions!$A$2:$A$4694,0))</f>
        <v>C</v>
      </c>
      <c r="G1459" s="4" t="str">
        <f>INDEX(Positions!$E$2:$E$4694,MATCH($A1459&amp;"|71",Positions!$A$2:$A$4694,0))</f>
        <v>G</v>
      </c>
      <c r="H1459" s="3" t="str">
        <f t="shared" si="88"/>
        <v>C-G</v>
      </c>
      <c r="I1459" s="4">
        <f t="shared" si="89"/>
        <v>1</v>
      </c>
      <c r="J1459" s="4">
        <f t="shared" si="90"/>
        <v>1</v>
      </c>
      <c r="K1459" s="3">
        <f t="shared" si="91"/>
        <v>2</v>
      </c>
    </row>
    <row r="1460" spans="1:11">
      <c r="A1460" s="4" t="s">
        <v>89</v>
      </c>
      <c r="B1460" s="4" t="s">
        <v>110</v>
      </c>
      <c r="C1460" s="4" t="s">
        <v>222</v>
      </c>
      <c r="D1460" s="4">
        <f>INDEX(Positions!$D$2:$D$4694,MATCH($A1460&amp;"|3",Positions!$A$2:$A$4694,0))</f>
        <v>3</v>
      </c>
      <c r="E1460" s="4">
        <f>INDEX(Positions!$D$2:$D$4694,MATCH($A1460&amp;"|70",Positions!$A$2:$A$4694,0))</f>
        <v>69</v>
      </c>
      <c r="F1460" s="4" t="str">
        <f>INDEX(Positions!$E$2:$E$4694,MATCH($A1460&amp;"|3",Positions!$A$2:$A$4694,0))</f>
        <v>C</v>
      </c>
      <c r="G1460" s="4" t="str">
        <f>INDEX(Positions!$E$2:$E$4694,MATCH($A1460&amp;"|70",Positions!$A$2:$A$4694,0))</f>
        <v>G</v>
      </c>
      <c r="H1460" s="3" t="str">
        <f t="shared" si="88"/>
        <v>C-G</v>
      </c>
      <c r="I1460" s="4">
        <f t="shared" si="89"/>
        <v>1</v>
      </c>
      <c r="J1460" s="4">
        <f t="shared" si="90"/>
        <v>1</v>
      </c>
      <c r="K1460" s="3">
        <f t="shared" si="91"/>
        <v>2</v>
      </c>
    </row>
    <row r="1461" spans="1:11">
      <c r="A1461" s="4" t="s">
        <v>89</v>
      </c>
      <c r="B1461" s="4" t="s">
        <v>110</v>
      </c>
      <c r="C1461" s="4" t="s">
        <v>223</v>
      </c>
      <c r="D1461" s="4">
        <f>INDEX(Positions!$D$2:$D$4694,MATCH($A1461&amp;"|4",Positions!$A$2:$A$4694,0))</f>
        <v>4</v>
      </c>
      <c r="E1461" s="4">
        <f>INDEX(Positions!$D$2:$D$4694,MATCH($A1461&amp;"|69",Positions!$A$2:$A$4694,0))</f>
        <v>68</v>
      </c>
      <c r="F1461" s="4" t="str">
        <f>INDEX(Positions!$E$2:$E$4694,MATCH($A1461&amp;"|4",Positions!$A$2:$A$4694,0))</f>
        <v>G</v>
      </c>
      <c r="G1461" s="4" t="str">
        <f>INDEX(Positions!$E$2:$E$4694,MATCH($A1461&amp;"|69",Positions!$A$2:$A$4694,0))</f>
        <v>C</v>
      </c>
      <c r="H1461" s="3" t="str">
        <f t="shared" si="88"/>
        <v>G-C</v>
      </c>
      <c r="I1461" s="4">
        <f t="shared" si="89"/>
        <v>1</v>
      </c>
      <c r="J1461" s="4">
        <f t="shared" si="90"/>
        <v>1</v>
      </c>
      <c r="K1461" s="3">
        <f t="shared" si="91"/>
        <v>2</v>
      </c>
    </row>
    <row r="1462" spans="1:11">
      <c r="A1462" s="4" t="s">
        <v>89</v>
      </c>
      <c r="B1462" s="4" t="s">
        <v>110</v>
      </c>
      <c r="C1462" s="4" t="s">
        <v>224</v>
      </c>
      <c r="D1462" s="4">
        <f>INDEX(Positions!$D$2:$D$4694,MATCH($A1462&amp;"|5",Positions!$A$2:$A$4694,0))</f>
        <v>5</v>
      </c>
      <c r="E1462" s="4">
        <f>INDEX(Positions!$D$2:$D$4694,MATCH($A1462&amp;"|68",Positions!$A$2:$A$4694,0))</f>
        <v>67</v>
      </c>
      <c r="F1462" s="4" t="str">
        <f>INDEX(Positions!$E$2:$E$4694,MATCH($A1462&amp;"|5",Positions!$A$2:$A$4694,0))</f>
        <v>U</v>
      </c>
      <c r="G1462" s="4" t="str">
        <f>INDEX(Positions!$E$2:$E$4694,MATCH($A1462&amp;"|68",Positions!$A$2:$A$4694,0))</f>
        <v>G</v>
      </c>
      <c r="H1462" s="3" t="str">
        <f t="shared" si="88"/>
        <v>U-G</v>
      </c>
      <c r="I1462" s="4">
        <f t="shared" si="89"/>
        <v>1</v>
      </c>
      <c r="J1462" s="4">
        <f t="shared" si="90"/>
        <v>0</v>
      </c>
      <c r="K1462" s="3">
        <f t="shared" si="91"/>
        <v>1</v>
      </c>
    </row>
    <row r="1463" spans="1:11">
      <c r="A1463" s="4" t="s">
        <v>89</v>
      </c>
      <c r="B1463" s="4" t="s">
        <v>110</v>
      </c>
      <c r="C1463" s="4" t="s">
        <v>225</v>
      </c>
      <c r="D1463" s="4">
        <f>INDEX(Positions!$D$2:$D$4694,MATCH($A1463&amp;"|6",Positions!$A$2:$A$4694,0))</f>
        <v>6</v>
      </c>
      <c r="E1463" s="4">
        <f>INDEX(Positions!$D$2:$D$4694,MATCH($A1463&amp;"|67",Positions!$A$2:$A$4694,0))</f>
        <v>66</v>
      </c>
      <c r="F1463" s="4" t="str">
        <f>INDEX(Positions!$E$2:$E$4694,MATCH($A1463&amp;"|6",Positions!$A$2:$A$4694,0))</f>
        <v>C</v>
      </c>
      <c r="G1463" s="4" t="str">
        <f>INDEX(Positions!$E$2:$E$4694,MATCH($A1463&amp;"|67",Positions!$A$2:$A$4694,0))</f>
        <v>G</v>
      </c>
      <c r="H1463" s="3" t="str">
        <f t="shared" si="88"/>
        <v>C-G</v>
      </c>
      <c r="I1463" s="4">
        <f t="shared" si="89"/>
        <v>1</v>
      </c>
      <c r="J1463" s="4">
        <f t="shared" si="90"/>
        <v>1</v>
      </c>
      <c r="K1463" s="3">
        <f t="shared" si="91"/>
        <v>2</v>
      </c>
    </row>
    <row r="1464" spans="1:11">
      <c r="A1464" s="4" t="s">
        <v>89</v>
      </c>
      <c r="B1464" s="4" t="s">
        <v>110</v>
      </c>
      <c r="C1464" s="4" t="s">
        <v>226</v>
      </c>
      <c r="D1464" s="4">
        <f>INDEX(Positions!$D$2:$D$4694,MATCH($A1464&amp;"|7",Positions!$A$2:$A$4694,0))</f>
        <v>7</v>
      </c>
      <c r="E1464" s="4">
        <f>INDEX(Positions!$D$2:$D$4694,MATCH($A1464&amp;"|66",Positions!$A$2:$A$4694,0))</f>
        <v>65</v>
      </c>
      <c r="F1464" s="4" t="str">
        <f>INDEX(Positions!$E$2:$E$4694,MATCH($A1464&amp;"|7",Positions!$A$2:$A$4694,0))</f>
        <v>G</v>
      </c>
      <c r="G1464" s="4" t="str">
        <f>INDEX(Positions!$E$2:$E$4694,MATCH($A1464&amp;"|66",Positions!$A$2:$A$4694,0))</f>
        <v>C</v>
      </c>
      <c r="H1464" s="3" t="str">
        <f t="shared" si="88"/>
        <v>G-C</v>
      </c>
      <c r="I1464" s="4">
        <f t="shared" si="89"/>
        <v>1</v>
      </c>
      <c r="J1464" s="4">
        <f t="shared" si="90"/>
        <v>1</v>
      </c>
      <c r="K1464" s="3">
        <f t="shared" si="91"/>
        <v>2</v>
      </c>
    </row>
    <row r="1465" spans="1:11">
      <c r="A1465" s="4" t="s">
        <v>89</v>
      </c>
      <c r="B1465" s="4" t="s">
        <v>125</v>
      </c>
      <c r="C1465" s="4" t="s">
        <v>227</v>
      </c>
      <c r="D1465" s="4">
        <f>INDEX(Positions!$D$2:$D$4694,MATCH($A1465&amp;"|10",Positions!$A$2:$A$4694,0))</f>
        <v>10</v>
      </c>
      <c r="E1465" s="4">
        <f>INDEX(Positions!$D$2:$D$4694,MATCH($A1465&amp;"|25",Positions!$A$2:$A$4694,0))</f>
        <v>24</v>
      </c>
      <c r="F1465" s="4" t="str">
        <f>INDEX(Positions!$E$2:$E$4694,MATCH($A1465&amp;"|10",Positions!$A$2:$A$4694,0))</f>
        <v>G</v>
      </c>
      <c r="G1465" s="4" t="str">
        <f>INDEX(Positions!$E$2:$E$4694,MATCH($A1465&amp;"|25",Positions!$A$2:$A$4694,0))</f>
        <v>C</v>
      </c>
      <c r="H1465" s="3" t="str">
        <f t="shared" si="88"/>
        <v>G-C</v>
      </c>
      <c r="I1465" s="4">
        <f t="shared" si="89"/>
        <v>1</v>
      </c>
      <c r="J1465" s="4">
        <f t="shared" si="90"/>
        <v>1</v>
      </c>
      <c r="K1465" s="3">
        <f t="shared" si="91"/>
        <v>2</v>
      </c>
    </row>
    <row r="1466" spans="1:11">
      <c r="A1466" s="4" t="s">
        <v>89</v>
      </c>
      <c r="B1466" s="4" t="s">
        <v>125</v>
      </c>
      <c r="C1466" s="4" t="s">
        <v>228</v>
      </c>
      <c r="D1466" s="4">
        <f>INDEX(Positions!$D$2:$D$4694,MATCH($A1466&amp;"|11",Positions!$A$2:$A$4694,0))</f>
        <v>11</v>
      </c>
      <c r="E1466" s="4">
        <f>INDEX(Positions!$D$2:$D$4694,MATCH($A1466&amp;"|24",Positions!$A$2:$A$4694,0))</f>
        <v>23</v>
      </c>
      <c r="F1466" s="4" t="str">
        <f>INDEX(Positions!$E$2:$E$4694,MATCH($A1466&amp;"|11",Positions!$A$2:$A$4694,0))</f>
        <v>C</v>
      </c>
      <c r="G1466" s="4" t="str">
        <f>INDEX(Positions!$E$2:$E$4694,MATCH($A1466&amp;"|24",Positions!$A$2:$A$4694,0))</f>
        <v>G</v>
      </c>
      <c r="H1466" s="3" t="str">
        <f t="shared" si="88"/>
        <v>C-G</v>
      </c>
      <c r="I1466" s="4">
        <f t="shared" si="89"/>
        <v>1</v>
      </c>
      <c r="J1466" s="4">
        <f t="shared" si="90"/>
        <v>1</v>
      </c>
      <c r="K1466" s="3">
        <f t="shared" si="91"/>
        <v>2</v>
      </c>
    </row>
    <row r="1467" spans="1:11">
      <c r="A1467" s="4" t="s">
        <v>89</v>
      </c>
      <c r="B1467" s="4" t="s">
        <v>125</v>
      </c>
      <c r="C1467" s="4" t="s">
        <v>229</v>
      </c>
      <c r="D1467" s="4">
        <f>INDEX(Positions!$D$2:$D$4694,MATCH($A1467&amp;"|12",Positions!$A$2:$A$4694,0))</f>
        <v>12</v>
      </c>
      <c r="E1467" s="4">
        <f>INDEX(Positions!$D$2:$D$4694,MATCH($A1467&amp;"|23",Positions!$A$2:$A$4694,0))</f>
        <v>22</v>
      </c>
      <c r="F1467" s="4" t="str">
        <f>INDEX(Positions!$E$2:$E$4694,MATCH($A1467&amp;"|12",Positions!$A$2:$A$4694,0))</f>
        <v>U</v>
      </c>
      <c r="G1467" s="4" t="str">
        <f>INDEX(Positions!$E$2:$E$4694,MATCH($A1467&amp;"|23",Positions!$A$2:$A$4694,0))</f>
        <v>A</v>
      </c>
      <c r="H1467" s="3" t="str">
        <f t="shared" si="88"/>
        <v>U-A</v>
      </c>
      <c r="I1467" s="4">
        <f t="shared" si="89"/>
        <v>0</v>
      </c>
      <c r="J1467" s="4">
        <f t="shared" si="90"/>
        <v>0</v>
      </c>
      <c r="K1467" s="3">
        <f t="shared" si="91"/>
        <v>0</v>
      </c>
    </row>
    <row r="1468" spans="1:11">
      <c r="A1468" s="4" t="s">
        <v>89</v>
      </c>
      <c r="B1468" s="4" t="s">
        <v>125</v>
      </c>
      <c r="C1468" s="4" t="s">
        <v>230</v>
      </c>
      <c r="D1468" s="4">
        <f>INDEX(Positions!$D$2:$D$4694,MATCH($A1468&amp;"|13",Positions!$A$2:$A$4694,0))</f>
        <v>13</v>
      </c>
      <c r="E1468" s="4">
        <f>INDEX(Positions!$D$2:$D$4694,MATCH($A1468&amp;"|22",Positions!$A$2:$A$4694,0))</f>
        <v>21</v>
      </c>
      <c r="F1468" s="4" t="str">
        <f>INDEX(Positions!$E$2:$E$4694,MATCH($A1468&amp;"|13",Positions!$A$2:$A$4694,0))</f>
        <v>U</v>
      </c>
      <c r="G1468" s="4" t="str">
        <f>INDEX(Positions!$E$2:$E$4694,MATCH($A1468&amp;"|22",Positions!$A$2:$A$4694,0))</f>
        <v>U</v>
      </c>
      <c r="H1468" s="3" t="str">
        <f t="shared" si="88"/>
        <v>U-U</v>
      </c>
      <c r="I1468" s="4">
        <f t="shared" si="89"/>
        <v>0</v>
      </c>
      <c r="J1468" s="4">
        <f t="shared" si="90"/>
        <v>0</v>
      </c>
      <c r="K1468" s="3">
        <f t="shared" si="91"/>
        <v>0</v>
      </c>
    </row>
    <row r="1469" spans="1:11">
      <c r="A1469" s="4" t="s">
        <v>89</v>
      </c>
      <c r="B1469" s="4" t="s">
        <v>144</v>
      </c>
      <c r="C1469" s="4" t="s">
        <v>231</v>
      </c>
      <c r="D1469" s="4">
        <f>INDEX(Positions!$D$2:$D$4694,MATCH($A1469&amp;"|27",Positions!$A$2:$A$4694,0))</f>
        <v>26</v>
      </c>
      <c r="E1469" s="4">
        <f>INDEX(Positions!$D$2:$D$4694,MATCH($A1469&amp;"|43",Positions!$A$2:$A$4694,0))</f>
        <v>42</v>
      </c>
      <c r="F1469" s="4" t="str">
        <f>INDEX(Positions!$E$2:$E$4694,MATCH($A1469&amp;"|27",Positions!$A$2:$A$4694,0))</f>
        <v>G</v>
      </c>
      <c r="G1469" s="4" t="str">
        <f>INDEX(Positions!$E$2:$E$4694,MATCH($A1469&amp;"|43",Positions!$A$2:$A$4694,0))</f>
        <v>C</v>
      </c>
      <c r="H1469" s="3" t="str">
        <f t="shared" si="88"/>
        <v>G-C</v>
      </c>
      <c r="I1469" s="4">
        <f t="shared" si="89"/>
        <v>1</v>
      </c>
      <c r="J1469" s="4">
        <f t="shared" si="90"/>
        <v>1</v>
      </c>
      <c r="K1469" s="3">
        <f t="shared" si="91"/>
        <v>2</v>
      </c>
    </row>
    <row r="1470" spans="1:11">
      <c r="A1470" s="4" t="s">
        <v>89</v>
      </c>
      <c r="B1470" s="4" t="s">
        <v>144</v>
      </c>
      <c r="C1470" s="4" t="s">
        <v>232</v>
      </c>
      <c r="D1470" s="4">
        <f>INDEX(Positions!$D$2:$D$4694,MATCH($A1470&amp;"|28",Positions!$A$2:$A$4694,0))</f>
        <v>27</v>
      </c>
      <c r="E1470" s="4">
        <f>INDEX(Positions!$D$2:$D$4694,MATCH($A1470&amp;"|42",Positions!$A$2:$A$4694,0))</f>
        <v>41</v>
      </c>
      <c r="F1470" s="4" t="str">
        <f>INDEX(Positions!$E$2:$E$4694,MATCH($A1470&amp;"|28",Positions!$A$2:$A$4694,0))</f>
        <v>C</v>
      </c>
      <c r="G1470" s="4" t="str">
        <f>INDEX(Positions!$E$2:$E$4694,MATCH($A1470&amp;"|42",Positions!$A$2:$A$4694,0))</f>
        <v>G</v>
      </c>
      <c r="H1470" s="3" t="str">
        <f t="shared" si="88"/>
        <v>C-G</v>
      </c>
      <c r="I1470" s="4">
        <f t="shared" si="89"/>
        <v>1</v>
      </c>
      <c r="J1470" s="4">
        <f t="shared" si="90"/>
        <v>1</v>
      </c>
      <c r="K1470" s="3">
        <f t="shared" si="91"/>
        <v>2</v>
      </c>
    </row>
    <row r="1471" spans="1:11">
      <c r="A1471" s="4" t="s">
        <v>89</v>
      </c>
      <c r="B1471" s="4" t="s">
        <v>144</v>
      </c>
      <c r="C1471" s="4" t="s">
        <v>233</v>
      </c>
      <c r="D1471" s="4">
        <f>INDEX(Positions!$D$2:$D$4694,MATCH($A1471&amp;"|29",Positions!$A$2:$A$4694,0))</f>
        <v>28</v>
      </c>
      <c r="E1471" s="4">
        <f>INDEX(Positions!$D$2:$D$4694,MATCH($A1471&amp;"|41",Positions!$A$2:$A$4694,0))</f>
        <v>40</v>
      </c>
      <c r="F1471" s="4" t="str">
        <f>INDEX(Positions!$E$2:$E$4694,MATCH($A1471&amp;"|29",Positions!$A$2:$A$4694,0))</f>
        <v>U</v>
      </c>
      <c r="G1471" s="4" t="str">
        <f>INDEX(Positions!$E$2:$E$4694,MATCH($A1471&amp;"|41",Positions!$A$2:$A$4694,0))</f>
        <v>A</v>
      </c>
      <c r="H1471" s="3" t="str">
        <f t="shared" si="88"/>
        <v>U-A</v>
      </c>
      <c r="I1471" s="4">
        <f t="shared" si="89"/>
        <v>0</v>
      </c>
      <c r="J1471" s="4">
        <f t="shared" si="90"/>
        <v>0</v>
      </c>
      <c r="K1471" s="3">
        <f t="shared" si="91"/>
        <v>0</v>
      </c>
    </row>
    <row r="1472" spans="1:11">
      <c r="A1472" s="4" t="s">
        <v>89</v>
      </c>
      <c r="B1472" s="4" t="s">
        <v>144</v>
      </c>
      <c r="C1472" s="4" t="s">
        <v>234</v>
      </c>
      <c r="D1472" s="4">
        <f>INDEX(Positions!$D$2:$D$4694,MATCH($A1472&amp;"|30",Positions!$A$2:$A$4694,0))</f>
        <v>29</v>
      </c>
      <c r="E1472" s="4">
        <f>INDEX(Positions!$D$2:$D$4694,MATCH($A1472&amp;"|40",Positions!$A$2:$A$4694,0))</f>
        <v>39</v>
      </c>
      <c r="F1472" s="4" t="str">
        <f>INDEX(Positions!$E$2:$E$4694,MATCH($A1472&amp;"|30",Positions!$A$2:$A$4694,0))</f>
        <v>G</v>
      </c>
      <c r="G1472" s="4" t="str">
        <f>INDEX(Positions!$E$2:$E$4694,MATCH($A1472&amp;"|40",Positions!$A$2:$A$4694,0))</f>
        <v>C</v>
      </c>
      <c r="H1472" s="3" t="str">
        <f t="shared" si="88"/>
        <v>G-C</v>
      </c>
      <c r="I1472" s="4">
        <f t="shared" si="89"/>
        <v>1</v>
      </c>
      <c r="J1472" s="4">
        <f t="shared" si="90"/>
        <v>1</v>
      </c>
      <c r="K1472" s="3">
        <f t="shared" si="91"/>
        <v>2</v>
      </c>
    </row>
    <row r="1473" spans="1:11">
      <c r="A1473" s="4" t="s">
        <v>89</v>
      </c>
      <c r="B1473" s="4" t="s">
        <v>144</v>
      </c>
      <c r="C1473" s="4" t="s">
        <v>235</v>
      </c>
      <c r="D1473" s="4">
        <f>INDEX(Positions!$D$2:$D$4694,MATCH($A1473&amp;"|31",Positions!$A$2:$A$4694,0))</f>
        <v>30</v>
      </c>
      <c r="E1473" s="4">
        <f>INDEX(Positions!$D$2:$D$4694,MATCH($A1473&amp;"|39",Positions!$A$2:$A$4694,0))</f>
        <v>38</v>
      </c>
      <c r="F1473" s="4" t="str">
        <f>INDEX(Positions!$E$2:$E$4694,MATCH($A1473&amp;"|31",Positions!$A$2:$A$4694,0))</f>
        <v>A</v>
      </c>
      <c r="G1473" s="4" t="str">
        <f>INDEX(Positions!$E$2:$E$4694,MATCH($A1473&amp;"|39",Positions!$A$2:$A$4694,0))</f>
        <v>U</v>
      </c>
      <c r="H1473" s="3" t="str">
        <f t="shared" si="88"/>
        <v>A-U</v>
      </c>
      <c r="I1473" s="4">
        <f t="shared" si="89"/>
        <v>0</v>
      </c>
      <c r="J1473" s="4">
        <f t="shared" si="90"/>
        <v>0</v>
      </c>
      <c r="K1473" s="3">
        <f t="shared" si="91"/>
        <v>0</v>
      </c>
    </row>
    <row r="1474" spans="1:11">
      <c r="A1474" s="4" t="s">
        <v>89</v>
      </c>
      <c r="B1474" s="4" t="s">
        <v>169</v>
      </c>
      <c r="C1474" s="4" t="s">
        <v>236</v>
      </c>
      <c r="D1474" s="4">
        <f>INDEX(Positions!$D$2:$D$4694,MATCH($A1474&amp;"|49",Positions!$A$2:$A$4694,0))</f>
        <v>48</v>
      </c>
      <c r="E1474" s="4">
        <f>INDEX(Positions!$D$2:$D$4694,MATCH($A1474&amp;"|65",Positions!$A$2:$A$4694,0))</f>
        <v>64</v>
      </c>
      <c r="F1474" s="4" t="str">
        <f>INDEX(Positions!$E$2:$E$4694,MATCH($A1474&amp;"|49",Positions!$A$2:$A$4694,0))</f>
        <v>G</v>
      </c>
      <c r="G1474" s="4" t="str">
        <f>INDEX(Positions!$E$2:$E$4694,MATCH($A1474&amp;"|65",Positions!$A$2:$A$4694,0))</f>
        <v>C</v>
      </c>
      <c r="H1474" s="3" t="str">
        <f t="shared" ref="H1474:H1537" si="92">F1474&amp;"-"&amp;G1474</f>
        <v>G-C</v>
      </c>
      <c r="I1474" s="4">
        <f t="shared" ref="I1474:I1537" si="93">(F1474="G")+(G1474="G")</f>
        <v>1</v>
      </c>
      <c r="J1474" s="4">
        <f t="shared" ref="J1474:J1537" si="94">(F1474="C")+(G1474="C")</f>
        <v>1</v>
      </c>
      <c r="K1474" s="3">
        <f t="shared" ref="K1474:K1537" si="95">I1474+J1474</f>
        <v>2</v>
      </c>
    </row>
    <row r="1475" spans="1:11">
      <c r="A1475" s="4" t="s">
        <v>89</v>
      </c>
      <c r="B1475" s="4" t="s">
        <v>169</v>
      </c>
      <c r="C1475" s="4" t="s">
        <v>237</v>
      </c>
      <c r="D1475" s="4">
        <f>INDEX(Positions!$D$2:$D$4694,MATCH($A1475&amp;"|50",Positions!$A$2:$A$4694,0))</f>
        <v>49</v>
      </c>
      <c r="E1475" s="4">
        <f>INDEX(Positions!$D$2:$D$4694,MATCH($A1475&amp;"|64",Positions!$A$2:$A$4694,0))</f>
        <v>63</v>
      </c>
      <c r="F1475" s="4" t="str">
        <f>INDEX(Positions!$E$2:$E$4694,MATCH($A1475&amp;"|50",Positions!$A$2:$A$4694,0))</f>
        <v>A</v>
      </c>
      <c r="G1475" s="4" t="str">
        <f>INDEX(Positions!$E$2:$E$4694,MATCH($A1475&amp;"|64",Positions!$A$2:$A$4694,0))</f>
        <v>C</v>
      </c>
      <c r="H1475" s="3" t="str">
        <f t="shared" si="92"/>
        <v>A-C</v>
      </c>
      <c r="I1475" s="4">
        <f t="shared" si="93"/>
        <v>0</v>
      </c>
      <c r="J1475" s="4">
        <f t="shared" si="94"/>
        <v>1</v>
      </c>
      <c r="K1475" s="3">
        <f t="shared" si="95"/>
        <v>1</v>
      </c>
    </row>
    <row r="1476" spans="1:11">
      <c r="A1476" s="4" t="s">
        <v>89</v>
      </c>
      <c r="B1476" s="4" t="s">
        <v>169</v>
      </c>
      <c r="C1476" s="4" t="s">
        <v>238</v>
      </c>
      <c r="D1476" s="4">
        <f>INDEX(Positions!$D$2:$D$4694,MATCH($A1476&amp;"|51",Positions!$A$2:$A$4694,0))</f>
        <v>50</v>
      </c>
      <c r="E1476" s="4">
        <f>INDEX(Positions!$D$2:$D$4694,MATCH($A1476&amp;"|63",Positions!$A$2:$A$4694,0))</f>
        <v>62</v>
      </c>
      <c r="F1476" s="4" t="str">
        <f>INDEX(Positions!$E$2:$E$4694,MATCH($A1476&amp;"|51",Positions!$A$2:$A$4694,0))</f>
        <v>G</v>
      </c>
      <c r="G1476" s="4" t="str">
        <f>INDEX(Positions!$E$2:$E$4694,MATCH($A1476&amp;"|63",Positions!$A$2:$A$4694,0))</f>
        <v>C</v>
      </c>
      <c r="H1476" s="3" t="str">
        <f t="shared" si="92"/>
        <v>G-C</v>
      </c>
      <c r="I1476" s="4">
        <f t="shared" si="93"/>
        <v>1</v>
      </c>
      <c r="J1476" s="4">
        <f t="shared" si="94"/>
        <v>1</v>
      </c>
      <c r="K1476" s="3">
        <f t="shared" si="95"/>
        <v>2</v>
      </c>
    </row>
    <row r="1477" spans="1:11">
      <c r="A1477" s="4" t="s">
        <v>89</v>
      </c>
      <c r="B1477" s="4" t="s">
        <v>169</v>
      </c>
      <c r="C1477" s="4" t="s">
        <v>239</v>
      </c>
      <c r="D1477" s="4">
        <f>INDEX(Positions!$D$2:$D$4694,MATCH($A1477&amp;"|52",Positions!$A$2:$A$4694,0))</f>
        <v>51</v>
      </c>
      <c r="E1477" s="4">
        <f>INDEX(Positions!$D$2:$D$4694,MATCH($A1477&amp;"|62",Positions!$A$2:$A$4694,0))</f>
        <v>61</v>
      </c>
      <c r="F1477" s="4" t="str">
        <f>INDEX(Positions!$E$2:$E$4694,MATCH($A1477&amp;"|52",Positions!$A$2:$A$4694,0))</f>
        <v>G</v>
      </c>
      <c r="G1477" s="4" t="str">
        <f>INDEX(Positions!$E$2:$E$4694,MATCH($A1477&amp;"|62",Positions!$A$2:$A$4694,0))</f>
        <v>C</v>
      </c>
      <c r="H1477" s="3" t="str">
        <f t="shared" si="92"/>
        <v>G-C</v>
      </c>
      <c r="I1477" s="4">
        <f t="shared" si="93"/>
        <v>1</v>
      </c>
      <c r="J1477" s="4">
        <f t="shared" si="94"/>
        <v>1</v>
      </c>
      <c r="K1477" s="3">
        <f t="shared" si="95"/>
        <v>2</v>
      </c>
    </row>
    <row r="1478" spans="1:11">
      <c r="A1478" s="4" t="s">
        <v>89</v>
      </c>
      <c r="B1478" s="4" t="s">
        <v>169</v>
      </c>
      <c r="C1478" s="4" t="s">
        <v>240</v>
      </c>
      <c r="D1478" s="4">
        <f>INDEX(Positions!$D$2:$D$4694,MATCH($A1478&amp;"|53",Positions!$A$2:$A$4694,0))</f>
        <v>52</v>
      </c>
      <c r="E1478" s="4">
        <f>INDEX(Positions!$D$2:$D$4694,MATCH($A1478&amp;"|61",Positions!$A$2:$A$4694,0))</f>
        <v>60</v>
      </c>
      <c r="F1478" s="4" t="str">
        <f>INDEX(Positions!$E$2:$E$4694,MATCH($A1478&amp;"|53",Positions!$A$2:$A$4694,0))</f>
        <v>G</v>
      </c>
      <c r="G1478" s="4" t="str">
        <f>INDEX(Positions!$E$2:$E$4694,MATCH($A1478&amp;"|61",Positions!$A$2:$A$4694,0))</f>
        <v>C</v>
      </c>
      <c r="H1478" s="3" t="str">
        <f t="shared" si="92"/>
        <v>G-C</v>
      </c>
      <c r="I1478" s="4">
        <f t="shared" si="93"/>
        <v>1</v>
      </c>
      <c r="J1478" s="4">
        <f t="shared" si="94"/>
        <v>1</v>
      </c>
      <c r="K1478" s="3">
        <f t="shared" si="95"/>
        <v>2</v>
      </c>
    </row>
    <row r="1479" spans="1:11">
      <c r="A1479" s="23" t="s">
        <v>89</v>
      </c>
      <c r="B1479" s="23" t="s">
        <v>241</v>
      </c>
      <c r="C1479" s="23" t="s">
        <v>242</v>
      </c>
      <c r="D1479" s="23">
        <f>INDEX(Positions!$D$2:$D$4694,MATCH($A1479&amp;"|8",Positions!$A$2:$A$4694,0))</f>
        <v>8</v>
      </c>
      <c r="E1479" s="23">
        <f>INDEX(Positions!$D$2:$D$4694,MATCH($A1479&amp;"|14",Positions!$A$2:$A$4694,0))</f>
        <v>14</v>
      </c>
      <c r="F1479" s="23" t="str">
        <f>INDEX(Positions!$E$2:$E$4694,MATCH($A1479&amp;"|8",Positions!$A$2:$A$4694,0))</f>
        <v>U</v>
      </c>
      <c r="G1479" s="23" t="str">
        <f>INDEX(Positions!$E$2:$E$4694,MATCH($A1479&amp;"|14",Positions!$A$2:$A$4694,0))</f>
        <v>A</v>
      </c>
      <c r="H1479" s="24" t="str">
        <f t="shared" si="92"/>
        <v>U-A</v>
      </c>
      <c r="I1479" s="23">
        <f t="shared" si="93"/>
        <v>0</v>
      </c>
      <c r="J1479" s="23">
        <f t="shared" si="94"/>
        <v>0</v>
      </c>
      <c r="K1479" s="24">
        <f t="shared" si="95"/>
        <v>0</v>
      </c>
    </row>
    <row r="1480" spans="1:11">
      <c r="A1480" s="23" t="s">
        <v>89</v>
      </c>
      <c r="B1480" s="23" t="s">
        <v>241</v>
      </c>
      <c r="C1480" s="23" t="s">
        <v>243</v>
      </c>
      <c r="D1480" s="23">
        <f>INDEX(Positions!$D$2:$D$4694,MATCH($A1480&amp;"|15",Positions!$A$2:$A$4694,0))</f>
        <v>15</v>
      </c>
      <c r="E1480" s="23">
        <f>INDEX(Positions!$D$2:$D$4694,MATCH($A1480&amp;"|48",Positions!$A$2:$A$4694,0))</f>
        <v>47</v>
      </c>
      <c r="F1480" s="23" t="str">
        <f>INDEX(Positions!$E$2:$E$4694,MATCH($A1480&amp;"|15",Positions!$A$2:$A$4694,0))</f>
        <v>G</v>
      </c>
      <c r="G1480" s="23" t="str">
        <f>INDEX(Positions!$E$2:$E$4694,MATCH($A1480&amp;"|48",Positions!$A$2:$A$4694,0))</f>
        <v>C</v>
      </c>
      <c r="H1480" s="24" t="str">
        <f t="shared" si="92"/>
        <v>G-C</v>
      </c>
      <c r="I1480" s="23">
        <f t="shared" si="93"/>
        <v>1</v>
      </c>
      <c r="J1480" s="23">
        <f t="shared" si="94"/>
        <v>1</v>
      </c>
      <c r="K1480" s="24">
        <f t="shared" si="95"/>
        <v>2</v>
      </c>
    </row>
    <row r="1481" spans="1:11">
      <c r="A1481" s="23" t="s">
        <v>89</v>
      </c>
      <c r="B1481" s="23" t="s">
        <v>241</v>
      </c>
      <c r="C1481" s="23" t="s">
        <v>244</v>
      </c>
      <c r="D1481" s="23">
        <f>INDEX(Positions!$D$2:$D$4694,MATCH($A1481&amp;"|18",Positions!$A$2:$A$4694,0))</f>
        <v>17</v>
      </c>
      <c r="E1481" s="23">
        <f>INDEX(Positions!$D$2:$D$4694,MATCH($A1481&amp;"|55",Positions!$A$2:$A$4694,0))</f>
        <v>54</v>
      </c>
      <c r="F1481" s="23" t="str">
        <f>INDEX(Positions!$E$2:$E$4694,MATCH($A1481&amp;"|18",Positions!$A$2:$A$4694,0))</f>
        <v>G</v>
      </c>
      <c r="G1481" s="23" t="str">
        <f>INDEX(Positions!$E$2:$E$4694,MATCH($A1481&amp;"|55",Positions!$A$2:$A$4694,0))</f>
        <v>U</v>
      </c>
      <c r="H1481" s="24" t="str">
        <f t="shared" si="92"/>
        <v>G-U</v>
      </c>
      <c r="I1481" s="23">
        <f t="shared" si="93"/>
        <v>1</v>
      </c>
      <c r="J1481" s="23">
        <f t="shared" si="94"/>
        <v>0</v>
      </c>
      <c r="K1481" s="24">
        <f t="shared" si="95"/>
        <v>1</v>
      </c>
    </row>
    <row r="1482" spans="1:11">
      <c r="A1482" s="23" t="s">
        <v>89</v>
      </c>
      <c r="B1482" s="23" t="s">
        <v>241</v>
      </c>
      <c r="C1482" s="23" t="s">
        <v>245</v>
      </c>
      <c r="D1482" s="23">
        <f>INDEX(Positions!$D$2:$D$4694,MATCH($A1482&amp;"|19",Positions!$A$2:$A$4694,0))</f>
        <v>18</v>
      </c>
      <c r="E1482" s="23">
        <f>INDEX(Positions!$D$2:$D$4694,MATCH($A1482&amp;"|56",Positions!$A$2:$A$4694,0))</f>
        <v>55</v>
      </c>
      <c r="F1482" s="23" t="str">
        <f>INDEX(Positions!$E$2:$E$4694,MATCH($A1482&amp;"|19",Positions!$A$2:$A$4694,0))</f>
        <v>G</v>
      </c>
      <c r="G1482" s="23" t="str">
        <f>INDEX(Positions!$E$2:$E$4694,MATCH($A1482&amp;"|56",Positions!$A$2:$A$4694,0))</f>
        <v>C</v>
      </c>
      <c r="H1482" s="24" t="str">
        <f t="shared" si="92"/>
        <v>G-C</v>
      </c>
      <c r="I1482" s="23">
        <f t="shared" si="93"/>
        <v>1</v>
      </c>
      <c r="J1482" s="23">
        <f t="shared" si="94"/>
        <v>1</v>
      </c>
      <c r="K1482" s="24">
        <f t="shared" si="95"/>
        <v>2</v>
      </c>
    </row>
    <row r="1483" spans="1:11">
      <c r="A1483" s="23" t="s">
        <v>89</v>
      </c>
      <c r="B1483" s="23" t="s">
        <v>241</v>
      </c>
      <c r="C1483" s="23" t="s">
        <v>246</v>
      </c>
      <c r="D1483" s="23">
        <f>INDEX(Positions!$D$2:$D$4694,MATCH($A1483&amp;"|26",Positions!$A$2:$A$4694,0))</f>
        <v>25</v>
      </c>
      <c r="E1483" s="23">
        <f>INDEX(Positions!$D$2:$D$4694,MATCH($A1483&amp;"|44",Positions!$A$2:$A$4694,0))</f>
        <v>43</v>
      </c>
      <c r="F1483" s="23" t="str">
        <f>INDEX(Positions!$E$2:$E$4694,MATCH($A1483&amp;"|26",Positions!$A$2:$A$4694,0))</f>
        <v>G</v>
      </c>
      <c r="G1483" s="23" t="str">
        <f>INDEX(Positions!$E$2:$E$4694,MATCH($A1483&amp;"|44",Positions!$A$2:$A$4694,0))</f>
        <v>A</v>
      </c>
      <c r="H1483" s="24" t="str">
        <f t="shared" si="92"/>
        <v>G-A</v>
      </c>
      <c r="I1483" s="23">
        <f t="shared" si="93"/>
        <v>1</v>
      </c>
      <c r="J1483" s="23">
        <f t="shared" si="94"/>
        <v>0</v>
      </c>
      <c r="K1483" s="24">
        <f t="shared" si="95"/>
        <v>1</v>
      </c>
    </row>
    <row r="1484" spans="1:11">
      <c r="A1484" s="23" t="s">
        <v>89</v>
      </c>
      <c r="B1484" s="23" t="s">
        <v>241</v>
      </c>
      <c r="C1484" s="23" t="s">
        <v>247</v>
      </c>
      <c r="D1484" s="23">
        <f>INDEX(Positions!$D$2:$D$4694,MATCH($A1484&amp;"|32",Positions!$A$2:$A$4694,0))</f>
        <v>31</v>
      </c>
      <c r="E1484" s="23">
        <f>INDEX(Positions!$D$2:$D$4694,MATCH($A1484&amp;"|38",Positions!$A$2:$A$4694,0))</f>
        <v>37</v>
      </c>
      <c r="F1484" s="23" t="str">
        <f>INDEX(Positions!$E$2:$E$4694,MATCH($A1484&amp;"|32",Positions!$A$2:$A$4694,0))</f>
        <v>U</v>
      </c>
      <c r="G1484" s="23" t="str">
        <f>INDEX(Positions!$E$2:$E$4694,MATCH($A1484&amp;"|38",Positions!$A$2:$A$4694,0))</f>
        <v>A</v>
      </c>
      <c r="H1484" s="24" t="str">
        <f t="shared" si="92"/>
        <v>U-A</v>
      </c>
      <c r="I1484" s="23">
        <f t="shared" si="93"/>
        <v>0</v>
      </c>
      <c r="J1484" s="23">
        <f t="shared" si="94"/>
        <v>0</v>
      </c>
      <c r="K1484" s="24">
        <f t="shared" si="95"/>
        <v>0</v>
      </c>
    </row>
    <row r="1485" spans="1:11">
      <c r="A1485" s="23" t="s">
        <v>89</v>
      </c>
      <c r="B1485" s="23" t="s">
        <v>241</v>
      </c>
      <c r="C1485" s="23" t="s">
        <v>248</v>
      </c>
      <c r="D1485" s="23">
        <f>INDEX(Positions!$D$2:$D$4694,MATCH($A1485&amp;"|54",Positions!$A$2:$A$4694,0))</f>
        <v>53</v>
      </c>
      <c r="E1485" s="23">
        <f>INDEX(Positions!$D$2:$D$4694,MATCH($A1485&amp;"|58",Positions!$A$2:$A$4694,0))</f>
        <v>57</v>
      </c>
      <c r="F1485" s="23" t="str">
        <f>INDEX(Positions!$E$2:$E$4694,MATCH($A1485&amp;"|54",Positions!$A$2:$A$4694,0))</f>
        <v>U</v>
      </c>
      <c r="G1485" s="23" t="str">
        <f>INDEX(Positions!$E$2:$E$4694,MATCH($A1485&amp;"|58",Positions!$A$2:$A$4694,0))</f>
        <v>A</v>
      </c>
      <c r="H1485" s="24" t="str">
        <f t="shared" si="92"/>
        <v>U-A</v>
      </c>
      <c r="I1485" s="23">
        <f t="shared" si="93"/>
        <v>0</v>
      </c>
      <c r="J1485" s="23">
        <f t="shared" si="94"/>
        <v>0</v>
      </c>
      <c r="K1485" s="24">
        <f t="shared" si="95"/>
        <v>0</v>
      </c>
    </row>
    <row r="1486" spans="1:11">
      <c r="A1486" s="4" t="s">
        <v>90</v>
      </c>
      <c r="B1486" s="4" t="s">
        <v>110</v>
      </c>
      <c r="C1486" s="4" t="s">
        <v>220</v>
      </c>
      <c r="D1486" s="4">
        <f>INDEX(Positions!$D$2:$D$4694,MATCH($A1486&amp;"|1",Positions!$A$2:$A$4694,0))</f>
        <v>1</v>
      </c>
      <c r="E1486" s="4">
        <f>INDEX(Positions!$D$2:$D$4694,MATCH($A1486&amp;"|72",Positions!$A$2:$A$4694,0))</f>
        <v>71</v>
      </c>
      <c r="F1486" s="4" t="str">
        <f>INDEX(Positions!$E$2:$E$4694,MATCH($A1486&amp;"|1",Positions!$A$2:$A$4694,0))</f>
        <v>G</v>
      </c>
      <c r="G1486" s="4" t="str">
        <f>INDEX(Positions!$E$2:$E$4694,MATCH($A1486&amp;"|72",Positions!$A$2:$A$4694,0))</f>
        <v>C</v>
      </c>
      <c r="H1486" s="3" t="str">
        <f t="shared" si="92"/>
        <v>G-C</v>
      </c>
      <c r="I1486" s="4">
        <f t="shared" si="93"/>
        <v>1</v>
      </c>
      <c r="J1486" s="4">
        <f t="shared" si="94"/>
        <v>1</v>
      </c>
      <c r="K1486" s="3">
        <f t="shared" si="95"/>
        <v>2</v>
      </c>
    </row>
    <row r="1487" spans="1:11">
      <c r="A1487" s="4" t="s">
        <v>90</v>
      </c>
      <c r="B1487" s="4" t="s">
        <v>110</v>
      </c>
      <c r="C1487" s="4" t="s">
        <v>221</v>
      </c>
      <c r="D1487" s="4">
        <f>INDEX(Positions!$D$2:$D$4694,MATCH($A1487&amp;"|2",Positions!$A$2:$A$4694,0))</f>
        <v>2</v>
      </c>
      <c r="E1487" s="4">
        <f>INDEX(Positions!$D$2:$D$4694,MATCH($A1487&amp;"|71",Positions!$A$2:$A$4694,0))</f>
        <v>70</v>
      </c>
      <c r="F1487" s="4" t="str">
        <f>INDEX(Positions!$E$2:$E$4694,MATCH($A1487&amp;"|2",Positions!$A$2:$A$4694,0))</f>
        <v>C</v>
      </c>
      <c r="G1487" s="4" t="str">
        <f>INDEX(Positions!$E$2:$E$4694,MATCH($A1487&amp;"|71",Positions!$A$2:$A$4694,0))</f>
        <v>G</v>
      </c>
      <c r="H1487" s="3" t="str">
        <f t="shared" si="92"/>
        <v>C-G</v>
      </c>
      <c r="I1487" s="4">
        <f t="shared" si="93"/>
        <v>1</v>
      </c>
      <c r="J1487" s="4">
        <f t="shared" si="94"/>
        <v>1</v>
      </c>
      <c r="K1487" s="3">
        <f t="shared" si="95"/>
        <v>2</v>
      </c>
    </row>
    <row r="1488" spans="1:11">
      <c r="A1488" s="4" t="s">
        <v>90</v>
      </c>
      <c r="B1488" s="4" t="s">
        <v>110</v>
      </c>
      <c r="C1488" s="4" t="s">
        <v>222</v>
      </c>
      <c r="D1488" s="4">
        <f>INDEX(Positions!$D$2:$D$4694,MATCH($A1488&amp;"|3",Positions!$A$2:$A$4694,0))</f>
        <v>3</v>
      </c>
      <c r="E1488" s="4">
        <f>INDEX(Positions!$D$2:$D$4694,MATCH($A1488&amp;"|70",Positions!$A$2:$A$4694,0))</f>
        <v>69</v>
      </c>
      <c r="F1488" s="4" t="str">
        <f>INDEX(Positions!$E$2:$E$4694,MATCH($A1488&amp;"|3",Positions!$A$2:$A$4694,0))</f>
        <v>C</v>
      </c>
      <c r="G1488" s="4" t="str">
        <f>INDEX(Positions!$E$2:$E$4694,MATCH($A1488&amp;"|70",Positions!$A$2:$A$4694,0))</f>
        <v>G</v>
      </c>
      <c r="H1488" s="3" t="str">
        <f t="shared" si="92"/>
        <v>C-G</v>
      </c>
      <c r="I1488" s="4">
        <f t="shared" si="93"/>
        <v>1</v>
      </c>
      <c r="J1488" s="4">
        <f t="shared" si="94"/>
        <v>1</v>
      </c>
      <c r="K1488" s="3">
        <f t="shared" si="95"/>
        <v>2</v>
      </c>
    </row>
    <row r="1489" spans="1:11">
      <c r="A1489" s="4" t="s">
        <v>90</v>
      </c>
      <c r="B1489" s="4" t="s">
        <v>110</v>
      </c>
      <c r="C1489" s="4" t="s">
        <v>223</v>
      </c>
      <c r="D1489" s="4">
        <f>INDEX(Positions!$D$2:$D$4694,MATCH($A1489&amp;"|4",Positions!$A$2:$A$4694,0))</f>
        <v>4</v>
      </c>
      <c r="E1489" s="4">
        <f>INDEX(Positions!$D$2:$D$4694,MATCH($A1489&amp;"|69",Positions!$A$2:$A$4694,0))</f>
        <v>68</v>
      </c>
      <c r="F1489" s="4" t="str">
        <f>INDEX(Positions!$E$2:$E$4694,MATCH($A1489&amp;"|4",Positions!$A$2:$A$4694,0))</f>
        <v>U</v>
      </c>
      <c r="G1489" s="4" t="str">
        <f>INDEX(Positions!$E$2:$E$4694,MATCH($A1489&amp;"|69",Positions!$A$2:$A$4694,0))</f>
        <v>A</v>
      </c>
      <c r="H1489" s="3" t="str">
        <f t="shared" si="92"/>
        <v>U-A</v>
      </c>
      <c r="I1489" s="4">
        <f t="shared" si="93"/>
        <v>0</v>
      </c>
      <c r="J1489" s="4">
        <f t="shared" si="94"/>
        <v>0</v>
      </c>
      <c r="K1489" s="3">
        <f t="shared" si="95"/>
        <v>0</v>
      </c>
    </row>
    <row r="1490" spans="1:11">
      <c r="A1490" s="4" t="s">
        <v>90</v>
      </c>
      <c r="B1490" s="4" t="s">
        <v>110</v>
      </c>
      <c r="C1490" s="4" t="s">
        <v>224</v>
      </c>
      <c r="D1490" s="4">
        <f>INDEX(Positions!$D$2:$D$4694,MATCH($A1490&amp;"|5",Positions!$A$2:$A$4694,0))</f>
        <v>5</v>
      </c>
      <c r="E1490" s="4">
        <f>INDEX(Positions!$D$2:$D$4694,MATCH($A1490&amp;"|68",Positions!$A$2:$A$4694,0))</f>
        <v>67</v>
      </c>
      <c r="F1490" s="4" t="str">
        <f>INDEX(Positions!$E$2:$E$4694,MATCH($A1490&amp;"|5",Positions!$A$2:$A$4694,0))</f>
        <v>U</v>
      </c>
      <c r="G1490" s="4" t="str">
        <f>INDEX(Positions!$E$2:$E$4694,MATCH($A1490&amp;"|68",Positions!$A$2:$A$4694,0))</f>
        <v>G</v>
      </c>
      <c r="H1490" s="3" t="str">
        <f t="shared" si="92"/>
        <v>U-G</v>
      </c>
      <c r="I1490" s="4">
        <f t="shared" si="93"/>
        <v>1</v>
      </c>
      <c r="J1490" s="4">
        <f t="shared" si="94"/>
        <v>0</v>
      </c>
      <c r="K1490" s="3">
        <f t="shared" si="95"/>
        <v>1</v>
      </c>
    </row>
    <row r="1491" spans="1:11">
      <c r="A1491" s="4" t="s">
        <v>90</v>
      </c>
      <c r="B1491" s="4" t="s">
        <v>110</v>
      </c>
      <c r="C1491" s="4" t="s">
        <v>225</v>
      </c>
      <c r="D1491" s="4">
        <f>INDEX(Positions!$D$2:$D$4694,MATCH($A1491&amp;"|6",Positions!$A$2:$A$4694,0))</f>
        <v>6</v>
      </c>
      <c r="E1491" s="4">
        <f>INDEX(Positions!$D$2:$D$4694,MATCH($A1491&amp;"|67",Positions!$A$2:$A$4694,0))</f>
        <v>66</v>
      </c>
      <c r="F1491" s="4" t="str">
        <f>INDEX(Positions!$E$2:$E$4694,MATCH($A1491&amp;"|6",Positions!$A$2:$A$4694,0))</f>
        <v>G</v>
      </c>
      <c r="G1491" s="4" t="str">
        <f>INDEX(Positions!$E$2:$E$4694,MATCH($A1491&amp;"|67",Positions!$A$2:$A$4694,0))</f>
        <v>C</v>
      </c>
      <c r="H1491" s="3" t="str">
        <f t="shared" si="92"/>
        <v>G-C</v>
      </c>
      <c r="I1491" s="4">
        <f t="shared" si="93"/>
        <v>1</v>
      </c>
      <c r="J1491" s="4">
        <f t="shared" si="94"/>
        <v>1</v>
      </c>
      <c r="K1491" s="3">
        <f t="shared" si="95"/>
        <v>2</v>
      </c>
    </row>
    <row r="1492" spans="1:11">
      <c r="A1492" s="4" t="s">
        <v>90</v>
      </c>
      <c r="B1492" s="4" t="s">
        <v>110</v>
      </c>
      <c r="C1492" s="4" t="s">
        <v>226</v>
      </c>
      <c r="D1492" s="4">
        <f>INDEX(Positions!$D$2:$D$4694,MATCH($A1492&amp;"|7",Positions!$A$2:$A$4694,0))</f>
        <v>7</v>
      </c>
      <c r="E1492" s="4">
        <f>INDEX(Positions!$D$2:$D$4694,MATCH($A1492&amp;"|66",Positions!$A$2:$A$4694,0))</f>
        <v>65</v>
      </c>
      <c r="F1492" s="4" t="str">
        <f>INDEX(Positions!$E$2:$E$4694,MATCH($A1492&amp;"|7",Positions!$A$2:$A$4694,0))</f>
        <v>G</v>
      </c>
      <c r="G1492" s="4" t="str">
        <f>INDEX(Positions!$E$2:$E$4694,MATCH($A1492&amp;"|66",Positions!$A$2:$A$4694,0))</f>
        <v>C</v>
      </c>
      <c r="H1492" s="3" t="str">
        <f t="shared" si="92"/>
        <v>G-C</v>
      </c>
      <c r="I1492" s="4">
        <f t="shared" si="93"/>
        <v>1</v>
      </c>
      <c r="J1492" s="4">
        <f t="shared" si="94"/>
        <v>1</v>
      </c>
      <c r="K1492" s="3">
        <f t="shared" si="95"/>
        <v>2</v>
      </c>
    </row>
    <row r="1493" spans="1:11">
      <c r="A1493" s="4" t="s">
        <v>90</v>
      </c>
      <c r="B1493" s="4" t="s">
        <v>125</v>
      </c>
      <c r="C1493" s="4" t="s">
        <v>227</v>
      </c>
      <c r="D1493" s="4">
        <f>INDEX(Positions!$D$2:$D$4694,MATCH($A1493&amp;"|10",Positions!$A$2:$A$4694,0))</f>
        <v>10</v>
      </c>
      <c r="E1493" s="4">
        <f>INDEX(Positions!$D$2:$D$4694,MATCH($A1493&amp;"|25",Positions!$A$2:$A$4694,0))</f>
        <v>24</v>
      </c>
      <c r="F1493" s="4" t="str">
        <f>INDEX(Positions!$E$2:$E$4694,MATCH($A1493&amp;"|10",Positions!$A$2:$A$4694,0))</f>
        <v>G</v>
      </c>
      <c r="G1493" s="4" t="str">
        <f>INDEX(Positions!$E$2:$E$4694,MATCH($A1493&amp;"|25",Positions!$A$2:$A$4694,0))</f>
        <v>C</v>
      </c>
      <c r="H1493" s="3" t="str">
        <f t="shared" si="92"/>
        <v>G-C</v>
      </c>
      <c r="I1493" s="4">
        <f t="shared" si="93"/>
        <v>1</v>
      </c>
      <c r="J1493" s="4">
        <f t="shared" si="94"/>
        <v>1</v>
      </c>
      <c r="K1493" s="3">
        <f t="shared" si="95"/>
        <v>2</v>
      </c>
    </row>
    <row r="1494" spans="1:11">
      <c r="A1494" s="4" t="s">
        <v>90</v>
      </c>
      <c r="B1494" s="4" t="s">
        <v>125</v>
      </c>
      <c r="C1494" s="4" t="s">
        <v>228</v>
      </c>
      <c r="D1494" s="4">
        <f>INDEX(Positions!$D$2:$D$4694,MATCH($A1494&amp;"|11",Positions!$A$2:$A$4694,0))</f>
        <v>11</v>
      </c>
      <c r="E1494" s="4">
        <f>INDEX(Positions!$D$2:$D$4694,MATCH($A1494&amp;"|24",Positions!$A$2:$A$4694,0))</f>
        <v>23</v>
      </c>
      <c r="F1494" s="4" t="str">
        <f>INDEX(Positions!$E$2:$E$4694,MATCH($A1494&amp;"|11",Positions!$A$2:$A$4694,0))</f>
        <v>C</v>
      </c>
      <c r="G1494" s="4" t="str">
        <f>INDEX(Positions!$E$2:$E$4694,MATCH($A1494&amp;"|24",Positions!$A$2:$A$4694,0))</f>
        <v>G</v>
      </c>
      <c r="H1494" s="3" t="str">
        <f t="shared" si="92"/>
        <v>C-G</v>
      </c>
      <c r="I1494" s="4">
        <f t="shared" si="93"/>
        <v>1</v>
      </c>
      <c r="J1494" s="4">
        <f t="shared" si="94"/>
        <v>1</v>
      </c>
      <c r="K1494" s="3">
        <f t="shared" si="95"/>
        <v>2</v>
      </c>
    </row>
    <row r="1495" spans="1:11">
      <c r="A1495" s="4" t="s">
        <v>90</v>
      </c>
      <c r="B1495" s="4" t="s">
        <v>125</v>
      </c>
      <c r="C1495" s="4" t="s">
        <v>229</v>
      </c>
      <c r="D1495" s="4">
        <f>INDEX(Positions!$D$2:$D$4694,MATCH($A1495&amp;"|12",Positions!$A$2:$A$4694,0))</f>
        <v>12</v>
      </c>
      <c r="E1495" s="4">
        <f>INDEX(Positions!$D$2:$D$4694,MATCH($A1495&amp;"|23",Positions!$A$2:$A$4694,0))</f>
        <v>22</v>
      </c>
      <c r="F1495" s="4" t="str">
        <f>INDEX(Positions!$E$2:$E$4694,MATCH($A1495&amp;"|12",Positions!$A$2:$A$4694,0))</f>
        <v>U</v>
      </c>
      <c r="G1495" s="4" t="str">
        <f>INDEX(Positions!$E$2:$E$4694,MATCH($A1495&amp;"|23",Positions!$A$2:$A$4694,0))</f>
        <v>A</v>
      </c>
      <c r="H1495" s="3" t="str">
        <f t="shared" si="92"/>
        <v>U-A</v>
      </c>
      <c r="I1495" s="4">
        <f t="shared" si="93"/>
        <v>0</v>
      </c>
      <c r="J1495" s="4">
        <f t="shared" si="94"/>
        <v>0</v>
      </c>
      <c r="K1495" s="3">
        <f t="shared" si="95"/>
        <v>0</v>
      </c>
    </row>
    <row r="1496" spans="1:11">
      <c r="A1496" s="4" t="s">
        <v>90</v>
      </c>
      <c r="B1496" s="4" t="s">
        <v>125</v>
      </c>
      <c r="C1496" s="4" t="s">
        <v>230</v>
      </c>
      <c r="D1496" s="4">
        <f>INDEX(Positions!$D$2:$D$4694,MATCH($A1496&amp;"|13",Positions!$A$2:$A$4694,0))</f>
        <v>13</v>
      </c>
      <c r="E1496" s="4">
        <f>INDEX(Positions!$D$2:$D$4694,MATCH($A1496&amp;"|22",Positions!$A$2:$A$4694,0))</f>
        <v>21</v>
      </c>
      <c r="F1496" s="4" t="str">
        <f>INDEX(Positions!$E$2:$E$4694,MATCH($A1496&amp;"|13",Positions!$A$2:$A$4694,0))</f>
        <v>U</v>
      </c>
      <c r="G1496" s="4" t="str">
        <f>INDEX(Positions!$E$2:$E$4694,MATCH($A1496&amp;"|22",Positions!$A$2:$A$4694,0))</f>
        <v>U</v>
      </c>
      <c r="H1496" s="3" t="str">
        <f t="shared" si="92"/>
        <v>U-U</v>
      </c>
      <c r="I1496" s="4">
        <f t="shared" si="93"/>
        <v>0</v>
      </c>
      <c r="J1496" s="4">
        <f t="shared" si="94"/>
        <v>0</v>
      </c>
      <c r="K1496" s="3">
        <f t="shared" si="95"/>
        <v>0</v>
      </c>
    </row>
    <row r="1497" spans="1:11">
      <c r="A1497" s="4" t="s">
        <v>90</v>
      </c>
      <c r="B1497" s="4" t="s">
        <v>144</v>
      </c>
      <c r="C1497" s="4" t="s">
        <v>231</v>
      </c>
      <c r="D1497" s="4">
        <f>INDEX(Positions!$D$2:$D$4694,MATCH($A1497&amp;"|27",Positions!$A$2:$A$4694,0))</f>
        <v>26</v>
      </c>
      <c r="E1497" s="4">
        <f>INDEX(Positions!$D$2:$D$4694,MATCH($A1497&amp;"|43",Positions!$A$2:$A$4694,0))</f>
        <v>42</v>
      </c>
      <c r="F1497" s="4" t="str">
        <f>INDEX(Positions!$E$2:$E$4694,MATCH($A1497&amp;"|27",Positions!$A$2:$A$4694,0))</f>
        <v>C</v>
      </c>
      <c r="G1497" s="4" t="str">
        <f>INDEX(Positions!$E$2:$E$4694,MATCH($A1497&amp;"|43",Positions!$A$2:$A$4694,0))</f>
        <v>G</v>
      </c>
      <c r="H1497" s="3" t="str">
        <f t="shared" si="92"/>
        <v>C-G</v>
      </c>
      <c r="I1497" s="4">
        <f t="shared" si="93"/>
        <v>1</v>
      </c>
      <c r="J1497" s="4">
        <f t="shared" si="94"/>
        <v>1</v>
      </c>
      <c r="K1497" s="3">
        <f t="shared" si="95"/>
        <v>2</v>
      </c>
    </row>
    <row r="1498" spans="1:11">
      <c r="A1498" s="4" t="s">
        <v>90</v>
      </c>
      <c r="B1498" s="4" t="s">
        <v>144</v>
      </c>
      <c r="C1498" s="4" t="s">
        <v>232</v>
      </c>
      <c r="D1498" s="4">
        <f>INDEX(Positions!$D$2:$D$4694,MATCH($A1498&amp;"|28",Positions!$A$2:$A$4694,0))</f>
        <v>27</v>
      </c>
      <c r="E1498" s="4">
        <f>INDEX(Positions!$D$2:$D$4694,MATCH($A1498&amp;"|42",Positions!$A$2:$A$4694,0))</f>
        <v>41</v>
      </c>
      <c r="F1498" s="4" t="str">
        <f>INDEX(Positions!$E$2:$E$4694,MATCH($A1498&amp;"|28",Positions!$A$2:$A$4694,0))</f>
        <v>G</v>
      </c>
      <c r="G1498" s="4" t="str">
        <f>INDEX(Positions!$E$2:$E$4694,MATCH($A1498&amp;"|42",Positions!$A$2:$A$4694,0))</f>
        <v>C</v>
      </c>
      <c r="H1498" s="3" t="str">
        <f t="shared" si="92"/>
        <v>G-C</v>
      </c>
      <c r="I1498" s="4">
        <f t="shared" si="93"/>
        <v>1</v>
      </c>
      <c r="J1498" s="4">
        <f t="shared" si="94"/>
        <v>1</v>
      </c>
      <c r="K1498" s="3">
        <f t="shared" si="95"/>
        <v>2</v>
      </c>
    </row>
    <row r="1499" spans="1:11">
      <c r="A1499" s="4" t="s">
        <v>90</v>
      </c>
      <c r="B1499" s="4" t="s">
        <v>144</v>
      </c>
      <c r="C1499" s="4" t="s">
        <v>233</v>
      </c>
      <c r="D1499" s="4">
        <f>INDEX(Positions!$D$2:$D$4694,MATCH($A1499&amp;"|29",Positions!$A$2:$A$4694,0))</f>
        <v>28</v>
      </c>
      <c r="E1499" s="4">
        <f>INDEX(Positions!$D$2:$D$4694,MATCH($A1499&amp;"|41",Positions!$A$2:$A$4694,0))</f>
        <v>40</v>
      </c>
      <c r="F1499" s="4" t="str">
        <f>INDEX(Positions!$E$2:$E$4694,MATCH($A1499&amp;"|29",Positions!$A$2:$A$4694,0))</f>
        <v>U</v>
      </c>
      <c r="G1499" s="4" t="str">
        <f>INDEX(Positions!$E$2:$E$4694,MATCH($A1499&amp;"|41",Positions!$A$2:$A$4694,0))</f>
        <v>A</v>
      </c>
      <c r="H1499" s="3" t="str">
        <f t="shared" si="92"/>
        <v>U-A</v>
      </c>
      <c r="I1499" s="4">
        <f t="shared" si="93"/>
        <v>0</v>
      </c>
      <c r="J1499" s="4">
        <f t="shared" si="94"/>
        <v>0</v>
      </c>
      <c r="K1499" s="3">
        <f t="shared" si="95"/>
        <v>0</v>
      </c>
    </row>
    <row r="1500" spans="1:11">
      <c r="A1500" s="4" t="s">
        <v>90</v>
      </c>
      <c r="B1500" s="4" t="s">
        <v>144</v>
      </c>
      <c r="C1500" s="4" t="s">
        <v>234</v>
      </c>
      <c r="D1500" s="4">
        <f>INDEX(Positions!$D$2:$D$4694,MATCH($A1500&amp;"|30",Positions!$A$2:$A$4694,0))</f>
        <v>29</v>
      </c>
      <c r="E1500" s="4">
        <f>INDEX(Positions!$D$2:$D$4694,MATCH($A1500&amp;"|40",Positions!$A$2:$A$4694,0))</f>
        <v>39</v>
      </c>
      <c r="F1500" s="4" t="str">
        <f>INDEX(Positions!$E$2:$E$4694,MATCH($A1500&amp;"|30",Positions!$A$2:$A$4694,0))</f>
        <v>C</v>
      </c>
      <c r="G1500" s="4" t="str">
        <f>INDEX(Positions!$E$2:$E$4694,MATCH($A1500&amp;"|40",Positions!$A$2:$A$4694,0))</f>
        <v>G</v>
      </c>
      <c r="H1500" s="3" t="str">
        <f t="shared" si="92"/>
        <v>C-G</v>
      </c>
      <c r="I1500" s="4">
        <f t="shared" si="93"/>
        <v>1</v>
      </c>
      <c r="J1500" s="4">
        <f t="shared" si="94"/>
        <v>1</v>
      </c>
      <c r="K1500" s="3">
        <f t="shared" si="95"/>
        <v>2</v>
      </c>
    </row>
    <row r="1501" spans="1:11">
      <c r="A1501" s="4" t="s">
        <v>90</v>
      </c>
      <c r="B1501" s="4" t="s">
        <v>144</v>
      </c>
      <c r="C1501" s="4" t="s">
        <v>235</v>
      </c>
      <c r="D1501" s="4">
        <f>INDEX(Positions!$D$2:$D$4694,MATCH($A1501&amp;"|31",Positions!$A$2:$A$4694,0))</f>
        <v>30</v>
      </c>
      <c r="E1501" s="4">
        <f>INDEX(Positions!$D$2:$D$4694,MATCH($A1501&amp;"|39",Positions!$A$2:$A$4694,0))</f>
        <v>38</v>
      </c>
      <c r="F1501" s="4" t="str">
        <f>INDEX(Positions!$E$2:$E$4694,MATCH($A1501&amp;"|31",Positions!$A$2:$A$4694,0))</f>
        <v>C</v>
      </c>
      <c r="G1501" s="4" t="str">
        <f>INDEX(Positions!$E$2:$E$4694,MATCH($A1501&amp;"|39",Positions!$A$2:$A$4694,0))</f>
        <v>G</v>
      </c>
      <c r="H1501" s="3" t="str">
        <f t="shared" si="92"/>
        <v>C-G</v>
      </c>
      <c r="I1501" s="4">
        <f t="shared" si="93"/>
        <v>1</v>
      </c>
      <c r="J1501" s="4">
        <f t="shared" si="94"/>
        <v>1</v>
      </c>
      <c r="K1501" s="3">
        <f t="shared" si="95"/>
        <v>2</v>
      </c>
    </row>
    <row r="1502" spans="1:11">
      <c r="A1502" s="4" t="s">
        <v>90</v>
      </c>
      <c r="B1502" s="4" t="s">
        <v>169</v>
      </c>
      <c r="C1502" s="4" t="s">
        <v>236</v>
      </c>
      <c r="D1502" s="4">
        <f>INDEX(Positions!$D$2:$D$4694,MATCH($A1502&amp;"|49",Positions!$A$2:$A$4694,0))</f>
        <v>48</v>
      </c>
      <c r="E1502" s="4">
        <f>INDEX(Positions!$D$2:$D$4694,MATCH($A1502&amp;"|65",Positions!$A$2:$A$4694,0))</f>
        <v>64</v>
      </c>
      <c r="F1502" s="4" t="str">
        <f>INDEX(Positions!$E$2:$E$4694,MATCH($A1502&amp;"|49",Positions!$A$2:$A$4694,0))</f>
        <v>G</v>
      </c>
      <c r="G1502" s="4" t="str">
        <f>INDEX(Positions!$E$2:$E$4694,MATCH($A1502&amp;"|65",Positions!$A$2:$A$4694,0))</f>
        <v>C</v>
      </c>
      <c r="H1502" s="3" t="str">
        <f t="shared" si="92"/>
        <v>G-C</v>
      </c>
      <c r="I1502" s="4">
        <f t="shared" si="93"/>
        <v>1</v>
      </c>
      <c r="J1502" s="4">
        <f t="shared" si="94"/>
        <v>1</v>
      </c>
      <c r="K1502" s="3">
        <f t="shared" si="95"/>
        <v>2</v>
      </c>
    </row>
    <row r="1503" spans="1:11">
      <c r="A1503" s="4" t="s">
        <v>90</v>
      </c>
      <c r="B1503" s="4" t="s">
        <v>169</v>
      </c>
      <c r="C1503" s="4" t="s">
        <v>237</v>
      </c>
      <c r="D1503" s="4">
        <f>INDEX(Positions!$D$2:$D$4694,MATCH($A1503&amp;"|50",Positions!$A$2:$A$4694,0))</f>
        <v>49</v>
      </c>
      <c r="E1503" s="4">
        <f>INDEX(Positions!$D$2:$D$4694,MATCH($A1503&amp;"|64",Positions!$A$2:$A$4694,0))</f>
        <v>63</v>
      </c>
      <c r="F1503" s="4" t="str">
        <f>INDEX(Positions!$E$2:$E$4694,MATCH($A1503&amp;"|50",Positions!$A$2:$A$4694,0))</f>
        <v>C</v>
      </c>
      <c r="G1503" s="4" t="str">
        <f>INDEX(Positions!$E$2:$E$4694,MATCH($A1503&amp;"|64",Positions!$A$2:$A$4694,0))</f>
        <v>G</v>
      </c>
      <c r="H1503" s="3" t="str">
        <f t="shared" si="92"/>
        <v>C-G</v>
      </c>
      <c r="I1503" s="4">
        <f t="shared" si="93"/>
        <v>1</v>
      </c>
      <c r="J1503" s="4">
        <f t="shared" si="94"/>
        <v>1</v>
      </c>
      <c r="K1503" s="3">
        <f t="shared" si="95"/>
        <v>2</v>
      </c>
    </row>
    <row r="1504" spans="1:11">
      <c r="A1504" s="4" t="s">
        <v>90</v>
      </c>
      <c r="B1504" s="4" t="s">
        <v>169</v>
      </c>
      <c r="C1504" s="4" t="s">
        <v>238</v>
      </c>
      <c r="D1504" s="4">
        <f>INDEX(Positions!$D$2:$D$4694,MATCH($A1504&amp;"|51",Positions!$A$2:$A$4694,0))</f>
        <v>50</v>
      </c>
      <c r="E1504" s="4">
        <f>INDEX(Positions!$D$2:$D$4694,MATCH($A1504&amp;"|63",Positions!$A$2:$A$4694,0))</f>
        <v>62</v>
      </c>
      <c r="F1504" s="4" t="str">
        <f>INDEX(Positions!$E$2:$E$4694,MATCH($A1504&amp;"|51",Positions!$A$2:$A$4694,0))</f>
        <v>G</v>
      </c>
      <c r="G1504" s="4" t="str">
        <f>INDEX(Positions!$E$2:$E$4694,MATCH($A1504&amp;"|63",Positions!$A$2:$A$4694,0))</f>
        <v>C</v>
      </c>
      <c r="H1504" s="3" t="str">
        <f t="shared" si="92"/>
        <v>G-C</v>
      </c>
      <c r="I1504" s="4">
        <f t="shared" si="93"/>
        <v>1</v>
      </c>
      <c r="J1504" s="4">
        <f t="shared" si="94"/>
        <v>1</v>
      </c>
      <c r="K1504" s="3">
        <f t="shared" si="95"/>
        <v>2</v>
      </c>
    </row>
    <row r="1505" spans="1:11">
      <c r="A1505" s="4" t="s">
        <v>90</v>
      </c>
      <c r="B1505" s="4" t="s">
        <v>169</v>
      </c>
      <c r="C1505" s="4" t="s">
        <v>239</v>
      </c>
      <c r="D1505" s="4">
        <f>INDEX(Positions!$D$2:$D$4694,MATCH($A1505&amp;"|52",Positions!$A$2:$A$4694,0))</f>
        <v>51</v>
      </c>
      <c r="E1505" s="4">
        <f>INDEX(Positions!$D$2:$D$4694,MATCH($A1505&amp;"|62",Positions!$A$2:$A$4694,0))</f>
        <v>61</v>
      </c>
      <c r="F1505" s="4" t="str">
        <f>INDEX(Positions!$E$2:$E$4694,MATCH($A1505&amp;"|52",Positions!$A$2:$A$4694,0))</f>
        <v>G</v>
      </c>
      <c r="G1505" s="4" t="str">
        <f>INDEX(Positions!$E$2:$E$4694,MATCH($A1505&amp;"|62",Positions!$A$2:$A$4694,0))</f>
        <v>C</v>
      </c>
      <c r="H1505" s="3" t="str">
        <f t="shared" si="92"/>
        <v>G-C</v>
      </c>
      <c r="I1505" s="4">
        <f t="shared" si="93"/>
        <v>1</v>
      </c>
      <c r="J1505" s="4">
        <f t="shared" si="94"/>
        <v>1</v>
      </c>
      <c r="K1505" s="3">
        <f t="shared" si="95"/>
        <v>2</v>
      </c>
    </row>
    <row r="1506" spans="1:11">
      <c r="A1506" s="4" t="s">
        <v>90</v>
      </c>
      <c r="B1506" s="4" t="s">
        <v>169</v>
      </c>
      <c r="C1506" s="4" t="s">
        <v>240</v>
      </c>
      <c r="D1506" s="4">
        <f>INDEX(Positions!$D$2:$D$4694,MATCH($A1506&amp;"|53",Positions!$A$2:$A$4694,0))</f>
        <v>52</v>
      </c>
      <c r="E1506" s="4">
        <f>INDEX(Positions!$D$2:$D$4694,MATCH($A1506&amp;"|61",Positions!$A$2:$A$4694,0))</f>
        <v>60</v>
      </c>
      <c r="F1506" s="4" t="str">
        <f>INDEX(Positions!$E$2:$E$4694,MATCH($A1506&amp;"|53",Positions!$A$2:$A$4694,0))</f>
        <v>G</v>
      </c>
      <c r="G1506" s="4" t="str">
        <f>INDEX(Positions!$E$2:$E$4694,MATCH($A1506&amp;"|61",Positions!$A$2:$A$4694,0))</f>
        <v>C</v>
      </c>
      <c r="H1506" s="3" t="str">
        <f t="shared" si="92"/>
        <v>G-C</v>
      </c>
      <c r="I1506" s="4">
        <f t="shared" si="93"/>
        <v>1</v>
      </c>
      <c r="J1506" s="4">
        <f t="shared" si="94"/>
        <v>1</v>
      </c>
      <c r="K1506" s="3">
        <f t="shared" si="95"/>
        <v>2</v>
      </c>
    </row>
    <row r="1507" spans="1:11">
      <c r="A1507" s="23" t="s">
        <v>90</v>
      </c>
      <c r="B1507" s="23" t="s">
        <v>241</v>
      </c>
      <c r="C1507" s="23" t="s">
        <v>242</v>
      </c>
      <c r="D1507" s="23">
        <f>INDEX(Positions!$D$2:$D$4694,MATCH($A1507&amp;"|8",Positions!$A$2:$A$4694,0))</f>
        <v>8</v>
      </c>
      <c r="E1507" s="23">
        <f>INDEX(Positions!$D$2:$D$4694,MATCH($A1507&amp;"|14",Positions!$A$2:$A$4694,0))</f>
        <v>14</v>
      </c>
      <c r="F1507" s="23" t="str">
        <f>INDEX(Positions!$E$2:$E$4694,MATCH($A1507&amp;"|8",Positions!$A$2:$A$4694,0))</f>
        <v>U</v>
      </c>
      <c r="G1507" s="23" t="str">
        <f>INDEX(Positions!$E$2:$E$4694,MATCH($A1507&amp;"|14",Positions!$A$2:$A$4694,0))</f>
        <v>A</v>
      </c>
      <c r="H1507" s="24" t="str">
        <f t="shared" si="92"/>
        <v>U-A</v>
      </c>
      <c r="I1507" s="23">
        <f t="shared" si="93"/>
        <v>0</v>
      </c>
      <c r="J1507" s="23">
        <f t="shared" si="94"/>
        <v>0</v>
      </c>
      <c r="K1507" s="24">
        <f t="shared" si="95"/>
        <v>0</v>
      </c>
    </row>
    <row r="1508" spans="1:11">
      <c r="A1508" s="23" t="s">
        <v>90</v>
      </c>
      <c r="B1508" s="23" t="s">
        <v>241</v>
      </c>
      <c r="C1508" s="23" t="s">
        <v>243</v>
      </c>
      <c r="D1508" s="23">
        <f>INDEX(Positions!$D$2:$D$4694,MATCH($A1508&amp;"|15",Positions!$A$2:$A$4694,0))</f>
        <v>15</v>
      </c>
      <c r="E1508" s="23">
        <f>INDEX(Positions!$D$2:$D$4694,MATCH($A1508&amp;"|48",Positions!$A$2:$A$4694,0))</f>
        <v>47</v>
      </c>
      <c r="F1508" s="23" t="str">
        <f>INDEX(Positions!$E$2:$E$4694,MATCH($A1508&amp;"|15",Positions!$A$2:$A$4694,0))</f>
        <v>G</v>
      </c>
      <c r="G1508" s="23" t="str">
        <f>INDEX(Positions!$E$2:$E$4694,MATCH($A1508&amp;"|48",Positions!$A$2:$A$4694,0))</f>
        <v>C</v>
      </c>
      <c r="H1508" s="24" t="str">
        <f t="shared" si="92"/>
        <v>G-C</v>
      </c>
      <c r="I1508" s="23">
        <f t="shared" si="93"/>
        <v>1</v>
      </c>
      <c r="J1508" s="23">
        <f t="shared" si="94"/>
        <v>1</v>
      </c>
      <c r="K1508" s="24">
        <f t="shared" si="95"/>
        <v>2</v>
      </c>
    </row>
    <row r="1509" spans="1:11">
      <c r="A1509" s="23" t="s">
        <v>90</v>
      </c>
      <c r="B1509" s="23" t="s">
        <v>241</v>
      </c>
      <c r="C1509" s="23" t="s">
        <v>244</v>
      </c>
      <c r="D1509" s="23">
        <f>INDEX(Positions!$D$2:$D$4694,MATCH($A1509&amp;"|18",Positions!$A$2:$A$4694,0))</f>
        <v>16</v>
      </c>
      <c r="E1509" s="23">
        <f>INDEX(Positions!$D$2:$D$4694,MATCH($A1509&amp;"|55",Positions!$A$2:$A$4694,0))</f>
        <v>54</v>
      </c>
      <c r="F1509" s="23" t="str">
        <f>INDEX(Positions!$E$2:$E$4694,MATCH($A1509&amp;"|18",Positions!$A$2:$A$4694,0))</f>
        <v>G</v>
      </c>
      <c r="G1509" s="23" t="str">
        <f>INDEX(Positions!$E$2:$E$4694,MATCH($A1509&amp;"|55",Positions!$A$2:$A$4694,0))</f>
        <v>U</v>
      </c>
      <c r="H1509" s="24" t="str">
        <f t="shared" si="92"/>
        <v>G-U</v>
      </c>
      <c r="I1509" s="23">
        <f t="shared" si="93"/>
        <v>1</v>
      </c>
      <c r="J1509" s="23">
        <f t="shared" si="94"/>
        <v>0</v>
      </c>
      <c r="K1509" s="24">
        <f t="shared" si="95"/>
        <v>1</v>
      </c>
    </row>
    <row r="1510" spans="1:11">
      <c r="A1510" s="23" t="s">
        <v>90</v>
      </c>
      <c r="B1510" s="23" t="s">
        <v>241</v>
      </c>
      <c r="C1510" s="23" t="s">
        <v>245</v>
      </c>
      <c r="D1510" s="23">
        <f>INDEX(Positions!$D$2:$D$4694,MATCH($A1510&amp;"|19",Positions!$A$2:$A$4694,0))</f>
        <v>17</v>
      </c>
      <c r="E1510" s="23">
        <f>INDEX(Positions!$D$2:$D$4694,MATCH($A1510&amp;"|56",Positions!$A$2:$A$4694,0))</f>
        <v>55</v>
      </c>
      <c r="F1510" s="23" t="str">
        <f>INDEX(Positions!$E$2:$E$4694,MATCH($A1510&amp;"|19",Positions!$A$2:$A$4694,0))</f>
        <v>G</v>
      </c>
      <c r="G1510" s="23" t="str">
        <f>INDEX(Positions!$E$2:$E$4694,MATCH($A1510&amp;"|56",Positions!$A$2:$A$4694,0))</f>
        <v>C</v>
      </c>
      <c r="H1510" s="24" t="str">
        <f t="shared" si="92"/>
        <v>G-C</v>
      </c>
      <c r="I1510" s="23">
        <f t="shared" si="93"/>
        <v>1</v>
      </c>
      <c r="J1510" s="23">
        <f t="shared" si="94"/>
        <v>1</v>
      </c>
      <c r="K1510" s="24">
        <f t="shared" si="95"/>
        <v>2</v>
      </c>
    </row>
    <row r="1511" spans="1:11">
      <c r="A1511" s="23" t="s">
        <v>90</v>
      </c>
      <c r="B1511" s="23" t="s">
        <v>241</v>
      </c>
      <c r="C1511" s="23" t="s">
        <v>246</v>
      </c>
      <c r="D1511" s="23">
        <f>INDEX(Positions!$D$2:$D$4694,MATCH($A1511&amp;"|26",Positions!$A$2:$A$4694,0))</f>
        <v>25</v>
      </c>
      <c r="E1511" s="23">
        <f>INDEX(Positions!$D$2:$D$4694,MATCH($A1511&amp;"|44",Positions!$A$2:$A$4694,0))</f>
        <v>43</v>
      </c>
      <c r="F1511" s="23" t="str">
        <f>INDEX(Positions!$E$2:$E$4694,MATCH($A1511&amp;"|26",Positions!$A$2:$A$4694,0))</f>
        <v>G</v>
      </c>
      <c r="G1511" s="23" t="str">
        <f>INDEX(Positions!$E$2:$E$4694,MATCH($A1511&amp;"|44",Positions!$A$2:$A$4694,0))</f>
        <v>A</v>
      </c>
      <c r="H1511" s="24" t="str">
        <f t="shared" si="92"/>
        <v>G-A</v>
      </c>
      <c r="I1511" s="23">
        <f t="shared" si="93"/>
        <v>1</v>
      </c>
      <c r="J1511" s="23">
        <f t="shared" si="94"/>
        <v>0</v>
      </c>
      <c r="K1511" s="24">
        <f t="shared" si="95"/>
        <v>1</v>
      </c>
    </row>
    <row r="1512" spans="1:11">
      <c r="A1512" s="23" t="s">
        <v>90</v>
      </c>
      <c r="B1512" s="23" t="s">
        <v>241</v>
      </c>
      <c r="C1512" s="23" t="s">
        <v>247</v>
      </c>
      <c r="D1512" s="23">
        <f>INDEX(Positions!$D$2:$D$4694,MATCH($A1512&amp;"|32",Positions!$A$2:$A$4694,0))</f>
        <v>31</v>
      </c>
      <c r="E1512" s="23">
        <f>INDEX(Positions!$D$2:$D$4694,MATCH($A1512&amp;"|38",Positions!$A$2:$A$4694,0))</f>
        <v>37</v>
      </c>
      <c r="F1512" s="23" t="str">
        <f>INDEX(Positions!$E$2:$E$4694,MATCH($A1512&amp;"|32",Positions!$A$2:$A$4694,0))</f>
        <v>U</v>
      </c>
      <c r="G1512" s="23" t="str">
        <f>INDEX(Positions!$E$2:$E$4694,MATCH($A1512&amp;"|38",Positions!$A$2:$A$4694,0))</f>
        <v>A</v>
      </c>
      <c r="H1512" s="24" t="str">
        <f t="shared" si="92"/>
        <v>U-A</v>
      </c>
      <c r="I1512" s="23">
        <f t="shared" si="93"/>
        <v>0</v>
      </c>
      <c r="J1512" s="23">
        <f t="shared" si="94"/>
        <v>0</v>
      </c>
      <c r="K1512" s="24">
        <f t="shared" si="95"/>
        <v>0</v>
      </c>
    </row>
    <row r="1513" spans="1:11">
      <c r="A1513" s="23" t="s">
        <v>90</v>
      </c>
      <c r="B1513" s="23" t="s">
        <v>241</v>
      </c>
      <c r="C1513" s="23" t="s">
        <v>248</v>
      </c>
      <c r="D1513" s="23">
        <f>INDEX(Positions!$D$2:$D$4694,MATCH($A1513&amp;"|54",Positions!$A$2:$A$4694,0))</f>
        <v>53</v>
      </c>
      <c r="E1513" s="23">
        <f>INDEX(Positions!$D$2:$D$4694,MATCH($A1513&amp;"|58",Positions!$A$2:$A$4694,0))</f>
        <v>57</v>
      </c>
      <c r="F1513" s="23" t="str">
        <f>INDEX(Positions!$E$2:$E$4694,MATCH($A1513&amp;"|54",Positions!$A$2:$A$4694,0))</f>
        <v>U</v>
      </c>
      <c r="G1513" s="23" t="str">
        <f>INDEX(Positions!$E$2:$E$4694,MATCH($A1513&amp;"|58",Positions!$A$2:$A$4694,0))</f>
        <v>A</v>
      </c>
      <c r="H1513" s="24" t="str">
        <f t="shared" si="92"/>
        <v>U-A</v>
      </c>
      <c r="I1513" s="23">
        <f t="shared" si="93"/>
        <v>0</v>
      </c>
      <c r="J1513" s="23">
        <f t="shared" si="94"/>
        <v>0</v>
      </c>
      <c r="K1513" s="24">
        <f t="shared" si="95"/>
        <v>0</v>
      </c>
    </row>
    <row r="1514" spans="1:11">
      <c r="A1514" s="4" t="s">
        <v>91</v>
      </c>
      <c r="B1514" s="4" t="s">
        <v>110</v>
      </c>
      <c r="C1514" s="4" t="s">
        <v>220</v>
      </c>
      <c r="D1514" s="4">
        <f>INDEX(Positions!$D$2:$D$4694,MATCH($A1514&amp;"|1",Positions!$A$2:$A$4694,0))</f>
        <v>1</v>
      </c>
      <c r="E1514" s="4">
        <f>INDEX(Positions!$D$2:$D$4694,MATCH($A1514&amp;"|72",Positions!$A$2:$A$4694,0))</f>
        <v>73</v>
      </c>
      <c r="F1514" s="4" t="str">
        <f>INDEX(Positions!$E$2:$E$4694,MATCH($A1514&amp;"|1",Positions!$A$2:$A$4694,0))</f>
        <v>G</v>
      </c>
      <c r="G1514" s="4" t="str">
        <f>INDEX(Positions!$E$2:$E$4694,MATCH($A1514&amp;"|72",Positions!$A$2:$A$4694,0))</f>
        <v>C</v>
      </c>
      <c r="H1514" s="3" t="str">
        <f t="shared" si="92"/>
        <v>G-C</v>
      </c>
      <c r="I1514" s="4">
        <f t="shared" si="93"/>
        <v>1</v>
      </c>
      <c r="J1514" s="4">
        <f t="shared" si="94"/>
        <v>1</v>
      </c>
      <c r="K1514" s="3">
        <f t="shared" si="95"/>
        <v>2</v>
      </c>
    </row>
    <row r="1515" spans="1:11">
      <c r="A1515" s="4" t="s">
        <v>91</v>
      </c>
      <c r="B1515" s="4" t="s">
        <v>110</v>
      </c>
      <c r="C1515" s="4" t="s">
        <v>221</v>
      </c>
      <c r="D1515" s="4">
        <f>INDEX(Positions!$D$2:$D$4694,MATCH($A1515&amp;"|2",Positions!$A$2:$A$4694,0))</f>
        <v>2</v>
      </c>
      <c r="E1515" s="4">
        <f>INDEX(Positions!$D$2:$D$4694,MATCH($A1515&amp;"|71",Positions!$A$2:$A$4694,0))</f>
        <v>72</v>
      </c>
      <c r="F1515" s="4" t="str">
        <f>INDEX(Positions!$E$2:$E$4694,MATCH($A1515&amp;"|2",Positions!$A$2:$A$4694,0))</f>
        <v>C</v>
      </c>
      <c r="G1515" s="4" t="str">
        <f>INDEX(Positions!$E$2:$E$4694,MATCH($A1515&amp;"|71",Positions!$A$2:$A$4694,0))</f>
        <v>G</v>
      </c>
      <c r="H1515" s="3" t="str">
        <f t="shared" si="92"/>
        <v>C-G</v>
      </c>
      <c r="I1515" s="4">
        <f t="shared" si="93"/>
        <v>1</v>
      </c>
      <c r="J1515" s="4">
        <f t="shared" si="94"/>
        <v>1</v>
      </c>
      <c r="K1515" s="3">
        <f t="shared" si="95"/>
        <v>2</v>
      </c>
    </row>
    <row r="1516" spans="1:11">
      <c r="A1516" s="4" t="s">
        <v>91</v>
      </c>
      <c r="B1516" s="4" t="s">
        <v>110</v>
      </c>
      <c r="C1516" s="4" t="s">
        <v>222</v>
      </c>
      <c r="D1516" s="4">
        <f>INDEX(Positions!$D$2:$D$4694,MATCH($A1516&amp;"|3",Positions!$A$2:$A$4694,0))</f>
        <v>3</v>
      </c>
      <c r="E1516" s="4">
        <f>INDEX(Positions!$D$2:$D$4694,MATCH($A1516&amp;"|70",Positions!$A$2:$A$4694,0))</f>
        <v>71</v>
      </c>
      <c r="F1516" s="4" t="str">
        <f>INDEX(Positions!$E$2:$E$4694,MATCH($A1516&amp;"|3",Positions!$A$2:$A$4694,0))</f>
        <v>C</v>
      </c>
      <c r="G1516" s="4" t="str">
        <f>INDEX(Positions!$E$2:$E$4694,MATCH($A1516&amp;"|70",Positions!$A$2:$A$4694,0))</f>
        <v>G</v>
      </c>
      <c r="H1516" s="3" t="str">
        <f t="shared" si="92"/>
        <v>C-G</v>
      </c>
      <c r="I1516" s="4">
        <f t="shared" si="93"/>
        <v>1</v>
      </c>
      <c r="J1516" s="4">
        <f t="shared" si="94"/>
        <v>1</v>
      </c>
      <c r="K1516" s="3">
        <f t="shared" si="95"/>
        <v>2</v>
      </c>
    </row>
    <row r="1517" spans="1:11">
      <c r="A1517" s="4" t="s">
        <v>91</v>
      </c>
      <c r="B1517" s="4" t="s">
        <v>110</v>
      </c>
      <c r="C1517" s="4" t="s">
        <v>223</v>
      </c>
      <c r="D1517" s="4">
        <f>INDEX(Positions!$D$2:$D$4694,MATCH($A1517&amp;"|4",Positions!$A$2:$A$4694,0))</f>
        <v>4</v>
      </c>
      <c r="E1517" s="4">
        <f>INDEX(Positions!$D$2:$D$4694,MATCH($A1517&amp;"|69",Positions!$A$2:$A$4694,0))</f>
        <v>70</v>
      </c>
      <c r="F1517" s="4" t="str">
        <f>INDEX(Positions!$E$2:$E$4694,MATCH($A1517&amp;"|4",Positions!$A$2:$A$4694,0))</f>
        <v>U</v>
      </c>
      <c r="G1517" s="4" t="str">
        <f>INDEX(Positions!$E$2:$E$4694,MATCH($A1517&amp;"|69",Positions!$A$2:$A$4694,0))</f>
        <v>G</v>
      </c>
      <c r="H1517" s="3" t="str">
        <f t="shared" si="92"/>
        <v>U-G</v>
      </c>
      <c r="I1517" s="4">
        <f t="shared" si="93"/>
        <v>1</v>
      </c>
      <c r="J1517" s="4">
        <f t="shared" si="94"/>
        <v>0</v>
      </c>
      <c r="K1517" s="3">
        <f t="shared" si="95"/>
        <v>1</v>
      </c>
    </row>
    <row r="1518" spans="1:11">
      <c r="A1518" s="4" t="s">
        <v>91</v>
      </c>
      <c r="B1518" s="4" t="s">
        <v>110</v>
      </c>
      <c r="C1518" s="4" t="s">
        <v>224</v>
      </c>
      <c r="D1518" s="4">
        <f>INDEX(Positions!$D$2:$D$4694,MATCH($A1518&amp;"|5",Positions!$A$2:$A$4694,0))</f>
        <v>5</v>
      </c>
      <c r="E1518" s="4">
        <f>INDEX(Positions!$D$2:$D$4694,MATCH($A1518&amp;"|68",Positions!$A$2:$A$4694,0))</f>
        <v>69</v>
      </c>
      <c r="F1518" s="4" t="str">
        <f>INDEX(Positions!$E$2:$E$4694,MATCH($A1518&amp;"|5",Positions!$A$2:$A$4694,0))</f>
        <v>C</v>
      </c>
      <c r="G1518" s="4" t="str">
        <f>INDEX(Positions!$E$2:$E$4694,MATCH($A1518&amp;"|68",Positions!$A$2:$A$4694,0))</f>
        <v>G</v>
      </c>
      <c r="H1518" s="3" t="str">
        <f t="shared" si="92"/>
        <v>C-G</v>
      </c>
      <c r="I1518" s="4">
        <f t="shared" si="93"/>
        <v>1</v>
      </c>
      <c r="J1518" s="4">
        <f t="shared" si="94"/>
        <v>1</v>
      </c>
      <c r="K1518" s="3">
        <f t="shared" si="95"/>
        <v>2</v>
      </c>
    </row>
    <row r="1519" spans="1:11">
      <c r="A1519" s="4" t="s">
        <v>91</v>
      </c>
      <c r="B1519" s="4" t="s">
        <v>110</v>
      </c>
      <c r="C1519" s="4" t="s">
        <v>225</v>
      </c>
      <c r="D1519" s="4">
        <f>INDEX(Positions!$D$2:$D$4694,MATCH($A1519&amp;"|6",Positions!$A$2:$A$4694,0))</f>
        <v>6</v>
      </c>
      <c r="E1519" s="4">
        <f>INDEX(Positions!$D$2:$D$4694,MATCH($A1519&amp;"|67",Positions!$A$2:$A$4694,0))</f>
        <v>68</v>
      </c>
      <c r="F1519" s="4" t="str">
        <f>INDEX(Positions!$E$2:$E$4694,MATCH($A1519&amp;"|6",Positions!$A$2:$A$4694,0))</f>
        <v>G</v>
      </c>
      <c r="G1519" s="4" t="str">
        <f>INDEX(Positions!$E$2:$E$4694,MATCH($A1519&amp;"|67",Positions!$A$2:$A$4694,0))</f>
        <v>C</v>
      </c>
      <c r="H1519" s="3" t="str">
        <f t="shared" si="92"/>
        <v>G-C</v>
      </c>
      <c r="I1519" s="4">
        <f t="shared" si="93"/>
        <v>1</v>
      </c>
      <c r="J1519" s="4">
        <f t="shared" si="94"/>
        <v>1</v>
      </c>
      <c r="K1519" s="3">
        <f t="shared" si="95"/>
        <v>2</v>
      </c>
    </row>
    <row r="1520" spans="1:11">
      <c r="A1520" s="4" t="s">
        <v>91</v>
      </c>
      <c r="B1520" s="4" t="s">
        <v>110</v>
      </c>
      <c r="C1520" s="4" t="s">
        <v>226</v>
      </c>
      <c r="D1520" s="4">
        <f>INDEX(Positions!$D$2:$D$4694,MATCH($A1520&amp;"|7",Positions!$A$2:$A$4694,0))</f>
        <v>7</v>
      </c>
      <c r="E1520" s="4">
        <f>INDEX(Positions!$D$2:$D$4694,MATCH($A1520&amp;"|66",Positions!$A$2:$A$4694,0))</f>
        <v>67</v>
      </c>
      <c r="F1520" s="4" t="str">
        <f>INDEX(Positions!$E$2:$E$4694,MATCH($A1520&amp;"|7",Positions!$A$2:$A$4694,0))</f>
        <v>U</v>
      </c>
      <c r="G1520" s="4" t="str">
        <f>INDEX(Positions!$E$2:$E$4694,MATCH($A1520&amp;"|66",Positions!$A$2:$A$4694,0))</f>
        <v>A</v>
      </c>
      <c r="H1520" s="3" t="str">
        <f t="shared" si="92"/>
        <v>U-A</v>
      </c>
      <c r="I1520" s="4">
        <f t="shared" si="93"/>
        <v>0</v>
      </c>
      <c r="J1520" s="4">
        <f t="shared" si="94"/>
        <v>0</v>
      </c>
      <c r="K1520" s="3">
        <f t="shared" si="95"/>
        <v>0</v>
      </c>
    </row>
    <row r="1521" spans="1:11">
      <c r="A1521" s="4" t="s">
        <v>91</v>
      </c>
      <c r="B1521" s="4" t="s">
        <v>125</v>
      </c>
      <c r="C1521" s="4" t="s">
        <v>227</v>
      </c>
      <c r="D1521" s="4">
        <f>INDEX(Positions!$D$2:$D$4694,MATCH($A1521&amp;"|10",Positions!$A$2:$A$4694,0))</f>
        <v>10</v>
      </c>
      <c r="E1521" s="4">
        <f>INDEX(Positions!$D$2:$D$4694,MATCH($A1521&amp;"|25",Positions!$A$2:$A$4694,0))</f>
        <v>26</v>
      </c>
      <c r="F1521" s="4" t="str">
        <f>INDEX(Positions!$E$2:$E$4694,MATCH($A1521&amp;"|10",Positions!$A$2:$A$4694,0))</f>
        <v>G</v>
      </c>
      <c r="G1521" s="4" t="str">
        <f>INDEX(Positions!$E$2:$E$4694,MATCH($A1521&amp;"|25",Positions!$A$2:$A$4694,0))</f>
        <v>C</v>
      </c>
      <c r="H1521" s="3" t="str">
        <f t="shared" si="92"/>
        <v>G-C</v>
      </c>
      <c r="I1521" s="4">
        <f t="shared" si="93"/>
        <v>1</v>
      </c>
      <c r="J1521" s="4">
        <f t="shared" si="94"/>
        <v>1</v>
      </c>
      <c r="K1521" s="3">
        <f t="shared" si="95"/>
        <v>2</v>
      </c>
    </row>
    <row r="1522" spans="1:11">
      <c r="A1522" s="4" t="s">
        <v>91</v>
      </c>
      <c r="B1522" s="4" t="s">
        <v>125</v>
      </c>
      <c r="C1522" s="4" t="s">
        <v>228</v>
      </c>
      <c r="D1522" s="4">
        <f>INDEX(Positions!$D$2:$D$4694,MATCH($A1522&amp;"|11",Positions!$A$2:$A$4694,0))</f>
        <v>11</v>
      </c>
      <c r="E1522" s="4">
        <f>INDEX(Positions!$D$2:$D$4694,MATCH($A1522&amp;"|24",Positions!$A$2:$A$4694,0))</f>
        <v>25</v>
      </c>
      <c r="F1522" s="4" t="str">
        <f>INDEX(Positions!$E$2:$E$4694,MATCH($A1522&amp;"|11",Positions!$A$2:$A$4694,0))</f>
        <v>C</v>
      </c>
      <c r="G1522" s="4" t="str">
        <f>INDEX(Positions!$E$2:$E$4694,MATCH($A1522&amp;"|24",Positions!$A$2:$A$4694,0))</f>
        <v>G</v>
      </c>
      <c r="H1522" s="3" t="str">
        <f t="shared" si="92"/>
        <v>C-G</v>
      </c>
      <c r="I1522" s="4">
        <f t="shared" si="93"/>
        <v>1</v>
      </c>
      <c r="J1522" s="4">
        <f t="shared" si="94"/>
        <v>1</v>
      </c>
      <c r="K1522" s="3">
        <f t="shared" si="95"/>
        <v>2</v>
      </c>
    </row>
    <row r="1523" spans="1:11">
      <c r="A1523" s="4" t="s">
        <v>91</v>
      </c>
      <c r="B1523" s="4" t="s">
        <v>125</v>
      </c>
      <c r="C1523" s="4" t="s">
        <v>229</v>
      </c>
      <c r="D1523" s="4">
        <f>INDEX(Positions!$D$2:$D$4694,MATCH($A1523&amp;"|12",Positions!$A$2:$A$4694,0))</f>
        <v>12</v>
      </c>
      <c r="E1523" s="4">
        <f>INDEX(Positions!$D$2:$D$4694,MATCH($A1523&amp;"|23",Positions!$A$2:$A$4694,0))</f>
        <v>24</v>
      </c>
      <c r="F1523" s="4" t="str">
        <f>INDEX(Positions!$E$2:$E$4694,MATCH($A1523&amp;"|12",Positions!$A$2:$A$4694,0))</f>
        <v>U</v>
      </c>
      <c r="G1523" s="4" t="str">
        <f>INDEX(Positions!$E$2:$E$4694,MATCH($A1523&amp;"|23",Positions!$A$2:$A$4694,0))</f>
        <v>A</v>
      </c>
      <c r="H1523" s="3" t="str">
        <f t="shared" si="92"/>
        <v>U-A</v>
      </c>
      <c r="I1523" s="4">
        <f t="shared" si="93"/>
        <v>0</v>
      </c>
      <c r="J1523" s="4">
        <f t="shared" si="94"/>
        <v>0</v>
      </c>
      <c r="K1523" s="3">
        <f t="shared" si="95"/>
        <v>0</v>
      </c>
    </row>
    <row r="1524" spans="1:11">
      <c r="A1524" s="4" t="s">
        <v>91</v>
      </c>
      <c r="B1524" s="4" t="s">
        <v>125</v>
      </c>
      <c r="C1524" s="4" t="s">
        <v>230</v>
      </c>
      <c r="D1524" s="4">
        <f>INDEX(Positions!$D$2:$D$4694,MATCH($A1524&amp;"|13",Positions!$A$2:$A$4694,0))</f>
        <v>13</v>
      </c>
      <c r="E1524" s="4">
        <f>INDEX(Positions!$D$2:$D$4694,MATCH($A1524&amp;"|22",Positions!$A$2:$A$4694,0))</f>
        <v>23</v>
      </c>
      <c r="F1524" s="4" t="str">
        <f>INDEX(Positions!$E$2:$E$4694,MATCH($A1524&amp;"|13",Positions!$A$2:$A$4694,0))</f>
        <v>C</v>
      </c>
      <c r="G1524" s="4" t="str">
        <f>INDEX(Positions!$E$2:$E$4694,MATCH($A1524&amp;"|22",Positions!$A$2:$A$4694,0))</f>
        <v>G</v>
      </c>
      <c r="H1524" s="3" t="str">
        <f t="shared" si="92"/>
        <v>C-G</v>
      </c>
      <c r="I1524" s="4">
        <f t="shared" si="93"/>
        <v>1</v>
      </c>
      <c r="J1524" s="4">
        <f t="shared" si="94"/>
        <v>1</v>
      </c>
      <c r="K1524" s="3">
        <f t="shared" si="95"/>
        <v>2</v>
      </c>
    </row>
    <row r="1525" spans="1:11">
      <c r="A1525" s="4" t="s">
        <v>91</v>
      </c>
      <c r="B1525" s="4" t="s">
        <v>144</v>
      </c>
      <c r="C1525" s="4" t="s">
        <v>231</v>
      </c>
      <c r="D1525" s="4">
        <f>INDEX(Positions!$D$2:$D$4694,MATCH($A1525&amp;"|27",Positions!$A$2:$A$4694,0))</f>
        <v>28</v>
      </c>
      <c r="E1525" s="4">
        <f>INDEX(Positions!$D$2:$D$4694,MATCH($A1525&amp;"|43",Positions!$A$2:$A$4694,0))</f>
        <v>44</v>
      </c>
      <c r="F1525" s="4" t="str">
        <f>INDEX(Positions!$E$2:$E$4694,MATCH($A1525&amp;"|27",Positions!$A$2:$A$4694,0))</f>
        <v>A</v>
      </c>
      <c r="G1525" s="4" t="str">
        <f>INDEX(Positions!$E$2:$E$4694,MATCH($A1525&amp;"|43",Positions!$A$2:$A$4694,0))</f>
        <v>U</v>
      </c>
      <c r="H1525" s="3" t="str">
        <f t="shared" si="92"/>
        <v>A-U</v>
      </c>
      <c r="I1525" s="4">
        <f t="shared" si="93"/>
        <v>0</v>
      </c>
      <c r="J1525" s="4">
        <f t="shared" si="94"/>
        <v>0</v>
      </c>
      <c r="K1525" s="3">
        <f t="shared" si="95"/>
        <v>0</v>
      </c>
    </row>
    <row r="1526" spans="1:11">
      <c r="A1526" s="4" t="s">
        <v>91</v>
      </c>
      <c r="B1526" s="4" t="s">
        <v>144</v>
      </c>
      <c r="C1526" s="4" t="s">
        <v>232</v>
      </c>
      <c r="D1526" s="4">
        <f>INDEX(Positions!$D$2:$D$4694,MATCH($A1526&amp;"|28",Positions!$A$2:$A$4694,0))</f>
        <v>29</v>
      </c>
      <c r="E1526" s="4">
        <f>INDEX(Positions!$D$2:$D$4694,MATCH($A1526&amp;"|42",Positions!$A$2:$A$4694,0))</f>
        <v>43</v>
      </c>
      <c r="F1526" s="4" t="str">
        <f>INDEX(Positions!$E$2:$E$4694,MATCH($A1526&amp;"|28",Positions!$A$2:$A$4694,0))</f>
        <v>G</v>
      </c>
      <c r="G1526" s="4" t="str">
        <f>INDEX(Positions!$E$2:$E$4694,MATCH($A1526&amp;"|42",Positions!$A$2:$A$4694,0))</f>
        <v>C</v>
      </c>
      <c r="H1526" s="3" t="str">
        <f t="shared" si="92"/>
        <v>G-C</v>
      </c>
      <c r="I1526" s="4">
        <f t="shared" si="93"/>
        <v>1</v>
      </c>
      <c r="J1526" s="4">
        <f t="shared" si="94"/>
        <v>1</v>
      </c>
      <c r="K1526" s="3">
        <f t="shared" si="95"/>
        <v>2</v>
      </c>
    </row>
    <row r="1527" spans="1:11">
      <c r="A1527" s="4" t="s">
        <v>91</v>
      </c>
      <c r="B1527" s="4" t="s">
        <v>144</v>
      </c>
      <c r="C1527" s="4" t="s">
        <v>233</v>
      </c>
      <c r="D1527" s="4">
        <f>INDEX(Positions!$D$2:$D$4694,MATCH($A1527&amp;"|29",Positions!$A$2:$A$4694,0))</f>
        <v>30</v>
      </c>
      <c r="E1527" s="4">
        <f>INDEX(Positions!$D$2:$D$4694,MATCH($A1527&amp;"|41",Positions!$A$2:$A$4694,0))</f>
        <v>42</v>
      </c>
      <c r="F1527" s="4" t="str">
        <f>INDEX(Positions!$E$2:$E$4694,MATCH($A1527&amp;"|29",Positions!$A$2:$A$4694,0))</f>
        <v>U</v>
      </c>
      <c r="G1527" s="4" t="str">
        <f>INDEX(Positions!$E$2:$E$4694,MATCH($A1527&amp;"|41",Positions!$A$2:$A$4694,0))</f>
        <v>A</v>
      </c>
      <c r="H1527" s="3" t="str">
        <f t="shared" si="92"/>
        <v>U-A</v>
      </c>
      <c r="I1527" s="4">
        <f t="shared" si="93"/>
        <v>0</v>
      </c>
      <c r="J1527" s="4">
        <f t="shared" si="94"/>
        <v>0</v>
      </c>
      <c r="K1527" s="3">
        <f t="shared" si="95"/>
        <v>0</v>
      </c>
    </row>
    <row r="1528" spans="1:11">
      <c r="A1528" s="4" t="s">
        <v>91</v>
      </c>
      <c r="B1528" s="4" t="s">
        <v>144</v>
      </c>
      <c r="C1528" s="4" t="s">
        <v>234</v>
      </c>
      <c r="D1528" s="4">
        <f>INDEX(Positions!$D$2:$D$4694,MATCH($A1528&amp;"|30",Positions!$A$2:$A$4694,0))</f>
        <v>31</v>
      </c>
      <c r="E1528" s="4">
        <f>INDEX(Positions!$D$2:$D$4694,MATCH($A1528&amp;"|40",Positions!$A$2:$A$4694,0))</f>
        <v>41</v>
      </c>
      <c r="F1528" s="4" t="str">
        <f>INDEX(Positions!$E$2:$E$4694,MATCH($A1528&amp;"|30",Positions!$A$2:$A$4694,0))</f>
        <v>G</v>
      </c>
      <c r="G1528" s="4" t="str">
        <f>INDEX(Positions!$E$2:$E$4694,MATCH($A1528&amp;"|40",Positions!$A$2:$A$4694,0))</f>
        <v>C</v>
      </c>
      <c r="H1528" s="3" t="str">
        <f t="shared" si="92"/>
        <v>G-C</v>
      </c>
      <c r="I1528" s="4">
        <f t="shared" si="93"/>
        <v>1</v>
      </c>
      <c r="J1528" s="4">
        <f t="shared" si="94"/>
        <v>1</v>
      </c>
      <c r="K1528" s="3">
        <f t="shared" si="95"/>
        <v>2</v>
      </c>
    </row>
    <row r="1529" spans="1:11">
      <c r="A1529" s="4" t="s">
        <v>91</v>
      </c>
      <c r="B1529" s="4" t="s">
        <v>144</v>
      </c>
      <c r="C1529" s="4" t="s">
        <v>235</v>
      </c>
      <c r="D1529" s="4">
        <f>INDEX(Positions!$D$2:$D$4694,MATCH($A1529&amp;"|31",Positions!$A$2:$A$4694,0))</f>
        <v>32</v>
      </c>
      <c r="E1529" s="4">
        <f>INDEX(Positions!$D$2:$D$4694,MATCH($A1529&amp;"|39",Positions!$A$2:$A$4694,0))</f>
        <v>40</v>
      </c>
      <c r="F1529" s="4" t="str">
        <f>INDEX(Positions!$E$2:$E$4694,MATCH($A1529&amp;"|31",Positions!$A$2:$A$4694,0))</f>
        <v>A</v>
      </c>
      <c r="G1529" s="4" t="str">
        <f>INDEX(Positions!$E$2:$E$4694,MATCH($A1529&amp;"|39",Positions!$A$2:$A$4694,0))</f>
        <v>U</v>
      </c>
      <c r="H1529" s="3" t="str">
        <f t="shared" si="92"/>
        <v>A-U</v>
      </c>
      <c r="I1529" s="4">
        <f t="shared" si="93"/>
        <v>0</v>
      </c>
      <c r="J1529" s="4">
        <f t="shared" si="94"/>
        <v>0</v>
      </c>
      <c r="K1529" s="3">
        <f t="shared" si="95"/>
        <v>0</v>
      </c>
    </row>
    <row r="1530" spans="1:11">
      <c r="A1530" s="4" t="s">
        <v>91</v>
      </c>
      <c r="B1530" s="4" t="s">
        <v>169</v>
      </c>
      <c r="C1530" s="4" t="s">
        <v>236</v>
      </c>
      <c r="D1530" s="4">
        <f>INDEX(Positions!$D$2:$D$4694,MATCH($A1530&amp;"|49",Positions!$A$2:$A$4694,0))</f>
        <v>50</v>
      </c>
      <c r="E1530" s="4">
        <f>INDEX(Positions!$D$2:$D$4694,MATCH($A1530&amp;"|65",Positions!$A$2:$A$4694,0))</f>
        <v>66</v>
      </c>
      <c r="F1530" s="4" t="str">
        <f>INDEX(Positions!$E$2:$E$4694,MATCH($A1530&amp;"|49",Positions!$A$2:$A$4694,0))</f>
        <v>G</v>
      </c>
      <c r="G1530" s="4" t="str">
        <f>INDEX(Positions!$E$2:$E$4694,MATCH($A1530&amp;"|65",Positions!$A$2:$A$4694,0))</f>
        <v>C</v>
      </c>
      <c r="H1530" s="3" t="str">
        <f t="shared" si="92"/>
        <v>G-C</v>
      </c>
      <c r="I1530" s="4">
        <f t="shared" si="93"/>
        <v>1</v>
      </c>
      <c r="J1530" s="4">
        <f t="shared" si="94"/>
        <v>1</v>
      </c>
      <c r="K1530" s="3">
        <f t="shared" si="95"/>
        <v>2</v>
      </c>
    </row>
    <row r="1531" spans="1:11">
      <c r="A1531" s="4" t="s">
        <v>91</v>
      </c>
      <c r="B1531" s="4" t="s">
        <v>169</v>
      </c>
      <c r="C1531" s="4" t="s">
        <v>237</v>
      </c>
      <c r="D1531" s="4">
        <f>INDEX(Positions!$D$2:$D$4694,MATCH($A1531&amp;"|50",Positions!$A$2:$A$4694,0))</f>
        <v>51</v>
      </c>
      <c r="E1531" s="4">
        <f>INDEX(Positions!$D$2:$D$4694,MATCH($A1531&amp;"|64",Positions!$A$2:$A$4694,0))</f>
        <v>65</v>
      </c>
      <c r="F1531" s="4" t="str">
        <f>INDEX(Positions!$E$2:$E$4694,MATCH($A1531&amp;"|50",Positions!$A$2:$A$4694,0))</f>
        <v>C</v>
      </c>
      <c r="G1531" s="4" t="str">
        <f>INDEX(Positions!$E$2:$E$4694,MATCH($A1531&amp;"|64",Positions!$A$2:$A$4694,0))</f>
        <v>G</v>
      </c>
      <c r="H1531" s="3" t="str">
        <f t="shared" si="92"/>
        <v>C-G</v>
      </c>
      <c r="I1531" s="4">
        <f t="shared" si="93"/>
        <v>1</v>
      </c>
      <c r="J1531" s="4">
        <f t="shared" si="94"/>
        <v>1</v>
      </c>
      <c r="K1531" s="3">
        <f t="shared" si="95"/>
        <v>2</v>
      </c>
    </row>
    <row r="1532" spans="1:11">
      <c r="A1532" s="4" t="s">
        <v>91</v>
      </c>
      <c r="B1532" s="4" t="s">
        <v>169</v>
      </c>
      <c r="C1532" s="4" t="s">
        <v>238</v>
      </c>
      <c r="D1532" s="4">
        <f>INDEX(Positions!$D$2:$D$4694,MATCH($A1532&amp;"|51",Positions!$A$2:$A$4694,0))</f>
        <v>52</v>
      </c>
      <c r="E1532" s="4">
        <f>INDEX(Positions!$D$2:$D$4694,MATCH($A1532&amp;"|63",Positions!$A$2:$A$4694,0))</f>
        <v>64</v>
      </c>
      <c r="F1532" s="4" t="str">
        <f>INDEX(Positions!$E$2:$E$4694,MATCH($A1532&amp;"|51",Positions!$A$2:$A$4694,0))</f>
        <v>G</v>
      </c>
      <c r="G1532" s="4" t="str">
        <f>INDEX(Positions!$E$2:$E$4694,MATCH($A1532&amp;"|63",Positions!$A$2:$A$4694,0))</f>
        <v>C</v>
      </c>
      <c r="H1532" s="3" t="str">
        <f t="shared" si="92"/>
        <v>G-C</v>
      </c>
      <c r="I1532" s="4">
        <f t="shared" si="93"/>
        <v>1</v>
      </c>
      <c r="J1532" s="4">
        <f t="shared" si="94"/>
        <v>1</v>
      </c>
      <c r="K1532" s="3">
        <f t="shared" si="95"/>
        <v>2</v>
      </c>
    </row>
    <row r="1533" spans="1:11">
      <c r="A1533" s="4" t="s">
        <v>91</v>
      </c>
      <c r="B1533" s="4" t="s">
        <v>169</v>
      </c>
      <c r="C1533" s="4" t="s">
        <v>239</v>
      </c>
      <c r="D1533" s="4">
        <f>INDEX(Positions!$D$2:$D$4694,MATCH($A1533&amp;"|52",Positions!$A$2:$A$4694,0))</f>
        <v>53</v>
      </c>
      <c r="E1533" s="4">
        <f>INDEX(Positions!$D$2:$D$4694,MATCH($A1533&amp;"|62",Positions!$A$2:$A$4694,0))</f>
        <v>63</v>
      </c>
      <c r="F1533" s="4" t="str">
        <f>INDEX(Positions!$E$2:$E$4694,MATCH($A1533&amp;"|52",Positions!$A$2:$A$4694,0))</f>
        <v>U</v>
      </c>
      <c r="G1533" s="4" t="str">
        <f>INDEX(Positions!$E$2:$E$4694,MATCH($A1533&amp;"|62",Positions!$A$2:$A$4694,0))</f>
        <v>A</v>
      </c>
      <c r="H1533" s="3" t="str">
        <f t="shared" si="92"/>
        <v>U-A</v>
      </c>
      <c r="I1533" s="4">
        <f t="shared" si="93"/>
        <v>0</v>
      </c>
      <c r="J1533" s="4">
        <f t="shared" si="94"/>
        <v>0</v>
      </c>
      <c r="K1533" s="3">
        <f t="shared" si="95"/>
        <v>0</v>
      </c>
    </row>
    <row r="1534" spans="1:11">
      <c r="A1534" s="4" t="s">
        <v>91</v>
      </c>
      <c r="B1534" s="4" t="s">
        <v>169</v>
      </c>
      <c r="C1534" s="4" t="s">
        <v>240</v>
      </c>
      <c r="D1534" s="4">
        <f>INDEX(Positions!$D$2:$D$4694,MATCH($A1534&amp;"|53",Positions!$A$2:$A$4694,0))</f>
        <v>54</v>
      </c>
      <c r="E1534" s="4">
        <f>INDEX(Positions!$D$2:$D$4694,MATCH($A1534&amp;"|61",Positions!$A$2:$A$4694,0))</f>
        <v>62</v>
      </c>
      <c r="F1534" s="4" t="str">
        <f>INDEX(Positions!$E$2:$E$4694,MATCH($A1534&amp;"|53",Positions!$A$2:$A$4694,0))</f>
        <v>G</v>
      </c>
      <c r="G1534" s="4" t="str">
        <f>INDEX(Positions!$E$2:$E$4694,MATCH($A1534&amp;"|61",Positions!$A$2:$A$4694,0))</f>
        <v>C</v>
      </c>
      <c r="H1534" s="3" t="str">
        <f t="shared" si="92"/>
        <v>G-C</v>
      </c>
      <c r="I1534" s="4">
        <f t="shared" si="93"/>
        <v>1</v>
      </c>
      <c r="J1534" s="4">
        <f t="shared" si="94"/>
        <v>1</v>
      </c>
      <c r="K1534" s="3">
        <f t="shared" si="95"/>
        <v>2</v>
      </c>
    </row>
    <row r="1535" spans="1:11">
      <c r="A1535" s="23" t="s">
        <v>91</v>
      </c>
      <c r="B1535" s="23" t="s">
        <v>241</v>
      </c>
      <c r="C1535" s="23" t="s">
        <v>242</v>
      </c>
      <c r="D1535" s="23">
        <f>INDEX(Positions!$D$2:$D$4694,MATCH($A1535&amp;"|8",Positions!$A$2:$A$4694,0))</f>
        <v>8</v>
      </c>
      <c r="E1535" s="23">
        <f>INDEX(Positions!$D$2:$D$4694,MATCH($A1535&amp;"|14",Positions!$A$2:$A$4694,0))</f>
        <v>14</v>
      </c>
      <c r="F1535" s="23" t="str">
        <f>INDEX(Positions!$E$2:$E$4694,MATCH($A1535&amp;"|8",Positions!$A$2:$A$4694,0))</f>
        <v>U</v>
      </c>
      <c r="G1535" s="23" t="str">
        <f>INDEX(Positions!$E$2:$E$4694,MATCH($A1535&amp;"|14",Positions!$A$2:$A$4694,0))</f>
        <v>A</v>
      </c>
      <c r="H1535" s="24" t="str">
        <f t="shared" si="92"/>
        <v>U-A</v>
      </c>
      <c r="I1535" s="23">
        <f t="shared" si="93"/>
        <v>0</v>
      </c>
      <c r="J1535" s="23">
        <f t="shared" si="94"/>
        <v>0</v>
      </c>
      <c r="K1535" s="24">
        <f t="shared" si="95"/>
        <v>0</v>
      </c>
    </row>
    <row r="1536" spans="1:11">
      <c r="A1536" s="23" t="s">
        <v>91</v>
      </c>
      <c r="B1536" s="23" t="s">
        <v>241</v>
      </c>
      <c r="C1536" s="23" t="s">
        <v>243</v>
      </c>
      <c r="D1536" s="23">
        <f>INDEX(Positions!$D$2:$D$4694,MATCH($A1536&amp;"|15",Positions!$A$2:$A$4694,0))</f>
        <v>15</v>
      </c>
      <c r="E1536" s="23">
        <f>INDEX(Positions!$D$2:$D$4694,MATCH($A1536&amp;"|48",Positions!$A$2:$A$4694,0))</f>
        <v>49</v>
      </c>
      <c r="F1536" s="23" t="str">
        <f>INDEX(Positions!$E$2:$E$4694,MATCH($A1536&amp;"|15",Positions!$A$2:$A$4694,0))</f>
        <v>G</v>
      </c>
      <c r="G1536" s="23" t="str">
        <f>INDEX(Positions!$E$2:$E$4694,MATCH($A1536&amp;"|48",Positions!$A$2:$A$4694,0))</f>
        <v>C</v>
      </c>
      <c r="H1536" s="24" t="str">
        <f t="shared" si="92"/>
        <v>G-C</v>
      </c>
      <c r="I1536" s="23">
        <f t="shared" si="93"/>
        <v>1</v>
      </c>
      <c r="J1536" s="23">
        <f t="shared" si="94"/>
        <v>1</v>
      </c>
      <c r="K1536" s="24">
        <f t="shared" si="95"/>
        <v>2</v>
      </c>
    </row>
    <row r="1537" spans="1:11">
      <c r="A1537" s="23" t="s">
        <v>91</v>
      </c>
      <c r="B1537" s="23" t="s">
        <v>241</v>
      </c>
      <c r="C1537" s="23" t="s">
        <v>244</v>
      </c>
      <c r="D1537" s="23">
        <f>INDEX(Positions!$D$2:$D$4694,MATCH($A1537&amp;"|18",Positions!$A$2:$A$4694,0))</f>
        <v>19</v>
      </c>
      <c r="E1537" s="23">
        <f>INDEX(Positions!$D$2:$D$4694,MATCH($A1537&amp;"|55",Positions!$A$2:$A$4694,0))</f>
        <v>56</v>
      </c>
      <c r="F1537" s="23" t="str">
        <f>INDEX(Positions!$E$2:$E$4694,MATCH($A1537&amp;"|18",Positions!$A$2:$A$4694,0))</f>
        <v>G</v>
      </c>
      <c r="G1537" s="23" t="str">
        <f>INDEX(Positions!$E$2:$E$4694,MATCH($A1537&amp;"|55",Positions!$A$2:$A$4694,0))</f>
        <v>U</v>
      </c>
      <c r="H1537" s="24" t="str">
        <f t="shared" si="92"/>
        <v>G-U</v>
      </c>
      <c r="I1537" s="23">
        <f t="shared" si="93"/>
        <v>1</v>
      </c>
      <c r="J1537" s="23">
        <f t="shared" si="94"/>
        <v>0</v>
      </c>
      <c r="K1537" s="24">
        <f t="shared" si="95"/>
        <v>1</v>
      </c>
    </row>
    <row r="1538" spans="1:11">
      <c r="A1538" s="23" t="s">
        <v>91</v>
      </c>
      <c r="B1538" s="23" t="s">
        <v>241</v>
      </c>
      <c r="C1538" s="23" t="s">
        <v>245</v>
      </c>
      <c r="D1538" s="23">
        <f>INDEX(Positions!$D$2:$D$4694,MATCH($A1538&amp;"|19",Positions!$A$2:$A$4694,0))</f>
        <v>20</v>
      </c>
      <c r="E1538" s="23">
        <f>INDEX(Positions!$D$2:$D$4694,MATCH($A1538&amp;"|56",Positions!$A$2:$A$4694,0))</f>
        <v>57</v>
      </c>
      <c r="F1538" s="23" t="str">
        <f>INDEX(Positions!$E$2:$E$4694,MATCH($A1538&amp;"|19",Positions!$A$2:$A$4694,0))</f>
        <v>G</v>
      </c>
      <c r="G1538" s="23" t="str">
        <f>INDEX(Positions!$E$2:$E$4694,MATCH($A1538&amp;"|56",Positions!$A$2:$A$4694,0))</f>
        <v>C</v>
      </c>
      <c r="H1538" s="24" t="str">
        <f t="shared" ref="H1538:H1601" si="96">F1538&amp;"-"&amp;G1538</f>
        <v>G-C</v>
      </c>
      <c r="I1538" s="23">
        <f t="shared" ref="I1538:I1601" si="97">(F1538="G")+(G1538="G")</f>
        <v>1</v>
      </c>
      <c r="J1538" s="23">
        <f t="shared" ref="J1538:J1601" si="98">(F1538="C")+(G1538="C")</f>
        <v>1</v>
      </c>
      <c r="K1538" s="24">
        <f t="shared" ref="K1538:K1601" si="99">I1538+J1538</f>
        <v>2</v>
      </c>
    </row>
    <row r="1539" spans="1:11">
      <c r="A1539" s="23" t="s">
        <v>91</v>
      </c>
      <c r="B1539" s="23" t="s">
        <v>241</v>
      </c>
      <c r="C1539" s="23" t="s">
        <v>246</v>
      </c>
      <c r="D1539" s="23">
        <f>INDEX(Positions!$D$2:$D$4694,MATCH($A1539&amp;"|26",Positions!$A$2:$A$4694,0))</f>
        <v>27</v>
      </c>
      <c r="E1539" s="23">
        <f>INDEX(Positions!$D$2:$D$4694,MATCH($A1539&amp;"|44",Positions!$A$2:$A$4694,0))</f>
        <v>45</v>
      </c>
      <c r="F1539" s="23" t="str">
        <f>INDEX(Positions!$E$2:$E$4694,MATCH($A1539&amp;"|26",Positions!$A$2:$A$4694,0))</f>
        <v>G</v>
      </c>
      <c r="G1539" s="23" t="str">
        <f>INDEX(Positions!$E$2:$E$4694,MATCH($A1539&amp;"|44",Positions!$A$2:$A$4694,0))</f>
        <v>A</v>
      </c>
      <c r="H1539" s="24" t="str">
        <f t="shared" si="96"/>
        <v>G-A</v>
      </c>
      <c r="I1539" s="23">
        <f t="shared" si="97"/>
        <v>1</v>
      </c>
      <c r="J1539" s="23">
        <f t="shared" si="98"/>
        <v>0</v>
      </c>
      <c r="K1539" s="24">
        <f t="shared" si="99"/>
        <v>1</v>
      </c>
    </row>
    <row r="1540" spans="1:11">
      <c r="A1540" s="23" t="s">
        <v>91</v>
      </c>
      <c r="B1540" s="23" t="s">
        <v>241</v>
      </c>
      <c r="C1540" s="23" t="s">
        <v>247</v>
      </c>
      <c r="D1540" s="23">
        <f>INDEX(Positions!$D$2:$D$4694,MATCH($A1540&amp;"|32",Positions!$A$2:$A$4694,0))</f>
        <v>33</v>
      </c>
      <c r="E1540" s="23">
        <f>INDEX(Positions!$D$2:$D$4694,MATCH($A1540&amp;"|38",Positions!$A$2:$A$4694,0))</f>
        <v>39</v>
      </c>
      <c r="F1540" s="23" t="str">
        <f>INDEX(Positions!$E$2:$E$4694,MATCH($A1540&amp;"|32",Positions!$A$2:$A$4694,0))</f>
        <v>C</v>
      </c>
      <c r="G1540" s="23" t="str">
        <f>INDEX(Positions!$E$2:$E$4694,MATCH($A1540&amp;"|38",Positions!$A$2:$A$4694,0))</f>
        <v>A</v>
      </c>
      <c r="H1540" s="24" t="str">
        <f t="shared" si="96"/>
        <v>C-A</v>
      </c>
      <c r="I1540" s="23">
        <f t="shared" si="97"/>
        <v>0</v>
      </c>
      <c r="J1540" s="23">
        <f t="shared" si="98"/>
        <v>1</v>
      </c>
      <c r="K1540" s="24">
        <f t="shared" si="99"/>
        <v>1</v>
      </c>
    </row>
    <row r="1541" spans="1:11">
      <c r="A1541" s="23" t="s">
        <v>91</v>
      </c>
      <c r="B1541" s="23" t="s">
        <v>241</v>
      </c>
      <c r="C1541" s="23" t="s">
        <v>248</v>
      </c>
      <c r="D1541" s="23">
        <f>INDEX(Positions!$D$2:$D$4694,MATCH($A1541&amp;"|54",Positions!$A$2:$A$4694,0))</f>
        <v>55</v>
      </c>
      <c r="E1541" s="23">
        <f>INDEX(Positions!$D$2:$D$4694,MATCH($A1541&amp;"|58",Positions!$A$2:$A$4694,0))</f>
        <v>59</v>
      </c>
      <c r="F1541" s="23" t="str">
        <f>INDEX(Positions!$E$2:$E$4694,MATCH($A1541&amp;"|54",Positions!$A$2:$A$4694,0))</f>
        <v>U</v>
      </c>
      <c r="G1541" s="23" t="str">
        <f>INDEX(Positions!$E$2:$E$4694,MATCH($A1541&amp;"|58",Positions!$A$2:$A$4694,0))</f>
        <v>A</v>
      </c>
      <c r="H1541" s="24" t="str">
        <f t="shared" si="96"/>
        <v>U-A</v>
      </c>
      <c r="I1541" s="23">
        <f t="shared" si="97"/>
        <v>0</v>
      </c>
      <c r="J1541" s="23">
        <f t="shared" si="98"/>
        <v>0</v>
      </c>
      <c r="K1541" s="24">
        <f t="shared" si="99"/>
        <v>0</v>
      </c>
    </row>
    <row r="1542" spans="1:11">
      <c r="A1542" s="4" t="s">
        <v>92</v>
      </c>
      <c r="B1542" s="4" t="s">
        <v>110</v>
      </c>
      <c r="C1542" s="4" t="s">
        <v>220</v>
      </c>
      <c r="D1542" s="4">
        <f>INDEX(Positions!$D$2:$D$4694,MATCH($A1542&amp;"|1",Positions!$A$2:$A$4694,0))</f>
        <v>1</v>
      </c>
      <c r="E1542" s="4">
        <f>INDEX(Positions!$D$2:$D$4694,MATCH($A1542&amp;"|72",Positions!$A$2:$A$4694,0))</f>
        <v>73</v>
      </c>
      <c r="F1542" s="4" t="str">
        <f>INDEX(Positions!$E$2:$E$4694,MATCH($A1542&amp;"|1",Positions!$A$2:$A$4694,0))</f>
        <v>G</v>
      </c>
      <c r="G1542" s="4" t="str">
        <f>INDEX(Positions!$E$2:$E$4694,MATCH($A1542&amp;"|72",Positions!$A$2:$A$4694,0))</f>
        <v>U</v>
      </c>
      <c r="H1542" s="3" t="str">
        <f t="shared" si="96"/>
        <v>G-U</v>
      </c>
      <c r="I1542" s="4">
        <f t="shared" si="97"/>
        <v>1</v>
      </c>
      <c r="J1542" s="4">
        <f t="shared" si="98"/>
        <v>0</v>
      </c>
      <c r="K1542" s="3">
        <f t="shared" si="99"/>
        <v>1</v>
      </c>
    </row>
    <row r="1543" spans="1:11">
      <c r="A1543" s="4" t="s">
        <v>92</v>
      </c>
      <c r="B1543" s="4" t="s">
        <v>110</v>
      </c>
      <c r="C1543" s="4" t="s">
        <v>221</v>
      </c>
      <c r="D1543" s="4">
        <f>INDEX(Positions!$D$2:$D$4694,MATCH($A1543&amp;"|2",Positions!$A$2:$A$4694,0))</f>
        <v>2</v>
      </c>
      <c r="E1543" s="4">
        <f>INDEX(Positions!$D$2:$D$4694,MATCH($A1543&amp;"|71",Positions!$A$2:$A$4694,0))</f>
        <v>72</v>
      </c>
      <c r="F1543" s="4" t="str">
        <f>INDEX(Positions!$E$2:$E$4694,MATCH($A1543&amp;"|2",Positions!$A$2:$A$4694,0))</f>
        <v>U</v>
      </c>
      <c r="G1543" s="4" t="str">
        <f>INDEX(Positions!$E$2:$E$4694,MATCH($A1543&amp;"|71",Positions!$A$2:$A$4694,0))</f>
        <v>G</v>
      </c>
      <c r="H1543" s="3" t="str">
        <f t="shared" si="96"/>
        <v>U-G</v>
      </c>
      <c r="I1543" s="4">
        <f t="shared" si="97"/>
        <v>1</v>
      </c>
      <c r="J1543" s="4">
        <f t="shared" si="98"/>
        <v>0</v>
      </c>
      <c r="K1543" s="3">
        <f t="shared" si="99"/>
        <v>1</v>
      </c>
    </row>
    <row r="1544" spans="1:11">
      <c r="A1544" s="4" t="s">
        <v>92</v>
      </c>
      <c r="B1544" s="4" t="s">
        <v>110</v>
      </c>
      <c r="C1544" s="4" t="s">
        <v>222</v>
      </c>
      <c r="D1544" s="4">
        <f>INDEX(Positions!$D$2:$D$4694,MATCH($A1544&amp;"|3",Positions!$A$2:$A$4694,0))</f>
        <v>3</v>
      </c>
      <c r="E1544" s="4">
        <f>INDEX(Positions!$D$2:$D$4694,MATCH($A1544&amp;"|70",Positions!$A$2:$A$4694,0))</f>
        <v>71</v>
      </c>
      <c r="F1544" s="4" t="str">
        <f>INDEX(Positions!$E$2:$E$4694,MATCH($A1544&amp;"|3",Positions!$A$2:$A$4694,0))</f>
        <v>C</v>
      </c>
      <c r="G1544" s="4" t="str">
        <f>INDEX(Positions!$E$2:$E$4694,MATCH($A1544&amp;"|70",Positions!$A$2:$A$4694,0))</f>
        <v>G</v>
      </c>
      <c r="H1544" s="3" t="str">
        <f t="shared" si="96"/>
        <v>C-G</v>
      </c>
      <c r="I1544" s="4">
        <f t="shared" si="97"/>
        <v>1</v>
      </c>
      <c r="J1544" s="4">
        <f t="shared" si="98"/>
        <v>1</v>
      </c>
      <c r="K1544" s="3">
        <f t="shared" si="99"/>
        <v>2</v>
      </c>
    </row>
    <row r="1545" spans="1:11">
      <c r="A1545" s="4" t="s">
        <v>92</v>
      </c>
      <c r="B1545" s="4" t="s">
        <v>110</v>
      </c>
      <c r="C1545" s="4" t="s">
        <v>223</v>
      </c>
      <c r="D1545" s="4">
        <f>INDEX(Positions!$D$2:$D$4694,MATCH($A1545&amp;"|4",Positions!$A$2:$A$4694,0))</f>
        <v>4</v>
      </c>
      <c r="E1545" s="4">
        <f>INDEX(Positions!$D$2:$D$4694,MATCH($A1545&amp;"|69",Positions!$A$2:$A$4694,0))</f>
        <v>70</v>
      </c>
      <c r="F1545" s="4" t="str">
        <f>INDEX(Positions!$E$2:$E$4694,MATCH($A1545&amp;"|4",Positions!$A$2:$A$4694,0))</f>
        <v>U</v>
      </c>
      <c r="G1545" s="4" t="str">
        <f>INDEX(Positions!$E$2:$E$4694,MATCH($A1545&amp;"|69",Positions!$A$2:$A$4694,0))</f>
        <v>G</v>
      </c>
      <c r="H1545" s="3" t="str">
        <f t="shared" si="96"/>
        <v>U-G</v>
      </c>
      <c r="I1545" s="4">
        <f t="shared" si="97"/>
        <v>1</v>
      </c>
      <c r="J1545" s="4">
        <f t="shared" si="98"/>
        <v>0</v>
      </c>
      <c r="K1545" s="3">
        <f t="shared" si="99"/>
        <v>1</v>
      </c>
    </row>
    <row r="1546" spans="1:11">
      <c r="A1546" s="4" t="s">
        <v>92</v>
      </c>
      <c r="B1546" s="4" t="s">
        <v>110</v>
      </c>
      <c r="C1546" s="4" t="s">
        <v>224</v>
      </c>
      <c r="D1546" s="4">
        <f>INDEX(Positions!$D$2:$D$4694,MATCH($A1546&amp;"|5",Positions!$A$2:$A$4694,0))</f>
        <v>5</v>
      </c>
      <c r="E1546" s="4">
        <f>INDEX(Positions!$D$2:$D$4694,MATCH($A1546&amp;"|68",Positions!$A$2:$A$4694,0))</f>
        <v>69</v>
      </c>
      <c r="F1546" s="4" t="str">
        <f>INDEX(Positions!$E$2:$E$4694,MATCH($A1546&amp;"|5",Positions!$A$2:$A$4694,0))</f>
        <v>C</v>
      </c>
      <c r="G1546" s="4" t="str">
        <f>INDEX(Positions!$E$2:$E$4694,MATCH($A1546&amp;"|68",Positions!$A$2:$A$4694,0))</f>
        <v>G</v>
      </c>
      <c r="H1546" s="3" t="str">
        <f t="shared" si="96"/>
        <v>C-G</v>
      </c>
      <c r="I1546" s="4">
        <f t="shared" si="97"/>
        <v>1</v>
      </c>
      <c r="J1546" s="4">
        <f t="shared" si="98"/>
        <v>1</v>
      </c>
      <c r="K1546" s="3">
        <f t="shared" si="99"/>
        <v>2</v>
      </c>
    </row>
    <row r="1547" spans="1:11">
      <c r="A1547" s="4" t="s">
        <v>92</v>
      </c>
      <c r="B1547" s="4" t="s">
        <v>110</v>
      </c>
      <c r="C1547" s="4" t="s">
        <v>225</v>
      </c>
      <c r="D1547" s="4">
        <f>INDEX(Positions!$D$2:$D$4694,MATCH($A1547&amp;"|6",Positions!$A$2:$A$4694,0))</f>
        <v>6</v>
      </c>
      <c r="E1547" s="4">
        <f>INDEX(Positions!$D$2:$D$4694,MATCH($A1547&amp;"|67",Positions!$A$2:$A$4694,0))</f>
        <v>68</v>
      </c>
      <c r="F1547" s="4" t="str">
        <f>INDEX(Positions!$E$2:$E$4694,MATCH($A1547&amp;"|6",Positions!$A$2:$A$4694,0))</f>
        <v>G</v>
      </c>
      <c r="G1547" s="4" t="str">
        <f>INDEX(Positions!$E$2:$E$4694,MATCH($A1547&amp;"|67",Positions!$A$2:$A$4694,0))</f>
        <v>C</v>
      </c>
      <c r="H1547" s="3" t="str">
        <f t="shared" si="96"/>
        <v>G-C</v>
      </c>
      <c r="I1547" s="4">
        <f t="shared" si="97"/>
        <v>1</v>
      </c>
      <c r="J1547" s="4">
        <f t="shared" si="98"/>
        <v>1</v>
      </c>
      <c r="K1547" s="3">
        <f t="shared" si="99"/>
        <v>2</v>
      </c>
    </row>
    <row r="1548" spans="1:11">
      <c r="A1548" s="4" t="s">
        <v>92</v>
      </c>
      <c r="B1548" s="4" t="s">
        <v>110</v>
      </c>
      <c r="C1548" s="4" t="s">
        <v>226</v>
      </c>
      <c r="D1548" s="4">
        <f>INDEX(Positions!$D$2:$D$4694,MATCH($A1548&amp;"|7",Positions!$A$2:$A$4694,0))</f>
        <v>7</v>
      </c>
      <c r="E1548" s="4">
        <f>INDEX(Positions!$D$2:$D$4694,MATCH($A1548&amp;"|66",Positions!$A$2:$A$4694,0))</f>
        <v>67</v>
      </c>
      <c r="F1548" s="4" t="str">
        <f>INDEX(Positions!$E$2:$E$4694,MATCH($A1548&amp;"|7",Positions!$A$2:$A$4694,0))</f>
        <v>U</v>
      </c>
      <c r="G1548" s="4" t="str">
        <f>INDEX(Positions!$E$2:$E$4694,MATCH($A1548&amp;"|66",Positions!$A$2:$A$4694,0))</f>
        <v>A</v>
      </c>
      <c r="H1548" s="3" t="str">
        <f t="shared" si="96"/>
        <v>U-A</v>
      </c>
      <c r="I1548" s="4">
        <f t="shared" si="97"/>
        <v>0</v>
      </c>
      <c r="J1548" s="4">
        <f t="shared" si="98"/>
        <v>0</v>
      </c>
      <c r="K1548" s="3">
        <f t="shared" si="99"/>
        <v>0</v>
      </c>
    </row>
    <row r="1549" spans="1:11">
      <c r="A1549" s="4" t="s">
        <v>92</v>
      </c>
      <c r="B1549" s="4" t="s">
        <v>125</v>
      </c>
      <c r="C1549" s="4" t="s">
        <v>227</v>
      </c>
      <c r="D1549" s="4">
        <f>INDEX(Positions!$D$2:$D$4694,MATCH($A1549&amp;"|10",Positions!$A$2:$A$4694,0))</f>
        <v>10</v>
      </c>
      <c r="E1549" s="4">
        <f>INDEX(Positions!$D$2:$D$4694,MATCH($A1549&amp;"|25",Positions!$A$2:$A$4694,0))</f>
        <v>26</v>
      </c>
      <c r="F1549" s="4" t="str">
        <f>INDEX(Positions!$E$2:$E$4694,MATCH($A1549&amp;"|10",Positions!$A$2:$A$4694,0))</f>
        <v>G</v>
      </c>
      <c r="G1549" s="4" t="str">
        <f>INDEX(Positions!$E$2:$E$4694,MATCH($A1549&amp;"|25",Positions!$A$2:$A$4694,0))</f>
        <v>C</v>
      </c>
      <c r="H1549" s="3" t="str">
        <f t="shared" si="96"/>
        <v>G-C</v>
      </c>
      <c r="I1549" s="4">
        <f t="shared" si="97"/>
        <v>1</v>
      </c>
      <c r="J1549" s="4">
        <f t="shared" si="98"/>
        <v>1</v>
      </c>
      <c r="K1549" s="3">
        <f t="shared" si="99"/>
        <v>2</v>
      </c>
    </row>
    <row r="1550" spans="1:11">
      <c r="A1550" s="4" t="s">
        <v>92</v>
      </c>
      <c r="B1550" s="4" t="s">
        <v>125</v>
      </c>
      <c r="C1550" s="4" t="s">
        <v>228</v>
      </c>
      <c r="D1550" s="4">
        <f>INDEX(Positions!$D$2:$D$4694,MATCH($A1550&amp;"|11",Positions!$A$2:$A$4694,0))</f>
        <v>11</v>
      </c>
      <c r="E1550" s="4">
        <f>INDEX(Positions!$D$2:$D$4694,MATCH($A1550&amp;"|24",Positions!$A$2:$A$4694,0))</f>
        <v>25</v>
      </c>
      <c r="F1550" s="4" t="str">
        <f>INDEX(Positions!$E$2:$E$4694,MATCH($A1550&amp;"|11",Positions!$A$2:$A$4694,0))</f>
        <v>C</v>
      </c>
      <c r="G1550" s="4" t="str">
        <f>INDEX(Positions!$E$2:$E$4694,MATCH($A1550&amp;"|24",Positions!$A$2:$A$4694,0))</f>
        <v>G</v>
      </c>
      <c r="H1550" s="3" t="str">
        <f t="shared" si="96"/>
        <v>C-G</v>
      </c>
      <c r="I1550" s="4">
        <f t="shared" si="97"/>
        <v>1</v>
      </c>
      <c r="J1550" s="4">
        <f t="shared" si="98"/>
        <v>1</v>
      </c>
      <c r="K1550" s="3">
        <f t="shared" si="99"/>
        <v>2</v>
      </c>
    </row>
    <row r="1551" spans="1:11">
      <c r="A1551" s="4" t="s">
        <v>92</v>
      </c>
      <c r="B1551" s="4" t="s">
        <v>125</v>
      </c>
      <c r="C1551" s="4" t="s">
        <v>229</v>
      </c>
      <c r="D1551" s="4">
        <f>INDEX(Positions!$D$2:$D$4694,MATCH($A1551&amp;"|12",Positions!$A$2:$A$4694,0))</f>
        <v>12</v>
      </c>
      <c r="E1551" s="4">
        <f>INDEX(Positions!$D$2:$D$4694,MATCH($A1551&amp;"|23",Positions!$A$2:$A$4694,0))</f>
        <v>24</v>
      </c>
      <c r="F1551" s="4" t="str">
        <f>INDEX(Positions!$E$2:$E$4694,MATCH($A1551&amp;"|12",Positions!$A$2:$A$4694,0))</f>
        <v>U</v>
      </c>
      <c r="G1551" s="4" t="str">
        <f>INDEX(Positions!$E$2:$E$4694,MATCH($A1551&amp;"|23",Positions!$A$2:$A$4694,0))</f>
        <v>A</v>
      </c>
      <c r="H1551" s="3" t="str">
        <f t="shared" si="96"/>
        <v>U-A</v>
      </c>
      <c r="I1551" s="4">
        <f t="shared" si="97"/>
        <v>0</v>
      </c>
      <c r="J1551" s="4">
        <f t="shared" si="98"/>
        <v>0</v>
      </c>
      <c r="K1551" s="3">
        <f t="shared" si="99"/>
        <v>0</v>
      </c>
    </row>
    <row r="1552" spans="1:11">
      <c r="A1552" s="4" t="s">
        <v>92</v>
      </c>
      <c r="B1552" s="4" t="s">
        <v>125</v>
      </c>
      <c r="C1552" s="4" t="s">
        <v>230</v>
      </c>
      <c r="D1552" s="4">
        <f>INDEX(Positions!$D$2:$D$4694,MATCH($A1552&amp;"|13",Positions!$A$2:$A$4694,0))</f>
        <v>13</v>
      </c>
      <c r="E1552" s="4">
        <f>INDEX(Positions!$D$2:$D$4694,MATCH($A1552&amp;"|22",Positions!$A$2:$A$4694,0))</f>
        <v>23</v>
      </c>
      <c r="F1552" s="4" t="str">
        <f>INDEX(Positions!$E$2:$E$4694,MATCH($A1552&amp;"|13",Positions!$A$2:$A$4694,0))</f>
        <v>C</v>
      </c>
      <c r="G1552" s="4" t="str">
        <f>INDEX(Positions!$E$2:$E$4694,MATCH($A1552&amp;"|22",Positions!$A$2:$A$4694,0))</f>
        <v>G</v>
      </c>
      <c r="H1552" s="3" t="str">
        <f t="shared" si="96"/>
        <v>C-G</v>
      </c>
      <c r="I1552" s="4">
        <f t="shared" si="97"/>
        <v>1</v>
      </c>
      <c r="J1552" s="4">
        <f t="shared" si="98"/>
        <v>1</v>
      </c>
      <c r="K1552" s="3">
        <f t="shared" si="99"/>
        <v>2</v>
      </c>
    </row>
    <row r="1553" spans="1:11">
      <c r="A1553" s="4" t="s">
        <v>92</v>
      </c>
      <c r="B1553" s="4" t="s">
        <v>144</v>
      </c>
      <c r="C1553" s="4" t="s">
        <v>231</v>
      </c>
      <c r="D1553" s="4">
        <f>INDEX(Positions!$D$2:$D$4694,MATCH($A1553&amp;"|27",Positions!$A$2:$A$4694,0))</f>
        <v>28</v>
      </c>
      <c r="E1553" s="4">
        <f>INDEX(Positions!$D$2:$D$4694,MATCH($A1553&amp;"|43",Positions!$A$2:$A$4694,0))</f>
        <v>44</v>
      </c>
      <c r="F1553" s="4" t="str">
        <f>INDEX(Positions!$E$2:$E$4694,MATCH($A1553&amp;"|27",Positions!$A$2:$A$4694,0))</f>
        <v>A</v>
      </c>
      <c r="G1553" s="4" t="str">
        <f>INDEX(Positions!$E$2:$E$4694,MATCH($A1553&amp;"|43",Positions!$A$2:$A$4694,0))</f>
        <v>U</v>
      </c>
      <c r="H1553" s="3" t="str">
        <f t="shared" si="96"/>
        <v>A-U</v>
      </c>
      <c r="I1553" s="4">
        <f t="shared" si="97"/>
        <v>0</v>
      </c>
      <c r="J1553" s="4">
        <f t="shared" si="98"/>
        <v>0</v>
      </c>
      <c r="K1553" s="3">
        <f t="shared" si="99"/>
        <v>0</v>
      </c>
    </row>
    <row r="1554" spans="1:11">
      <c r="A1554" s="4" t="s">
        <v>92</v>
      </c>
      <c r="B1554" s="4" t="s">
        <v>144</v>
      </c>
      <c r="C1554" s="4" t="s">
        <v>232</v>
      </c>
      <c r="D1554" s="4">
        <f>INDEX(Positions!$D$2:$D$4694,MATCH($A1554&amp;"|28",Positions!$A$2:$A$4694,0))</f>
        <v>29</v>
      </c>
      <c r="E1554" s="4">
        <f>INDEX(Positions!$D$2:$D$4694,MATCH($A1554&amp;"|42",Positions!$A$2:$A$4694,0))</f>
        <v>43</v>
      </c>
      <c r="F1554" s="4" t="str">
        <f>INDEX(Positions!$E$2:$E$4694,MATCH($A1554&amp;"|28",Positions!$A$2:$A$4694,0))</f>
        <v>G</v>
      </c>
      <c r="G1554" s="4" t="str">
        <f>INDEX(Positions!$E$2:$E$4694,MATCH($A1554&amp;"|42",Positions!$A$2:$A$4694,0))</f>
        <v>C</v>
      </c>
      <c r="H1554" s="3" t="str">
        <f t="shared" si="96"/>
        <v>G-C</v>
      </c>
      <c r="I1554" s="4">
        <f t="shared" si="97"/>
        <v>1</v>
      </c>
      <c r="J1554" s="4">
        <f t="shared" si="98"/>
        <v>1</v>
      </c>
      <c r="K1554" s="3">
        <f t="shared" si="99"/>
        <v>2</v>
      </c>
    </row>
    <row r="1555" spans="1:11">
      <c r="A1555" s="4" t="s">
        <v>92</v>
      </c>
      <c r="B1555" s="4" t="s">
        <v>144</v>
      </c>
      <c r="C1555" s="4" t="s">
        <v>233</v>
      </c>
      <c r="D1555" s="4">
        <f>INDEX(Positions!$D$2:$D$4694,MATCH($A1555&amp;"|29",Positions!$A$2:$A$4694,0))</f>
        <v>30</v>
      </c>
      <c r="E1555" s="4">
        <f>INDEX(Positions!$D$2:$D$4694,MATCH($A1555&amp;"|41",Positions!$A$2:$A$4694,0))</f>
        <v>42</v>
      </c>
      <c r="F1555" s="4" t="str">
        <f>INDEX(Positions!$E$2:$E$4694,MATCH($A1555&amp;"|29",Positions!$A$2:$A$4694,0))</f>
        <v>U</v>
      </c>
      <c r="G1555" s="4" t="str">
        <f>INDEX(Positions!$E$2:$E$4694,MATCH($A1555&amp;"|41",Positions!$A$2:$A$4694,0))</f>
        <v>A</v>
      </c>
      <c r="H1555" s="3" t="str">
        <f t="shared" si="96"/>
        <v>U-A</v>
      </c>
      <c r="I1555" s="4">
        <f t="shared" si="97"/>
        <v>0</v>
      </c>
      <c r="J1555" s="4">
        <f t="shared" si="98"/>
        <v>0</v>
      </c>
      <c r="K1555" s="3">
        <f t="shared" si="99"/>
        <v>0</v>
      </c>
    </row>
    <row r="1556" spans="1:11">
      <c r="A1556" s="4" t="s">
        <v>92</v>
      </c>
      <c r="B1556" s="4" t="s">
        <v>144</v>
      </c>
      <c r="C1556" s="4" t="s">
        <v>234</v>
      </c>
      <c r="D1556" s="4">
        <f>INDEX(Positions!$D$2:$D$4694,MATCH($A1556&amp;"|30",Positions!$A$2:$A$4694,0))</f>
        <v>31</v>
      </c>
      <c r="E1556" s="4">
        <f>INDEX(Positions!$D$2:$D$4694,MATCH($A1556&amp;"|40",Positions!$A$2:$A$4694,0))</f>
        <v>41</v>
      </c>
      <c r="F1556" s="4" t="str">
        <f>INDEX(Positions!$E$2:$E$4694,MATCH($A1556&amp;"|30",Positions!$A$2:$A$4694,0))</f>
        <v>G</v>
      </c>
      <c r="G1556" s="4" t="str">
        <f>INDEX(Positions!$E$2:$E$4694,MATCH($A1556&amp;"|40",Positions!$A$2:$A$4694,0))</f>
        <v>C</v>
      </c>
      <c r="H1556" s="3" t="str">
        <f t="shared" si="96"/>
        <v>G-C</v>
      </c>
      <c r="I1556" s="4">
        <f t="shared" si="97"/>
        <v>1</v>
      </c>
      <c r="J1556" s="4">
        <f t="shared" si="98"/>
        <v>1</v>
      </c>
      <c r="K1556" s="3">
        <f t="shared" si="99"/>
        <v>2</v>
      </c>
    </row>
    <row r="1557" spans="1:11">
      <c r="A1557" s="4" t="s">
        <v>92</v>
      </c>
      <c r="B1557" s="4" t="s">
        <v>144</v>
      </c>
      <c r="C1557" s="4" t="s">
        <v>235</v>
      </c>
      <c r="D1557" s="4">
        <f>INDEX(Positions!$D$2:$D$4694,MATCH($A1557&amp;"|31",Positions!$A$2:$A$4694,0))</f>
        <v>32</v>
      </c>
      <c r="E1557" s="4">
        <f>INDEX(Positions!$D$2:$D$4694,MATCH($A1557&amp;"|39",Positions!$A$2:$A$4694,0))</f>
        <v>40</v>
      </c>
      <c r="F1557" s="4" t="str">
        <f>INDEX(Positions!$E$2:$E$4694,MATCH($A1557&amp;"|31",Positions!$A$2:$A$4694,0))</f>
        <v>A</v>
      </c>
      <c r="G1557" s="4" t="str">
        <f>INDEX(Positions!$E$2:$E$4694,MATCH($A1557&amp;"|39",Positions!$A$2:$A$4694,0))</f>
        <v>U</v>
      </c>
      <c r="H1557" s="3" t="str">
        <f t="shared" si="96"/>
        <v>A-U</v>
      </c>
      <c r="I1557" s="4">
        <f t="shared" si="97"/>
        <v>0</v>
      </c>
      <c r="J1557" s="4">
        <f t="shared" si="98"/>
        <v>0</v>
      </c>
      <c r="K1557" s="3">
        <f t="shared" si="99"/>
        <v>0</v>
      </c>
    </row>
    <row r="1558" spans="1:11">
      <c r="A1558" s="4" t="s">
        <v>92</v>
      </c>
      <c r="B1558" s="4" t="s">
        <v>169</v>
      </c>
      <c r="C1558" s="4" t="s">
        <v>236</v>
      </c>
      <c r="D1558" s="4">
        <f>INDEX(Positions!$D$2:$D$4694,MATCH($A1558&amp;"|49",Positions!$A$2:$A$4694,0))</f>
        <v>50</v>
      </c>
      <c r="E1558" s="4">
        <f>INDEX(Positions!$D$2:$D$4694,MATCH($A1558&amp;"|65",Positions!$A$2:$A$4694,0))</f>
        <v>66</v>
      </c>
      <c r="F1558" s="4" t="str">
        <f>INDEX(Positions!$E$2:$E$4694,MATCH($A1558&amp;"|49",Positions!$A$2:$A$4694,0))</f>
        <v>G</v>
      </c>
      <c r="G1558" s="4" t="str">
        <f>INDEX(Positions!$E$2:$E$4694,MATCH($A1558&amp;"|65",Positions!$A$2:$A$4694,0))</f>
        <v>C</v>
      </c>
      <c r="H1558" s="3" t="str">
        <f t="shared" si="96"/>
        <v>G-C</v>
      </c>
      <c r="I1558" s="4">
        <f t="shared" si="97"/>
        <v>1</v>
      </c>
      <c r="J1558" s="4">
        <f t="shared" si="98"/>
        <v>1</v>
      </c>
      <c r="K1558" s="3">
        <f t="shared" si="99"/>
        <v>2</v>
      </c>
    </row>
    <row r="1559" spans="1:11">
      <c r="A1559" s="4" t="s">
        <v>92</v>
      </c>
      <c r="B1559" s="4" t="s">
        <v>169</v>
      </c>
      <c r="C1559" s="4" t="s">
        <v>237</v>
      </c>
      <c r="D1559" s="4">
        <f>INDEX(Positions!$D$2:$D$4694,MATCH($A1559&amp;"|50",Positions!$A$2:$A$4694,0))</f>
        <v>51</v>
      </c>
      <c r="E1559" s="4">
        <f>INDEX(Positions!$D$2:$D$4694,MATCH($A1559&amp;"|64",Positions!$A$2:$A$4694,0))</f>
        <v>65</v>
      </c>
      <c r="F1559" s="4" t="str">
        <f>INDEX(Positions!$E$2:$E$4694,MATCH($A1559&amp;"|50",Positions!$A$2:$A$4694,0))</f>
        <v>C</v>
      </c>
      <c r="G1559" s="4" t="str">
        <f>INDEX(Positions!$E$2:$E$4694,MATCH($A1559&amp;"|64",Positions!$A$2:$A$4694,0))</f>
        <v>G</v>
      </c>
      <c r="H1559" s="3" t="str">
        <f t="shared" si="96"/>
        <v>C-G</v>
      </c>
      <c r="I1559" s="4">
        <f t="shared" si="97"/>
        <v>1</v>
      </c>
      <c r="J1559" s="4">
        <f t="shared" si="98"/>
        <v>1</v>
      </c>
      <c r="K1559" s="3">
        <f t="shared" si="99"/>
        <v>2</v>
      </c>
    </row>
    <row r="1560" spans="1:11">
      <c r="A1560" s="4" t="s">
        <v>92</v>
      </c>
      <c r="B1560" s="4" t="s">
        <v>169</v>
      </c>
      <c r="C1560" s="4" t="s">
        <v>238</v>
      </c>
      <c r="D1560" s="4">
        <f>INDEX(Positions!$D$2:$D$4694,MATCH($A1560&amp;"|51",Positions!$A$2:$A$4694,0))</f>
        <v>52</v>
      </c>
      <c r="E1560" s="4">
        <f>INDEX(Positions!$D$2:$D$4694,MATCH($A1560&amp;"|63",Positions!$A$2:$A$4694,0))</f>
        <v>64</v>
      </c>
      <c r="F1560" s="4" t="str">
        <f>INDEX(Positions!$E$2:$E$4694,MATCH($A1560&amp;"|51",Positions!$A$2:$A$4694,0))</f>
        <v>G</v>
      </c>
      <c r="G1560" s="4" t="str">
        <f>INDEX(Positions!$E$2:$E$4694,MATCH($A1560&amp;"|63",Positions!$A$2:$A$4694,0))</f>
        <v>C</v>
      </c>
      <c r="H1560" s="3" t="str">
        <f t="shared" si="96"/>
        <v>G-C</v>
      </c>
      <c r="I1560" s="4">
        <f t="shared" si="97"/>
        <v>1</v>
      </c>
      <c r="J1560" s="4">
        <f t="shared" si="98"/>
        <v>1</v>
      </c>
      <c r="K1560" s="3">
        <f t="shared" si="99"/>
        <v>2</v>
      </c>
    </row>
    <row r="1561" spans="1:11">
      <c r="A1561" s="4" t="s">
        <v>92</v>
      </c>
      <c r="B1561" s="4" t="s">
        <v>169</v>
      </c>
      <c r="C1561" s="4" t="s">
        <v>239</v>
      </c>
      <c r="D1561" s="4">
        <f>INDEX(Positions!$D$2:$D$4694,MATCH($A1561&amp;"|52",Positions!$A$2:$A$4694,0))</f>
        <v>53</v>
      </c>
      <c r="E1561" s="4">
        <f>INDEX(Positions!$D$2:$D$4694,MATCH($A1561&amp;"|62",Positions!$A$2:$A$4694,0))</f>
        <v>63</v>
      </c>
      <c r="F1561" s="4" t="str">
        <f>INDEX(Positions!$E$2:$E$4694,MATCH($A1561&amp;"|52",Positions!$A$2:$A$4694,0))</f>
        <v>U</v>
      </c>
      <c r="G1561" s="4" t="str">
        <f>INDEX(Positions!$E$2:$E$4694,MATCH($A1561&amp;"|62",Positions!$A$2:$A$4694,0))</f>
        <v>A</v>
      </c>
      <c r="H1561" s="3" t="str">
        <f t="shared" si="96"/>
        <v>U-A</v>
      </c>
      <c r="I1561" s="4">
        <f t="shared" si="97"/>
        <v>0</v>
      </c>
      <c r="J1561" s="4">
        <f t="shared" si="98"/>
        <v>0</v>
      </c>
      <c r="K1561" s="3">
        <f t="shared" si="99"/>
        <v>0</v>
      </c>
    </row>
    <row r="1562" spans="1:11">
      <c r="A1562" s="4" t="s">
        <v>92</v>
      </c>
      <c r="B1562" s="4" t="s">
        <v>169</v>
      </c>
      <c r="C1562" s="4" t="s">
        <v>240</v>
      </c>
      <c r="D1562" s="4">
        <f>INDEX(Positions!$D$2:$D$4694,MATCH($A1562&amp;"|53",Positions!$A$2:$A$4694,0))</f>
        <v>54</v>
      </c>
      <c r="E1562" s="4">
        <f>INDEX(Positions!$D$2:$D$4694,MATCH($A1562&amp;"|61",Positions!$A$2:$A$4694,0))</f>
        <v>62</v>
      </c>
      <c r="F1562" s="4" t="str">
        <f>INDEX(Positions!$E$2:$E$4694,MATCH($A1562&amp;"|53",Positions!$A$2:$A$4694,0))</f>
        <v>G</v>
      </c>
      <c r="G1562" s="4" t="str">
        <f>INDEX(Positions!$E$2:$E$4694,MATCH($A1562&amp;"|61",Positions!$A$2:$A$4694,0))</f>
        <v>C</v>
      </c>
      <c r="H1562" s="3" t="str">
        <f t="shared" si="96"/>
        <v>G-C</v>
      </c>
      <c r="I1562" s="4">
        <f t="shared" si="97"/>
        <v>1</v>
      </c>
      <c r="J1562" s="4">
        <f t="shared" si="98"/>
        <v>1</v>
      </c>
      <c r="K1562" s="3">
        <f t="shared" si="99"/>
        <v>2</v>
      </c>
    </row>
    <row r="1563" spans="1:11">
      <c r="A1563" s="23" t="s">
        <v>92</v>
      </c>
      <c r="B1563" s="23" t="s">
        <v>241</v>
      </c>
      <c r="C1563" s="23" t="s">
        <v>242</v>
      </c>
      <c r="D1563" s="23">
        <f>INDEX(Positions!$D$2:$D$4694,MATCH($A1563&amp;"|8",Positions!$A$2:$A$4694,0))</f>
        <v>8</v>
      </c>
      <c r="E1563" s="23">
        <f>INDEX(Positions!$D$2:$D$4694,MATCH($A1563&amp;"|14",Positions!$A$2:$A$4694,0))</f>
        <v>14</v>
      </c>
      <c r="F1563" s="23" t="str">
        <f>INDEX(Positions!$E$2:$E$4694,MATCH($A1563&amp;"|8",Positions!$A$2:$A$4694,0))</f>
        <v>U</v>
      </c>
      <c r="G1563" s="23" t="str">
        <f>INDEX(Positions!$E$2:$E$4694,MATCH($A1563&amp;"|14",Positions!$A$2:$A$4694,0))</f>
        <v>A</v>
      </c>
      <c r="H1563" s="24" t="str">
        <f t="shared" si="96"/>
        <v>U-A</v>
      </c>
      <c r="I1563" s="23">
        <f t="shared" si="97"/>
        <v>0</v>
      </c>
      <c r="J1563" s="23">
        <f t="shared" si="98"/>
        <v>0</v>
      </c>
      <c r="K1563" s="24">
        <f t="shared" si="99"/>
        <v>0</v>
      </c>
    </row>
    <row r="1564" spans="1:11">
      <c r="A1564" s="23" t="s">
        <v>92</v>
      </c>
      <c r="B1564" s="23" t="s">
        <v>241</v>
      </c>
      <c r="C1564" s="23" t="s">
        <v>243</v>
      </c>
      <c r="D1564" s="23">
        <f>INDEX(Positions!$D$2:$D$4694,MATCH($A1564&amp;"|15",Positions!$A$2:$A$4694,0))</f>
        <v>15</v>
      </c>
      <c r="E1564" s="23">
        <f>INDEX(Positions!$D$2:$D$4694,MATCH($A1564&amp;"|48",Positions!$A$2:$A$4694,0))</f>
        <v>49</v>
      </c>
      <c r="F1564" s="23" t="str">
        <f>INDEX(Positions!$E$2:$E$4694,MATCH($A1564&amp;"|15",Positions!$A$2:$A$4694,0))</f>
        <v>G</v>
      </c>
      <c r="G1564" s="23" t="str">
        <f>INDEX(Positions!$E$2:$E$4694,MATCH($A1564&amp;"|48",Positions!$A$2:$A$4694,0))</f>
        <v>C</v>
      </c>
      <c r="H1564" s="24" t="str">
        <f t="shared" si="96"/>
        <v>G-C</v>
      </c>
      <c r="I1564" s="23">
        <f t="shared" si="97"/>
        <v>1</v>
      </c>
      <c r="J1564" s="23">
        <f t="shared" si="98"/>
        <v>1</v>
      </c>
      <c r="K1564" s="24">
        <f t="shared" si="99"/>
        <v>2</v>
      </c>
    </row>
    <row r="1565" spans="1:11">
      <c r="A1565" s="23" t="s">
        <v>92</v>
      </c>
      <c r="B1565" s="23" t="s">
        <v>241</v>
      </c>
      <c r="C1565" s="23" t="s">
        <v>244</v>
      </c>
      <c r="D1565" s="23">
        <f>INDEX(Positions!$D$2:$D$4694,MATCH($A1565&amp;"|18",Positions!$A$2:$A$4694,0))</f>
        <v>19</v>
      </c>
      <c r="E1565" s="23">
        <f>INDEX(Positions!$D$2:$D$4694,MATCH($A1565&amp;"|55",Positions!$A$2:$A$4694,0))</f>
        <v>56</v>
      </c>
      <c r="F1565" s="23" t="str">
        <f>INDEX(Positions!$E$2:$E$4694,MATCH($A1565&amp;"|18",Positions!$A$2:$A$4694,0))</f>
        <v>G</v>
      </c>
      <c r="G1565" s="23" t="str">
        <f>INDEX(Positions!$E$2:$E$4694,MATCH($A1565&amp;"|55",Positions!$A$2:$A$4694,0))</f>
        <v>U</v>
      </c>
      <c r="H1565" s="24" t="str">
        <f t="shared" si="96"/>
        <v>G-U</v>
      </c>
      <c r="I1565" s="23">
        <f t="shared" si="97"/>
        <v>1</v>
      </c>
      <c r="J1565" s="23">
        <f t="shared" si="98"/>
        <v>0</v>
      </c>
      <c r="K1565" s="24">
        <f t="shared" si="99"/>
        <v>1</v>
      </c>
    </row>
    <row r="1566" spans="1:11">
      <c r="A1566" s="23" t="s">
        <v>92</v>
      </c>
      <c r="B1566" s="23" t="s">
        <v>241</v>
      </c>
      <c r="C1566" s="23" t="s">
        <v>245</v>
      </c>
      <c r="D1566" s="23">
        <f>INDEX(Positions!$D$2:$D$4694,MATCH($A1566&amp;"|19",Positions!$A$2:$A$4694,0))</f>
        <v>20</v>
      </c>
      <c r="E1566" s="23">
        <f>INDEX(Positions!$D$2:$D$4694,MATCH($A1566&amp;"|56",Positions!$A$2:$A$4694,0))</f>
        <v>57</v>
      </c>
      <c r="F1566" s="23" t="str">
        <f>INDEX(Positions!$E$2:$E$4694,MATCH($A1566&amp;"|19",Positions!$A$2:$A$4694,0))</f>
        <v>A</v>
      </c>
      <c r="G1566" s="23" t="str">
        <f>INDEX(Positions!$E$2:$E$4694,MATCH($A1566&amp;"|56",Positions!$A$2:$A$4694,0))</f>
        <v>C</v>
      </c>
      <c r="H1566" s="24" t="str">
        <f t="shared" si="96"/>
        <v>A-C</v>
      </c>
      <c r="I1566" s="23">
        <f t="shared" si="97"/>
        <v>0</v>
      </c>
      <c r="J1566" s="23">
        <f t="shared" si="98"/>
        <v>1</v>
      </c>
      <c r="K1566" s="24">
        <f t="shared" si="99"/>
        <v>1</v>
      </c>
    </row>
    <row r="1567" spans="1:11">
      <c r="A1567" s="23" t="s">
        <v>92</v>
      </c>
      <c r="B1567" s="23" t="s">
        <v>241</v>
      </c>
      <c r="C1567" s="23" t="s">
        <v>246</v>
      </c>
      <c r="D1567" s="23">
        <f>INDEX(Positions!$D$2:$D$4694,MATCH($A1567&amp;"|26",Positions!$A$2:$A$4694,0))</f>
        <v>27</v>
      </c>
      <c r="E1567" s="23">
        <f>INDEX(Positions!$D$2:$D$4694,MATCH($A1567&amp;"|44",Positions!$A$2:$A$4694,0))</f>
        <v>45</v>
      </c>
      <c r="F1567" s="23" t="str">
        <f>INDEX(Positions!$E$2:$E$4694,MATCH($A1567&amp;"|26",Positions!$A$2:$A$4694,0))</f>
        <v>U</v>
      </c>
      <c r="G1567" s="23" t="str">
        <f>INDEX(Positions!$E$2:$E$4694,MATCH($A1567&amp;"|44",Positions!$A$2:$A$4694,0))</f>
        <v>A</v>
      </c>
      <c r="H1567" s="24" t="str">
        <f t="shared" si="96"/>
        <v>U-A</v>
      </c>
      <c r="I1567" s="23">
        <f t="shared" si="97"/>
        <v>0</v>
      </c>
      <c r="J1567" s="23">
        <f t="shared" si="98"/>
        <v>0</v>
      </c>
      <c r="K1567" s="24">
        <f t="shared" si="99"/>
        <v>0</v>
      </c>
    </row>
    <row r="1568" spans="1:11">
      <c r="A1568" s="23" t="s">
        <v>92</v>
      </c>
      <c r="B1568" s="23" t="s">
        <v>241</v>
      </c>
      <c r="C1568" s="23" t="s">
        <v>247</v>
      </c>
      <c r="D1568" s="23">
        <f>INDEX(Positions!$D$2:$D$4694,MATCH($A1568&amp;"|32",Positions!$A$2:$A$4694,0))</f>
        <v>33</v>
      </c>
      <c r="E1568" s="23">
        <f>INDEX(Positions!$D$2:$D$4694,MATCH($A1568&amp;"|38",Positions!$A$2:$A$4694,0))</f>
        <v>39</v>
      </c>
      <c r="F1568" s="23" t="str">
        <f>INDEX(Positions!$E$2:$E$4694,MATCH($A1568&amp;"|32",Positions!$A$2:$A$4694,0))</f>
        <v>U</v>
      </c>
      <c r="G1568" s="23" t="str">
        <f>INDEX(Positions!$E$2:$E$4694,MATCH($A1568&amp;"|38",Positions!$A$2:$A$4694,0))</f>
        <v>A</v>
      </c>
      <c r="H1568" s="24" t="str">
        <f t="shared" si="96"/>
        <v>U-A</v>
      </c>
      <c r="I1568" s="23">
        <f t="shared" si="97"/>
        <v>0</v>
      </c>
      <c r="J1568" s="23">
        <f t="shared" si="98"/>
        <v>0</v>
      </c>
      <c r="K1568" s="24">
        <f t="shared" si="99"/>
        <v>0</v>
      </c>
    </row>
    <row r="1569" spans="1:11">
      <c r="A1569" s="23" t="s">
        <v>92</v>
      </c>
      <c r="B1569" s="23" t="s">
        <v>241</v>
      </c>
      <c r="C1569" s="23" t="s">
        <v>248</v>
      </c>
      <c r="D1569" s="23">
        <f>INDEX(Positions!$D$2:$D$4694,MATCH($A1569&amp;"|54",Positions!$A$2:$A$4694,0))</f>
        <v>55</v>
      </c>
      <c r="E1569" s="23">
        <f>INDEX(Positions!$D$2:$D$4694,MATCH($A1569&amp;"|58",Positions!$A$2:$A$4694,0))</f>
        <v>59</v>
      </c>
      <c r="F1569" s="23" t="str">
        <f>INDEX(Positions!$E$2:$E$4694,MATCH($A1569&amp;"|54",Positions!$A$2:$A$4694,0))</f>
        <v>U</v>
      </c>
      <c r="G1569" s="23" t="str">
        <f>INDEX(Positions!$E$2:$E$4694,MATCH($A1569&amp;"|58",Positions!$A$2:$A$4694,0))</f>
        <v>A</v>
      </c>
      <c r="H1569" s="24" t="str">
        <f t="shared" si="96"/>
        <v>U-A</v>
      </c>
      <c r="I1569" s="23">
        <f t="shared" si="97"/>
        <v>0</v>
      </c>
      <c r="J1569" s="23">
        <f t="shared" si="98"/>
        <v>0</v>
      </c>
      <c r="K1569" s="24">
        <f t="shared" si="99"/>
        <v>0</v>
      </c>
    </row>
    <row r="1570" spans="1:11">
      <c r="A1570" s="4" t="s">
        <v>93</v>
      </c>
      <c r="B1570" s="4" t="s">
        <v>110</v>
      </c>
      <c r="C1570" s="4" t="s">
        <v>220</v>
      </c>
      <c r="D1570" s="4">
        <f>INDEX(Positions!$D$2:$D$4694,MATCH($A1570&amp;"|1",Positions!$A$2:$A$4694,0))</f>
        <v>1</v>
      </c>
      <c r="E1570" s="4">
        <f>INDEX(Positions!$D$2:$D$4694,MATCH($A1570&amp;"|72",Positions!$A$2:$A$4694,0))</f>
        <v>73</v>
      </c>
      <c r="F1570" s="4" t="str">
        <f>INDEX(Positions!$E$2:$E$4694,MATCH($A1570&amp;"|1",Positions!$A$2:$A$4694,0))</f>
        <v>G</v>
      </c>
      <c r="G1570" s="4" t="str">
        <f>INDEX(Positions!$E$2:$E$4694,MATCH($A1570&amp;"|72",Positions!$A$2:$A$4694,0))</f>
        <v>C</v>
      </c>
      <c r="H1570" s="3" t="str">
        <f t="shared" si="96"/>
        <v>G-C</v>
      </c>
      <c r="I1570" s="4">
        <f t="shared" si="97"/>
        <v>1</v>
      </c>
      <c r="J1570" s="4">
        <f t="shared" si="98"/>
        <v>1</v>
      </c>
      <c r="K1570" s="3">
        <f t="shared" si="99"/>
        <v>2</v>
      </c>
    </row>
    <row r="1571" spans="1:11">
      <c r="A1571" s="4" t="s">
        <v>93</v>
      </c>
      <c r="B1571" s="4" t="s">
        <v>110</v>
      </c>
      <c r="C1571" s="4" t="s">
        <v>221</v>
      </c>
      <c r="D1571" s="4">
        <f>INDEX(Positions!$D$2:$D$4694,MATCH($A1571&amp;"|2",Positions!$A$2:$A$4694,0))</f>
        <v>2</v>
      </c>
      <c r="E1571" s="4">
        <f>INDEX(Positions!$D$2:$D$4694,MATCH($A1571&amp;"|71",Positions!$A$2:$A$4694,0))</f>
        <v>72</v>
      </c>
      <c r="F1571" s="4" t="str">
        <f>INDEX(Positions!$E$2:$E$4694,MATCH($A1571&amp;"|2",Positions!$A$2:$A$4694,0))</f>
        <v>G</v>
      </c>
      <c r="G1571" s="4" t="str">
        <f>INDEX(Positions!$E$2:$E$4694,MATCH($A1571&amp;"|71",Positions!$A$2:$A$4694,0))</f>
        <v>C</v>
      </c>
      <c r="H1571" s="3" t="str">
        <f t="shared" si="96"/>
        <v>G-C</v>
      </c>
      <c r="I1571" s="4">
        <f t="shared" si="97"/>
        <v>1</v>
      </c>
      <c r="J1571" s="4">
        <f t="shared" si="98"/>
        <v>1</v>
      </c>
      <c r="K1571" s="3">
        <f t="shared" si="99"/>
        <v>2</v>
      </c>
    </row>
    <row r="1572" spans="1:11">
      <c r="A1572" s="4" t="s">
        <v>93</v>
      </c>
      <c r="B1572" s="4" t="s">
        <v>110</v>
      </c>
      <c r="C1572" s="4" t="s">
        <v>222</v>
      </c>
      <c r="D1572" s="4">
        <f>INDEX(Positions!$D$2:$D$4694,MATCH($A1572&amp;"|3",Positions!$A$2:$A$4694,0))</f>
        <v>3</v>
      </c>
      <c r="E1572" s="4">
        <f>INDEX(Positions!$D$2:$D$4694,MATCH($A1572&amp;"|70",Positions!$A$2:$A$4694,0))</f>
        <v>71</v>
      </c>
      <c r="F1572" s="4" t="str">
        <f>INDEX(Positions!$E$2:$E$4694,MATCH($A1572&amp;"|3",Positions!$A$2:$A$4694,0))</f>
        <v>G</v>
      </c>
      <c r="G1572" s="4" t="str">
        <f>INDEX(Positions!$E$2:$E$4694,MATCH($A1572&amp;"|70",Positions!$A$2:$A$4694,0))</f>
        <v>C</v>
      </c>
      <c r="H1572" s="3" t="str">
        <f t="shared" si="96"/>
        <v>G-C</v>
      </c>
      <c r="I1572" s="4">
        <f t="shared" si="97"/>
        <v>1</v>
      </c>
      <c r="J1572" s="4">
        <f t="shared" si="98"/>
        <v>1</v>
      </c>
      <c r="K1572" s="3">
        <f t="shared" si="99"/>
        <v>2</v>
      </c>
    </row>
    <row r="1573" spans="1:11">
      <c r="A1573" s="4" t="s">
        <v>93</v>
      </c>
      <c r="B1573" s="4" t="s">
        <v>110</v>
      </c>
      <c r="C1573" s="4" t="s">
        <v>223</v>
      </c>
      <c r="D1573" s="4">
        <f>INDEX(Positions!$D$2:$D$4694,MATCH($A1573&amp;"|4",Positions!$A$2:$A$4694,0))</f>
        <v>4</v>
      </c>
      <c r="E1573" s="4">
        <f>INDEX(Positions!$D$2:$D$4694,MATCH($A1573&amp;"|69",Positions!$A$2:$A$4694,0))</f>
        <v>70</v>
      </c>
      <c r="F1573" s="4" t="str">
        <f>INDEX(Positions!$E$2:$E$4694,MATCH($A1573&amp;"|4",Positions!$A$2:$A$4694,0))</f>
        <v>G</v>
      </c>
      <c r="G1573" s="4" t="str">
        <f>INDEX(Positions!$E$2:$E$4694,MATCH($A1573&amp;"|69",Positions!$A$2:$A$4694,0))</f>
        <v>C</v>
      </c>
      <c r="H1573" s="3" t="str">
        <f t="shared" si="96"/>
        <v>G-C</v>
      </c>
      <c r="I1573" s="4">
        <f t="shared" si="97"/>
        <v>1</v>
      </c>
      <c r="J1573" s="4">
        <f t="shared" si="98"/>
        <v>1</v>
      </c>
      <c r="K1573" s="3">
        <f t="shared" si="99"/>
        <v>2</v>
      </c>
    </row>
    <row r="1574" spans="1:11">
      <c r="A1574" s="4" t="s">
        <v>93</v>
      </c>
      <c r="B1574" s="4" t="s">
        <v>110</v>
      </c>
      <c r="C1574" s="4" t="s">
        <v>224</v>
      </c>
      <c r="D1574" s="4">
        <f>INDEX(Positions!$D$2:$D$4694,MATCH($A1574&amp;"|5",Positions!$A$2:$A$4694,0))</f>
        <v>5</v>
      </c>
      <c r="E1574" s="4">
        <f>INDEX(Positions!$D$2:$D$4694,MATCH($A1574&amp;"|68",Positions!$A$2:$A$4694,0))</f>
        <v>69</v>
      </c>
      <c r="F1574" s="4" t="str">
        <f>INDEX(Positions!$E$2:$E$4694,MATCH($A1574&amp;"|5",Positions!$A$2:$A$4694,0))</f>
        <v>C</v>
      </c>
      <c r="G1574" s="4" t="str">
        <f>INDEX(Positions!$E$2:$E$4694,MATCH($A1574&amp;"|68",Positions!$A$2:$A$4694,0))</f>
        <v>G</v>
      </c>
      <c r="H1574" s="3" t="str">
        <f t="shared" si="96"/>
        <v>C-G</v>
      </c>
      <c r="I1574" s="4">
        <f t="shared" si="97"/>
        <v>1</v>
      </c>
      <c r="J1574" s="4">
        <f t="shared" si="98"/>
        <v>1</v>
      </c>
      <c r="K1574" s="3">
        <f t="shared" si="99"/>
        <v>2</v>
      </c>
    </row>
    <row r="1575" spans="1:11">
      <c r="A1575" s="4" t="s">
        <v>93</v>
      </c>
      <c r="B1575" s="4" t="s">
        <v>110</v>
      </c>
      <c r="C1575" s="4" t="s">
        <v>225</v>
      </c>
      <c r="D1575" s="4">
        <f>INDEX(Positions!$D$2:$D$4694,MATCH($A1575&amp;"|6",Positions!$A$2:$A$4694,0))</f>
        <v>6</v>
      </c>
      <c r="E1575" s="4">
        <f>INDEX(Positions!$D$2:$D$4694,MATCH($A1575&amp;"|67",Positions!$A$2:$A$4694,0))</f>
        <v>68</v>
      </c>
      <c r="F1575" s="4" t="str">
        <f>INDEX(Positions!$E$2:$E$4694,MATCH($A1575&amp;"|6",Positions!$A$2:$A$4694,0))</f>
        <v>U</v>
      </c>
      <c r="G1575" s="4" t="str">
        <f>INDEX(Positions!$E$2:$E$4694,MATCH($A1575&amp;"|67",Positions!$A$2:$A$4694,0))</f>
        <v>A</v>
      </c>
      <c r="H1575" s="3" t="str">
        <f t="shared" si="96"/>
        <v>U-A</v>
      </c>
      <c r="I1575" s="4">
        <f t="shared" si="97"/>
        <v>0</v>
      </c>
      <c r="J1575" s="4">
        <f t="shared" si="98"/>
        <v>0</v>
      </c>
      <c r="K1575" s="3">
        <f t="shared" si="99"/>
        <v>0</v>
      </c>
    </row>
    <row r="1576" spans="1:11">
      <c r="A1576" s="4" t="s">
        <v>93</v>
      </c>
      <c r="B1576" s="4" t="s">
        <v>110</v>
      </c>
      <c r="C1576" s="4" t="s">
        <v>226</v>
      </c>
      <c r="D1576" s="4">
        <f>INDEX(Positions!$D$2:$D$4694,MATCH($A1576&amp;"|7",Positions!$A$2:$A$4694,0))</f>
        <v>7</v>
      </c>
      <c r="E1576" s="4">
        <f>INDEX(Positions!$D$2:$D$4694,MATCH($A1576&amp;"|66",Positions!$A$2:$A$4694,0))</f>
        <v>67</v>
      </c>
      <c r="F1576" s="4" t="str">
        <f>INDEX(Positions!$E$2:$E$4694,MATCH($A1576&amp;"|7",Positions!$A$2:$A$4694,0))</f>
        <v>G</v>
      </c>
      <c r="G1576" s="4" t="str">
        <f>INDEX(Positions!$E$2:$E$4694,MATCH($A1576&amp;"|66",Positions!$A$2:$A$4694,0))</f>
        <v>C</v>
      </c>
      <c r="H1576" s="3" t="str">
        <f t="shared" si="96"/>
        <v>G-C</v>
      </c>
      <c r="I1576" s="4">
        <f t="shared" si="97"/>
        <v>1</v>
      </c>
      <c r="J1576" s="4">
        <f t="shared" si="98"/>
        <v>1</v>
      </c>
      <c r="K1576" s="3">
        <f t="shared" si="99"/>
        <v>2</v>
      </c>
    </row>
    <row r="1577" spans="1:11">
      <c r="A1577" s="4" t="s">
        <v>93</v>
      </c>
      <c r="B1577" s="4" t="s">
        <v>125</v>
      </c>
      <c r="C1577" s="4" t="s">
        <v>227</v>
      </c>
      <c r="D1577" s="4">
        <f>INDEX(Positions!$D$2:$D$4694,MATCH($A1577&amp;"|10",Positions!$A$2:$A$4694,0))</f>
        <v>10</v>
      </c>
      <c r="E1577" s="4">
        <f>INDEX(Positions!$D$2:$D$4694,MATCH($A1577&amp;"|25",Positions!$A$2:$A$4694,0))</f>
        <v>26</v>
      </c>
      <c r="F1577" s="4" t="str">
        <f>INDEX(Positions!$E$2:$E$4694,MATCH($A1577&amp;"|10",Positions!$A$2:$A$4694,0))</f>
        <v>G</v>
      </c>
      <c r="G1577" s="4" t="str">
        <f>INDEX(Positions!$E$2:$E$4694,MATCH($A1577&amp;"|25",Positions!$A$2:$A$4694,0))</f>
        <v>C</v>
      </c>
      <c r="H1577" s="3" t="str">
        <f t="shared" si="96"/>
        <v>G-C</v>
      </c>
      <c r="I1577" s="4">
        <f t="shared" si="97"/>
        <v>1</v>
      </c>
      <c r="J1577" s="4">
        <f t="shared" si="98"/>
        <v>1</v>
      </c>
      <c r="K1577" s="3">
        <f t="shared" si="99"/>
        <v>2</v>
      </c>
    </row>
    <row r="1578" spans="1:11">
      <c r="A1578" s="4" t="s">
        <v>93</v>
      </c>
      <c r="B1578" s="4" t="s">
        <v>125</v>
      </c>
      <c r="C1578" s="4" t="s">
        <v>228</v>
      </c>
      <c r="D1578" s="4">
        <f>INDEX(Positions!$D$2:$D$4694,MATCH($A1578&amp;"|11",Positions!$A$2:$A$4694,0))</f>
        <v>11</v>
      </c>
      <c r="E1578" s="4">
        <f>INDEX(Positions!$D$2:$D$4694,MATCH($A1578&amp;"|24",Positions!$A$2:$A$4694,0))</f>
        <v>25</v>
      </c>
      <c r="F1578" s="4" t="str">
        <f>INDEX(Positions!$E$2:$E$4694,MATCH($A1578&amp;"|11",Positions!$A$2:$A$4694,0))</f>
        <v>C</v>
      </c>
      <c r="G1578" s="4" t="str">
        <f>INDEX(Positions!$E$2:$E$4694,MATCH($A1578&amp;"|24",Positions!$A$2:$A$4694,0))</f>
        <v>G</v>
      </c>
      <c r="H1578" s="3" t="str">
        <f t="shared" si="96"/>
        <v>C-G</v>
      </c>
      <c r="I1578" s="4">
        <f t="shared" si="97"/>
        <v>1</v>
      </c>
      <c r="J1578" s="4">
        <f t="shared" si="98"/>
        <v>1</v>
      </c>
      <c r="K1578" s="3">
        <f t="shared" si="99"/>
        <v>2</v>
      </c>
    </row>
    <row r="1579" spans="1:11">
      <c r="A1579" s="4" t="s">
        <v>93</v>
      </c>
      <c r="B1579" s="4" t="s">
        <v>125</v>
      </c>
      <c r="C1579" s="4" t="s">
        <v>229</v>
      </c>
      <c r="D1579" s="4">
        <f>INDEX(Positions!$D$2:$D$4694,MATCH($A1579&amp;"|12",Positions!$A$2:$A$4694,0))</f>
        <v>12</v>
      </c>
      <c r="E1579" s="4">
        <f>INDEX(Positions!$D$2:$D$4694,MATCH($A1579&amp;"|23",Positions!$A$2:$A$4694,0))</f>
        <v>24</v>
      </c>
      <c r="F1579" s="4" t="str">
        <f>INDEX(Positions!$E$2:$E$4694,MATCH($A1579&amp;"|12",Positions!$A$2:$A$4694,0))</f>
        <v>C</v>
      </c>
      <c r="G1579" s="4" t="str">
        <f>INDEX(Positions!$E$2:$E$4694,MATCH($A1579&amp;"|23",Positions!$A$2:$A$4694,0))</f>
        <v>G</v>
      </c>
      <c r="H1579" s="3" t="str">
        <f t="shared" si="96"/>
        <v>C-G</v>
      </c>
      <c r="I1579" s="4">
        <f t="shared" si="97"/>
        <v>1</v>
      </c>
      <c r="J1579" s="4">
        <f t="shared" si="98"/>
        <v>1</v>
      </c>
      <c r="K1579" s="3">
        <f t="shared" si="99"/>
        <v>2</v>
      </c>
    </row>
    <row r="1580" spans="1:11">
      <c r="A1580" s="4" t="s">
        <v>93</v>
      </c>
      <c r="B1580" s="4" t="s">
        <v>125</v>
      </c>
      <c r="C1580" s="4" t="s">
        <v>230</v>
      </c>
      <c r="D1580" s="4">
        <f>INDEX(Positions!$D$2:$D$4694,MATCH($A1580&amp;"|13",Positions!$A$2:$A$4694,0))</f>
        <v>13</v>
      </c>
      <c r="E1580" s="4">
        <f>INDEX(Positions!$D$2:$D$4694,MATCH($A1580&amp;"|22",Positions!$A$2:$A$4694,0))</f>
        <v>23</v>
      </c>
      <c r="F1580" s="4" t="str">
        <f>INDEX(Positions!$E$2:$E$4694,MATCH($A1580&amp;"|13",Positions!$A$2:$A$4694,0))</f>
        <v>U</v>
      </c>
      <c r="G1580" s="4" t="str">
        <f>INDEX(Positions!$E$2:$E$4694,MATCH($A1580&amp;"|22",Positions!$A$2:$A$4694,0))</f>
        <v>U</v>
      </c>
      <c r="H1580" s="3" t="str">
        <f t="shared" si="96"/>
        <v>U-U</v>
      </c>
      <c r="I1580" s="4">
        <f t="shared" si="97"/>
        <v>0</v>
      </c>
      <c r="J1580" s="4">
        <f t="shared" si="98"/>
        <v>0</v>
      </c>
      <c r="K1580" s="3">
        <f t="shared" si="99"/>
        <v>0</v>
      </c>
    </row>
    <row r="1581" spans="1:11">
      <c r="A1581" s="4" t="s">
        <v>93</v>
      </c>
      <c r="B1581" s="4" t="s">
        <v>144</v>
      </c>
      <c r="C1581" s="4" t="s">
        <v>231</v>
      </c>
      <c r="D1581" s="4">
        <f>INDEX(Positions!$D$2:$D$4694,MATCH($A1581&amp;"|27",Positions!$A$2:$A$4694,0))</f>
        <v>28</v>
      </c>
      <c r="E1581" s="4">
        <f>INDEX(Positions!$D$2:$D$4694,MATCH($A1581&amp;"|43",Positions!$A$2:$A$4694,0))</f>
        <v>44</v>
      </c>
      <c r="F1581" s="4" t="str">
        <f>INDEX(Positions!$E$2:$E$4694,MATCH($A1581&amp;"|27",Positions!$A$2:$A$4694,0))</f>
        <v>A</v>
      </c>
      <c r="G1581" s="4" t="str">
        <f>INDEX(Positions!$E$2:$E$4694,MATCH($A1581&amp;"|43",Positions!$A$2:$A$4694,0))</f>
        <v>U</v>
      </c>
      <c r="H1581" s="3" t="str">
        <f t="shared" si="96"/>
        <v>A-U</v>
      </c>
      <c r="I1581" s="4">
        <f t="shared" si="97"/>
        <v>0</v>
      </c>
      <c r="J1581" s="4">
        <f t="shared" si="98"/>
        <v>0</v>
      </c>
      <c r="K1581" s="3">
        <f t="shared" si="99"/>
        <v>0</v>
      </c>
    </row>
    <row r="1582" spans="1:11">
      <c r="A1582" s="4" t="s">
        <v>93</v>
      </c>
      <c r="B1582" s="4" t="s">
        <v>144</v>
      </c>
      <c r="C1582" s="4" t="s">
        <v>232</v>
      </c>
      <c r="D1582" s="4">
        <f>INDEX(Positions!$D$2:$D$4694,MATCH($A1582&amp;"|28",Positions!$A$2:$A$4694,0))</f>
        <v>29</v>
      </c>
      <c r="E1582" s="4">
        <f>INDEX(Positions!$D$2:$D$4694,MATCH($A1582&amp;"|42",Positions!$A$2:$A$4694,0))</f>
        <v>43</v>
      </c>
      <c r="F1582" s="4" t="str">
        <f>INDEX(Positions!$E$2:$E$4694,MATCH($A1582&amp;"|28",Positions!$A$2:$A$4694,0))</f>
        <v>U</v>
      </c>
      <c r="G1582" s="4" t="str">
        <f>INDEX(Positions!$E$2:$E$4694,MATCH($A1582&amp;"|42",Positions!$A$2:$A$4694,0))</f>
        <v>G</v>
      </c>
      <c r="H1582" s="3" t="str">
        <f t="shared" si="96"/>
        <v>U-G</v>
      </c>
      <c r="I1582" s="4">
        <f t="shared" si="97"/>
        <v>1</v>
      </c>
      <c r="J1582" s="4">
        <f t="shared" si="98"/>
        <v>0</v>
      </c>
      <c r="K1582" s="3">
        <f t="shared" si="99"/>
        <v>1</v>
      </c>
    </row>
    <row r="1583" spans="1:11">
      <c r="A1583" s="4" t="s">
        <v>93</v>
      </c>
      <c r="B1583" s="4" t="s">
        <v>144</v>
      </c>
      <c r="C1583" s="4" t="s">
        <v>233</v>
      </c>
      <c r="D1583" s="4">
        <f>INDEX(Positions!$D$2:$D$4694,MATCH($A1583&amp;"|29",Positions!$A$2:$A$4694,0))</f>
        <v>30</v>
      </c>
      <c r="E1583" s="4">
        <f>INDEX(Positions!$D$2:$D$4694,MATCH($A1583&amp;"|41",Positions!$A$2:$A$4694,0))</f>
        <v>42</v>
      </c>
      <c r="F1583" s="4" t="str">
        <f>INDEX(Positions!$E$2:$E$4694,MATCH($A1583&amp;"|29",Positions!$A$2:$A$4694,0))</f>
        <v>G</v>
      </c>
      <c r="G1583" s="4" t="str">
        <f>INDEX(Positions!$E$2:$E$4694,MATCH($A1583&amp;"|41",Positions!$A$2:$A$4694,0))</f>
        <v>C</v>
      </c>
      <c r="H1583" s="3" t="str">
        <f t="shared" si="96"/>
        <v>G-C</v>
      </c>
      <c r="I1583" s="4">
        <f t="shared" si="97"/>
        <v>1</v>
      </c>
      <c r="J1583" s="4">
        <f t="shared" si="98"/>
        <v>1</v>
      </c>
      <c r="K1583" s="3">
        <f t="shared" si="99"/>
        <v>2</v>
      </c>
    </row>
    <row r="1584" spans="1:11">
      <c r="A1584" s="4" t="s">
        <v>93</v>
      </c>
      <c r="B1584" s="4" t="s">
        <v>144</v>
      </c>
      <c r="C1584" s="4" t="s">
        <v>234</v>
      </c>
      <c r="D1584" s="4">
        <f>INDEX(Positions!$D$2:$D$4694,MATCH($A1584&amp;"|30",Positions!$A$2:$A$4694,0))</f>
        <v>31</v>
      </c>
      <c r="E1584" s="4">
        <f>INDEX(Positions!$D$2:$D$4694,MATCH($A1584&amp;"|40",Positions!$A$2:$A$4694,0))</f>
        <v>41</v>
      </c>
      <c r="F1584" s="4" t="str">
        <f>INDEX(Positions!$E$2:$E$4694,MATCH($A1584&amp;"|30",Positions!$A$2:$A$4694,0))</f>
        <v>G</v>
      </c>
      <c r="G1584" s="4" t="str">
        <f>INDEX(Positions!$E$2:$E$4694,MATCH($A1584&amp;"|40",Positions!$A$2:$A$4694,0))</f>
        <v>C</v>
      </c>
      <c r="H1584" s="3" t="str">
        <f t="shared" si="96"/>
        <v>G-C</v>
      </c>
      <c r="I1584" s="4">
        <f t="shared" si="97"/>
        <v>1</v>
      </c>
      <c r="J1584" s="4">
        <f t="shared" si="98"/>
        <v>1</v>
      </c>
      <c r="K1584" s="3">
        <f t="shared" si="99"/>
        <v>2</v>
      </c>
    </row>
    <row r="1585" spans="1:11">
      <c r="A1585" s="4" t="s">
        <v>93</v>
      </c>
      <c r="B1585" s="4" t="s">
        <v>144</v>
      </c>
      <c r="C1585" s="4" t="s">
        <v>235</v>
      </c>
      <c r="D1585" s="4">
        <f>INDEX(Positions!$D$2:$D$4694,MATCH($A1585&amp;"|31",Positions!$A$2:$A$4694,0))</f>
        <v>32</v>
      </c>
      <c r="E1585" s="4">
        <f>INDEX(Positions!$D$2:$D$4694,MATCH($A1585&amp;"|39",Positions!$A$2:$A$4694,0))</f>
        <v>40</v>
      </c>
      <c r="F1585" s="4" t="str">
        <f>INDEX(Positions!$E$2:$E$4694,MATCH($A1585&amp;"|31",Positions!$A$2:$A$4694,0))</f>
        <v>G</v>
      </c>
      <c r="G1585" s="4" t="str">
        <f>INDEX(Positions!$E$2:$E$4694,MATCH($A1585&amp;"|39",Positions!$A$2:$A$4694,0))</f>
        <v>C</v>
      </c>
      <c r="H1585" s="3" t="str">
        <f t="shared" si="96"/>
        <v>G-C</v>
      </c>
      <c r="I1585" s="4">
        <f t="shared" si="97"/>
        <v>1</v>
      </c>
      <c r="J1585" s="4">
        <f t="shared" si="98"/>
        <v>1</v>
      </c>
      <c r="K1585" s="3">
        <f t="shared" si="99"/>
        <v>2</v>
      </c>
    </row>
    <row r="1586" spans="1:11">
      <c r="A1586" s="4" t="s">
        <v>93</v>
      </c>
      <c r="B1586" s="4" t="s">
        <v>169</v>
      </c>
      <c r="C1586" s="4" t="s">
        <v>236</v>
      </c>
      <c r="D1586" s="4">
        <f>INDEX(Positions!$D$2:$D$4694,MATCH($A1586&amp;"|49",Positions!$A$2:$A$4694,0))</f>
        <v>50</v>
      </c>
      <c r="E1586" s="4">
        <f>INDEX(Positions!$D$2:$D$4694,MATCH($A1586&amp;"|65",Positions!$A$2:$A$4694,0))</f>
        <v>66</v>
      </c>
      <c r="F1586" s="4" t="str">
        <f>INDEX(Positions!$E$2:$E$4694,MATCH($A1586&amp;"|49",Positions!$A$2:$A$4694,0))</f>
        <v>G</v>
      </c>
      <c r="G1586" s="4" t="str">
        <f>INDEX(Positions!$E$2:$E$4694,MATCH($A1586&amp;"|65",Positions!$A$2:$A$4694,0))</f>
        <v>C</v>
      </c>
      <c r="H1586" s="3" t="str">
        <f t="shared" si="96"/>
        <v>G-C</v>
      </c>
      <c r="I1586" s="4">
        <f t="shared" si="97"/>
        <v>1</v>
      </c>
      <c r="J1586" s="4">
        <f t="shared" si="98"/>
        <v>1</v>
      </c>
      <c r="K1586" s="3">
        <f t="shared" si="99"/>
        <v>2</v>
      </c>
    </row>
    <row r="1587" spans="1:11">
      <c r="A1587" s="4" t="s">
        <v>93</v>
      </c>
      <c r="B1587" s="4" t="s">
        <v>169</v>
      </c>
      <c r="C1587" s="4" t="s">
        <v>237</v>
      </c>
      <c r="D1587" s="4">
        <f>INDEX(Positions!$D$2:$D$4694,MATCH($A1587&amp;"|50",Positions!$A$2:$A$4694,0))</f>
        <v>51</v>
      </c>
      <c r="E1587" s="4">
        <f>INDEX(Positions!$D$2:$D$4694,MATCH($A1587&amp;"|64",Positions!$A$2:$A$4694,0))</f>
        <v>65</v>
      </c>
      <c r="F1587" s="4" t="str">
        <f>INDEX(Positions!$E$2:$E$4694,MATCH($A1587&amp;"|50",Positions!$A$2:$A$4694,0))</f>
        <v>U</v>
      </c>
      <c r="G1587" s="4" t="str">
        <f>INDEX(Positions!$E$2:$E$4694,MATCH($A1587&amp;"|64",Positions!$A$2:$A$4694,0))</f>
        <v>A</v>
      </c>
      <c r="H1587" s="3" t="str">
        <f t="shared" si="96"/>
        <v>U-A</v>
      </c>
      <c r="I1587" s="4">
        <f t="shared" si="97"/>
        <v>0</v>
      </c>
      <c r="J1587" s="4">
        <f t="shared" si="98"/>
        <v>0</v>
      </c>
      <c r="K1587" s="3">
        <f t="shared" si="99"/>
        <v>0</v>
      </c>
    </row>
    <row r="1588" spans="1:11">
      <c r="A1588" s="4" t="s">
        <v>93</v>
      </c>
      <c r="B1588" s="4" t="s">
        <v>169</v>
      </c>
      <c r="C1588" s="4" t="s">
        <v>238</v>
      </c>
      <c r="D1588" s="4">
        <f>INDEX(Positions!$D$2:$D$4694,MATCH($A1588&amp;"|51",Positions!$A$2:$A$4694,0))</f>
        <v>52</v>
      </c>
      <c r="E1588" s="4">
        <f>INDEX(Positions!$D$2:$D$4694,MATCH($A1588&amp;"|63",Positions!$A$2:$A$4694,0))</f>
        <v>64</v>
      </c>
      <c r="F1588" s="4" t="str">
        <f>INDEX(Positions!$E$2:$E$4694,MATCH($A1588&amp;"|51",Positions!$A$2:$A$4694,0))</f>
        <v>G</v>
      </c>
      <c r="G1588" s="4" t="str">
        <f>INDEX(Positions!$E$2:$E$4694,MATCH($A1588&amp;"|63",Positions!$A$2:$A$4694,0))</f>
        <v>C</v>
      </c>
      <c r="H1588" s="3" t="str">
        <f t="shared" si="96"/>
        <v>G-C</v>
      </c>
      <c r="I1588" s="4">
        <f t="shared" si="97"/>
        <v>1</v>
      </c>
      <c r="J1588" s="4">
        <f t="shared" si="98"/>
        <v>1</v>
      </c>
      <c r="K1588" s="3">
        <f t="shared" si="99"/>
        <v>2</v>
      </c>
    </row>
    <row r="1589" spans="1:11">
      <c r="A1589" s="4" t="s">
        <v>93</v>
      </c>
      <c r="B1589" s="4" t="s">
        <v>169</v>
      </c>
      <c r="C1589" s="4" t="s">
        <v>239</v>
      </c>
      <c r="D1589" s="4">
        <f>INDEX(Positions!$D$2:$D$4694,MATCH($A1589&amp;"|52",Positions!$A$2:$A$4694,0))</f>
        <v>53</v>
      </c>
      <c r="E1589" s="4">
        <f>INDEX(Positions!$D$2:$D$4694,MATCH($A1589&amp;"|62",Positions!$A$2:$A$4694,0))</f>
        <v>63</v>
      </c>
      <c r="F1589" s="4" t="str">
        <f>INDEX(Positions!$E$2:$E$4694,MATCH($A1589&amp;"|52",Positions!$A$2:$A$4694,0))</f>
        <v>A</v>
      </c>
      <c r="G1589" s="4" t="str">
        <f>INDEX(Positions!$E$2:$E$4694,MATCH($A1589&amp;"|62",Positions!$A$2:$A$4694,0))</f>
        <v>U</v>
      </c>
      <c r="H1589" s="3" t="str">
        <f t="shared" si="96"/>
        <v>A-U</v>
      </c>
      <c r="I1589" s="4">
        <f t="shared" si="97"/>
        <v>0</v>
      </c>
      <c r="J1589" s="4">
        <f t="shared" si="98"/>
        <v>0</v>
      </c>
      <c r="K1589" s="3">
        <f t="shared" si="99"/>
        <v>0</v>
      </c>
    </row>
    <row r="1590" spans="1:11">
      <c r="A1590" s="4" t="s">
        <v>93</v>
      </c>
      <c r="B1590" s="4" t="s">
        <v>169</v>
      </c>
      <c r="C1590" s="4" t="s">
        <v>240</v>
      </c>
      <c r="D1590" s="4">
        <f>INDEX(Positions!$D$2:$D$4694,MATCH($A1590&amp;"|53",Positions!$A$2:$A$4694,0))</f>
        <v>54</v>
      </c>
      <c r="E1590" s="4">
        <f>INDEX(Positions!$D$2:$D$4694,MATCH($A1590&amp;"|61",Positions!$A$2:$A$4694,0))</f>
        <v>62</v>
      </c>
      <c r="F1590" s="4" t="str">
        <f>INDEX(Positions!$E$2:$E$4694,MATCH($A1590&amp;"|53",Positions!$A$2:$A$4694,0))</f>
        <v>G</v>
      </c>
      <c r="G1590" s="4" t="str">
        <f>INDEX(Positions!$E$2:$E$4694,MATCH($A1590&amp;"|61",Positions!$A$2:$A$4694,0))</f>
        <v>C</v>
      </c>
      <c r="H1590" s="3" t="str">
        <f t="shared" si="96"/>
        <v>G-C</v>
      </c>
      <c r="I1590" s="4">
        <f t="shared" si="97"/>
        <v>1</v>
      </c>
      <c r="J1590" s="4">
        <f t="shared" si="98"/>
        <v>1</v>
      </c>
      <c r="K1590" s="3">
        <f t="shared" si="99"/>
        <v>2</v>
      </c>
    </row>
    <row r="1591" spans="1:11">
      <c r="A1591" s="23" t="s">
        <v>93</v>
      </c>
      <c r="B1591" s="23" t="s">
        <v>241</v>
      </c>
      <c r="C1591" s="23" t="s">
        <v>242</v>
      </c>
      <c r="D1591" s="23">
        <f>INDEX(Positions!$D$2:$D$4694,MATCH($A1591&amp;"|8",Positions!$A$2:$A$4694,0))</f>
        <v>8</v>
      </c>
      <c r="E1591" s="23">
        <f>INDEX(Positions!$D$2:$D$4694,MATCH($A1591&amp;"|14",Positions!$A$2:$A$4694,0))</f>
        <v>14</v>
      </c>
      <c r="F1591" s="23" t="str">
        <f>INDEX(Positions!$E$2:$E$4694,MATCH($A1591&amp;"|8",Positions!$A$2:$A$4694,0))</f>
        <v>U</v>
      </c>
      <c r="G1591" s="23" t="str">
        <f>INDEX(Positions!$E$2:$E$4694,MATCH($A1591&amp;"|14",Positions!$A$2:$A$4694,0))</f>
        <v>A</v>
      </c>
      <c r="H1591" s="24" t="str">
        <f t="shared" si="96"/>
        <v>U-A</v>
      </c>
      <c r="I1591" s="23">
        <f t="shared" si="97"/>
        <v>0</v>
      </c>
      <c r="J1591" s="23">
        <f t="shared" si="98"/>
        <v>0</v>
      </c>
      <c r="K1591" s="24">
        <f t="shared" si="99"/>
        <v>0</v>
      </c>
    </row>
    <row r="1592" spans="1:11">
      <c r="A1592" s="23" t="s">
        <v>93</v>
      </c>
      <c r="B1592" s="23" t="s">
        <v>241</v>
      </c>
      <c r="C1592" s="23" t="s">
        <v>243</v>
      </c>
      <c r="D1592" s="23">
        <f>INDEX(Positions!$D$2:$D$4694,MATCH($A1592&amp;"|15",Positions!$A$2:$A$4694,0))</f>
        <v>15</v>
      </c>
      <c r="E1592" s="23">
        <f>INDEX(Positions!$D$2:$D$4694,MATCH($A1592&amp;"|48",Positions!$A$2:$A$4694,0))</f>
        <v>49</v>
      </c>
      <c r="F1592" s="23" t="str">
        <f>INDEX(Positions!$E$2:$E$4694,MATCH($A1592&amp;"|15",Positions!$A$2:$A$4694,0))</f>
        <v>G</v>
      </c>
      <c r="G1592" s="23" t="str">
        <f>INDEX(Positions!$E$2:$E$4694,MATCH($A1592&amp;"|48",Positions!$A$2:$A$4694,0))</f>
        <v>C</v>
      </c>
      <c r="H1592" s="24" t="str">
        <f t="shared" si="96"/>
        <v>G-C</v>
      </c>
      <c r="I1592" s="23">
        <f t="shared" si="97"/>
        <v>1</v>
      </c>
      <c r="J1592" s="23">
        <f t="shared" si="98"/>
        <v>1</v>
      </c>
      <c r="K1592" s="24">
        <f t="shared" si="99"/>
        <v>2</v>
      </c>
    </row>
    <row r="1593" spans="1:11">
      <c r="A1593" s="23" t="s">
        <v>93</v>
      </c>
      <c r="B1593" s="23" t="s">
        <v>241</v>
      </c>
      <c r="C1593" s="23" t="s">
        <v>244</v>
      </c>
      <c r="D1593" s="23">
        <f>INDEX(Positions!$D$2:$D$4694,MATCH($A1593&amp;"|18",Positions!$A$2:$A$4694,0))</f>
        <v>19</v>
      </c>
      <c r="E1593" s="23">
        <f>INDEX(Positions!$D$2:$D$4694,MATCH($A1593&amp;"|55",Positions!$A$2:$A$4694,0))</f>
        <v>56</v>
      </c>
      <c r="F1593" s="23" t="str">
        <f>INDEX(Positions!$E$2:$E$4694,MATCH($A1593&amp;"|18",Positions!$A$2:$A$4694,0))</f>
        <v>G</v>
      </c>
      <c r="G1593" s="23" t="str">
        <f>INDEX(Positions!$E$2:$E$4694,MATCH($A1593&amp;"|55",Positions!$A$2:$A$4694,0))</f>
        <v>U</v>
      </c>
      <c r="H1593" s="24" t="str">
        <f t="shared" si="96"/>
        <v>G-U</v>
      </c>
      <c r="I1593" s="23">
        <f t="shared" si="97"/>
        <v>1</v>
      </c>
      <c r="J1593" s="23">
        <f t="shared" si="98"/>
        <v>0</v>
      </c>
      <c r="K1593" s="24">
        <f t="shared" si="99"/>
        <v>1</v>
      </c>
    </row>
    <row r="1594" spans="1:11">
      <c r="A1594" s="23" t="s">
        <v>93</v>
      </c>
      <c r="B1594" s="23" t="s">
        <v>241</v>
      </c>
      <c r="C1594" s="23" t="s">
        <v>245</v>
      </c>
      <c r="D1594" s="23">
        <f>INDEX(Positions!$D$2:$D$4694,MATCH($A1594&amp;"|19",Positions!$A$2:$A$4694,0))</f>
        <v>20</v>
      </c>
      <c r="E1594" s="23">
        <f>INDEX(Positions!$D$2:$D$4694,MATCH($A1594&amp;"|56",Positions!$A$2:$A$4694,0))</f>
        <v>57</v>
      </c>
      <c r="F1594" s="23" t="str">
        <f>INDEX(Positions!$E$2:$E$4694,MATCH($A1594&amp;"|19",Positions!$A$2:$A$4694,0))</f>
        <v>G</v>
      </c>
      <c r="G1594" s="23" t="str">
        <f>INDEX(Positions!$E$2:$E$4694,MATCH($A1594&amp;"|56",Positions!$A$2:$A$4694,0))</f>
        <v>C</v>
      </c>
      <c r="H1594" s="24" t="str">
        <f t="shared" si="96"/>
        <v>G-C</v>
      </c>
      <c r="I1594" s="23">
        <f t="shared" si="97"/>
        <v>1</v>
      </c>
      <c r="J1594" s="23">
        <f t="shared" si="98"/>
        <v>1</v>
      </c>
      <c r="K1594" s="24">
        <f t="shared" si="99"/>
        <v>2</v>
      </c>
    </row>
    <row r="1595" spans="1:11">
      <c r="A1595" s="23" t="s">
        <v>93</v>
      </c>
      <c r="B1595" s="23" t="s">
        <v>241</v>
      </c>
      <c r="C1595" s="23" t="s">
        <v>246</v>
      </c>
      <c r="D1595" s="23">
        <f>INDEX(Positions!$D$2:$D$4694,MATCH($A1595&amp;"|26",Positions!$A$2:$A$4694,0))</f>
        <v>27</v>
      </c>
      <c r="E1595" s="23">
        <f>INDEX(Positions!$D$2:$D$4694,MATCH($A1595&amp;"|44",Positions!$A$2:$A$4694,0))</f>
        <v>45</v>
      </c>
      <c r="F1595" s="23" t="str">
        <f>INDEX(Positions!$E$2:$E$4694,MATCH($A1595&amp;"|26",Positions!$A$2:$A$4694,0))</f>
        <v>G</v>
      </c>
      <c r="G1595" s="23" t="str">
        <f>INDEX(Positions!$E$2:$E$4694,MATCH($A1595&amp;"|44",Positions!$A$2:$A$4694,0))</f>
        <v>C</v>
      </c>
      <c r="H1595" s="24" t="str">
        <f t="shared" si="96"/>
        <v>G-C</v>
      </c>
      <c r="I1595" s="23">
        <f t="shared" si="97"/>
        <v>1</v>
      </c>
      <c r="J1595" s="23">
        <f t="shared" si="98"/>
        <v>1</v>
      </c>
      <c r="K1595" s="24">
        <f t="shared" si="99"/>
        <v>2</v>
      </c>
    </row>
    <row r="1596" spans="1:11">
      <c r="A1596" s="23" t="s">
        <v>93</v>
      </c>
      <c r="B1596" s="23" t="s">
        <v>241</v>
      </c>
      <c r="C1596" s="23" t="s">
        <v>247</v>
      </c>
      <c r="D1596" s="23">
        <f>INDEX(Positions!$D$2:$D$4694,MATCH($A1596&amp;"|32",Positions!$A$2:$A$4694,0))</f>
        <v>33</v>
      </c>
      <c r="E1596" s="23">
        <f>INDEX(Positions!$D$2:$D$4694,MATCH($A1596&amp;"|38",Positions!$A$2:$A$4694,0))</f>
        <v>39</v>
      </c>
      <c r="F1596" s="23" t="str">
        <f>INDEX(Positions!$E$2:$E$4694,MATCH($A1596&amp;"|32",Positions!$A$2:$A$4694,0))</f>
        <v>C</v>
      </c>
      <c r="G1596" s="23" t="str">
        <f>INDEX(Positions!$E$2:$E$4694,MATCH($A1596&amp;"|38",Positions!$A$2:$A$4694,0))</f>
        <v>A</v>
      </c>
      <c r="H1596" s="24" t="str">
        <f t="shared" si="96"/>
        <v>C-A</v>
      </c>
      <c r="I1596" s="23">
        <f t="shared" si="97"/>
        <v>0</v>
      </c>
      <c r="J1596" s="23">
        <f t="shared" si="98"/>
        <v>1</v>
      </c>
      <c r="K1596" s="24">
        <f t="shared" si="99"/>
        <v>1</v>
      </c>
    </row>
    <row r="1597" spans="1:11">
      <c r="A1597" s="23" t="s">
        <v>93</v>
      </c>
      <c r="B1597" s="23" t="s">
        <v>241</v>
      </c>
      <c r="C1597" s="23" t="s">
        <v>248</v>
      </c>
      <c r="D1597" s="23">
        <f>INDEX(Positions!$D$2:$D$4694,MATCH($A1597&amp;"|54",Positions!$A$2:$A$4694,0))</f>
        <v>55</v>
      </c>
      <c r="E1597" s="23">
        <f>INDEX(Positions!$D$2:$D$4694,MATCH($A1597&amp;"|58",Positions!$A$2:$A$4694,0))</f>
        <v>59</v>
      </c>
      <c r="F1597" s="23" t="str">
        <f>INDEX(Positions!$E$2:$E$4694,MATCH($A1597&amp;"|54",Positions!$A$2:$A$4694,0))</f>
        <v>U</v>
      </c>
      <c r="G1597" s="23" t="str">
        <f>INDEX(Positions!$E$2:$E$4694,MATCH($A1597&amp;"|58",Positions!$A$2:$A$4694,0))</f>
        <v>A</v>
      </c>
      <c r="H1597" s="24" t="str">
        <f t="shared" si="96"/>
        <v>U-A</v>
      </c>
      <c r="I1597" s="23">
        <f t="shared" si="97"/>
        <v>0</v>
      </c>
      <c r="J1597" s="23">
        <f t="shared" si="98"/>
        <v>0</v>
      </c>
      <c r="K1597" s="24">
        <f t="shared" si="99"/>
        <v>0</v>
      </c>
    </row>
    <row r="1598" spans="1:11">
      <c r="A1598" s="4" t="s">
        <v>94</v>
      </c>
      <c r="B1598" s="4" t="s">
        <v>110</v>
      </c>
      <c r="C1598" s="4" t="s">
        <v>220</v>
      </c>
      <c r="D1598" s="4">
        <f>INDEX(Positions!$D$2:$D$4694,MATCH($A1598&amp;"|1",Positions!$A$2:$A$4694,0))</f>
        <v>1</v>
      </c>
      <c r="E1598" s="4">
        <f>INDEX(Positions!$D$2:$D$4694,MATCH($A1598&amp;"|72",Positions!$A$2:$A$4694,0))</f>
        <v>71</v>
      </c>
      <c r="F1598" s="4" t="str">
        <f>INDEX(Positions!$E$2:$E$4694,MATCH($A1598&amp;"|1",Positions!$A$2:$A$4694,0))</f>
        <v>C</v>
      </c>
      <c r="G1598" s="4" t="str">
        <f>INDEX(Positions!$E$2:$E$4694,MATCH($A1598&amp;"|72",Positions!$A$2:$A$4694,0))</f>
        <v>G</v>
      </c>
      <c r="H1598" s="3" t="str">
        <f t="shared" si="96"/>
        <v>C-G</v>
      </c>
      <c r="I1598" s="4">
        <f t="shared" si="97"/>
        <v>1</v>
      </c>
      <c r="J1598" s="4">
        <f t="shared" si="98"/>
        <v>1</v>
      </c>
      <c r="K1598" s="3">
        <f t="shared" si="99"/>
        <v>2</v>
      </c>
    </row>
    <row r="1599" spans="1:11">
      <c r="A1599" s="4" t="s">
        <v>94</v>
      </c>
      <c r="B1599" s="4" t="s">
        <v>110</v>
      </c>
      <c r="C1599" s="4" t="s">
        <v>221</v>
      </c>
      <c r="D1599" s="4">
        <f>INDEX(Positions!$D$2:$D$4694,MATCH($A1599&amp;"|2",Positions!$A$2:$A$4694,0))</f>
        <v>2</v>
      </c>
      <c r="E1599" s="4">
        <f>INDEX(Positions!$D$2:$D$4694,MATCH($A1599&amp;"|71",Positions!$A$2:$A$4694,0))</f>
        <v>70</v>
      </c>
      <c r="F1599" s="4" t="str">
        <f>INDEX(Positions!$E$2:$E$4694,MATCH($A1599&amp;"|2",Positions!$A$2:$A$4694,0))</f>
        <v>C</v>
      </c>
      <c r="G1599" s="4" t="str">
        <f>INDEX(Positions!$E$2:$E$4694,MATCH($A1599&amp;"|71",Positions!$A$2:$A$4694,0))</f>
        <v>G</v>
      </c>
      <c r="H1599" s="3" t="str">
        <f t="shared" si="96"/>
        <v>C-G</v>
      </c>
      <c r="I1599" s="4">
        <f t="shared" si="97"/>
        <v>1</v>
      </c>
      <c r="J1599" s="4">
        <f t="shared" si="98"/>
        <v>1</v>
      </c>
      <c r="K1599" s="3">
        <f t="shared" si="99"/>
        <v>2</v>
      </c>
    </row>
    <row r="1600" spans="1:11">
      <c r="A1600" s="4" t="s">
        <v>94</v>
      </c>
      <c r="B1600" s="4" t="s">
        <v>110</v>
      </c>
      <c r="C1600" s="4" t="s">
        <v>222</v>
      </c>
      <c r="D1600" s="4">
        <f>INDEX(Positions!$D$2:$D$4694,MATCH($A1600&amp;"|3",Positions!$A$2:$A$4694,0))</f>
        <v>3</v>
      </c>
      <c r="E1600" s="4">
        <f>INDEX(Positions!$D$2:$D$4694,MATCH($A1600&amp;"|70",Positions!$A$2:$A$4694,0))</f>
        <v>69</v>
      </c>
      <c r="F1600" s="4" t="str">
        <f>INDEX(Positions!$E$2:$E$4694,MATCH($A1600&amp;"|3",Positions!$A$2:$A$4694,0))</f>
        <v>C</v>
      </c>
      <c r="G1600" s="4" t="str">
        <f>INDEX(Positions!$E$2:$E$4694,MATCH($A1600&amp;"|70",Positions!$A$2:$A$4694,0))</f>
        <v>G</v>
      </c>
      <c r="H1600" s="3" t="str">
        <f t="shared" si="96"/>
        <v>C-G</v>
      </c>
      <c r="I1600" s="4">
        <f t="shared" si="97"/>
        <v>1</v>
      </c>
      <c r="J1600" s="4">
        <f t="shared" si="98"/>
        <v>1</v>
      </c>
      <c r="K1600" s="3">
        <f t="shared" si="99"/>
        <v>2</v>
      </c>
    </row>
    <row r="1601" spans="1:11">
      <c r="A1601" s="4" t="s">
        <v>94</v>
      </c>
      <c r="B1601" s="4" t="s">
        <v>110</v>
      </c>
      <c r="C1601" s="4" t="s">
        <v>223</v>
      </c>
      <c r="D1601" s="4">
        <f>INDEX(Positions!$D$2:$D$4694,MATCH($A1601&amp;"|4",Positions!$A$2:$A$4694,0))</f>
        <v>4</v>
      </c>
      <c r="E1601" s="4">
        <f>INDEX(Positions!$D$2:$D$4694,MATCH($A1601&amp;"|69",Positions!$A$2:$A$4694,0))</f>
        <v>68</v>
      </c>
      <c r="F1601" s="4" t="str">
        <f>INDEX(Positions!$E$2:$E$4694,MATCH($A1601&amp;"|4",Positions!$A$2:$A$4694,0))</f>
        <v>G</v>
      </c>
      <c r="G1601" s="4" t="str">
        <f>INDEX(Positions!$E$2:$E$4694,MATCH($A1601&amp;"|69",Positions!$A$2:$A$4694,0))</f>
        <v>C</v>
      </c>
      <c r="H1601" s="3" t="str">
        <f t="shared" si="96"/>
        <v>G-C</v>
      </c>
      <c r="I1601" s="4">
        <f t="shared" si="97"/>
        <v>1</v>
      </c>
      <c r="J1601" s="4">
        <f t="shared" si="98"/>
        <v>1</v>
      </c>
      <c r="K1601" s="3">
        <f t="shared" si="99"/>
        <v>2</v>
      </c>
    </row>
    <row r="1602" spans="1:11">
      <c r="A1602" s="4" t="s">
        <v>94</v>
      </c>
      <c r="B1602" s="4" t="s">
        <v>110</v>
      </c>
      <c r="C1602" s="4" t="s">
        <v>224</v>
      </c>
      <c r="D1602" s="4">
        <f>INDEX(Positions!$D$2:$D$4694,MATCH($A1602&amp;"|5",Positions!$A$2:$A$4694,0))</f>
        <v>5</v>
      </c>
      <c r="E1602" s="4">
        <f>INDEX(Positions!$D$2:$D$4694,MATCH($A1602&amp;"|68",Positions!$A$2:$A$4694,0))</f>
        <v>67</v>
      </c>
      <c r="F1602" s="4" t="str">
        <f>INDEX(Positions!$E$2:$E$4694,MATCH($A1602&amp;"|5",Positions!$A$2:$A$4694,0))</f>
        <v>C</v>
      </c>
      <c r="G1602" s="4" t="str">
        <f>INDEX(Positions!$E$2:$E$4694,MATCH($A1602&amp;"|68",Positions!$A$2:$A$4694,0))</f>
        <v>G</v>
      </c>
      <c r="H1602" s="3" t="str">
        <f t="shared" ref="H1602:H1665" si="100">F1602&amp;"-"&amp;G1602</f>
        <v>C-G</v>
      </c>
      <c r="I1602" s="4">
        <f t="shared" ref="I1602:I1665" si="101">(F1602="G")+(G1602="G")</f>
        <v>1</v>
      </c>
      <c r="J1602" s="4">
        <f t="shared" ref="J1602:J1665" si="102">(F1602="C")+(G1602="C")</f>
        <v>1</v>
      </c>
      <c r="K1602" s="3">
        <f t="shared" ref="K1602:K1665" si="103">I1602+J1602</f>
        <v>2</v>
      </c>
    </row>
    <row r="1603" spans="1:11">
      <c r="A1603" s="4" t="s">
        <v>94</v>
      </c>
      <c r="B1603" s="4" t="s">
        <v>110</v>
      </c>
      <c r="C1603" s="4" t="s">
        <v>225</v>
      </c>
      <c r="D1603" s="4">
        <f>INDEX(Positions!$D$2:$D$4694,MATCH($A1603&amp;"|6",Positions!$A$2:$A$4694,0))</f>
        <v>6</v>
      </c>
      <c r="E1603" s="4">
        <f>INDEX(Positions!$D$2:$D$4694,MATCH($A1603&amp;"|67",Positions!$A$2:$A$4694,0))</f>
        <v>66</v>
      </c>
      <c r="F1603" s="4" t="str">
        <f>INDEX(Positions!$E$2:$E$4694,MATCH($A1603&amp;"|6",Positions!$A$2:$A$4694,0))</f>
        <v>C</v>
      </c>
      <c r="G1603" s="4" t="str">
        <f>INDEX(Positions!$E$2:$E$4694,MATCH($A1603&amp;"|67",Positions!$A$2:$A$4694,0))</f>
        <v>G</v>
      </c>
      <c r="H1603" s="3" t="str">
        <f t="shared" si="100"/>
        <v>C-G</v>
      </c>
      <c r="I1603" s="4">
        <f t="shared" si="101"/>
        <v>1</v>
      </c>
      <c r="J1603" s="4">
        <f t="shared" si="102"/>
        <v>1</v>
      </c>
      <c r="K1603" s="3">
        <f t="shared" si="103"/>
        <v>2</v>
      </c>
    </row>
    <row r="1604" spans="1:11">
      <c r="A1604" s="4" t="s">
        <v>94</v>
      </c>
      <c r="B1604" s="4" t="s">
        <v>110</v>
      </c>
      <c r="C1604" s="4" t="s">
        <v>226</v>
      </c>
      <c r="D1604" s="4">
        <f>INDEX(Positions!$D$2:$D$4694,MATCH($A1604&amp;"|7",Positions!$A$2:$A$4694,0))</f>
        <v>7</v>
      </c>
      <c r="E1604" s="4">
        <f>INDEX(Positions!$D$2:$D$4694,MATCH($A1604&amp;"|66",Positions!$A$2:$A$4694,0))</f>
        <v>65</v>
      </c>
      <c r="F1604" s="4" t="str">
        <f>INDEX(Positions!$E$2:$E$4694,MATCH($A1604&amp;"|7",Positions!$A$2:$A$4694,0))</f>
        <v>U</v>
      </c>
      <c r="G1604" s="4" t="str">
        <f>INDEX(Positions!$E$2:$E$4694,MATCH($A1604&amp;"|66",Positions!$A$2:$A$4694,0))</f>
        <v>A</v>
      </c>
      <c r="H1604" s="3" t="str">
        <f t="shared" si="100"/>
        <v>U-A</v>
      </c>
      <c r="I1604" s="4">
        <f t="shared" si="101"/>
        <v>0</v>
      </c>
      <c r="J1604" s="4">
        <f t="shared" si="102"/>
        <v>0</v>
      </c>
      <c r="K1604" s="3">
        <f t="shared" si="103"/>
        <v>0</v>
      </c>
    </row>
    <row r="1605" spans="1:11">
      <c r="A1605" s="4" t="s">
        <v>94</v>
      </c>
      <c r="B1605" s="4" t="s">
        <v>125</v>
      </c>
      <c r="C1605" s="4" t="s">
        <v>227</v>
      </c>
      <c r="D1605" s="4">
        <f>INDEX(Positions!$D$2:$D$4694,MATCH($A1605&amp;"|10",Positions!$A$2:$A$4694,0))</f>
        <v>10</v>
      </c>
      <c r="E1605" s="4">
        <f>INDEX(Positions!$D$2:$D$4694,MATCH($A1605&amp;"|25",Positions!$A$2:$A$4694,0))</f>
        <v>24</v>
      </c>
      <c r="F1605" s="4" t="str">
        <f>INDEX(Positions!$E$2:$E$4694,MATCH($A1605&amp;"|10",Positions!$A$2:$A$4694,0))</f>
        <v>A</v>
      </c>
      <c r="G1605" s="4" t="str">
        <f>INDEX(Positions!$E$2:$E$4694,MATCH($A1605&amp;"|25",Positions!$A$2:$A$4694,0))</f>
        <v>U</v>
      </c>
      <c r="H1605" s="3" t="str">
        <f t="shared" si="100"/>
        <v>A-U</v>
      </c>
      <c r="I1605" s="4">
        <f t="shared" si="101"/>
        <v>0</v>
      </c>
      <c r="J1605" s="4">
        <f t="shared" si="102"/>
        <v>0</v>
      </c>
      <c r="K1605" s="3">
        <f t="shared" si="103"/>
        <v>0</v>
      </c>
    </row>
    <row r="1606" spans="1:11">
      <c r="A1606" s="4" t="s">
        <v>94</v>
      </c>
      <c r="B1606" s="4" t="s">
        <v>125</v>
      </c>
      <c r="C1606" s="4" t="s">
        <v>228</v>
      </c>
      <c r="D1606" s="4">
        <f>INDEX(Positions!$D$2:$D$4694,MATCH($A1606&amp;"|11",Positions!$A$2:$A$4694,0))</f>
        <v>11</v>
      </c>
      <c r="E1606" s="4">
        <f>INDEX(Positions!$D$2:$D$4694,MATCH($A1606&amp;"|24",Positions!$A$2:$A$4694,0))</f>
        <v>23</v>
      </c>
      <c r="F1606" s="4" t="str">
        <f>INDEX(Positions!$E$2:$E$4694,MATCH($A1606&amp;"|11",Positions!$A$2:$A$4694,0))</f>
        <v>C</v>
      </c>
      <c r="G1606" s="4" t="str">
        <f>INDEX(Positions!$E$2:$E$4694,MATCH($A1606&amp;"|24",Positions!$A$2:$A$4694,0))</f>
        <v>G</v>
      </c>
      <c r="H1606" s="3" t="str">
        <f t="shared" si="100"/>
        <v>C-G</v>
      </c>
      <c r="I1606" s="4">
        <f t="shared" si="101"/>
        <v>1</v>
      </c>
      <c r="J1606" s="4">
        <f t="shared" si="102"/>
        <v>1</v>
      </c>
      <c r="K1606" s="3">
        <f t="shared" si="103"/>
        <v>2</v>
      </c>
    </row>
    <row r="1607" spans="1:11">
      <c r="A1607" s="4" t="s">
        <v>94</v>
      </c>
      <c r="B1607" s="4" t="s">
        <v>125</v>
      </c>
      <c r="C1607" s="4" t="s">
        <v>229</v>
      </c>
      <c r="D1607" s="4">
        <f>INDEX(Positions!$D$2:$D$4694,MATCH($A1607&amp;"|12",Positions!$A$2:$A$4694,0))</f>
        <v>12</v>
      </c>
      <c r="E1607" s="4">
        <f>INDEX(Positions!$D$2:$D$4694,MATCH($A1607&amp;"|23",Positions!$A$2:$A$4694,0))</f>
        <v>22</v>
      </c>
      <c r="F1607" s="4" t="str">
        <f>INDEX(Positions!$E$2:$E$4694,MATCH($A1607&amp;"|12",Positions!$A$2:$A$4694,0))</f>
        <v>U</v>
      </c>
      <c r="G1607" s="4" t="str">
        <f>INDEX(Positions!$E$2:$E$4694,MATCH($A1607&amp;"|23",Positions!$A$2:$A$4694,0))</f>
        <v>A</v>
      </c>
      <c r="H1607" s="3" t="str">
        <f t="shared" si="100"/>
        <v>U-A</v>
      </c>
      <c r="I1607" s="4">
        <f t="shared" si="101"/>
        <v>0</v>
      </c>
      <c r="J1607" s="4">
        <f t="shared" si="102"/>
        <v>0</v>
      </c>
      <c r="K1607" s="3">
        <f t="shared" si="103"/>
        <v>0</v>
      </c>
    </row>
    <row r="1608" spans="1:11">
      <c r="A1608" s="4" t="s">
        <v>94</v>
      </c>
      <c r="B1608" s="4" t="s">
        <v>125</v>
      </c>
      <c r="C1608" s="4" t="s">
        <v>230</v>
      </c>
      <c r="D1608" s="4">
        <f>INDEX(Positions!$D$2:$D$4694,MATCH($A1608&amp;"|13",Positions!$A$2:$A$4694,0))</f>
        <v>13</v>
      </c>
      <c r="E1608" s="4">
        <f>INDEX(Positions!$D$2:$D$4694,MATCH($A1608&amp;"|22",Positions!$A$2:$A$4694,0))</f>
        <v>21</v>
      </c>
      <c r="F1608" s="4" t="str">
        <f>INDEX(Positions!$E$2:$E$4694,MATCH($A1608&amp;"|13",Positions!$A$2:$A$4694,0))</f>
        <v>C</v>
      </c>
      <c r="G1608" s="4" t="str">
        <f>INDEX(Positions!$E$2:$E$4694,MATCH($A1608&amp;"|22",Positions!$A$2:$A$4694,0))</f>
        <v>G</v>
      </c>
      <c r="H1608" s="3" t="str">
        <f t="shared" si="100"/>
        <v>C-G</v>
      </c>
      <c r="I1608" s="4">
        <f t="shared" si="101"/>
        <v>1</v>
      </c>
      <c r="J1608" s="4">
        <f t="shared" si="102"/>
        <v>1</v>
      </c>
      <c r="K1608" s="3">
        <f t="shared" si="103"/>
        <v>2</v>
      </c>
    </row>
    <row r="1609" spans="1:11">
      <c r="A1609" s="4" t="s">
        <v>94</v>
      </c>
      <c r="B1609" s="4" t="s">
        <v>144</v>
      </c>
      <c r="C1609" s="4" t="s">
        <v>231</v>
      </c>
      <c r="D1609" s="4">
        <f>INDEX(Positions!$D$2:$D$4694,MATCH($A1609&amp;"|27",Positions!$A$2:$A$4694,0))</f>
        <v>26</v>
      </c>
      <c r="E1609" s="4">
        <f>INDEX(Positions!$D$2:$D$4694,MATCH($A1609&amp;"|43",Positions!$A$2:$A$4694,0))</f>
        <v>42</v>
      </c>
      <c r="F1609" s="4" t="str">
        <f>INDEX(Positions!$E$2:$E$4694,MATCH($A1609&amp;"|27",Positions!$A$2:$A$4694,0))</f>
        <v>C</v>
      </c>
      <c r="G1609" s="4" t="str">
        <f>INDEX(Positions!$E$2:$E$4694,MATCH($A1609&amp;"|43",Positions!$A$2:$A$4694,0))</f>
        <v>G</v>
      </c>
      <c r="H1609" s="3" t="str">
        <f t="shared" si="100"/>
        <v>C-G</v>
      </c>
      <c r="I1609" s="4">
        <f t="shared" si="101"/>
        <v>1</v>
      </c>
      <c r="J1609" s="4">
        <f t="shared" si="102"/>
        <v>1</v>
      </c>
      <c r="K1609" s="3">
        <f t="shared" si="103"/>
        <v>2</v>
      </c>
    </row>
    <row r="1610" spans="1:11">
      <c r="A1610" s="4" t="s">
        <v>94</v>
      </c>
      <c r="B1610" s="4" t="s">
        <v>144</v>
      </c>
      <c r="C1610" s="4" t="s">
        <v>232</v>
      </c>
      <c r="D1610" s="4">
        <f>INDEX(Positions!$D$2:$D$4694,MATCH($A1610&amp;"|28",Positions!$A$2:$A$4694,0))</f>
        <v>27</v>
      </c>
      <c r="E1610" s="4">
        <f>INDEX(Positions!$D$2:$D$4694,MATCH($A1610&amp;"|42",Positions!$A$2:$A$4694,0))</f>
        <v>41</v>
      </c>
      <c r="F1610" s="4" t="str">
        <f>INDEX(Positions!$E$2:$E$4694,MATCH($A1610&amp;"|28",Positions!$A$2:$A$4694,0))</f>
        <v>G</v>
      </c>
      <c r="G1610" s="4" t="str">
        <f>INDEX(Positions!$E$2:$E$4694,MATCH($A1610&amp;"|42",Positions!$A$2:$A$4694,0))</f>
        <v>C</v>
      </c>
      <c r="H1610" s="3" t="str">
        <f t="shared" si="100"/>
        <v>G-C</v>
      </c>
      <c r="I1610" s="4">
        <f t="shared" si="101"/>
        <v>1</v>
      </c>
      <c r="J1610" s="4">
        <f t="shared" si="102"/>
        <v>1</v>
      </c>
      <c r="K1610" s="3">
        <f t="shared" si="103"/>
        <v>2</v>
      </c>
    </row>
    <row r="1611" spans="1:11">
      <c r="A1611" s="4" t="s">
        <v>94</v>
      </c>
      <c r="B1611" s="4" t="s">
        <v>144</v>
      </c>
      <c r="C1611" s="4" t="s">
        <v>233</v>
      </c>
      <c r="D1611" s="4">
        <f>INDEX(Positions!$D$2:$D$4694,MATCH($A1611&amp;"|29",Positions!$A$2:$A$4694,0))</f>
        <v>28</v>
      </c>
      <c r="E1611" s="4">
        <f>INDEX(Positions!$D$2:$D$4694,MATCH($A1611&amp;"|41",Positions!$A$2:$A$4694,0))</f>
        <v>40</v>
      </c>
      <c r="F1611" s="4" t="str">
        <f>INDEX(Positions!$E$2:$E$4694,MATCH($A1611&amp;"|29",Positions!$A$2:$A$4694,0))</f>
        <v>C</v>
      </c>
      <c r="G1611" s="4" t="str">
        <f>INDEX(Positions!$E$2:$E$4694,MATCH($A1611&amp;"|41",Positions!$A$2:$A$4694,0))</f>
        <v>G</v>
      </c>
      <c r="H1611" s="3" t="str">
        <f t="shared" si="100"/>
        <v>C-G</v>
      </c>
      <c r="I1611" s="4">
        <f t="shared" si="101"/>
        <v>1</v>
      </c>
      <c r="J1611" s="4">
        <f t="shared" si="102"/>
        <v>1</v>
      </c>
      <c r="K1611" s="3">
        <f t="shared" si="103"/>
        <v>2</v>
      </c>
    </row>
    <row r="1612" spans="1:11">
      <c r="A1612" s="4" t="s">
        <v>94</v>
      </c>
      <c r="B1612" s="4" t="s">
        <v>144</v>
      </c>
      <c r="C1612" s="4" t="s">
        <v>234</v>
      </c>
      <c r="D1612" s="4">
        <f>INDEX(Positions!$D$2:$D$4694,MATCH($A1612&amp;"|30",Positions!$A$2:$A$4694,0))</f>
        <v>29</v>
      </c>
      <c r="E1612" s="4">
        <f>INDEX(Positions!$D$2:$D$4694,MATCH($A1612&amp;"|40",Positions!$A$2:$A$4694,0))</f>
        <v>39</v>
      </c>
      <c r="F1612" s="4" t="str">
        <f>INDEX(Positions!$E$2:$E$4694,MATCH($A1612&amp;"|30",Positions!$A$2:$A$4694,0))</f>
        <v>G</v>
      </c>
      <c r="G1612" s="4" t="str">
        <f>INDEX(Positions!$E$2:$E$4694,MATCH($A1612&amp;"|40",Positions!$A$2:$A$4694,0))</f>
        <v>C</v>
      </c>
      <c r="H1612" s="3" t="str">
        <f t="shared" si="100"/>
        <v>G-C</v>
      </c>
      <c r="I1612" s="4">
        <f t="shared" si="101"/>
        <v>1</v>
      </c>
      <c r="J1612" s="4">
        <f t="shared" si="102"/>
        <v>1</v>
      </c>
      <c r="K1612" s="3">
        <f t="shared" si="103"/>
        <v>2</v>
      </c>
    </row>
    <row r="1613" spans="1:11">
      <c r="A1613" s="4" t="s">
        <v>94</v>
      </c>
      <c r="B1613" s="4" t="s">
        <v>144</v>
      </c>
      <c r="C1613" s="4" t="s">
        <v>235</v>
      </c>
      <c r="D1613" s="4">
        <f>INDEX(Positions!$D$2:$D$4694,MATCH($A1613&amp;"|31",Positions!$A$2:$A$4694,0))</f>
        <v>30</v>
      </c>
      <c r="E1613" s="4">
        <f>INDEX(Positions!$D$2:$D$4694,MATCH($A1613&amp;"|39",Positions!$A$2:$A$4694,0))</f>
        <v>38</v>
      </c>
      <c r="F1613" s="4" t="str">
        <f>INDEX(Positions!$E$2:$E$4694,MATCH($A1613&amp;"|31",Positions!$A$2:$A$4694,0))</f>
        <v>G</v>
      </c>
      <c r="G1613" s="4" t="str">
        <f>INDEX(Positions!$E$2:$E$4694,MATCH($A1613&amp;"|39",Positions!$A$2:$A$4694,0))</f>
        <v>C</v>
      </c>
      <c r="H1613" s="3" t="str">
        <f t="shared" si="100"/>
        <v>G-C</v>
      </c>
      <c r="I1613" s="4">
        <f t="shared" si="101"/>
        <v>1</v>
      </c>
      <c r="J1613" s="4">
        <f t="shared" si="102"/>
        <v>1</v>
      </c>
      <c r="K1613" s="3">
        <f t="shared" si="103"/>
        <v>2</v>
      </c>
    </row>
    <row r="1614" spans="1:11">
      <c r="A1614" s="4" t="s">
        <v>94</v>
      </c>
      <c r="B1614" s="4" t="s">
        <v>169</v>
      </c>
      <c r="C1614" s="4" t="s">
        <v>236</v>
      </c>
      <c r="D1614" s="4">
        <f>INDEX(Positions!$D$2:$D$4694,MATCH($A1614&amp;"|49",Positions!$A$2:$A$4694,0))</f>
        <v>48</v>
      </c>
      <c r="E1614" s="4">
        <f>INDEX(Positions!$D$2:$D$4694,MATCH($A1614&amp;"|65",Positions!$A$2:$A$4694,0))</f>
        <v>64</v>
      </c>
      <c r="F1614" s="4" t="str">
        <f>INDEX(Positions!$E$2:$E$4694,MATCH($A1614&amp;"|49",Positions!$A$2:$A$4694,0))</f>
        <v>C</v>
      </c>
      <c r="G1614" s="4" t="str">
        <f>INDEX(Positions!$E$2:$E$4694,MATCH($A1614&amp;"|65",Positions!$A$2:$A$4694,0))</f>
        <v>G</v>
      </c>
      <c r="H1614" s="3" t="str">
        <f t="shared" si="100"/>
        <v>C-G</v>
      </c>
      <c r="I1614" s="4">
        <f t="shared" si="101"/>
        <v>1</v>
      </c>
      <c r="J1614" s="4">
        <f t="shared" si="102"/>
        <v>1</v>
      </c>
      <c r="K1614" s="3">
        <f t="shared" si="103"/>
        <v>2</v>
      </c>
    </row>
    <row r="1615" spans="1:11">
      <c r="A1615" s="4" t="s">
        <v>94</v>
      </c>
      <c r="B1615" s="4" t="s">
        <v>169</v>
      </c>
      <c r="C1615" s="4" t="s">
        <v>237</v>
      </c>
      <c r="D1615" s="4">
        <f>INDEX(Positions!$D$2:$D$4694,MATCH($A1615&amp;"|50",Positions!$A$2:$A$4694,0))</f>
        <v>49</v>
      </c>
      <c r="E1615" s="4">
        <f>INDEX(Positions!$D$2:$D$4694,MATCH($A1615&amp;"|64",Positions!$A$2:$A$4694,0))</f>
        <v>63</v>
      </c>
      <c r="F1615" s="4" t="str">
        <f>INDEX(Positions!$E$2:$E$4694,MATCH($A1615&amp;"|50",Positions!$A$2:$A$4694,0))</f>
        <v>C</v>
      </c>
      <c r="G1615" s="4" t="str">
        <f>INDEX(Positions!$E$2:$E$4694,MATCH($A1615&amp;"|64",Positions!$A$2:$A$4694,0))</f>
        <v>G</v>
      </c>
      <c r="H1615" s="3" t="str">
        <f t="shared" si="100"/>
        <v>C-G</v>
      </c>
      <c r="I1615" s="4">
        <f t="shared" si="101"/>
        <v>1</v>
      </c>
      <c r="J1615" s="4">
        <f t="shared" si="102"/>
        <v>1</v>
      </c>
      <c r="K1615" s="3">
        <f t="shared" si="103"/>
        <v>2</v>
      </c>
    </row>
    <row r="1616" spans="1:11">
      <c r="A1616" s="4" t="s">
        <v>94</v>
      </c>
      <c r="B1616" s="4" t="s">
        <v>169</v>
      </c>
      <c r="C1616" s="4" t="s">
        <v>238</v>
      </c>
      <c r="D1616" s="4">
        <f>INDEX(Positions!$D$2:$D$4694,MATCH($A1616&amp;"|51",Positions!$A$2:$A$4694,0))</f>
        <v>50</v>
      </c>
      <c r="E1616" s="4">
        <f>INDEX(Positions!$D$2:$D$4694,MATCH($A1616&amp;"|63",Positions!$A$2:$A$4694,0))</f>
        <v>62</v>
      </c>
      <c r="F1616" s="4" t="str">
        <f>INDEX(Positions!$E$2:$E$4694,MATCH($A1616&amp;"|51",Positions!$A$2:$A$4694,0))</f>
        <v>C</v>
      </c>
      <c r="G1616" s="4" t="str">
        <f>INDEX(Positions!$E$2:$E$4694,MATCH($A1616&amp;"|63",Positions!$A$2:$A$4694,0))</f>
        <v>G</v>
      </c>
      <c r="H1616" s="3" t="str">
        <f t="shared" si="100"/>
        <v>C-G</v>
      </c>
      <c r="I1616" s="4">
        <f t="shared" si="101"/>
        <v>1</v>
      </c>
      <c r="J1616" s="4">
        <f t="shared" si="102"/>
        <v>1</v>
      </c>
      <c r="K1616" s="3">
        <f t="shared" si="103"/>
        <v>2</v>
      </c>
    </row>
    <row r="1617" spans="1:11">
      <c r="A1617" s="4" t="s">
        <v>94</v>
      </c>
      <c r="B1617" s="4" t="s">
        <v>169</v>
      </c>
      <c r="C1617" s="4" t="s">
        <v>239</v>
      </c>
      <c r="D1617" s="4">
        <f>INDEX(Positions!$D$2:$D$4694,MATCH($A1617&amp;"|52",Positions!$A$2:$A$4694,0))</f>
        <v>51</v>
      </c>
      <c r="E1617" s="4">
        <f>INDEX(Positions!$D$2:$D$4694,MATCH($A1617&amp;"|62",Positions!$A$2:$A$4694,0))</f>
        <v>61</v>
      </c>
      <c r="F1617" s="4" t="str">
        <f>INDEX(Positions!$E$2:$E$4694,MATCH($A1617&amp;"|52",Positions!$A$2:$A$4694,0))</f>
        <v>G</v>
      </c>
      <c r="G1617" s="4" t="str">
        <f>INDEX(Positions!$E$2:$E$4694,MATCH($A1617&amp;"|62",Positions!$A$2:$A$4694,0))</f>
        <v>U</v>
      </c>
      <c r="H1617" s="3" t="str">
        <f t="shared" si="100"/>
        <v>G-U</v>
      </c>
      <c r="I1617" s="4">
        <f t="shared" si="101"/>
        <v>1</v>
      </c>
      <c r="J1617" s="4">
        <f t="shared" si="102"/>
        <v>0</v>
      </c>
      <c r="K1617" s="3">
        <f t="shared" si="103"/>
        <v>1</v>
      </c>
    </row>
    <row r="1618" spans="1:11">
      <c r="A1618" s="4" t="s">
        <v>94</v>
      </c>
      <c r="B1618" s="4" t="s">
        <v>169</v>
      </c>
      <c r="C1618" s="4" t="s">
        <v>240</v>
      </c>
      <c r="D1618" s="4">
        <f>INDEX(Positions!$D$2:$D$4694,MATCH($A1618&amp;"|53",Positions!$A$2:$A$4694,0))</f>
        <v>52</v>
      </c>
      <c r="E1618" s="4">
        <f>INDEX(Positions!$D$2:$D$4694,MATCH($A1618&amp;"|61",Positions!$A$2:$A$4694,0))</f>
        <v>60</v>
      </c>
      <c r="F1618" s="4" t="str">
        <f>INDEX(Positions!$E$2:$E$4694,MATCH($A1618&amp;"|53",Positions!$A$2:$A$4694,0))</f>
        <v>G</v>
      </c>
      <c r="G1618" s="4" t="str">
        <f>INDEX(Positions!$E$2:$E$4694,MATCH($A1618&amp;"|61",Positions!$A$2:$A$4694,0))</f>
        <v>C</v>
      </c>
      <c r="H1618" s="3" t="str">
        <f t="shared" si="100"/>
        <v>G-C</v>
      </c>
      <c r="I1618" s="4">
        <f t="shared" si="101"/>
        <v>1</v>
      </c>
      <c r="J1618" s="4">
        <f t="shared" si="102"/>
        <v>1</v>
      </c>
      <c r="K1618" s="3">
        <f t="shared" si="103"/>
        <v>2</v>
      </c>
    </row>
    <row r="1619" spans="1:11">
      <c r="A1619" s="23" t="s">
        <v>94</v>
      </c>
      <c r="B1619" s="23" t="s">
        <v>241</v>
      </c>
      <c r="C1619" s="23" t="s">
        <v>242</v>
      </c>
      <c r="D1619" s="23">
        <f>INDEX(Positions!$D$2:$D$4694,MATCH($A1619&amp;"|8",Positions!$A$2:$A$4694,0))</f>
        <v>8</v>
      </c>
      <c r="E1619" s="23">
        <f>INDEX(Positions!$D$2:$D$4694,MATCH($A1619&amp;"|14",Positions!$A$2:$A$4694,0))</f>
        <v>14</v>
      </c>
      <c r="F1619" s="23" t="str">
        <f>INDEX(Positions!$E$2:$E$4694,MATCH($A1619&amp;"|8",Positions!$A$2:$A$4694,0))</f>
        <v>U</v>
      </c>
      <c r="G1619" s="23" t="str">
        <f>INDEX(Positions!$E$2:$E$4694,MATCH($A1619&amp;"|14",Positions!$A$2:$A$4694,0))</f>
        <v>A</v>
      </c>
      <c r="H1619" s="24" t="str">
        <f t="shared" si="100"/>
        <v>U-A</v>
      </c>
      <c r="I1619" s="23">
        <f t="shared" si="101"/>
        <v>0</v>
      </c>
      <c r="J1619" s="23">
        <f t="shared" si="102"/>
        <v>0</v>
      </c>
      <c r="K1619" s="24">
        <f t="shared" si="103"/>
        <v>0</v>
      </c>
    </row>
    <row r="1620" spans="1:11">
      <c r="A1620" s="23" t="s">
        <v>94</v>
      </c>
      <c r="B1620" s="23" t="s">
        <v>241</v>
      </c>
      <c r="C1620" s="23" t="s">
        <v>243</v>
      </c>
      <c r="D1620" s="23">
        <f>INDEX(Positions!$D$2:$D$4694,MATCH($A1620&amp;"|15",Positions!$A$2:$A$4694,0))</f>
        <v>15</v>
      </c>
      <c r="E1620" s="23">
        <f>INDEX(Positions!$D$2:$D$4694,MATCH($A1620&amp;"|48",Positions!$A$2:$A$4694,0))</f>
        <v>47</v>
      </c>
      <c r="F1620" s="23" t="str">
        <f>INDEX(Positions!$E$2:$E$4694,MATCH($A1620&amp;"|15",Positions!$A$2:$A$4694,0))</f>
        <v>G</v>
      </c>
      <c r="G1620" s="23" t="str">
        <f>INDEX(Positions!$E$2:$E$4694,MATCH($A1620&amp;"|48",Positions!$A$2:$A$4694,0))</f>
        <v>C</v>
      </c>
      <c r="H1620" s="24" t="str">
        <f t="shared" si="100"/>
        <v>G-C</v>
      </c>
      <c r="I1620" s="23">
        <f t="shared" si="101"/>
        <v>1</v>
      </c>
      <c r="J1620" s="23">
        <f t="shared" si="102"/>
        <v>1</v>
      </c>
      <c r="K1620" s="24">
        <f t="shared" si="103"/>
        <v>2</v>
      </c>
    </row>
    <row r="1621" spans="1:11">
      <c r="A1621" s="23" t="s">
        <v>94</v>
      </c>
      <c r="B1621" s="23" t="s">
        <v>241</v>
      </c>
      <c r="C1621" s="23" t="s">
        <v>244</v>
      </c>
      <c r="D1621" s="23">
        <f>INDEX(Positions!$D$2:$D$4694,MATCH($A1621&amp;"|18",Positions!$A$2:$A$4694,0))</f>
        <v>17</v>
      </c>
      <c r="E1621" s="23">
        <f>INDEX(Positions!$D$2:$D$4694,MATCH($A1621&amp;"|55",Positions!$A$2:$A$4694,0))</f>
        <v>54</v>
      </c>
      <c r="F1621" s="23" t="str">
        <f>INDEX(Positions!$E$2:$E$4694,MATCH($A1621&amp;"|18",Positions!$A$2:$A$4694,0))</f>
        <v>G</v>
      </c>
      <c r="G1621" s="23" t="str">
        <f>INDEX(Positions!$E$2:$E$4694,MATCH($A1621&amp;"|55",Positions!$A$2:$A$4694,0))</f>
        <v>U</v>
      </c>
      <c r="H1621" s="24" t="str">
        <f t="shared" si="100"/>
        <v>G-U</v>
      </c>
      <c r="I1621" s="23">
        <f t="shared" si="101"/>
        <v>1</v>
      </c>
      <c r="J1621" s="23">
        <f t="shared" si="102"/>
        <v>0</v>
      </c>
      <c r="K1621" s="24">
        <f t="shared" si="103"/>
        <v>1</v>
      </c>
    </row>
    <row r="1622" spans="1:11">
      <c r="A1622" s="23" t="s">
        <v>94</v>
      </c>
      <c r="B1622" s="23" t="s">
        <v>241</v>
      </c>
      <c r="C1622" s="23" t="s">
        <v>245</v>
      </c>
      <c r="D1622" s="23">
        <f>INDEX(Positions!$D$2:$D$4694,MATCH($A1622&amp;"|19",Positions!$A$2:$A$4694,0))</f>
        <v>18</v>
      </c>
      <c r="E1622" s="23">
        <f>INDEX(Positions!$D$2:$D$4694,MATCH($A1622&amp;"|56",Positions!$A$2:$A$4694,0))</f>
        <v>55</v>
      </c>
      <c r="F1622" s="23" t="str">
        <f>INDEX(Positions!$E$2:$E$4694,MATCH($A1622&amp;"|19",Positions!$A$2:$A$4694,0))</f>
        <v>G</v>
      </c>
      <c r="G1622" s="23" t="str">
        <f>INDEX(Positions!$E$2:$E$4694,MATCH($A1622&amp;"|56",Positions!$A$2:$A$4694,0))</f>
        <v>C</v>
      </c>
      <c r="H1622" s="24" t="str">
        <f t="shared" si="100"/>
        <v>G-C</v>
      </c>
      <c r="I1622" s="23">
        <f t="shared" si="101"/>
        <v>1</v>
      </c>
      <c r="J1622" s="23">
        <f t="shared" si="102"/>
        <v>1</v>
      </c>
      <c r="K1622" s="24">
        <f t="shared" si="103"/>
        <v>2</v>
      </c>
    </row>
    <row r="1623" spans="1:11">
      <c r="A1623" s="23" t="s">
        <v>94</v>
      </c>
      <c r="B1623" s="23" t="s">
        <v>241</v>
      </c>
      <c r="C1623" s="23" t="s">
        <v>246</v>
      </c>
      <c r="D1623" s="23">
        <f>INDEX(Positions!$D$2:$D$4694,MATCH($A1623&amp;"|26",Positions!$A$2:$A$4694,0))</f>
        <v>25</v>
      </c>
      <c r="E1623" s="23">
        <f>INDEX(Positions!$D$2:$D$4694,MATCH($A1623&amp;"|44",Positions!$A$2:$A$4694,0))</f>
        <v>43</v>
      </c>
      <c r="F1623" s="23" t="str">
        <f>INDEX(Positions!$E$2:$E$4694,MATCH($A1623&amp;"|26",Positions!$A$2:$A$4694,0))</f>
        <v>G</v>
      </c>
      <c r="G1623" s="23" t="str">
        <f>INDEX(Positions!$E$2:$E$4694,MATCH($A1623&amp;"|44",Positions!$A$2:$A$4694,0))</f>
        <v>A</v>
      </c>
      <c r="H1623" s="24" t="str">
        <f t="shared" si="100"/>
        <v>G-A</v>
      </c>
      <c r="I1623" s="23">
        <f t="shared" si="101"/>
        <v>1</v>
      </c>
      <c r="J1623" s="23">
        <f t="shared" si="102"/>
        <v>0</v>
      </c>
      <c r="K1623" s="24">
        <f t="shared" si="103"/>
        <v>1</v>
      </c>
    </row>
    <row r="1624" spans="1:11">
      <c r="A1624" s="23" t="s">
        <v>94</v>
      </c>
      <c r="B1624" s="23" t="s">
        <v>241</v>
      </c>
      <c r="C1624" s="23" t="s">
        <v>247</v>
      </c>
      <c r="D1624" s="23">
        <f>INDEX(Positions!$D$2:$D$4694,MATCH($A1624&amp;"|32",Positions!$A$2:$A$4694,0))</f>
        <v>31</v>
      </c>
      <c r="E1624" s="23">
        <f>INDEX(Positions!$D$2:$D$4694,MATCH($A1624&amp;"|38",Positions!$A$2:$A$4694,0))</f>
        <v>37</v>
      </c>
      <c r="F1624" s="23" t="str">
        <f>INDEX(Positions!$E$2:$E$4694,MATCH($A1624&amp;"|32",Positions!$A$2:$A$4694,0))</f>
        <v>C</v>
      </c>
      <c r="G1624" s="23" t="str">
        <f>INDEX(Positions!$E$2:$E$4694,MATCH($A1624&amp;"|38",Positions!$A$2:$A$4694,0))</f>
        <v>A</v>
      </c>
      <c r="H1624" s="24" t="str">
        <f t="shared" si="100"/>
        <v>C-A</v>
      </c>
      <c r="I1624" s="23">
        <f t="shared" si="101"/>
        <v>0</v>
      </c>
      <c r="J1624" s="23">
        <f t="shared" si="102"/>
        <v>1</v>
      </c>
      <c r="K1624" s="24">
        <f t="shared" si="103"/>
        <v>1</v>
      </c>
    </row>
    <row r="1625" spans="1:11">
      <c r="A1625" s="23" t="s">
        <v>94</v>
      </c>
      <c r="B1625" s="23" t="s">
        <v>241</v>
      </c>
      <c r="C1625" s="23" t="s">
        <v>248</v>
      </c>
      <c r="D1625" s="23">
        <f>INDEX(Positions!$D$2:$D$4694,MATCH($A1625&amp;"|54",Positions!$A$2:$A$4694,0))</f>
        <v>53</v>
      </c>
      <c r="E1625" s="23">
        <f>INDEX(Positions!$D$2:$D$4694,MATCH($A1625&amp;"|58",Positions!$A$2:$A$4694,0))</f>
        <v>57</v>
      </c>
      <c r="F1625" s="23" t="str">
        <f>INDEX(Positions!$E$2:$E$4694,MATCH($A1625&amp;"|54",Positions!$A$2:$A$4694,0))</f>
        <v>U</v>
      </c>
      <c r="G1625" s="23" t="str">
        <f>INDEX(Positions!$E$2:$E$4694,MATCH($A1625&amp;"|58",Positions!$A$2:$A$4694,0))</f>
        <v>A</v>
      </c>
      <c r="H1625" s="24" t="str">
        <f t="shared" si="100"/>
        <v>U-A</v>
      </c>
      <c r="I1625" s="23">
        <f t="shared" si="101"/>
        <v>0</v>
      </c>
      <c r="J1625" s="23">
        <f t="shared" si="102"/>
        <v>0</v>
      </c>
      <c r="K1625" s="24">
        <f t="shared" si="103"/>
        <v>0</v>
      </c>
    </row>
    <row r="1626" spans="1:11">
      <c r="A1626" s="4" t="s">
        <v>95</v>
      </c>
      <c r="B1626" s="4" t="s">
        <v>110</v>
      </c>
      <c r="C1626" s="4" t="s">
        <v>220</v>
      </c>
      <c r="D1626" s="4">
        <f>INDEX(Positions!$D$2:$D$4694,MATCH($A1626&amp;"|1",Positions!$A$2:$A$4694,0))</f>
        <v>1</v>
      </c>
      <c r="E1626" s="4">
        <f>INDEX(Positions!$D$2:$D$4694,MATCH($A1626&amp;"|72",Positions!$A$2:$A$4694,0))</f>
        <v>72</v>
      </c>
      <c r="F1626" s="4" t="str">
        <f>INDEX(Positions!$E$2:$E$4694,MATCH($A1626&amp;"|1",Positions!$A$2:$A$4694,0))</f>
        <v>G</v>
      </c>
      <c r="G1626" s="4" t="str">
        <f>INDEX(Positions!$E$2:$E$4694,MATCH($A1626&amp;"|72",Positions!$A$2:$A$4694,0))</f>
        <v>C</v>
      </c>
      <c r="H1626" s="3" t="str">
        <f t="shared" si="100"/>
        <v>G-C</v>
      </c>
      <c r="I1626" s="4">
        <f t="shared" si="101"/>
        <v>1</v>
      </c>
      <c r="J1626" s="4">
        <f t="shared" si="102"/>
        <v>1</v>
      </c>
      <c r="K1626" s="3">
        <f t="shared" si="103"/>
        <v>2</v>
      </c>
    </row>
    <row r="1627" spans="1:11">
      <c r="A1627" s="4" t="s">
        <v>95</v>
      </c>
      <c r="B1627" s="4" t="s">
        <v>110</v>
      </c>
      <c r="C1627" s="4" t="s">
        <v>221</v>
      </c>
      <c r="D1627" s="4">
        <f>INDEX(Positions!$D$2:$D$4694,MATCH($A1627&amp;"|2",Positions!$A$2:$A$4694,0))</f>
        <v>2</v>
      </c>
      <c r="E1627" s="4">
        <f>INDEX(Positions!$D$2:$D$4694,MATCH($A1627&amp;"|71",Positions!$A$2:$A$4694,0))</f>
        <v>71</v>
      </c>
      <c r="F1627" s="4" t="str">
        <f>INDEX(Positions!$E$2:$E$4694,MATCH($A1627&amp;"|2",Positions!$A$2:$A$4694,0))</f>
        <v>C</v>
      </c>
      <c r="G1627" s="4" t="str">
        <f>INDEX(Positions!$E$2:$E$4694,MATCH($A1627&amp;"|71",Positions!$A$2:$A$4694,0))</f>
        <v>G</v>
      </c>
      <c r="H1627" s="3" t="str">
        <f t="shared" si="100"/>
        <v>C-G</v>
      </c>
      <c r="I1627" s="4">
        <f t="shared" si="101"/>
        <v>1</v>
      </c>
      <c r="J1627" s="4">
        <f t="shared" si="102"/>
        <v>1</v>
      </c>
      <c r="K1627" s="3">
        <f t="shared" si="103"/>
        <v>2</v>
      </c>
    </row>
    <row r="1628" spans="1:11">
      <c r="A1628" s="4" t="s">
        <v>95</v>
      </c>
      <c r="B1628" s="4" t="s">
        <v>110</v>
      </c>
      <c r="C1628" s="4" t="s">
        <v>222</v>
      </c>
      <c r="D1628" s="4">
        <f>INDEX(Positions!$D$2:$D$4694,MATCH($A1628&amp;"|3",Positions!$A$2:$A$4694,0))</f>
        <v>3</v>
      </c>
      <c r="E1628" s="4">
        <f>INDEX(Positions!$D$2:$D$4694,MATCH($A1628&amp;"|70",Positions!$A$2:$A$4694,0))</f>
        <v>70</v>
      </c>
      <c r="F1628" s="4" t="str">
        <f>INDEX(Positions!$E$2:$E$4694,MATCH($A1628&amp;"|3",Positions!$A$2:$A$4694,0))</f>
        <v>C</v>
      </c>
      <c r="G1628" s="4" t="str">
        <f>INDEX(Positions!$E$2:$E$4694,MATCH($A1628&amp;"|70",Positions!$A$2:$A$4694,0))</f>
        <v>G</v>
      </c>
      <c r="H1628" s="3" t="str">
        <f t="shared" si="100"/>
        <v>C-G</v>
      </c>
      <c r="I1628" s="4">
        <f t="shared" si="101"/>
        <v>1</v>
      </c>
      <c r="J1628" s="4">
        <f t="shared" si="102"/>
        <v>1</v>
      </c>
      <c r="K1628" s="3">
        <f t="shared" si="103"/>
        <v>2</v>
      </c>
    </row>
    <row r="1629" spans="1:11">
      <c r="A1629" s="4" t="s">
        <v>95</v>
      </c>
      <c r="B1629" s="4" t="s">
        <v>110</v>
      </c>
      <c r="C1629" s="4" t="s">
        <v>223</v>
      </c>
      <c r="D1629" s="4">
        <f>INDEX(Positions!$D$2:$D$4694,MATCH($A1629&amp;"|4",Positions!$A$2:$A$4694,0))</f>
        <v>4</v>
      </c>
      <c r="E1629" s="4">
        <f>INDEX(Positions!$D$2:$D$4694,MATCH($A1629&amp;"|69",Positions!$A$2:$A$4694,0))</f>
        <v>69</v>
      </c>
      <c r="F1629" s="4" t="str">
        <f>INDEX(Positions!$E$2:$E$4694,MATCH($A1629&amp;"|4",Positions!$A$2:$A$4694,0))</f>
        <v>U</v>
      </c>
      <c r="G1629" s="4" t="str">
        <f>INDEX(Positions!$E$2:$E$4694,MATCH($A1629&amp;"|69",Positions!$A$2:$A$4694,0))</f>
        <v>A</v>
      </c>
      <c r="H1629" s="3" t="str">
        <f t="shared" si="100"/>
        <v>U-A</v>
      </c>
      <c r="I1629" s="4">
        <f t="shared" si="101"/>
        <v>0</v>
      </c>
      <c r="J1629" s="4">
        <f t="shared" si="102"/>
        <v>0</v>
      </c>
      <c r="K1629" s="3">
        <f t="shared" si="103"/>
        <v>0</v>
      </c>
    </row>
    <row r="1630" spans="1:11">
      <c r="A1630" s="4" t="s">
        <v>95</v>
      </c>
      <c r="B1630" s="4" t="s">
        <v>110</v>
      </c>
      <c r="C1630" s="4" t="s">
        <v>224</v>
      </c>
      <c r="D1630" s="4">
        <f>INDEX(Positions!$D$2:$D$4694,MATCH($A1630&amp;"|5",Positions!$A$2:$A$4694,0))</f>
        <v>5</v>
      </c>
      <c r="E1630" s="4">
        <f>INDEX(Positions!$D$2:$D$4694,MATCH($A1630&amp;"|68",Positions!$A$2:$A$4694,0))</f>
        <v>68</v>
      </c>
      <c r="F1630" s="4" t="str">
        <f>INDEX(Positions!$E$2:$E$4694,MATCH($A1630&amp;"|5",Positions!$A$2:$A$4694,0))</f>
        <v>C</v>
      </c>
      <c r="G1630" s="4" t="str">
        <f>INDEX(Positions!$E$2:$E$4694,MATCH($A1630&amp;"|68",Positions!$A$2:$A$4694,0))</f>
        <v>G</v>
      </c>
      <c r="H1630" s="3" t="str">
        <f t="shared" si="100"/>
        <v>C-G</v>
      </c>
      <c r="I1630" s="4">
        <f t="shared" si="101"/>
        <v>1</v>
      </c>
      <c r="J1630" s="4">
        <f t="shared" si="102"/>
        <v>1</v>
      </c>
      <c r="K1630" s="3">
        <f t="shared" si="103"/>
        <v>2</v>
      </c>
    </row>
    <row r="1631" spans="1:11">
      <c r="A1631" s="4" t="s">
        <v>95</v>
      </c>
      <c r="B1631" s="4" t="s">
        <v>110</v>
      </c>
      <c r="C1631" s="4" t="s">
        <v>225</v>
      </c>
      <c r="D1631" s="4">
        <f>INDEX(Positions!$D$2:$D$4694,MATCH($A1631&amp;"|6",Positions!$A$2:$A$4694,0))</f>
        <v>6</v>
      </c>
      <c r="E1631" s="4">
        <f>INDEX(Positions!$D$2:$D$4694,MATCH($A1631&amp;"|67",Positions!$A$2:$A$4694,0))</f>
        <v>67</v>
      </c>
      <c r="F1631" s="4" t="str">
        <f>INDEX(Positions!$E$2:$E$4694,MATCH($A1631&amp;"|6",Positions!$A$2:$A$4694,0))</f>
        <v>A</v>
      </c>
      <c r="G1631" s="4" t="str">
        <f>INDEX(Positions!$E$2:$E$4694,MATCH($A1631&amp;"|67",Positions!$A$2:$A$4694,0))</f>
        <v>C</v>
      </c>
      <c r="H1631" s="3" t="str">
        <f t="shared" si="100"/>
        <v>A-C</v>
      </c>
      <c r="I1631" s="4">
        <f t="shared" si="101"/>
        <v>0</v>
      </c>
      <c r="J1631" s="4">
        <f t="shared" si="102"/>
        <v>1</v>
      </c>
      <c r="K1631" s="3">
        <f t="shared" si="103"/>
        <v>1</v>
      </c>
    </row>
    <row r="1632" spans="1:11">
      <c r="A1632" s="4" t="s">
        <v>95</v>
      </c>
      <c r="B1632" s="4" t="s">
        <v>110</v>
      </c>
      <c r="C1632" s="4" t="s">
        <v>226</v>
      </c>
      <c r="D1632" s="4">
        <f>INDEX(Positions!$D$2:$D$4694,MATCH($A1632&amp;"|7",Positions!$A$2:$A$4694,0))</f>
        <v>7</v>
      </c>
      <c r="E1632" s="4">
        <f>INDEX(Positions!$D$2:$D$4694,MATCH($A1632&amp;"|66",Positions!$A$2:$A$4694,0))</f>
        <v>66</v>
      </c>
      <c r="F1632" s="4" t="str">
        <f>INDEX(Positions!$E$2:$E$4694,MATCH($A1632&amp;"|7",Positions!$A$2:$A$4694,0))</f>
        <v>U</v>
      </c>
      <c r="G1632" s="4" t="str">
        <f>INDEX(Positions!$E$2:$E$4694,MATCH($A1632&amp;"|66",Positions!$A$2:$A$4694,0))</f>
        <v>A</v>
      </c>
      <c r="H1632" s="3" t="str">
        <f t="shared" si="100"/>
        <v>U-A</v>
      </c>
      <c r="I1632" s="4">
        <f t="shared" si="101"/>
        <v>0</v>
      </c>
      <c r="J1632" s="4">
        <f t="shared" si="102"/>
        <v>0</v>
      </c>
      <c r="K1632" s="3">
        <f t="shared" si="103"/>
        <v>0</v>
      </c>
    </row>
    <row r="1633" spans="1:11">
      <c r="A1633" s="4" t="s">
        <v>95</v>
      </c>
      <c r="B1633" s="4" t="s">
        <v>125</v>
      </c>
      <c r="C1633" s="4" t="s">
        <v>227</v>
      </c>
      <c r="D1633" s="4">
        <f>INDEX(Positions!$D$2:$D$4694,MATCH($A1633&amp;"|10",Positions!$A$2:$A$4694,0))</f>
        <v>10</v>
      </c>
      <c r="E1633" s="4">
        <f>INDEX(Positions!$D$2:$D$4694,MATCH($A1633&amp;"|25",Positions!$A$2:$A$4694,0))</f>
        <v>26</v>
      </c>
      <c r="F1633" s="4" t="str">
        <f>INDEX(Positions!$E$2:$E$4694,MATCH($A1633&amp;"|10",Positions!$A$2:$A$4694,0))</f>
        <v>G</v>
      </c>
      <c r="G1633" s="4" t="str">
        <f>INDEX(Positions!$E$2:$E$4694,MATCH($A1633&amp;"|25",Positions!$A$2:$A$4694,0))</f>
        <v>C</v>
      </c>
      <c r="H1633" s="3" t="str">
        <f t="shared" si="100"/>
        <v>G-C</v>
      </c>
      <c r="I1633" s="4">
        <f t="shared" si="101"/>
        <v>1</v>
      </c>
      <c r="J1633" s="4">
        <f t="shared" si="102"/>
        <v>1</v>
      </c>
      <c r="K1633" s="3">
        <f t="shared" si="103"/>
        <v>2</v>
      </c>
    </row>
    <row r="1634" spans="1:11">
      <c r="A1634" s="4" t="s">
        <v>95</v>
      </c>
      <c r="B1634" s="4" t="s">
        <v>125</v>
      </c>
      <c r="C1634" s="4" t="s">
        <v>228</v>
      </c>
      <c r="D1634" s="4">
        <f>INDEX(Positions!$D$2:$D$4694,MATCH($A1634&amp;"|11",Positions!$A$2:$A$4694,0))</f>
        <v>11</v>
      </c>
      <c r="E1634" s="4">
        <f>INDEX(Positions!$D$2:$D$4694,MATCH($A1634&amp;"|24",Positions!$A$2:$A$4694,0))</f>
        <v>25</v>
      </c>
      <c r="F1634" s="4" t="str">
        <f>INDEX(Positions!$E$2:$E$4694,MATCH($A1634&amp;"|11",Positions!$A$2:$A$4694,0))</f>
        <v>C</v>
      </c>
      <c r="G1634" s="4" t="str">
        <f>INDEX(Positions!$E$2:$E$4694,MATCH($A1634&amp;"|24",Positions!$A$2:$A$4694,0))</f>
        <v>G</v>
      </c>
      <c r="H1634" s="3" t="str">
        <f t="shared" si="100"/>
        <v>C-G</v>
      </c>
      <c r="I1634" s="4">
        <f t="shared" si="101"/>
        <v>1</v>
      </c>
      <c r="J1634" s="4">
        <f t="shared" si="102"/>
        <v>1</v>
      </c>
      <c r="K1634" s="3">
        <f t="shared" si="103"/>
        <v>2</v>
      </c>
    </row>
    <row r="1635" spans="1:11">
      <c r="A1635" s="4" t="s">
        <v>95</v>
      </c>
      <c r="B1635" s="4" t="s">
        <v>125</v>
      </c>
      <c r="C1635" s="4" t="s">
        <v>229</v>
      </c>
      <c r="D1635" s="4">
        <f>INDEX(Positions!$D$2:$D$4694,MATCH($A1635&amp;"|12",Positions!$A$2:$A$4694,0))</f>
        <v>12</v>
      </c>
      <c r="E1635" s="4">
        <f>INDEX(Positions!$D$2:$D$4694,MATCH($A1635&amp;"|23",Positions!$A$2:$A$4694,0))</f>
        <v>24</v>
      </c>
      <c r="F1635" s="4" t="str">
        <f>INDEX(Positions!$E$2:$E$4694,MATCH($A1635&amp;"|12",Positions!$A$2:$A$4694,0))</f>
        <v>U</v>
      </c>
      <c r="G1635" s="4" t="str">
        <f>INDEX(Positions!$E$2:$E$4694,MATCH($A1635&amp;"|23",Positions!$A$2:$A$4694,0))</f>
        <v>C</v>
      </c>
      <c r="H1635" s="3" t="str">
        <f t="shared" si="100"/>
        <v>U-C</v>
      </c>
      <c r="I1635" s="4">
        <f t="shared" si="101"/>
        <v>0</v>
      </c>
      <c r="J1635" s="4">
        <f t="shared" si="102"/>
        <v>1</v>
      </c>
      <c r="K1635" s="3">
        <f t="shared" si="103"/>
        <v>1</v>
      </c>
    </row>
    <row r="1636" spans="1:11">
      <c r="A1636" s="4" t="s">
        <v>95</v>
      </c>
      <c r="B1636" s="4" t="s">
        <v>125</v>
      </c>
      <c r="C1636" s="4" t="s">
        <v>230</v>
      </c>
      <c r="D1636" s="4">
        <f>INDEX(Positions!$D$2:$D$4694,MATCH($A1636&amp;"|13",Positions!$A$2:$A$4694,0))</f>
        <v>13</v>
      </c>
      <c r="E1636" s="4">
        <f>INDEX(Positions!$D$2:$D$4694,MATCH($A1636&amp;"|22",Positions!$A$2:$A$4694,0))</f>
        <v>23</v>
      </c>
      <c r="F1636" s="4" t="str">
        <f>INDEX(Positions!$E$2:$E$4694,MATCH($A1636&amp;"|13",Positions!$A$2:$A$4694,0))</f>
        <v>C</v>
      </c>
      <c r="G1636" s="4" t="str">
        <f>INDEX(Positions!$E$2:$E$4694,MATCH($A1636&amp;"|22",Positions!$A$2:$A$4694,0))</f>
        <v>G</v>
      </c>
      <c r="H1636" s="3" t="str">
        <f t="shared" si="100"/>
        <v>C-G</v>
      </c>
      <c r="I1636" s="4">
        <f t="shared" si="101"/>
        <v>1</v>
      </c>
      <c r="J1636" s="4">
        <f t="shared" si="102"/>
        <v>1</v>
      </c>
      <c r="K1636" s="3">
        <f t="shared" si="103"/>
        <v>2</v>
      </c>
    </row>
    <row r="1637" spans="1:11">
      <c r="A1637" s="4" t="s">
        <v>95</v>
      </c>
      <c r="B1637" s="4" t="s">
        <v>144</v>
      </c>
      <c r="C1637" s="4" t="s">
        <v>231</v>
      </c>
      <c r="D1637" s="4">
        <f>INDEX(Positions!$D$2:$D$4694,MATCH($A1637&amp;"|27",Positions!$A$2:$A$4694,0))</f>
        <v>28</v>
      </c>
      <c r="E1637" s="4">
        <f>INDEX(Positions!$D$2:$D$4694,MATCH($A1637&amp;"|43",Positions!$A$2:$A$4694,0))</f>
        <v>43</v>
      </c>
      <c r="F1637" s="4" t="str">
        <f>INDEX(Positions!$E$2:$E$4694,MATCH($A1637&amp;"|27",Positions!$A$2:$A$4694,0))</f>
        <v>A</v>
      </c>
      <c r="G1637" s="4" t="str">
        <f>INDEX(Positions!$E$2:$E$4694,MATCH($A1637&amp;"|43",Positions!$A$2:$A$4694,0))</f>
        <v>U</v>
      </c>
      <c r="H1637" s="3" t="str">
        <f t="shared" si="100"/>
        <v>A-U</v>
      </c>
      <c r="I1637" s="4">
        <f t="shared" si="101"/>
        <v>0</v>
      </c>
      <c r="J1637" s="4">
        <f t="shared" si="102"/>
        <v>0</v>
      </c>
      <c r="K1637" s="3">
        <f t="shared" si="103"/>
        <v>0</v>
      </c>
    </row>
    <row r="1638" spans="1:11">
      <c r="A1638" s="4" t="s">
        <v>95</v>
      </c>
      <c r="B1638" s="4" t="s">
        <v>144</v>
      </c>
      <c r="C1638" s="4" t="s">
        <v>232</v>
      </c>
      <c r="D1638" s="4">
        <f>INDEX(Positions!$D$2:$D$4694,MATCH($A1638&amp;"|28",Positions!$A$2:$A$4694,0))</f>
        <v>29</v>
      </c>
      <c r="E1638" s="4">
        <f>INDEX(Positions!$D$2:$D$4694,MATCH($A1638&amp;"|42",Positions!$A$2:$A$4694,0))</f>
        <v>42</v>
      </c>
      <c r="F1638" s="4" t="str">
        <f>INDEX(Positions!$E$2:$E$4694,MATCH($A1638&amp;"|28",Positions!$A$2:$A$4694,0))</f>
        <v>G</v>
      </c>
      <c r="G1638" s="4" t="str">
        <f>INDEX(Positions!$E$2:$E$4694,MATCH($A1638&amp;"|42",Positions!$A$2:$A$4694,0))</f>
        <v>C</v>
      </c>
      <c r="H1638" s="3" t="str">
        <f t="shared" si="100"/>
        <v>G-C</v>
      </c>
      <c r="I1638" s="4">
        <f t="shared" si="101"/>
        <v>1</v>
      </c>
      <c r="J1638" s="4">
        <f t="shared" si="102"/>
        <v>1</v>
      </c>
      <c r="K1638" s="3">
        <f t="shared" si="103"/>
        <v>2</v>
      </c>
    </row>
    <row r="1639" spans="1:11">
      <c r="A1639" s="4" t="s">
        <v>95</v>
      </c>
      <c r="B1639" s="4" t="s">
        <v>144</v>
      </c>
      <c r="C1639" s="4" t="s">
        <v>233</v>
      </c>
      <c r="D1639" s="4">
        <f>INDEX(Positions!$D$2:$D$4694,MATCH($A1639&amp;"|29",Positions!$A$2:$A$4694,0))</f>
        <v>30</v>
      </c>
      <c r="E1639" s="4">
        <f>INDEX(Positions!$D$2:$D$4694,MATCH($A1639&amp;"|41",Positions!$A$2:$A$4694,0))</f>
        <v>41</v>
      </c>
      <c r="F1639" s="4" t="str">
        <f>INDEX(Positions!$E$2:$E$4694,MATCH($A1639&amp;"|29",Positions!$A$2:$A$4694,0))</f>
        <v>U</v>
      </c>
      <c r="G1639" s="4" t="str">
        <f>INDEX(Positions!$E$2:$E$4694,MATCH($A1639&amp;"|41",Positions!$A$2:$A$4694,0))</f>
        <v>A</v>
      </c>
      <c r="H1639" s="3" t="str">
        <f t="shared" si="100"/>
        <v>U-A</v>
      </c>
      <c r="I1639" s="4">
        <f t="shared" si="101"/>
        <v>0</v>
      </c>
      <c r="J1639" s="4">
        <f t="shared" si="102"/>
        <v>0</v>
      </c>
      <c r="K1639" s="3">
        <f t="shared" si="103"/>
        <v>0</v>
      </c>
    </row>
    <row r="1640" spans="1:11">
      <c r="A1640" s="4" t="s">
        <v>95</v>
      </c>
      <c r="B1640" s="4" t="s">
        <v>144</v>
      </c>
      <c r="C1640" s="4" t="s">
        <v>234</v>
      </c>
      <c r="D1640" s="4">
        <f>INDEX(Positions!$D$2:$D$4694,MATCH($A1640&amp;"|30",Positions!$A$2:$A$4694,0))</f>
        <v>31</v>
      </c>
      <c r="E1640" s="4">
        <f>INDEX(Positions!$D$2:$D$4694,MATCH($A1640&amp;"|40",Positions!$A$2:$A$4694,0))</f>
        <v>40</v>
      </c>
      <c r="F1640" s="4" t="str">
        <f>INDEX(Positions!$E$2:$E$4694,MATCH($A1640&amp;"|30",Positions!$A$2:$A$4694,0))</f>
        <v>G</v>
      </c>
      <c r="G1640" s="4" t="str">
        <f>INDEX(Positions!$E$2:$E$4694,MATCH($A1640&amp;"|40",Positions!$A$2:$A$4694,0))</f>
        <v>C</v>
      </c>
      <c r="H1640" s="3" t="str">
        <f t="shared" si="100"/>
        <v>G-C</v>
      </c>
      <c r="I1640" s="4">
        <f t="shared" si="101"/>
        <v>1</v>
      </c>
      <c r="J1640" s="4">
        <f t="shared" si="102"/>
        <v>1</v>
      </c>
      <c r="K1640" s="3">
        <f t="shared" si="103"/>
        <v>2</v>
      </c>
    </row>
    <row r="1641" spans="1:11">
      <c r="A1641" s="4" t="s">
        <v>95</v>
      </c>
      <c r="B1641" s="4" t="s">
        <v>144</v>
      </c>
      <c r="C1641" s="4" t="s">
        <v>235</v>
      </c>
      <c r="D1641" s="4">
        <f>INDEX(Positions!$D$2:$D$4694,MATCH($A1641&amp;"|31",Positions!$A$2:$A$4694,0))</f>
        <v>32</v>
      </c>
      <c r="E1641" s="4">
        <f>INDEX(Positions!$D$2:$D$4694,MATCH($A1641&amp;"|39",Positions!$A$2:$A$4694,0))</f>
        <v>39</v>
      </c>
      <c r="F1641" s="4" t="str">
        <f>INDEX(Positions!$E$2:$E$4694,MATCH($A1641&amp;"|31",Positions!$A$2:$A$4694,0))</f>
        <v>A</v>
      </c>
      <c r="G1641" s="4" t="str">
        <f>INDEX(Positions!$E$2:$E$4694,MATCH($A1641&amp;"|39",Positions!$A$2:$A$4694,0))</f>
        <v>U</v>
      </c>
      <c r="H1641" s="3" t="str">
        <f t="shared" si="100"/>
        <v>A-U</v>
      </c>
      <c r="I1641" s="4">
        <f t="shared" si="101"/>
        <v>0</v>
      </c>
      <c r="J1641" s="4">
        <f t="shared" si="102"/>
        <v>0</v>
      </c>
      <c r="K1641" s="3">
        <f t="shared" si="103"/>
        <v>0</v>
      </c>
    </row>
    <row r="1642" spans="1:11">
      <c r="A1642" s="4" t="s">
        <v>95</v>
      </c>
      <c r="B1642" s="4" t="s">
        <v>169</v>
      </c>
      <c r="C1642" s="4" t="s">
        <v>236</v>
      </c>
      <c r="D1642" s="4">
        <f>INDEX(Positions!$D$2:$D$4694,MATCH($A1642&amp;"|49",Positions!$A$2:$A$4694,0))</f>
        <v>49</v>
      </c>
      <c r="E1642" s="4">
        <f>INDEX(Positions!$D$2:$D$4694,MATCH($A1642&amp;"|65",Positions!$A$2:$A$4694,0))</f>
        <v>65</v>
      </c>
      <c r="F1642" s="4" t="str">
        <f>INDEX(Positions!$E$2:$E$4694,MATCH($A1642&amp;"|49",Positions!$A$2:$A$4694,0))</f>
        <v>G</v>
      </c>
      <c r="G1642" s="4" t="str">
        <f>INDEX(Positions!$E$2:$E$4694,MATCH($A1642&amp;"|65",Positions!$A$2:$A$4694,0))</f>
        <v>C</v>
      </c>
      <c r="H1642" s="3" t="str">
        <f t="shared" si="100"/>
        <v>G-C</v>
      </c>
      <c r="I1642" s="4">
        <f t="shared" si="101"/>
        <v>1</v>
      </c>
      <c r="J1642" s="4">
        <f t="shared" si="102"/>
        <v>1</v>
      </c>
      <c r="K1642" s="3">
        <f t="shared" si="103"/>
        <v>2</v>
      </c>
    </row>
    <row r="1643" spans="1:11">
      <c r="A1643" s="4" t="s">
        <v>95</v>
      </c>
      <c r="B1643" s="4" t="s">
        <v>169</v>
      </c>
      <c r="C1643" s="4" t="s">
        <v>237</v>
      </c>
      <c r="D1643" s="4">
        <f>INDEX(Positions!$D$2:$D$4694,MATCH($A1643&amp;"|50",Positions!$A$2:$A$4694,0))</f>
        <v>50</v>
      </c>
      <c r="E1643" s="4">
        <f>INDEX(Positions!$D$2:$D$4694,MATCH($A1643&amp;"|64",Positions!$A$2:$A$4694,0))</f>
        <v>64</v>
      </c>
      <c r="F1643" s="4" t="str">
        <f>INDEX(Positions!$E$2:$E$4694,MATCH($A1643&amp;"|50",Positions!$A$2:$A$4694,0))</f>
        <v>C</v>
      </c>
      <c r="G1643" s="4" t="str">
        <f>INDEX(Positions!$E$2:$E$4694,MATCH($A1643&amp;"|64",Positions!$A$2:$A$4694,0))</f>
        <v>U</v>
      </c>
      <c r="H1643" s="3" t="str">
        <f t="shared" si="100"/>
        <v>C-U</v>
      </c>
      <c r="I1643" s="4">
        <f t="shared" si="101"/>
        <v>0</v>
      </c>
      <c r="J1643" s="4">
        <f t="shared" si="102"/>
        <v>1</v>
      </c>
      <c r="K1643" s="3">
        <f t="shared" si="103"/>
        <v>1</v>
      </c>
    </row>
    <row r="1644" spans="1:11">
      <c r="A1644" s="4" t="s">
        <v>95</v>
      </c>
      <c r="B1644" s="4" t="s">
        <v>169</v>
      </c>
      <c r="C1644" s="4" t="s">
        <v>238</v>
      </c>
      <c r="D1644" s="4">
        <f>INDEX(Positions!$D$2:$D$4694,MATCH($A1644&amp;"|51",Positions!$A$2:$A$4694,0))</f>
        <v>51</v>
      </c>
      <c r="E1644" s="4">
        <f>INDEX(Positions!$D$2:$D$4694,MATCH($A1644&amp;"|63",Positions!$A$2:$A$4694,0))</f>
        <v>63</v>
      </c>
      <c r="F1644" s="4" t="str">
        <f>INDEX(Positions!$E$2:$E$4694,MATCH($A1644&amp;"|51",Positions!$A$2:$A$4694,0))</f>
        <v>G</v>
      </c>
      <c r="G1644" s="4" t="str">
        <f>INDEX(Positions!$E$2:$E$4694,MATCH($A1644&amp;"|63",Positions!$A$2:$A$4694,0))</f>
        <v>C</v>
      </c>
      <c r="H1644" s="3" t="str">
        <f t="shared" si="100"/>
        <v>G-C</v>
      </c>
      <c r="I1644" s="4">
        <f t="shared" si="101"/>
        <v>1</v>
      </c>
      <c r="J1644" s="4">
        <f t="shared" si="102"/>
        <v>1</v>
      </c>
      <c r="K1644" s="3">
        <f t="shared" si="103"/>
        <v>2</v>
      </c>
    </row>
    <row r="1645" spans="1:11">
      <c r="A1645" s="4" t="s">
        <v>95</v>
      </c>
      <c r="B1645" s="4" t="s">
        <v>169</v>
      </c>
      <c r="C1645" s="4" t="s">
        <v>239</v>
      </c>
      <c r="D1645" s="4">
        <f>INDEX(Positions!$D$2:$D$4694,MATCH($A1645&amp;"|52",Positions!$A$2:$A$4694,0))</f>
        <v>52</v>
      </c>
      <c r="E1645" s="4">
        <f>INDEX(Positions!$D$2:$D$4694,MATCH($A1645&amp;"|62",Positions!$A$2:$A$4694,0))</f>
        <v>62</v>
      </c>
      <c r="F1645" s="4" t="str">
        <f>INDEX(Positions!$E$2:$E$4694,MATCH($A1645&amp;"|52",Positions!$A$2:$A$4694,0))</f>
        <v>U</v>
      </c>
      <c r="G1645" s="4" t="str">
        <f>INDEX(Positions!$E$2:$E$4694,MATCH($A1645&amp;"|62",Positions!$A$2:$A$4694,0))</f>
        <v>A</v>
      </c>
      <c r="H1645" s="3" t="str">
        <f t="shared" si="100"/>
        <v>U-A</v>
      </c>
      <c r="I1645" s="4">
        <f t="shared" si="101"/>
        <v>0</v>
      </c>
      <c r="J1645" s="4">
        <f t="shared" si="102"/>
        <v>0</v>
      </c>
      <c r="K1645" s="3">
        <f t="shared" si="103"/>
        <v>0</v>
      </c>
    </row>
    <row r="1646" spans="1:11">
      <c r="A1646" s="4" t="s">
        <v>95</v>
      </c>
      <c r="B1646" s="4" t="s">
        <v>169</v>
      </c>
      <c r="C1646" s="4" t="s">
        <v>240</v>
      </c>
      <c r="D1646" s="4">
        <f>INDEX(Positions!$D$2:$D$4694,MATCH($A1646&amp;"|53",Positions!$A$2:$A$4694,0))</f>
        <v>53</v>
      </c>
      <c r="E1646" s="4">
        <f>INDEX(Positions!$D$2:$D$4694,MATCH($A1646&amp;"|61",Positions!$A$2:$A$4694,0))</f>
        <v>61</v>
      </c>
      <c r="F1646" s="4" t="str">
        <f>INDEX(Positions!$E$2:$E$4694,MATCH($A1646&amp;"|53",Positions!$A$2:$A$4694,0))</f>
        <v>G</v>
      </c>
      <c r="G1646" s="4" t="str">
        <f>INDEX(Positions!$E$2:$E$4694,MATCH($A1646&amp;"|61",Positions!$A$2:$A$4694,0))</f>
        <v>C</v>
      </c>
      <c r="H1646" s="3" t="str">
        <f t="shared" si="100"/>
        <v>G-C</v>
      </c>
      <c r="I1646" s="4">
        <f t="shared" si="101"/>
        <v>1</v>
      </c>
      <c r="J1646" s="4">
        <f t="shared" si="102"/>
        <v>1</v>
      </c>
      <c r="K1646" s="3">
        <f t="shared" si="103"/>
        <v>2</v>
      </c>
    </row>
    <row r="1647" spans="1:11">
      <c r="A1647" s="23" t="s">
        <v>95</v>
      </c>
      <c r="B1647" s="23" t="s">
        <v>241</v>
      </c>
      <c r="C1647" s="23" t="s">
        <v>242</v>
      </c>
      <c r="D1647" s="23">
        <f>INDEX(Positions!$D$2:$D$4694,MATCH($A1647&amp;"|8",Positions!$A$2:$A$4694,0))</f>
        <v>8</v>
      </c>
      <c r="E1647" s="23">
        <f>INDEX(Positions!$D$2:$D$4694,MATCH($A1647&amp;"|14",Positions!$A$2:$A$4694,0))</f>
        <v>14</v>
      </c>
      <c r="F1647" s="23" t="str">
        <f>INDEX(Positions!$E$2:$E$4694,MATCH($A1647&amp;"|8",Positions!$A$2:$A$4694,0))</f>
        <v>U</v>
      </c>
      <c r="G1647" s="23" t="str">
        <f>INDEX(Positions!$E$2:$E$4694,MATCH($A1647&amp;"|14",Positions!$A$2:$A$4694,0))</f>
        <v>A</v>
      </c>
      <c r="H1647" s="24" t="str">
        <f t="shared" si="100"/>
        <v>U-A</v>
      </c>
      <c r="I1647" s="23">
        <f t="shared" si="101"/>
        <v>0</v>
      </c>
      <c r="J1647" s="23">
        <f t="shared" si="102"/>
        <v>0</v>
      </c>
      <c r="K1647" s="24">
        <f t="shared" si="103"/>
        <v>0</v>
      </c>
    </row>
    <row r="1648" spans="1:11">
      <c r="A1648" s="23" t="s">
        <v>95</v>
      </c>
      <c r="B1648" s="23" t="s">
        <v>241</v>
      </c>
      <c r="C1648" s="23" t="s">
        <v>243</v>
      </c>
      <c r="D1648" s="23">
        <f>INDEX(Positions!$D$2:$D$4694,MATCH($A1648&amp;"|15",Positions!$A$2:$A$4694,0))</f>
        <v>15</v>
      </c>
      <c r="E1648" s="23">
        <f>INDEX(Positions!$D$2:$D$4694,MATCH($A1648&amp;"|48",Positions!$A$2:$A$4694,0))</f>
        <v>48</v>
      </c>
      <c r="F1648" s="23" t="str">
        <f>INDEX(Positions!$E$2:$E$4694,MATCH($A1648&amp;"|15",Positions!$A$2:$A$4694,0))</f>
        <v>G</v>
      </c>
      <c r="G1648" s="23" t="str">
        <f>INDEX(Positions!$E$2:$E$4694,MATCH($A1648&amp;"|48",Positions!$A$2:$A$4694,0))</f>
        <v>C</v>
      </c>
      <c r="H1648" s="24" t="str">
        <f t="shared" si="100"/>
        <v>G-C</v>
      </c>
      <c r="I1648" s="23">
        <f t="shared" si="101"/>
        <v>1</v>
      </c>
      <c r="J1648" s="23">
        <f t="shared" si="102"/>
        <v>1</v>
      </c>
      <c r="K1648" s="24">
        <f t="shared" si="103"/>
        <v>2</v>
      </c>
    </row>
    <row r="1649" spans="1:11">
      <c r="A1649" s="23" t="s">
        <v>95</v>
      </c>
      <c r="B1649" s="23" t="s">
        <v>241</v>
      </c>
      <c r="C1649" s="23" t="s">
        <v>244</v>
      </c>
      <c r="D1649" s="23">
        <f>INDEX(Positions!$D$2:$D$4694,MATCH($A1649&amp;"|18",Positions!$A$2:$A$4694,0))</f>
        <v>19</v>
      </c>
      <c r="E1649" s="23">
        <f>INDEX(Positions!$D$2:$D$4694,MATCH($A1649&amp;"|55",Positions!$A$2:$A$4694,0))</f>
        <v>55</v>
      </c>
      <c r="F1649" s="23" t="str">
        <f>INDEX(Positions!$E$2:$E$4694,MATCH($A1649&amp;"|18",Positions!$A$2:$A$4694,0))</f>
        <v>G</v>
      </c>
      <c r="G1649" s="23" t="str">
        <f>INDEX(Positions!$E$2:$E$4694,MATCH($A1649&amp;"|55",Positions!$A$2:$A$4694,0))</f>
        <v>U</v>
      </c>
      <c r="H1649" s="24" t="str">
        <f t="shared" si="100"/>
        <v>G-U</v>
      </c>
      <c r="I1649" s="23">
        <f t="shared" si="101"/>
        <v>1</v>
      </c>
      <c r="J1649" s="23">
        <f t="shared" si="102"/>
        <v>0</v>
      </c>
      <c r="K1649" s="24">
        <f t="shared" si="103"/>
        <v>1</v>
      </c>
    </row>
    <row r="1650" spans="1:11">
      <c r="A1650" s="23" t="s">
        <v>95</v>
      </c>
      <c r="B1650" s="23" t="s">
        <v>241</v>
      </c>
      <c r="C1650" s="23" t="s">
        <v>245</v>
      </c>
      <c r="D1650" s="23">
        <f>INDEX(Positions!$D$2:$D$4694,MATCH($A1650&amp;"|19",Positions!$A$2:$A$4694,0))</f>
        <v>20</v>
      </c>
      <c r="E1650" s="23">
        <f>INDEX(Positions!$D$2:$D$4694,MATCH($A1650&amp;"|56",Positions!$A$2:$A$4694,0))</f>
        <v>56</v>
      </c>
      <c r="F1650" s="23" t="str">
        <f>INDEX(Positions!$E$2:$E$4694,MATCH($A1650&amp;"|19",Positions!$A$2:$A$4694,0))</f>
        <v>A</v>
      </c>
      <c r="G1650" s="23" t="str">
        <f>INDEX(Positions!$E$2:$E$4694,MATCH($A1650&amp;"|56",Positions!$A$2:$A$4694,0))</f>
        <v>C</v>
      </c>
      <c r="H1650" s="24" t="str">
        <f t="shared" si="100"/>
        <v>A-C</v>
      </c>
      <c r="I1650" s="23">
        <f t="shared" si="101"/>
        <v>0</v>
      </c>
      <c r="J1650" s="23">
        <f t="shared" si="102"/>
        <v>1</v>
      </c>
      <c r="K1650" s="24">
        <f t="shared" si="103"/>
        <v>1</v>
      </c>
    </row>
    <row r="1651" spans="1:11">
      <c r="A1651" s="23" t="s">
        <v>95</v>
      </c>
      <c r="B1651" s="23" t="s">
        <v>241</v>
      </c>
      <c r="C1651" s="23" t="s">
        <v>246</v>
      </c>
      <c r="D1651" s="23">
        <f>INDEX(Positions!$D$2:$D$4694,MATCH($A1651&amp;"|26",Positions!$A$2:$A$4694,0))</f>
        <v>27</v>
      </c>
      <c r="E1651" s="23">
        <f>INDEX(Positions!$D$2:$D$4694,MATCH($A1651&amp;"|44",Positions!$A$2:$A$4694,0))</f>
        <v>44</v>
      </c>
      <c r="F1651" s="23" t="str">
        <f>INDEX(Positions!$E$2:$E$4694,MATCH($A1651&amp;"|26",Positions!$A$2:$A$4694,0))</f>
        <v>G</v>
      </c>
      <c r="G1651" s="23" t="str">
        <f>INDEX(Positions!$E$2:$E$4694,MATCH($A1651&amp;"|44",Positions!$A$2:$A$4694,0))</f>
        <v>A</v>
      </c>
      <c r="H1651" s="24" t="str">
        <f t="shared" si="100"/>
        <v>G-A</v>
      </c>
      <c r="I1651" s="23">
        <f t="shared" si="101"/>
        <v>1</v>
      </c>
      <c r="J1651" s="23">
        <f t="shared" si="102"/>
        <v>0</v>
      </c>
      <c r="K1651" s="24">
        <f t="shared" si="103"/>
        <v>1</v>
      </c>
    </row>
    <row r="1652" spans="1:11">
      <c r="A1652" s="23" t="s">
        <v>95</v>
      </c>
      <c r="B1652" s="23" t="s">
        <v>241</v>
      </c>
      <c r="C1652" s="23" t="s">
        <v>247</v>
      </c>
      <c r="D1652" s="23">
        <f>INDEX(Positions!$D$2:$D$4694,MATCH($A1652&amp;"|32",Positions!$A$2:$A$4694,0))</f>
        <v>33</v>
      </c>
      <c r="E1652" s="23">
        <f>INDEX(Positions!$D$2:$D$4694,MATCH($A1652&amp;"|38",Positions!$A$2:$A$4694,0))</f>
        <v>38</v>
      </c>
      <c r="F1652" s="23" t="str">
        <f>INDEX(Positions!$E$2:$E$4694,MATCH($A1652&amp;"|32",Positions!$A$2:$A$4694,0))</f>
        <v>C</v>
      </c>
      <c r="G1652" s="23" t="str">
        <f>INDEX(Positions!$E$2:$E$4694,MATCH($A1652&amp;"|38",Positions!$A$2:$A$4694,0))</f>
        <v>A</v>
      </c>
      <c r="H1652" s="24" t="str">
        <f t="shared" si="100"/>
        <v>C-A</v>
      </c>
      <c r="I1652" s="23">
        <f t="shared" si="101"/>
        <v>0</v>
      </c>
      <c r="J1652" s="23">
        <f t="shared" si="102"/>
        <v>1</v>
      </c>
      <c r="K1652" s="24">
        <f t="shared" si="103"/>
        <v>1</v>
      </c>
    </row>
    <row r="1653" spans="1:11">
      <c r="A1653" s="23" t="s">
        <v>95</v>
      </c>
      <c r="B1653" s="23" t="s">
        <v>241</v>
      </c>
      <c r="C1653" s="23" t="s">
        <v>248</v>
      </c>
      <c r="D1653" s="23">
        <f>INDEX(Positions!$D$2:$D$4694,MATCH($A1653&amp;"|54",Positions!$A$2:$A$4694,0))</f>
        <v>54</v>
      </c>
      <c r="E1653" s="23">
        <f>INDEX(Positions!$D$2:$D$4694,MATCH($A1653&amp;"|58",Positions!$A$2:$A$4694,0))</f>
        <v>58</v>
      </c>
      <c r="F1653" s="23" t="str">
        <f>INDEX(Positions!$E$2:$E$4694,MATCH($A1653&amp;"|54",Positions!$A$2:$A$4694,0))</f>
        <v>U</v>
      </c>
      <c r="G1653" s="23" t="str">
        <f>INDEX(Positions!$E$2:$E$4694,MATCH($A1653&amp;"|58",Positions!$A$2:$A$4694,0))</f>
        <v>A</v>
      </c>
      <c r="H1653" s="24" t="str">
        <f t="shared" si="100"/>
        <v>U-A</v>
      </c>
      <c r="I1653" s="23">
        <f t="shared" si="101"/>
        <v>0</v>
      </c>
      <c r="J1653" s="23">
        <f t="shared" si="102"/>
        <v>0</v>
      </c>
      <c r="K1653" s="24">
        <f t="shared" si="103"/>
        <v>0</v>
      </c>
    </row>
    <row r="1654" spans="1:11">
      <c r="A1654" s="4" t="s">
        <v>96</v>
      </c>
      <c r="B1654" s="4" t="s">
        <v>110</v>
      </c>
      <c r="C1654" s="4" t="s">
        <v>220</v>
      </c>
      <c r="D1654" s="4">
        <f>INDEX(Positions!$D$2:$D$4694,MATCH($A1654&amp;"|1",Positions!$A$2:$A$4694,0))</f>
        <v>1</v>
      </c>
      <c r="E1654" s="4">
        <f>INDEX(Positions!$D$2:$D$4694,MATCH($A1654&amp;"|72",Positions!$A$2:$A$4694,0))</f>
        <v>73</v>
      </c>
      <c r="F1654" s="4" t="str">
        <f>INDEX(Positions!$E$2:$E$4694,MATCH($A1654&amp;"|1",Positions!$A$2:$A$4694,0))</f>
        <v>G</v>
      </c>
      <c r="G1654" s="4" t="str">
        <f>INDEX(Positions!$E$2:$E$4694,MATCH($A1654&amp;"|72",Positions!$A$2:$A$4694,0))</f>
        <v>C</v>
      </c>
      <c r="H1654" s="3" t="str">
        <f t="shared" si="100"/>
        <v>G-C</v>
      </c>
      <c r="I1654" s="4">
        <f t="shared" si="101"/>
        <v>1</v>
      </c>
      <c r="J1654" s="4">
        <f t="shared" si="102"/>
        <v>1</v>
      </c>
      <c r="K1654" s="3">
        <f t="shared" si="103"/>
        <v>2</v>
      </c>
    </row>
    <row r="1655" spans="1:11">
      <c r="A1655" s="4" t="s">
        <v>96</v>
      </c>
      <c r="B1655" s="4" t="s">
        <v>110</v>
      </c>
      <c r="C1655" s="4" t="s">
        <v>221</v>
      </c>
      <c r="D1655" s="4">
        <f>INDEX(Positions!$D$2:$D$4694,MATCH($A1655&amp;"|2",Positions!$A$2:$A$4694,0))</f>
        <v>2</v>
      </c>
      <c r="E1655" s="4">
        <f>INDEX(Positions!$D$2:$D$4694,MATCH($A1655&amp;"|71",Positions!$A$2:$A$4694,0))</f>
        <v>72</v>
      </c>
      <c r="F1655" s="4" t="str">
        <f>INDEX(Positions!$E$2:$E$4694,MATCH($A1655&amp;"|2",Positions!$A$2:$A$4694,0))</f>
        <v>G</v>
      </c>
      <c r="G1655" s="4" t="str">
        <f>INDEX(Positions!$E$2:$E$4694,MATCH($A1655&amp;"|71",Positions!$A$2:$A$4694,0))</f>
        <v>C</v>
      </c>
      <c r="H1655" s="3" t="str">
        <f t="shared" si="100"/>
        <v>G-C</v>
      </c>
      <c r="I1655" s="4">
        <f t="shared" si="101"/>
        <v>1</v>
      </c>
      <c r="J1655" s="4">
        <f t="shared" si="102"/>
        <v>1</v>
      </c>
      <c r="K1655" s="3">
        <f t="shared" si="103"/>
        <v>2</v>
      </c>
    </row>
    <row r="1656" spans="1:11">
      <c r="A1656" s="4" t="s">
        <v>96</v>
      </c>
      <c r="B1656" s="4" t="s">
        <v>110</v>
      </c>
      <c r="C1656" s="4" t="s">
        <v>222</v>
      </c>
      <c r="D1656" s="4">
        <f>INDEX(Positions!$D$2:$D$4694,MATCH($A1656&amp;"|3",Positions!$A$2:$A$4694,0))</f>
        <v>3</v>
      </c>
      <c r="E1656" s="4">
        <f>INDEX(Positions!$D$2:$D$4694,MATCH($A1656&amp;"|70",Positions!$A$2:$A$4694,0))</f>
        <v>71</v>
      </c>
      <c r="F1656" s="4" t="str">
        <f>INDEX(Positions!$E$2:$E$4694,MATCH($A1656&amp;"|3",Positions!$A$2:$A$4694,0))</f>
        <v>G</v>
      </c>
      <c r="G1656" s="4" t="str">
        <f>INDEX(Positions!$E$2:$E$4694,MATCH($A1656&amp;"|70",Positions!$A$2:$A$4694,0))</f>
        <v>C</v>
      </c>
      <c r="H1656" s="3" t="str">
        <f t="shared" si="100"/>
        <v>G-C</v>
      </c>
      <c r="I1656" s="4">
        <f t="shared" si="101"/>
        <v>1</v>
      </c>
      <c r="J1656" s="4">
        <f t="shared" si="102"/>
        <v>1</v>
      </c>
      <c r="K1656" s="3">
        <f t="shared" si="103"/>
        <v>2</v>
      </c>
    </row>
    <row r="1657" spans="1:11">
      <c r="A1657" s="4" t="s">
        <v>96</v>
      </c>
      <c r="B1657" s="4" t="s">
        <v>110</v>
      </c>
      <c r="C1657" s="4" t="s">
        <v>223</v>
      </c>
      <c r="D1657" s="4">
        <f>INDEX(Positions!$D$2:$D$4694,MATCH($A1657&amp;"|4",Positions!$A$2:$A$4694,0))</f>
        <v>4</v>
      </c>
      <c r="E1657" s="4">
        <f>INDEX(Positions!$D$2:$D$4694,MATCH($A1657&amp;"|69",Positions!$A$2:$A$4694,0))</f>
        <v>70</v>
      </c>
      <c r="F1657" s="4" t="str">
        <f>INDEX(Positions!$E$2:$E$4694,MATCH($A1657&amp;"|4",Positions!$A$2:$A$4694,0))</f>
        <v>C</v>
      </c>
      <c r="G1657" s="4" t="str">
        <f>INDEX(Positions!$E$2:$E$4694,MATCH($A1657&amp;"|69",Positions!$A$2:$A$4694,0))</f>
        <v>G</v>
      </c>
      <c r="H1657" s="3" t="str">
        <f t="shared" si="100"/>
        <v>C-G</v>
      </c>
      <c r="I1657" s="4">
        <f t="shared" si="101"/>
        <v>1</v>
      </c>
      <c r="J1657" s="4">
        <f t="shared" si="102"/>
        <v>1</v>
      </c>
      <c r="K1657" s="3">
        <f t="shared" si="103"/>
        <v>2</v>
      </c>
    </row>
    <row r="1658" spans="1:11">
      <c r="A1658" s="4" t="s">
        <v>96</v>
      </c>
      <c r="B1658" s="4" t="s">
        <v>110</v>
      </c>
      <c r="C1658" s="4" t="s">
        <v>224</v>
      </c>
      <c r="D1658" s="4">
        <f>INDEX(Positions!$D$2:$D$4694,MATCH($A1658&amp;"|5",Positions!$A$2:$A$4694,0))</f>
        <v>5</v>
      </c>
      <c r="E1658" s="4">
        <f>INDEX(Positions!$D$2:$D$4694,MATCH($A1658&amp;"|68",Positions!$A$2:$A$4694,0))</f>
        <v>69</v>
      </c>
      <c r="F1658" s="4" t="str">
        <f>INDEX(Positions!$E$2:$E$4694,MATCH($A1658&amp;"|5",Positions!$A$2:$A$4694,0))</f>
        <v>U</v>
      </c>
      <c r="G1658" s="4" t="str">
        <f>INDEX(Positions!$E$2:$E$4694,MATCH($A1658&amp;"|68",Positions!$A$2:$A$4694,0))</f>
        <v>G</v>
      </c>
      <c r="H1658" s="3" t="str">
        <f t="shared" si="100"/>
        <v>U-G</v>
      </c>
      <c r="I1658" s="4">
        <f t="shared" si="101"/>
        <v>1</v>
      </c>
      <c r="J1658" s="4">
        <f t="shared" si="102"/>
        <v>0</v>
      </c>
      <c r="K1658" s="3">
        <f t="shared" si="103"/>
        <v>1</v>
      </c>
    </row>
    <row r="1659" spans="1:11">
      <c r="A1659" s="4" t="s">
        <v>96</v>
      </c>
      <c r="B1659" s="4" t="s">
        <v>110</v>
      </c>
      <c r="C1659" s="4" t="s">
        <v>225</v>
      </c>
      <c r="D1659" s="4">
        <f>INDEX(Positions!$D$2:$D$4694,MATCH($A1659&amp;"|6",Positions!$A$2:$A$4694,0))</f>
        <v>6</v>
      </c>
      <c r="E1659" s="4">
        <f>INDEX(Positions!$D$2:$D$4694,MATCH($A1659&amp;"|67",Positions!$A$2:$A$4694,0))</f>
        <v>68</v>
      </c>
      <c r="F1659" s="4" t="str">
        <f>INDEX(Positions!$E$2:$E$4694,MATCH($A1659&amp;"|6",Positions!$A$2:$A$4694,0))</f>
        <v>C</v>
      </c>
      <c r="G1659" s="4" t="str">
        <f>INDEX(Positions!$E$2:$E$4694,MATCH($A1659&amp;"|67",Positions!$A$2:$A$4694,0))</f>
        <v>G</v>
      </c>
      <c r="H1659" s="3" t="str">
        <f t="shared" si="100"/>
        <v>C-G</v>
      </c>
      <c r="I1659" s="4">
        <f t="shared" si="101"/>
        <v>1</v>
      </c>
      <c r="J1659" s="4">
        <f t="shared" si="102"/>
        <v>1</v>
      </c>
      <c r="K1659" s="3">
        <f t="shared" si="103"/>
        <v>2</v>
      </c>
    </row>
    <row r="1660" spans="1:11">
      <c r="A1660" s="4" t="s">
        <v>96</v>
      </c>
      <c r="B1660" s="4" t="s">
        <v>110</v>
      </c>
      <c r="C1660" s="4" t="s">
        <v>226</v>
      </c>
      <c r="D1660" s="4">
        <f>INDEX(Positions!$D$2:$D$4694,MATCH($A1660&amp;"|7",Positions!$A$2:$A$4694,0))</f>
        <v>7</v>
      </c>
      <c r="E1660" s="4">
        <f>INDEX(Positions!$D$2:$D$4694,MATCH($A1660&amp;"|66",Positions!$A$2:$A$4694,0))</f>
        <v>67</v>
      </c>
      <c r="F1660" s="4" t="str">
        <f>INDEX(Positions!$E$2:$E$4694,MATCH($A1660&amp;"|7",Positions!$A$2:$A$4694,0))</f>
        <v>G</v>
      </c>
      <c r="G1660" s="4" t="str">
        <f>INDEX(Positions!$E$2:$E$4694,MATCH($A1660&amp;"|66",Positions!$A$2:$A$4694,0))</f>
        <v>C</v>
      </c>
      <c r="H1660" s="3" t="str">
        <f t="shared" si="100"/>
        <v>G-C</v>
      </c>
      <c r="I1660" s="4">
        <f t="shared" si="101"/>
        <v>1</v>
      </c>
      <c r="J1660" s="4">
        <f t="shared" si="102"/>
        <v>1</v>
      </c>
      <c r="K1660" s="3">
        <f t="shared" si="103"/>
        <v>2</v>
      </c>
    </row>
    <row r="1661" spans="1:11">
      <c r="A1661" s="4" t="s">
        <v>96</v>
      </c>
      <c r="B1661" s="4" t="s">
        <v>125</v>
      </c>
      <c r="C1661" s="4" t="s">
        <v>227</v>
      </c>
      <c r="D1661" s="4">
        <f>INDEX(Positions!$D$2:$D$4694,MATCH($A1661&amp;"|10",Positions!$A$2:$A$4694,0))</f>
        <v>10</v>
      </c>
      <c r="E1661" s="4">
        <f>INDEX(Positions!$D$2:$D$4694,MATCH($A1661&amp;"|25",Positions!$A$2:$A$4694,0))</f>
        <v>26</v>
      </c>
      <c r="F1661" s="4" t="str">
        <f>INDEX(Positions!$E$2:$E$4694,MATCH($A1661&amp;"|10",Positions!$A$2:$A$4694,0))</f>
        <v>G</v>
      </c>
      <c r="G1661" s="4" t="str">
        <f>INDEX(Positions!$E$2:$E$4694,MATCH($A1661&amp;"|25",Positions!$A$2:$A$4694,0))</f>
        <v>C</v>
      </c>
      <c r="H1661" s="3" t="str">
        <f t="shared" si="100"/>
        <v>G-C</v>
      </c>
      <c r="I1661" s="4">
        <f t="shared" si="101"/>
        <v>1</v>
      </c>
      <c r="J1661" s="4">
        <f t="shared" si="102"/>
        <v>1</v>
      </c>
      <c r="K1661" s="3">
        <f t="shared" si="103"/>
        <v>2</v>
      </c>
    </row>
    <row r="1662" spans="1:11">
      <c r="A1662" s="4" t="s">
        <v>96</v>
      </c>
      <c r="B1662" s="4" t="s">
        <v>125</v>
      </c>
      <c r="C1662" s="4" t="s">
        <v>228</v>
      </c>
      <c r="D1662" s="4">
        <f>INDEX(Positions!$D$2:$D$4694,MATCH($A1662&amp;"|11",Positions!$A$2:$A$4694,0))</f>
        <v>11</v>
      </c>
      <c r="E1662" s="4">
        <f>INDEX(Positions!$D$2:$D$4694,MATCH($A1662&amp;"|24",Positions!$A$2:$A$4694,0))</f>
        <v>25</v>
      </c>
      <c r="F1662" s="4" t="str">
        <f>INDEX(Positions!$E$2:$E$4694,MATCH($A1662&amp;"|11",Positions!$A$2:$A$4694,0))</f>
        <v>U</v>
      </c>
      <c r="G1662" s="4" t="str">
        <f>INDEX(Positions!$E$2:$E$4694,MATCH($A1662&amp;"|24",Positions!$A$2:$A$4694,0))</f>
        <v>A</v>
      </c>
      <c r="H1662" s="3" t="str">
        <f t="shared" si="100"/>
        <v>U-A</v>
      </c>
      <c r="I1662" s="4">
        <f t="shared" si="101"/>
        <v>0</v>
      </c>
      <c r="J1662" s="4">
        <f t="shared" si="102"/>
        <v>0</v>
      </c>
      <c r="K1662" s="3">
        <f t="shared" si="103"/>
        <v>0</v>
      </c>
    </row>
    <row r="1663" spans="1:11">
      <c r="A1663" s="4" t="s">
        <v>96</v>
      </c>
      <c r="B1663" s="4" t="s">
        <v>125</v>
      </c>
      <c r="C1663" s="4" t="s">
        <v>229</v>
      </c>
      <c r="D1663" s="4">
        <f>INDEX(Positions!$D$2:$D$4694,MATCH($A1663&amp;"|12",Positions!$A$2:$A$4694,0))</f>
        <v>12</v>
      </c>
      <c r="E1663" s="4">
        <f>INDEX(Positions!$D$2:$D$4694,MATCH($A1663&amp;"|23",Positions!$A$2:$A$4694,0))</f>
        <v>24</v>
      </c>
      <c r="F1663" s="4" t="str">
        <f>INDEX(Positions!$E$2:$E$4694,MATCH($A1663&amp;"|12",Positions!$A$2:$A$4694,0))</f>
        <v>C</v>
      </c>
      <c r="G1663" s="4" t="str">
        <f>INDEX(Positions!$E$2:$E$4694,MATCH($A1663&amp;"|23",Positions!$A$2:$A$4694,0))</f>
        <v>G</v>
      </c>
      <c r="H1663" s="3" t="str">
        <f t="shared" si="100"/>
        <v>C-G</v>
      </c>
      <c r="I1663" s="4">
        <f t="shared" si="101"/>
        <v>1</v>
      </c>
      <c r="J1663" s="4">
        <f t="shared" si="102"/>
        <v>1</v>
      </c>
      <c r="K1663" s="3">
        <f t="shared" si="103"/>
        <v>2</v>
      </c>
    </row>
    <row r="1664" spans="1:11">
      <c r="A1664" s="4" t="s">
        <v>96</v>
      </c>
      <c r="B1664" s="4" t="s">
        <v>125</v>
      </c>
      <c r="C1664" s="4" t="s">
        <v>230</v>
      </c>
      <c r="D1664" s="4">
        <f>INDEX(Positions!$D$2:$D$4694,MATCH($A1664&amp;"|13",Positions!$A$2:$A$4694,0))</f>
        <v>13</v>
      </c>
      <c r="E1664" s="4">
        <f>INDEX(Positions!$D$2:$D$4694,MATCH($A1664&amp;"|22",Positions!$A$2:$A$4694,0))</f>
        <v>23</v>
      </c>
      <c r="F1664" s="4" t="str">
        <f>INDEX(Positions!$E$2:$E$4694,MATCH($A1664&amp;"|13",Positions!$A$2:$A$4694,0))</f>
        <v>U</v>
      </c>
      <c r="G1664" s="4" t="str">
        <f>INDEX(Positions!$E$2:$E$4694,MATCH($A1664&amp;"|22",Positions!$A$2:$A$4694,0))</f>
        <v>U</v>
      </c>
      <c r="H1664" s="3" t="str">
        <f t="shared" si="100"/>
        <v>U-U</v>
      </c>
      <c r="I1664" s="4">
        <f t="shared" si="101"/>
        <v>0</v>
      </c>
      <c r="J1664" s="4">
        <f t="shared" si="102"/>
        <v>0</v>
      </c>
      <c r="K1664" s="3">
        <f t="shared" si="103"/>
        <v>0</v>
      </c>
    </row>
    <row r="1665" spans="1:11">
      <c r="A1665" s="4" t="s">
        <v>96</v>
      </c>
      <c r="B1665" s="4" t="s">
        <v>144</v>
      </c>
      <c r="C1665" s="4" t="s">
        <v>231</v>
      </c>
      <c r="D1665" s="4">
        <f>INDEX(Positions!$D$2:$D$4694,MATCH($A1665&amp;"|27",Positions!$A$2:$A$4694,0))</f>
        <v>28</v>
      </c>
      <c r="E1665" s="4">
        <f>INDEX(Positions!$D$2:$D$4694,MATCH($A1665&amp;"|43",Positions!$A$2:$A$4694,0))</f>
        <v>44</v>
      </c>
      <c r="F1665" s="4" t="str">
        <f>INDEX(Positions!$E$2:$E$4694,MATCH($A1665&amp;"|27",Positions!$A$2:$A$4694,0))</f>
        <v>U</v>
      </c>
      <c r="G1665" s="4" t="str">
        <f>INDEX(Positions!$E$2:$E$4694,MATCH($A1665&amp;"|43",Positions!$A$2:$A$4694,0))</f>
        <v>G</v>
      </c>
      <c r="H1665" s="3" t="str">
        <f t="shared" si="100"/>
        <v>U-G</v>
      </c>
      <c r="I1665" s="4">
        <f t="shared" si="101"/>
        <v>1</v>
      </c>
      <c r="J1665" s="4">
        <f t="shared" si="102"/>
        <v>0</v>
      </c>
      <c r="K1665" s="3">
        <f t="shared" si="103"/>
        <v>1</v>
      </c>
    </row>
    <row r="1666" spans="1:11">
      <c r="A1666" s="4" t="s">
        <v>96</v>
      </c>
      <c r="B1666" s="4" t="s">
        <v>144</v>
      </c>
      <c r="C1666" s="4" t="s">
        <v>232</v>
      </c>
      <c r="D1666" s="4">
        <f>INDEX(Positions!$D$2:$D$4694,MATCH($A1666&amp;"|28",Positions!$A$2:$A$4694,0))</f>
        <v>29</v>
      </c>
      <c r="E1666" s="4">
        <f>INDEX(Positions!$D$2:$D$4694,MATCH($A1666&amp;"|42",Positions!$A$2:$A$4694,0))</f>
        <v>43</v>
      </c>
      <c r="F1666" s="4" t="str">
        <f>INDEX(Positions!$E$2:$E$4694,MATCH($A1666&amp;"|28",Positions!$A$2:$A$4694,0))</f>
        <v>C</v>
      </c>
      <c r="G1666" s="4" t="str">
        <f>INDEX(Positions!$E$2:$E$4694,MATCH($A1666&amp;"|42",Positions!$A$2:$A$4694,0))</f>
        <v>G</v>
      </c>
      <c r="H1666" s="3" t="str">
        <f t="shared" ref="H1666:H1729" si="104">F1666&amp;"-"&amp;G1666</f>
        <v>C-G</v>
      </c>
      <c r="I1666" s="4">
        <f t="shared" ref="I1666:I1729" si="105">(F1666="G")+(G1666="G")</f>
        <v>1</v>
      </c>
      <c r="J1666" s="4">
        <f t="shared" ref="J1666:J1729" si="106">(F1666="C")+(G1666="C")</f>
        <v>1</v>
      </c>
      <c r="K1666" s="3">
        <f t="shared" ref="K1666:K1729" si="107">I1666+J1666</f>
        <v>2</v>
      </c>
    </row>
    <row r="1667" spans="1:11">
      <c r="A1667" s="4" t="s">
        <v>96</v>
      </c>
      <c r="B1667" s="4" t="s">
        <v>144</v>
      </c>
      <c r="C1667" s="4" t="s">
        <v>233</v>
      </c>
      <c r="D1667" s="4">
        <f>INDEX(Positions!$D$2:$D$4694,MATCH($A1667&amp;"|29",Positions!$A$2:$A$4694,0))</f>
        <v>30</v>
      </c>
      <c r="E1667" s="4">
        <f>INDEX(Positions!$D$2:$D$4694,MATCH($A1667&amp;"|41",Positions!$A$2:$A$4694,0))</f>
        <v>42</v>
      </c>
      <c r="F1667" s="4" t="str">
        <f>INDEX(Positions!$E$2:$E$4694,MATCH($A1667&amp;"|29",Positions!$A$2:$A$4694,0))</f>
        <v>G</v>
      </c>
      <c r="G1667" s="4" t="str">
        <f>INDEX(Positions!$E$2:$E$4694,MATCH($A1667&amp;"|41",Positions!$A$2:$A$4694,0))</f>
        <v>C</v>
      </c>
      <c r="H1667" s="3" t="str">
        <f t="shared" si="104"/>
        <v>G-C</v>
      </c>
      <c r="I1667" s="4">
        <f t="shared" si="105"/>
        <v>1</v>
      </c>
      <c r="J1667" s="4">
        <f t="shared" si="106"/>
        <v>1</v>
      </c>
      <c r="K1667" s="3">
        <f t="shared" si="107"/>
        <v>2</v>
      </c>
    </row>
    <row r="1668" spans="1:11">
      <c r="A1668" s="4" t="s">
        <v>96</v>
      </c>
      <c r="B1668" s="4" t="s">
        <v>144</v>
      </c>
      <c r="C1668" s="4" t="s">
        <v>234</v>
      </c>
      <c r="D1668" s="4">
        <f>INDEX(Positions!$D$2:$D$4694,MATCH($A1668&amp;"|30",Positions!$A$2:$A$4694,0))</f>
        <v>31</v>
      </c>
      <c r="E1668" s="4">
        <f>INDEX(Positions!$D$2:$D$4694,MATCH($A1668&amp;"|40",Positions!$A$2:$A$4694,0))</f>
        <v>41</v>
      </c>
      <c r="F1668" s="4" t="str">
        <f>INDEX(Positions!$E$2:$E$4694,MATCH($A1668&amp;"|30",Positions!$A$2:$A$4694,0))</f>
        <v>C</v>
      </c>
      <c r="G1668" s="4" t="str">
        <f>INDEX(Positions!$E$2:$E$4694,MATCH($A1668&amp;"|40",Positions!$A$2:$A$4694,0))</f>
        <v>G</v>
      </c>
      <c r="H1668" s="3" t="str">
        <f t="shared" si="104"/>
        <v>C-G</v>
      </c>
      <c r="I1668" s="4">
        <f t="shared" si="105"/>
        <v>1</v>
      </c>
      <c r="J1668" s="4">
        <f t="shared" si="106"/>
        <v>1</v>
      </c>
      <c r="K1668" s="3">
        <f t="shared" si="107"/>
        <v>2</v>
      </c>
    </row>
    <row r="1669" spans="1:11">
      <c r="A1669" s="4" t="s">
        <v>96</v>
      </c>
      <c r="B1669" s="4" t="s">
        <v>144</v>
      </c>
      <c r="C1669" s="4" t="s">
        <v>235</v>
      </c>
      <c r="D1669" s="4">
        <f>INDEX(Positions!$D$2:$D$4694,MATCH($A1669&amp;"|31",Positions!$A$2:$A$4694,0))</f>
        <v>32</v>
      </c>
      <c r="E1669" s="4">
        <f>INDEX(Positions!$D$2:$D$4694,MATCH($A1669&amp;"|39",Positions!$A$2:$A$4694,0))</f>
        <v>40</v>
      </c>
      <c r="F1669" s="4" t="str">
        <f>INDEX(Positions!$E$2:$E$4694,MATCH($A1669&amp;"|31",Positions!$A$2:$A$4694,0))</f>
        <v>C</v>
      </c>
      <c r="G1669" s="4" t="str">
        <f>INDEX(Positions!$E$2:$E$4694,MATCH($A1669&amp;"|39",Positions!$A$2:$A$4694,0))</f>
        <v>G</v>
      </c>
      <c r="H1669" s="3" t="str">
        <f t="shared" si="104"/>
        <v>C-G</v>
      </c>
      <c r="I1669" s="4">
        <f t="shared" si="105"/>
        <v>1</v>
      </c>
      <c r="J1669" s="4">
        <f t="shared" si="106"/>
        <v>1</v>
      </c>
      <c r="K1669" s="3">
        <f t="shared" si="107"/>
        <v>2</v>
      </c>
    </row>
    <row r="1670" spans="1:11">
      <c r="A1670" s="4" t="s">
        <v>96</v>
      </c>
      <c r="B1670" s="4" t="s">
        <v>169</v>
      </c>
      <c r="C1670" s="4" t="s">
        <v>236</v>
      </c>
      <c r="D1670" s="4">
        <f>INDEX(Positions!$D$2:$D$4694,MATCH($A1670&amp;"|49",Positions!$A$2:$A$4694,0))</f>
        <v>50</v>
      </c>
      <c r="E1670" s="4">
        <f>INDEX(Positions!$D$2:$D$4694,MATCH($A1670&amp;"|65",Positions!$A$2:$A$4694,0))</f>
        <v>66</v>
      </c>
      <c r="F1670" s="4" t="str">
        <f>INDEX(Positions!$E$2:$E$4694,MATCH($A1670&amp;"|49",Positions!$A$2:$A$4694,0))</f>
        <v>C</v>
      </c>
      <c r="G1670" s="4" t="str">
        <f>INDEX(Positions!$E$2:$E$4694,MATCH($A1670&amp;"|65",Positions!$A$2:$A$4694,0))</f>
        <v>G</v>
      </c>
      <c r="H1670" s="3" t="str">
        <f t="shared" si="104"/>
        <v>C-G</v>
      </c>
      <c r="I1670" s="4">
        <f t="shared" si="105"/>
        <v>1</v>
      </c>
      <c r="J1670" s="4">
        <f t="shared" si="106"/>
        <v>1</v>
      </c>
      <c r="K1670" s="3">
        <f t="shared" si="107"/>
        <v>2</v>
      </c>
    </row>
    <row r="1671" spans="1:11">
      <c r="A1671" s="4" t="s">
        <v>96</v>
      </c>
      <c r="B1671" s="4" t="s">
        <v>169</v>
      </c>
      <c r="C1671" s="4" t="s">
        <v>237</v>
      </c>
      <c r="D1671" s="4">
        <f>INDEX(Positions!$D$2:$D$4694,MATCH($A1671&amp;"|50",Positions!$A$2:$A$4694,0))</f>
        <v>51</v>
      </c>
      <c r="E1671" s="4">
        <f>INDEX(Positions!$D$2:$D$4694,MATCH($A1671&amp;"|64",Positions!$A$2:$A$4694,0))</f>
        <v>65</v>
      </c>
      <c r="F1671" s="4" t="str">
        <f>INDEX(Positions!$E$2:$E$4694,MATCH($A1671&amp;"|50",Positions!$A$2:$A$4694,0))</f>
        <v>U</v>
      </c>
      <c r="G1671" s="4" t="str">
        <f>INDEX(Positions!$E$2:$E$4694,MATCH($A1671&amp;"|64",Positions!$A$2:$A$4694,0))</f>
        <v>A</v>
      </c>
      <c r="H1671" s="3" t="str">
        <f t="shared" si="104"/>
        <v>U-A</v>
      </c>
      <c r="I1671" s="4">
        <f t="shared" si="105"/>
        <v>0</v>
      </c>
      <c r="J1671" s="4">
        <f t="shared" si="106"/>
        <v>0</v>
      </c>
      <c r="K1671" s="3">
        <f t="shared" si="107"/>
        <v>0</v>
      </c>
    </row>
    <row r="1672" spans="1:11">
      <c r="A1672" s="4" t="s">
        <v>96</v>
      </c>
      <c r="B1672" s="4" t="s">
        <v>169</v>
      </c>
      <c r="C1672" s="4" t="s">
        <v>238</v>
      </c>
      <c r="D1672" s="4">
        <f>INDEX(Positions!$D$2:$D$4694,MATCH($A1672&amp;"|51",Positions!$A$2:$A$4694,0))</f>
        <v>52</v>
      </c>
      <c r="E1672" s="4">
        <f>INDEX(Positions!$D$2:$D$4694,MATCH($A1672&amp;"|63",Positions!$A$2:$A$4694,0))</f>
        <v>64</v>
      </c>
      <c r="F1672" s="4" t="str">
        <f>INDEX(Positions!$E$2:$E$4694,MATCH($A1672&amp;"|51",Positions!$A$2:$A$4694,0))</f>
        <v>G</v>
      </c>
      <c r="G1672" s="4" t="str">
        <f>INDEX(Positions!$E$2:$E$4694,MATCH($A1672&amp;"|63",Positions!$A$2:$A$4694,0))</f>
        <v>C</v>
      </c>
      <c r="H1672" s="3" t="str">
        <f t="shared" si="104"/>
        <v>G-C</v>
      </c>
      <c r="I1672" s="4">
        <f t="shared" si="105"/>
        <v>1</v>
      </c>
      <c r="J1672" s="4">
        <f t="shared" si="106"/>
        <v>1</v>
      </c>
      <c r="K1672" s="3">
        <f t="shared" si="107"/>
        <v>2</v>
      </c>
    </row>
    <row r="1673" spans="1:11">
      <c r="A1673" s="4" t="s">
        <v>96</v>
      </c>
      <c r="B1673" s="4" t="s">
        <v>169</v>
      </c>
      <c r="C1673" s="4" t="s">
        <v>239</v>
      </c>
      <c r="D1673" s="4">
        <f>INDEX(Positions!$D$2:$D$4694,MATCH($A1673&amp;"|52",Positions!$A$2:$A$4694,0))</f>
        <v>53</v>
      </c>
      <c r="E1673" s="4">
        <f>INDEX(Positions!$D$2:$D$4694,MATCH($A1673&amp;"|62",Positions!$A$2:$A$4694,0))</f>
        <v>63</v>
      </c>
      <c r="F1673" s="4" t="str">
        <f>INDEX(Positions!$E$2:$E$4694,MATCH($A1673&amp;"|52",Positions!$A$2:$A$4694,0))</f>
        <v>G</v>
      </c>
      <c r="G1673" s="4" t="str">
        <f>INDEX(Positions!$E$2:$E$4694,MATCH($A1673&amp;"|62",Positions!$A$2:$A$4694,0))</f>
        <v>C</v>
      </c>
      <c r="H1673" s="3" t="str">
        <f t="shared" si="104"/>
        <v>G-C</v>
      </c>
      <c r="I1673" s="4">
        <f t="shared" si="105"/>
        <v>1</v>
      </c>
      <c r="J1673" s="4">
        <f t="shared" si="106"/>
        <v>1</v>
      </c>
      <c r="K1673" s="3">
        <f t="shared" si="107"/>
        <v>2</v>
      </c>
    </row>
    <row r="1674" spans="1:11">
      <c r="A1674" s="4" t="s">
        <v>96</v>
      </c>
      <c r="B1674" s="4" t="s">
        <v>169</v>
      </c>
      <c r="C1674" s="4" t="s">
        <v>240</v>
      </c>
      <c r="D1674" s="4">
        <f>INDEX(Positions!$D$2:$D$4694,MATCH($A1674&amp;"|53",Positions!$A$2:$A$4694,0))</f>
        <v>54</v>
      </c>
      <c r="E1674" s="4">
        <f>INDEX(Positions!$D$2:$D$4694,MATCH($A1674&amp;"|61",Positions!$A$2:$A$4694,0))</f>
        <v>62</v>
      </c>
      <c r="F1674" s="4" t="str">
        <f>INDEX(Positions!$E$2:$E$4694,MATCH($A1674&amp;"|53",Positions!$A$2:$A$4694,0))</f>
        <v>A</v>
      </c>
      <c r="G1674" s="4" t="str">
        <f>INDEX(Positions!$E$2:$E$4694,MATCH($A1674&amp;"|61",Positions!$A$2:$A$4694,0))</f>
        <v>U</v>
      </c>
      <c r="H1674" s="3" t="str">
        <f t="shared" si="104"/>
        <v>A-U</v>
      </c>
      <c r="I1674" s="4">
        <f t="shared" si="105"/>
        <v>0</v>
      </c>
      <c r="J1674" s="4">
        <f t="shared" si="106"/>
        <v>0</v>
      </c>
      <c r="K1674" s="3">
        <f t="shared" si="107"/>
        <v>0</v>
      </c>
    </row>
    <row r="1675" spans="1:11">
      <c r="A1675" s="23" t="s">
        <v>96</v>
      </c>
      <c r="B1675" s="23" t="s">
        <v>241</v>
      </c>
      <c r="C1675" s="23" t="s">
        <v>242</v>
      </c>
      <c r="D1675" s="23">
        <f>INDEX(Positions!$D$2:$D$4694,MATCH($A1675&amp;"|8",Positions!$A$2:$A$4694,0))</f>
        <v>8</v>
      </c>
      <c r="E1675" s="23">
        <f>INDEX(Positions!$D$2:$D$4694,MATCH($A1675&amp;"|14",Positions!$A$2:$A$4694,0))</f>
        <v>14</v>
      </c>
      <c r="F1675" s="23" t="str">
        <f>INDEX(Positions!$E$2:$E$4694,MATCH($A1675&amp;"|8",Positions!$A$2:$A$4694,0))</f>
        <v>U</v>
      </c>
      <c r="G1675" s="23" t="str">
        <f>INDEX(Positions!$E$2:$E$4694,MATCH($A1675&amp;"|14",Positions!$A$2:$A$4694,0))</f>
        <v>A</v>
      </c>
      <c r="H1675" s="24" t="str">
        <f t="shared" si="104"/>
        <v>U-A</v>
      </c>
      <c r="I1675" s="23">
        <f t="shared" si="105"/>
        <v>0</v>
      </c>
      <c r="J1675" s="23">
        <f t="shared" si="106"/>
        <v>0</v>
      </c>
      <c r="K1675" s="24">
        <f t="shared" si="107"/>
        <v>0</v>
      </c>
    </row>
    <row r="1676" spans="1:11">
      <c r="A1676" s="23" t="s">
        <v>96</v>
      </c>
      <c r="B1676" s="23" t="s">
        <v>241</v>
      </c>
      <c r="C1676" s="23" t="s">
        <v>243</v>
      </c>
      <c r="D1676" s="23">
        <f>INDEX(Positions!$D$2:$D$4694,MATCH($A1676&amp;"|15",Positions!$A$2:$A$4694,0))</f>
        <v>15</v>
      </c>
      <c r="E1676" s="23">
        <f>INDEX(Positions!$D$2:$D$4694,MATCH($A1676&amp;"|48",Positions!$A$2:$A$4694,0))</f>
        <v>49</v>
      </c>
      <c r="F1676" s="23" t="str">
        <f>INDEX(Positions!$E$2:$E$4694,MATCH($A1676&amp;"|15",Positions!$A$2:$A$4694,0))</f>
        <v>G</v>
      </c>
      <c r="G1676" s="23" t="str">
        <f>INDEX(Positions!$E$2:$E$4694,MATCH($A1676&amp;"|48",Positions!$A$2:$A$4694,0))</f>
        <v>C</v>
      </c>
      <c r="H1676" s="24" t="str">
        <f t="shared" si="104"/>
        <v>G-C</v>
      </c>
      <c r="I1676" s="23">
        <f t="shared" si="105"/>
        <v>1</v>
      </c>
      <c r="J1676" s="23">
        <f t="shared" si="106"/>
        <v>1</v>
      </c>
      <c r="K1676" s="24">
        <f t="shared" si="107"/>
        <v>2</v>
      </c>
    </row>
    <row r="1677" spans="1:11">
      <c r="A1677" s="23" t="s">
        <v>96</v>
      </c>
      <c r="B1677" s="23" t="s">
        <v>241</v>
      </c>
      <c r="C1677" s="23" t="s">
        <v>244</v>
      </c>
      <c r="D1677" s="23">
        <f>INDEX(Positions!$D$2:$D$4694,MATCH($A1677&amp;"|18",Positions!$A$2:$A$4694,0))</f>
        <v>18</v>
      </c>
      <c r="E1677" s="23">
        <f>INDEX(Positions!$D$2:$D$4694,MATCH($A1677&amp;"|55",Positions!$A$2:$A$4694,0))</f>
        <v>56</v>
      </c>
      <c r="F1677" s="23" t="str">
        <f>INDEX(Positions!$E$2:$E$4694,MATCH($A1677&amp;"|18",Positions!$A$2:$A$4694,0))</f>
        <v>G</v>
      </c>
      <c r="G1677" s="23" t="str">
        <f>INDEX(Positions!$E$2:$E$4694,MATCH($A1677&amp;"|55",Positions!$A$2:$A$4694,0))</f>
        <v>U</v>
      </c>
      <c r="H1677" s="24" t="str">
        <f t="shared" si="104"/>
        <v>G-U</v>
      </c>
      <c r="I1677" s="23">
        <f t="shared" si="105"/>
        <v>1</v>
      </c>
      <c r="J1677" s="23">
        <f t="shared" si="106"/>
        <v>0</v>
      </c>
      <c r="K1677" s="24">
        <f t="shared" si="107"/>
        <v>1</v>
      </c>
    </row>
    <row r="1678" spans="1:11">
      <c r="A1678" s="23" t="s">
        <v>96</v>
      </c>
      <c r="B1678" s="23" t="s">
        <v>241</v>
      </c>
      <c r="C1678" s="23" t="s">
        <v>245</v>
      </c>
      <c r="D1678" s="23">
        <f>INDEX(Positions!$D$2:$D$4694,MATCH($A1678&amp;"|19",Positions!$A$2:$A$4694,0))</f>
        <v>19</v>
      </c>
      <c r="E1678" s="23">
        <f>INDEX(Positions!$D$2:$D$4694,MATCH($A1678&amp;"|56",Positions!$A$2:$A$4694,0))</f>
        <v>57</v>
      </c>
      <c r="F1678" s="23" t="str">
        <f>INDEX(Positions!$E$2:$E$4694,MATCH($A1678&amp;"|19",Positions!$A$2:$A$4694,0))</f>
        <v>G</v>
      </c>
      <c r="G1678" s="23" t="str">
        <f>INDEX(Positions!$E$2:$E$4694,MATCH($A1678&amp;"|56",Positions!$A$2:$A$4694,0))</f>
        <v>C</v>
      </c>
      <c r="H1678" s="24" t="str">
        <f t="shared" si="104"/>
        <v>G-C</v>
      </c>
      <c r="I1678" s="23">
        <f t="shared" si="105"/>
        <v>1</v>
      </c>
      <c r="J1678" s="23">
        <f t="shared" si="106"/>
        <v>1</v>
      </c>
      <c r="K1678" s="24">
        <f t="shared" si="107"/>
        <v>2</v>
      </c>
    </row>
    <row r="1679" spans="1:11">
      <c r="A1679" s="23" t="s">
        <v>96</v>
      </c>
      <c r="B1679" s="23" t="s">
        <v>241</v>
      </c>
      <c r="C1679" s="23" t="s">
        <v>246</v>
      </c>
      <c r="D1679" s="23">
        <f>INDEX(Positions!$D$2:$D$4694,MATCH($A1679&amp;"|26",Positions!$A$2:$A$4694,0))</f>
        <v>27</v>
      </c>
      <c r="E1679" s="23">
        <f>INDEX(Positions!$D$2:$D$4694,MATCH($A1679&amp;"|44",Positions!$A$2:$A$4694,0))</f>
        <v>45</v>
      </c>
      <c r="F1679" s="23" t="str">
        <f>INDEX(Positions!$E$2:$E$4694,MATCH($A1679&amp;"|26",Positions!$A$2:$A$4694,0))</f>
        <v>G</v>
      </c>
      <c r="G1679" s="23" t="str">
        <f>INDEX(Positions!$E$2:$E$4694,MATCH($A1679&amp;"|44",Positions!$A$2:$A$4694,0))</f>
        <v>A</v>
      </c>
      <c r="H1679" s="24" t="str">
        <f t="shared" si="104"/>
        <v>G-A</v>
      </c>
      <c r="I1679" s="23">
        <f t="shared" si="105"/>
        <v>1</v>
      </c>
      <c r="J1679" s="23">
        <f t="shared" si="106"/>
        <v>0</v>
      </c>
      <c r="K1679" s="24">
        <f t="shared" si="107"/>
        <v>1</v>
      </c>
    </row>
    <row r="1680" spans="1:11">
      <c r="A1680" s="23" t="s">
        <v>96</v>
      </c>
      <c r="B1680" s="23" t="s">
        <v>241</v>
      </c>
      <c r="C1680" s="23" t="s">
        <v>247</v>
      </c>
      <c r="D1680" s="23">
        <f>INDEX(Positions!$D$2:$D$4694,MATCH($A1680&amp;"|32",Positions!$A$2:$A$4694,0))</f>
        <v>33</v>
      </c>
      <c r="E1680" s="23">
        <f>INDEX(Positions!$D$2:$D$4694,MATCH($A1680&amp;"|38",Positions!$A$2:$A$4694,0))</f>
        <v>39</v>
      </c>
      <c r="F1680" s="23" t="str">
        <f>INDEX(Positions!$E$2:$E$4694,MATCH($A1680&amp;"|32",Positions!$A$2:$A$4694,0))</f>
        <v>U</v>
      </c>
      <c r="G1680" s="23" t="str">
        <f>INDEX(Positions!$E$2:$E$4694,MATCH($A1680&amp;"|38",Positions!$A$2:$A$4694,0))</f>
        <v>C</v>
      </c>
      <c r="H1680" s="24" t="str">
        <f t="shared" si="104"/>
        <v>U-C</v>
      </c>
      <c r="I1680" s="23">
        <f t="shared" si="105"/>
        <v>0</v>
      </c>
      <c r="J1680" s="23">
        <f t="shared" si="106"/>
        <v>1</v>
      </c>
      <c r="K1680" s="24">
        <f t="shared" si="107"/>
        <v>1</v>
      </c>
    </row>
    <row r="1681" spans="1:11">
      <c r="A1681" s="23" t="s">
        <v>96</v>
      </c>
      <c r="B1681" s="23" t="s">
        <v>241</v>
      </c>
      <c r="C1681" s="23" t="s">
        <v>248</v>
      </c>
      <c r="D1681" s="23">
        <f>INDEX(Positions!$D$2:$D$4694,MATCH($A1681&amp;"|54",Positions!$A$2:$A$4694,0))</f>
        <v>55</v>
      </c>
      <c r="E1681" s="23">
        <f>INDEX(Positions!$D$2:$D$4694,MATCH($A1681&amp;"|58",Positions!$A$2:$A$4694,0))</f>
        <v>59</v>
      </c>
      <c r="F1681" s="23" t="str">
        <f>INDEX(Positions!$E$2:$E$4694,MATCH($A1681&amp;"|54",Positions!$A$2:$A$4694,0))</f>
        <v>U</v>
      </c>
      <c r="G1681" s="23" t="str">
        <f>INDEX(Positions!$E$2:$E$4694,MATCH($A1681&amp;"|58",Positions!$A$2:$A$4694,0))</f>
        <v>A</v>
      </c>
      <c r="H1681" s="24" t="str">
        <f t="shared" si="104"/>
        <v>U-A</v>
      </c>
      <c r="I1681" s="23">
        <f t="shared" si="105"/>
        <v>0</v>
      </c>
      <c r="J1681" s="23">
        <f t="shared" si="106"/>
        <v>0</v>
      </c>
      <c r="K1681" s="24">
        <f t="shared" si="107"/>
        <v>0</v>
      </c>
    </row>
    <row r="1682" spans="1:11">
      <c r="A1682" s="4" t="s">
        <v>97</v>
      </c>
      <c r="B1682" s="4" t="s">
        <v>110</v>
      </c>
      <c r="C1682" s="4" t="s">
        <v>220</v>
      </c>
      <c r="D1682" s="4">
        <f>INDEX(Positions!$D$2:$D$4694,MATCH($A1682&amp;"|1",Positions!$A$2:$A$4694,0))</f>
        <v>1</v>
      </c>
      <c r="E1682" s="4">
        <f>INDEX(Positions!$D$2:$D$4694,MATCH($A1682&amp;"|72",Positions!$A$2:$A$4694,0))</f>
        <v>73</v>
      </c>
      <c r="F1682" s="4" t="str">
        <f>INDEX(Positions!$E$2:$E$4694,MATCH($A1682&amp;"|1",Positions!$A$2:$A$4694,0))</f>
        <v>G</v>
      </c>
      <c r="G1682" s="4" t="str">
        <f>INDEX(Positions!$E$2:$E$4694,MATCH($A1682&amp;"|72",Positions!$A$2:$A$4694,0))</f>
        <v>C</v>
      </c>
      <c r="H1682" s="3" t="str">
        <f t="shared" si="104"/>
        <v>G-C</v>
      </c>
      <c r="I1682" s="4">
        <f t="shared" si="105"/>
        <v>1</v>
      </c>
      <c r="J1682" s="4">
        <f t="shared" si="106"/>
        <v>1</v>
      </c>
      <c r="K1682" s="3">
        <f t="shared" si="107"/>
        <v>2</v>
      </c>
    </row>
    <row r="1683" spans="1:11">
      <c r="A1683" s="4" t="s">
        <v>97</v>
      </c>
      <c r="B1683" s="4" t="s">
        <v>110</v>
      </c>
      <c r="C1683" s="4" t="s">
        <v>221</v>
      </c>
      <c r="D1683" s="4">
        <f>INDEX(Positions!$D$2:$D$4694,MATCH($A1683&amp;"|2",Positions!$A$2:$A$4694,0))</f>
        <v>2</v>
      </c>
      <c r="E1683" s="4">
        <f>INDEX(Positions!$D$2:$D$4694,MATCH($A1683&amp;"|71",Positions!$A$2:$A$4694,0))</f>
        <v>72</v>
      </c>
      <c r="F1683" s="4" t="str">
        <f>INDEX(Positions!$E$2:$E$4694,MATCH($A1683&amp;"|2",Positions!$A$2:$A$4694,0))</f>
        <v>G</v>
      </c>
      <c r="G1683" s="4" t="str">
        <f>INDEX(Positions!$E$2:$E$4694,MATCH($A1683&amp;"|71",Positions!$A$2:$A$4694,0))</f>
        <v>C</v>
      </c>
      <c r="H1683" s="3" t="str">
        <f t="shared" si="104"/>
        <v>G-C</v>
      </c>
      <c r="I1683" s="4">
        <f t="shared" si="105"/>
        <v>1</v>
      </c>
      <c r="J1683" s="4">
        <f t="shared" si="106"/>
        <v>1</v>
      </c>
      <c r="K1683" s="3">
        <f t="shared" si="107"/>
        <v>2</v>
      </c>
    </row>
    <row r="1684" spans="1:11">
      <c r="A1684" s="4" t="s">
        <v>97</v>
      </c>
      <c r="B1684" s="4" t="s">
        <v>110</v>
      </c>
      <c r="C1684" s="4" t="s">
        <v>222</v>
      </c>
      <c r="D1684" s="4">
        <f>INDEX(Positions!$D$2:$D$4694,MATCH($A1684&amp;"|3",Positions!$A$2:$A$4694,0))</f>
        <v>3</v>
      </c>
      <c r="E1684" s="4">
        <f>INDEX(Positions!$D$2:$D$4694,MATCH($A1684&amp;"|70",Positions!$A$2:$A$4694,0))</f>
        <v>71</v>
      </c>
      <c r="F1684" s="4" t="str">
        <f>INDEX(Positions!$E$2:$E$4694,MATCH($A1684&amp;"|3",Positions!$A$2:$A$4694,0))</f>
        <v>G</v>
      </c>
      <c r="G1684" s="4" t="str">
        <f>INDEX(Positions!$E$2:$E$4694,MATCH($A1684&amp;"|70",Positions!$A$2:$A$4694,0))</f>
        <v>C</v>
      </c>
      <c r="H1684" s="3" t="str">
        <f t="shared" si="104"/>
        <v>G-C</v>
      </c>
      <c r="I1684" s="4">
        <f t="shared" si="105"/>
        <v>1</v>
      </c>
      <c r="J1684" s="4">
        <f t="shared" si="106"/>
        <v>1</v>
      </c>
      <c r="K1684" s="3">
        <f t="shared" si="107"/>
        <v>2</v>
      </c>
    </row>
    <row r="1685" spans="1:11">
      <c r="A1685" s="4" t="s">
        <v>97</v>
      </c>
      <c r="B1685" s="4" t="s">
        <v>110</v>
      </c>
      <c r="C1685" s="4" t="s">
        <v>223</v>
      </c>
      <c r="D1685" s="4">
        <f>INDEX(Positions!$D$2:$D$4694,MATCH($A1685&amp;"|4",Positions!$A$2:$A$4694,0))</f>
        <v>4</v>
      </c>
      <c r="E1685" s="4">
        <f>INDEX(Positions!$D$2:$D$4694,MATCH($A1685&amp;"|69",Positions!$A$2:$A$4694,0))</f>
        <v>70</v>
      </c>
      <c r="F1685" s="4" t="str">
        <f>INDEX(Positions!$E$2:$E$4694,MATCH($A1685&amp;"|4",Positions!$A$2:$A$4694,0))</f>
        <v>C</v>
      </c>
      <c r="G1685" s="4" t="str">
        <f>INDEX(Positions!$E$2:$E$4694,MATCH($A1685&amp;"|69",Positions!$A$2:$A$4694,0))</f>
        <v>G</v>
      </c>
      <c r="H1685" s="3" t="str">
        <f t="shared" si="104"/>
        <v>C-G</v>
      </c>
      <c r="I1685" s="4">
        <f t="shared" si="105"/>
        <v>1</v>
      </c>
      <c r="J1685" s="4">
        <f t="shared" si="106"/>
        <v>1</v>
      </c>
      <c r="K1685" s="3">
        <f t="shared" si="107"/>
        <v>2</v>
      </c>
    </row>
    <row r="1686" spans="1:11">
      <c r="A1686" s="4" t="s">
        <v>97</v>
      </c>
      <c r="B1686" s="4" t="s">
        <v>110</v>
      </c>
      <c r="C1686" s="4" t="s">
        <v>224</v>
      </c>
      <c r="D1686" s="4">
        <f>INDEX(Positions!$D$2:$D$4694,MATCH($A1686&amp;"|5",Positions!$A$2:$A$4694,0))</f>
        <v>5</v>
      </c>
      <c r="E1686" s="4">
        <f>INDEX(Positions!$D$2:$D$4694,MATCH($A1686&amp;"|68",Positions!$A$2:$A$4694,0))</f>
        <v>69</v>
      </c>
      <c r="F1686" s="4" t="str">
        <f>INDEX(Positions!$E$2:$E$4694,MATCH($A1686&amp;"|5",Positions!$A$2:$A$4694,0))</f>
        <v>U</v>
      </c>
      <c r="G1686" s="4" t="str">
        <f>INDEX(Positions!$E$2:$E$4694,MATCH($A1686&amp;"|68",Positions!$A$2:$A$4694,0))</f>
        <v>G</v>
      </c>
      <c r="H1686" s="3" t="str">
        <f t="shared" si="104"/>
        <v>U-G</v>
      </c>
      <c r="I1686" s="4">
        <f t="shared" si="105"/>
        <v>1</v>
      </c>
      <c r="J1686" s="4">
        <f t="shared" si="106"/>
        <v>0</v>
      </c>
      <c r="K1686" s="3">
        <f t="shared" si="107"/>
        <v>1</v>
      </c>
    </row>
    <row r="1687" spans="1:11">
      <c r="A1687" s="4" t="s">
        <v>97</v>
      </c>
      <c r="B1687" s="4" t="s">
        <v>110</v>
      </c>
      <c r="C1687" s="4" t="s">
        <v>225</v>
      </c>
      <c r="D1687" s="4">
        <f>INDEX(Positions!$D$2:$D$4694,MATCH($A1687&amp;"|6",Positions!$A$2:$A$4694,0))</f>
        <v>6</v>
      </c>
      <c r="E1687" s="4">
        <f>INDEX(Positions!$D$2:$D$4694,MATCH($A1687&amp;"|67",Positions!$A$2:$A$4694,0))</f>
        <v>68</v>
      </c>
      <c r="F1687" s="4" t="str">
        <f>INDEX(Positions!$E$2:$E$4694,MATCH($A1687&amp;"|6",Positions!$A$2:$A$4694,0))</f>
        <v>C</v>
      </c>
      <c r="G1687" s="4" t="str">
        <f>INDEX(Positions!$E$2:$E$4694,MATCH($A1687&amp;"|67",Positions!$A$2:$A$4694,0))</f>
        <v>G</v>
      </c>
      <c r="H1687" s="3" t="str">
        <f t="shared" si="104"/>
        <v>C-G</v>
      </c>
      <c r="I1687" s="4">
        <f t="shared" si="105"/>
        <v>1</v>
      </c>
      <c r="J1687" s="4">
        <f t="shared" si="106"/>
        <v>1</v>
      </c>
      <c r="K1687" s="3">
        <f t="shared" si="107"/>
        <v>2</v>
      </c>
    </row>
    <row r="1688" spans="1:11">
      <c r="A1688" s="4" t="s">
        <v>97</v>
      </c>
      <c r="B1688" s="4" t="s">
        <v>110</v>
      </c>
      <c r="C1688" s="4" t="s">
        <v>226</v>
      </c>
      <c r="D1688" s="4">
        <f>INDEX(Positions!$D$2:$D$4694,MATCH($A1688&amp;"|7",Positions!$A$2:$A$4694,0))</f>
        <v>7</v>
      </c>
      <c r="E1688" s="4">
        <f>INDEX(Positions!$D$2:$D$4694,MATCH($A1688&amp;"|66",Positions!$A$2:$A$4694,0))</f>
        <v>67</v>
      </c>
      <c r="F1688" s="4" t="str">
        <f>INDEX(Positions!$E$2:$E$4694,MATCH($A1688&amp;"|7",Positions!$A$2:$A$4694,0))</f>
        <v>G</v>
      </c>
      <c r="G1688" s="4" t="str">
        <f>INDEX(Positions!$E$2:$E$4694,MATCH($A1688&amp;"|66",Positions!$A$2:$A$4694,0))</f>
        <v>C</v>
      </c>
      <c r="H1688" s="3" t="str">
        <f t="shared" si="104"/>
        <v>G-C</v>
      </c>
      <c r="I1688" s="4">
        <f t="shared" si="105"/>
        <v>1</v>
      </c>
      <c r="J1688" s="4">
        <f t="shared" si="106"/>
        <v>1</v>
      </c>
      <c r="K1688" s="3">
        <f t="shared" si="107"/>
        <v>2</v>
      </c>
    </row>
    <row r="1689" spans="1:11">
      <c r="A1689" s="4" t="s">
        <v>97</v>
      </c>
      <c r="B1689" s="4" t="s">
        <v>125</v>
      </c>
      <c r="C1689" s="4" t="s">
        <v>227</v>
      </c>
      <c r="D1689" s="4">
        <f>INDEX(Positions!$D$2:$D$4694,MATCH($A1689&amp;"|10",Positions!$A$2:$A$4694,0))</f>
        <v>10</v>
      </c>
      <c r="E1689" s="4">
        <f>INDEX(Positions!$D$2:$D$4694,MATCH($A1689&amp;"|25",Positions!$A$2:$A$4694,0))</f>
        <v>26</v>
      </c>
      <c r="F1689" s="4" t="str">
        <f>INDEX(Positions!$E$2:$E$4694,MATCH($A1689&amp;"|10",Positions!$A$2:$A$4694,0))</f>
        <v>G</v>
      </c>
      <c r="G1689" s="4" t="str">
        <f>INDEX(Positions!$E$2:$E$4694,MATCH($A1689&amp;"|25",Positions!$A$2:$A$4694,0))</f>
        <v>C</v>
      </c>
      <c r="H1689" s="3" t="str">
        <f t="shared" si="104"/>
        <v>G-C</v>
      </c>
      <c r="I1689" s="4">
        <f t="shared" si="105"/>
        <v>1</v>
      </c>
      <c r="J1689" s="4">
        <f t="shared" si="106"/>
        <v>1</v>
      </c>
      <c r="K1689" s="3">
        <f t="shared" si="107"/>
        <v>2</v>
      </c>
    </row>
    <row r="1690" spans="1:11">
      <c r="A1690" s="4" t="s">
        <v>97</v>
      </c>
      <c r="B1690" s="4" t="s">
        <v>125</v>
      </c>
      <c r="C1690" s="4" t="s">
        <v>228</v>
      </c>
      <c r="D1690" s="4">
        <f>INDEX(Positions!$D$2:$D$4694,MATCH($A1690&amp;"|11",Positions!$A$2:$A$4694,0))</f>
        <v>11</v>
      </c>
      <c r="E1690" s="4">
        <f>INDEX(Positions!$D$2:$D$4694,MATCH($A1690&amp;"|24",Positions!$A$2:$A$4694,0))</f>
        <v>25</v>
      </c>
      <c r="F1690" s="4" t="str">
        <f>INDEX(Positions!$E$2:$E$4694,MATCH($A1690&amp;"|11",Positions!$A$2:$A$4694,0))</f>
        <v>U</v>
      </c>
      <c r="G1690" s="4" t="str">
        <f>INDEX(Positions!$E$2:$E$4694,MATCH($A1690&amp;"|24",Positions!$A$2:$A$4694,0))</f>
        <v>A</v>
      </c>
      <c r="H1690" s="3" t="str">
        <f t="shared" si="104"/>
        <v>U-A</v>
      </c>
      <c r="I1690" s="4">
        <f t="shared" si="105"/>
        <v>0</v>
      </c>
      <c r="J1690" s="4">
        <f t="shared" si="106"/>
        <v>0</v>
      </c>
      <c r="K1690" s="3">
        <f t="shared" si="107"/>
        <v>0</v>
      </c>
    </row>
    <row r="1691" spans="1:11">
      <c r="A1691" s="4" t="s">
        <v>97</v>
      </c>
      <c r="B1691" s="4" t="s">
        <v>125</v>
      </c>
      <c r="C1691" s="4" t="s">
        <v>229</v>
      </c>
      <c r="D1691" s="4">
        <f>INDEX(Positions!$D$2:$D$4694,MATCH($A1691&amp;"|12",Positions!$A$2:$A$4694,0))</f>
        <v>12</v>
      </c>
      <c r="E1691" s="4">
        <f>INDEX(Positions!$D$2:$D$4694,MATCH($A1691&amp;"|23",Positions!$A$2:$A$4694,0))</f>
        <v>24</v>
      </c>
      <c r="F1691" s="4" t="str">
        <f>INDEX(Positions!$E$2:$E$4694,MATCH($A1691&amp;"|12",Positions!$A$2:$A$4694,0))</f>
        <v>C</v>
      </c>
      <c r="G1691" s="4" t="str">
        <f>INDEX(Positions!$E$2:$E$4694,MATCH($A1691&amp;"|23",Positions!$A$2:$A$4694,0))</f>
        <v>G</v>
      </c>
      <c r="H1691" s="3" t="str">
        <f t="shared" si="104"/>
        <v>C-G</v>
      </c>
      <c r="I1691" s="4">
        <f t="shared" si="105"/>
        <v>1</v>
      </c>
      <c r="J1691" s="4">
        <f t="shared" si="106"/>
        <v>1</v>
      </c>
      <c r="K1691" s="3">
        <f t="shared" si="107"/>
        <v>2</v>
      </c>
    </row>
    <row r="1692" spans="1:11">
      <c r="A1692" s="4" t="s">
        <v>97</v>
      </c>
      <c r="B1692" s="4" t="s">
        <v>125</v>
      </c>
      <c r="C1692" s="4" t="s">
        <v>230</v>
      </c>
      <c r="D1692" s="4">
        <f>INDEX(Positions!$D$2:$D$4694,MATCH($A1692&amp;"|13",Positions!$A$2:$A$4694,0))</f>
        <v>13</v>
      </c>
      <c r="E1692" s="4">
        <f>INDEX(Positions!$D$2:$D$4694,MATCH($A1692&amp;"|22",Positions!$A$2:$A$4694,0))</f>
        <v>23</v>
      </c>
      <c r="F1692" s="4" t="str">
        <f>INDEX(Positions!$E$2:$E$4694,MATCH($A1692&amp;"|13",Positions!$A$2:$A$4694,0))</f>
        <v>U</v>
      </c>
      <c r="G1692" s="4" t="str">
        <f>INDEX(Positions!$E$2:$E$4694,MATCH($A1692&amp;"|22",Positions!$A$2:$A$4694,0))</f>
        <v>U</v>
      </c>
      <c r="H1692" s="3" t="str">
        <f t="shared" si="104"/>
        <v>U-U</v>
      </c>
      <c r="I1692" s="4">
        <f t="shared" si="105"/>
        <v>0</v>
      </c>
      <c r="J1692" s="4">
        <f t="shared" si="106"/>
        <v>0</v>
      </c>
      <c r="K1692" s="3">
        <f t="shared" si="107"/>
        <v>0</v>
      </c>
    </row>
    <row r="1693" spans="1:11">
      <c r="A1693" s="4" t="s">
        <v>97</v>
      </c>
      <c r="B1693" s="4" t="s">
        <v>144</v>
      </c>
      <c r="C1693" s="4" t="s">
        <v>231</v>
      </c>
      <c r="D1693" s="4">
        <f>INDEX(Positions!$D$2:$D$4694,MATCH($A1693&amp;"|27",Positions!$A$2:$A$4694,0))</f>
        <v>28</v>
      </c>
      <c r="E1693" s="4">
        <f>INDEX(Positions!$D$2:$D$4694,MATCH($A1693&amp;"|43",Positions!$A$2:$A$4694,0))</f>
        <v>44</v>
      </c>
      <c r="F1693" s="4" t="str">
        <f>INDEX(Positions!$E$2:$E$4694,MATCH($A1693&amp;"|27",Positions!$A$2:$A$4694,0))</f>
        <v>U</v>
      </c>
      <c r="G1693" s="4" t="str">
        <f>INDEX(Positions!$E$2:$E$4694,MATCH($A1693&amp;"|43",Positions!$A$2:$A$4694,0))</f>
        <v>G</v>
      </c>
      <c r="H1693" s="3" t="str">
        <f t="shared" si="104"/>
        <v>U-G</v>
      </c>
      <c r="I1693" s="4">
        <f t="shared" si="105"/>
        <v>1</v>
      </c>
      <c r="J1693" s="4">
        <f t="shared" si="106"/>
        <v>0</v>
      </c>
      <c r="K1693" s="3">
        <f t="shared" si="107"/>
        <v>1</v>
      </c>
    </row>
    <row r="1694" spans="1:11">
      <c r="A1694" s="4" t="s">
        <v>97</v>
      </c>
      <c r="B1694" s="4" t="s">
        <v>144</v>
      </c>
      <c r="C1694" s="4" t="s">
        <v>232</v>
      </c>
      <c r="D1694" s="4">
        <f>INDEX(Positions!$D$2:$D$4694,MATCH($A1694&amp;"|28",Positions!$A$2:$A$4694,0))</f>
        <v>29</v>
      </c>
      <c r="E1694" s="4">
        <f>INDEX(Positions!$D$2:$D$4694,MATCH($A1694&amp;"|42",Positions!$A$2:$A$4694,0))</f>
        <v>43</v>
      </c>
      <c r="F1694" s="4" t="str">
        <f>INDEX(Positions!$E$2:$E$4694,MATCH($A1694&amp;"|28",Positions!$A$2:$A$4694,0))</f>
        <v>C</v>
      </c>
      <c r="G1694" s="4" t="str">
        <f>INDEX(Positions!$E$2:$E$4694,MATCH($A1694&amp;"|42",Positions!$A$2:$A$4694,0))</f>
        <v>G</v>
      </c>
      <c r="H1694" s="3" t="str">
        <f t="shared" si="104"/>
        <v>C-G</v>
      </c>
      <c r="I1694" s="4">
        <f t="shared" si="105"/>
        <v>1</v>
      </c>
      <c r="J1694" s="4">
        <f t="shared" si="106"/>
        <v>1</v>
      </c>
      <c r="K1694" s="3">
        <f t="shared" si="107"/>
        <v>2</v>
      </c>
    </row>
    <row r="1695" spans="1:11">
      <c r="A1695" s="4" t="s">
        <v>97</v>
      </c>
      <c r="B1695" s="4" t="s">
        <v>144</v>
      </c>
      <c r="C1695" s="4" t="s">
        <v>233</v>
      </c>
      <c r="D1695" s="4">
        <f>INDEX(Positions!$D$2:$D$4694,MATCH($A1695&amp;"|29",Positions!$A$2:$A$4694,0))</f>
        <v>30</v>
      </c>
      <c r="E1695" s="4">
        <f>INDEX(Positions!$D$2:$D$4694,MATCH($A1695&amp;"|41",Positions!$A$2:$A$4694,0))</f>
        <v>42</v>
      </c>
      <c r="F1695" s="4" t="str">
        <f>INDEX(Positions!$E$2:$E$4694,MATCH($A1695&amp;"|29",Positions!$A$2:$A$4694,0))</f>
        <v>G</v>
      </c>
      <c r="G1695" s="4" t="str">
        <f>INDEX(Positions!$E$2:$E$4694,MATCH($A1695&amp;"|41",Positions!$A$2:$A$4694,0))</f>
        <v>C</v>
      </c>
      <c r="H1695" s="3" t="str">
        <f t="shared" si="104"/>
        <v>G-C</v>
      </c>
      <c r="I1695" s="4">
        <f t="shared" si="105"/>
        <v>1</v>
      </c>
      <c r="J1695" s="4">
        <f t="shared" si="106"/>
        <v>1</v>
      </c>
      <c r="K1695" s="3">
        <f t="shared" si="107"/>
        <v>2</v>
      </c>
    </row>
    <row r="1696" spans="1:11">
      <c r="A1696" s="4" t="s">
        <v>97</v>
      </c>
      <c r="B1696" s="4" t="s">
        <v>144</v>
      </c>
      <c r="C1696" s="4" t="s">
        <v>234</v>
      </c>
      <c r="D1696" s="4">
        <f>INDEX(Positions!$D$2:$D$4694,MATCH($A1696&amp;"|30",Positions!$A$2:$A$4694,0))</f>
        <v>31</v>
      </c>
      <c r="E1696" s="4">
        <f>INDEX(Positions!$D$2:$D$4694,MATCH($A1696&amp;"|40",Positions!$A$2:$A$4694,0))</f>
        <v>41</v>
      </c>
      <c r="F1696" s="4" t="str">
        <f>INDEX(Positions!$E$2:$E$4694,MATCH($A1696&amp;"|30",Positions!$A$2:$A$4694,0))</f>
        <v>C</v>
      </c>
      <c r="G1696" s="4" t="str">
        <f>INDEX(Positions!$E$2:$E$4694,MATCH($A1696&amp;"|40",Positions!$A$2:$A$4694,0))</f>
        <v>G</v>
      </c>
      <c r="H1696" s="3" t="str">
        <f t="shared" si="104"/>
        <v>C-G</v>
      </c>
      <c r="I1696" s="4">
        <f t="shared" si="105"/>
        <v>1</v>
      </c>
      <c r="J1696" s="4">
        <f t="shared" si="106"/>
        <v>1</v>
      </c>
      <c r="K1696" s="3">
        <f t="shared" si="107"/>
        <v>2</v>
      </c>
    </row>
    <row r="1697" spans="1:11">
      <c r="A1697" s="4" t="s">
        <v>97</v>
      </c>
      <c r="B1697" s="4" t="s">
        <v>144</v>
      </c>
      <c r="C1697" s="4" t="s">
        <v>235</v>
      </c>
      <c r="D1697" s="4">
        <f>INDEX(Positions!$D$2:$D$4694,MATCH($A1697&amp;"|31",Positions!$A$2:$A$4694,0))</f>
        <v>32</v>
      </c>
      <c r="E1697" s="4">
        <f>INDEX(Positions!$D$2:$D$4694,MATCH($A1697&amp;"|39",Positions!$A$2:$A$4694,0))</f>
        <v>40</v>
      </c>
      <c r="F1697" s="4" t="str">
        <f>INDEX(Positions!$E$2:$E$4694,MATCH($A1697&amp;"|31",Positions!$A$2:$A$4694,0))</f>
        <v>C</v>
      </c>
      <c r="G1697" s="4" t="str">
        <f>INDEX(Positions!$E$2:$E$4694,MATCH($A1697&amp;"|39",Positions!$A$2:$A$4694,0))</f>
        <v>G</v>
      </c>
      <c r="H1697" s="3" t="str">
        <f t="shared" si="104"/>
        <v>C-G</v>
      </c>
      <c r="I1697" s="4">
        <f t="shared" si="105"/>
        <v>1</v>
      </c>
      <c r="J1697" s="4">
        <f t="shared" si="106"/>
        <v>1</v>
      </c>
      <c r="K1697" s="3">
        <f t="shared" si="107"/>
        <v>2</v>
      </c>
    </row>
    <row r="1698" spans="1:11">
      <c r="A1698" s="4" t="s">
        <v>97</v>
      </c>
      <c r="B1698" s="4" t="s">
        <v>169</v>
      </c>
      <c r="C1698" s="4" t="s">
        <v>236</v>
      </c>
      <c r="D1698" s="4">
        <f>INDEX(Positions!$D$2:$D$4694,MATCH($A1698&amp;"|49",Positions!$A$2:$A$4694,0))</f>
        <v>50</v>
      </c>
      <c r="E1698" s="4">
        <f>INDEX(Positions!$D$2:$D$4694,MATCH($A1698&amp;"|65",Positions!$A$2:$A$4694,0))</f>
        <v>66</v>
      </c>
      <c r="F1698" s="4" t="str">
        <f>INDEX(Positions!$E$2:$E$4694,MATCH($A1698&amp;"|49",Positions!$A$2:$A$4694,0))</f>
        <v>C</v>
      </c>
      <c r="G1698" s="4" t="str">
        <f>INDEX(Positions!$E$2:$E$4694,MATCH($A1698&amp;"|65",Positions!$A$2:$A$4694,0))</f>
        <v>G</v>
      </c>
      <c r="H1698" s="3" t="str">
        <f t="shared" si="104"/>
        <v>C-G</v>
      </c>
      <c r="I1698" s="4">
        <f t="shared" si="105"/>
        <v>1</v>
      </c>
      <c r="J1698" s="4">
        <f t="shared" si="106"/>
        <v>1</v>
      </c>
      <c r="K1698" s="3">
        <f t="shared" si="107"/>
        <v>2</v>
      </c>
    </row>
    <row r="1699" spans="1:11">
      <c r="A1699" s="4" t="s">
        <v>97</v>
      </c>
      <c r="B1699" s="4" t="s">
        <v>169</v>
      </c>
      <c r="C1699" s="4" t="s">
        <v>237</v>
      </c>
      <c r="D1699" s="4">
        <f>INDEX(Positions!$D$2:$D$4694,MATCH($A1699&amp;"|50",Positions!$A$2:$A$4694,0))</f>
        <v>51</v>
      </c>
      <c r="E1699" s="4">
        <f>INDEX(Positions!$D$2:$D$4694,MATCH($A1699&amp;"|64",Positions!$A$2:$A$4694,0))</f>
        <v>65</v>
      </c>
      <c r="F1699" s="4" t="str">
        <f>INDEX(Positions!$E$2:$E$4694,MATCH($A1699&amp;"|50",Positions!$A$2:$A$4694,0))</f>
        <v>U</v>
      </c>
      <c r="G1699" s="4" t="str">
        <f>INDEX(Positions!$E$2:$E$4694,MATCH($A1699&amp;"|64",Positions!$A$2:$A$4694,0))</f>
        <v>A</v>
      </c>
      <c r="H1699" s="3" t="str">
        <f t="shared" si="104"/>
        <v>U-A</v>
      </c>
      <c r="I1699" s="4">
        <f t="shared" si="105"/>
        <v>0</v>
      </c>
      <c r="J1699" s="4">
        <f t="shared" si="106"/>
        <v>0</v>
      </c>
      <c r="K1699" s="3">
        <f t="shared" si="107"/>
        <v>0</v>
      </c>
    </row>
    <row r="1700" spans="1:11">
      <c r="A1700" s="4" t="s">
        <v>97</v>
      </c>
      <c r="B1700" s="4" t="s">
        <v>169</v>
      </c>
      <c r="C1700" s="4" t="s">
        <v>238</v>
      </c>
      <c r="D1700" s="4">
        <f>INDEX(Positions!$D$2:$D$4694,MATCH($A1700&amp;"|51",Positions!$A$2:$A$4694,0))</f>
        <v>52</v>
      </c>
      <c r="E1700" s="4">
        <f>INDEX(Positions!$D$2:$D$4694,MATCH($A1700&amp;"|63",Positions!$A$2:$A$4694,0))</f>
        <v>64</v>
      </c>
      <c r="F1700" s="4" t="str">
        <f>INDEX(Positions!$E$2:$E$4694,MATCH($A1700&amp;"|51",Positions!$A$2:$A$4694,0))</f>
        <v>G</v>
      </c>
      <c r="G1700" s="4" t="str">
        <f>INDEX(Positions!$E$2:$E$4694,MATCH($A1700&amp;"|63",Positions!$A$2:$A$4694,0))</f>
        <v>C</v>
      </c>
      <c r="H1700" s="3" t="str">
        <f t="shared" si="104"/>
        <v>G-C</v>
      </c>
      <c r="I1700" s="4">
        <f t="shared" si="105"/>
        <v>1</v>
      </c>
      <c r="J1700" s="4">
        <f t="shared" si="106"/>
        <v>1</v>
      </c>
      <c r="K1700" s="3">
        <f t="shared" si="107"/>
        <v>2</v>
      </c>
    </row>
    <row r="1701" spans="1:11">
      <c r="A1701" s="4" t="s">
        <v>97</v>
      </c>
      <c r="B1701" s="4" t="s">
        <v>169</v>
      </c>
      <c r="C1701" s="4" t="s">
        <v>239</v>
      </c>
      <c r="D1701" s="4">
        <f>INDEX(Positions!$D$2:$D$4694,MATCH($A1701&amp;"|52",Positions!$A$2:$A$4694,0))</f>
        <v>53</v>
      </c>
      <c r="E1701" s="4">
        <f>INDEX(Positions!$D$2:$D$4694,MATCH($A1701&amp;"|62",Positions!$A$2:$A$4694,0))</f>
        <v>63</v>
      </c>
      <c r="F1701" s="4" t="str">
        <f>INDEX(Positions!$E$2:$E$4694,MATCH($A1701&amp;"|52",Positions!$A$2:$A$4694,0))</f>
        <v>A</v>
      </c>
      <c r="G1701" s="4" t="str">
        <f>INDEX(Positions!$E$2:$E$4694,MATCH($A1701&amp;"|62",Positions!$A$2:$A$4694,0))</f>
        <v>U</v>
      </c>
      <c r="H1701" s="3" t="str">
        <f t="shared" si="104"/>
        <v>A-U</v>
      </c>
      <c r="I1701" s="4">
        <f t="shared" si="105"/>
        <v>0</v>
      </c>
      <c r="J1701" s="4">
        <f t="shared" si="106"/>
        <v>0</v>
      </c>
      <c r="K1701" s="3">
        <f t="shared" si="107"/>
        <v>0</v>
      </c>
    </row>
    <row r="1702" spans="1:11">
      <c r="A1702" s="4" t="s">
        <v>97</v>
      </c>
      <c r="B1702" s="4" t="s">
        <v>169</v>
      </c>
      <c r="C1702" s="4" t="s">
        <v>240</v>
      </c>
      <c r="D1702" s="4">
        <f>INDEX(Positions!$D$2:$D$4694,MATCH($A1702&amp;"|53",Positions!$A$2:$A$4694,0))</f>
        <v>54</v>
      </c>
      <c r="E1702" s="4">
        <f>INDEX(Positions!$D$2:$D$4694,MATCH($A1702&amp;"|61",Positions!$A$2:$A$4694,0))</f>
        <v>62</v>
      </c>
      <c r="F1702" s="4" t="str">
        <f>INDEX(Positions!$E$2:$E$4694,MATCH($A1702&amp;"|53",Positions!$A$2:$A$4694,0))</f>
        <v>G</v>
      </c>
      <c r="G1702" s="4" t="str">
        <f>INDEX(Positions!$E$2:$E$4694,MATCH($A1702&amp;"|61",Positions!$A$2:$A$4694,0))</f>
        <v>C</v>
      </c>
      <c r="H1702" s="3" t="str">
        <f t="shared" si="104"/>
        <v>G-C</v>
      </c>
      <c r="I1702" s="4">
        <f t="shared" si="105"/>
        <v>1</v>
      </c>
      <c r="J1702" s="4">
        <f t="shared" si="106"/>
        <v>1</v>
      </c>
      <c r="K1702" s="3">
        <f t="shared" si="107"/>
        <v>2</v>
      </c>
    </row>
    <row r="1703" spans="1:11">
      <c r="A1703" s="23" t="s">
        <v>97</v>
      </c>
      <c r="B1703" s="23" t="s">
        <v>241</v>
      </c>
      <c r="C1703" s="23" t="s">
        <v>242</v>
      </c>
      <c r="D1703" s="23">
        <f>INDEX(Positions!$D$2:$D$4694,MATCH($A1703&amp;"|8",Positions!$A$2:$A$4694,0))</f>
        <v>8</v>
      </c>
      <c r="E1703" s="23">
        <f>INDEX(Positions!$D$2:$D$4694,MATCH($A1703&amp;"|14",Positions!$A$2:$A$4694,0))</f>
        <v>14</v>
      </c>
      <c r="F1703" s="23" t="str">
        <f>INDEX(Positions!$E$2:$E$4694,MATCH($A1703&amp;"|8",Positions!$A$2:$A$4694,0))</f>
        <v>U</v>
      </c>
      <c r="G1703" s="23" t="str">
        <f>INDEX(Positions!$E$2:$E$4694,MATCH($A1703&amp;"|14",Positions!$A$2:$A$4694,0))</f>
        <v>A</v>
      </c>
      <c r="H1703" s="24" t="str">
        <f t="shared" si="104"/>
        <v>U-A</v>
      </c>
      <c r="I1703" s="23">
        <f t="shared" si="105"/>
        <v>0</v>
      </c>
      <c r="J1703" s="23">
        <f t="shared" si="106"/>
        <v>0</v>
      </c>
      <c r="K1703" s="24">
        <f t="shared" si="107"/>
        <v>0</v>
      </c>
    </row>
    <row r="1704" spans="1:11">
      <c r="A1704" s="23" t="s">
        <v>97</v>
      </c>
      <c r="B1704" s="23" t="s">
        <v>241</v>
      </c>
      <c r="C1704" s="23" t="s">
        <v>243</v>
      </c>
      <c r="D1704" s="23">
        <f>INDEX(Positions!$D$2:$D$4694,MATCH($A1704&amp;"|15",Positions!$A$2:$A$4694,0))</f>
        <v>15</v>
      </c>
      <c r="E1704" s="23">
        <f>INDEX(Positions!$D$2:$D$4694,MATCH($A1704&amp;"|48",Positions!$A$2:$A$4694,0))</f>
        <v>49</v>
      </c>
      <c r="F1704" s="23" t="str">
        <f>INDEX(Positions!$E$2:$E$4694,MATCH($A1704&amp;"|15",Positions!$A$2:$A$4694,0))</f>
        <v>G</v>
      </c>
      <c r="G1704" s="23" t="str">
        <f>INDEX(Positions!$E$2:$E$4694,MATCH($A1704&amp;"|48",Positions!$A$2:$A$4694,0))</f>
        <v>C</v>
      </c>
      <c r="H1704" s="24" t="str">
        <f t="shared" si="104"/>
        <v>G-C</v>
      </c>
      <c r="I1704" s="23">
        <f t="shared" si="105"/>
        <v>1</v>
      </c>
      <c r="J1704" s="23">
        <f t="shared" si="106"/>
        <v>1</v>
      </c>
      <c r="K1704" s="24">
        <f t="shared" si="107"/>
        <v>2</v>
      </c>
    </row>
    <row r="1705" spans="1:11">
      <c r="A1705" s="23" t="s">
        <v>97</v>
      </c>
      <c r="B1705" s="23" t="s">
        <v>241</v>
      </c>
      <c r="C1705" s="23" t="s">
        <v>244</v>
      </c>
      <c r="D1705" s="23">
        <f>INDEX(Positions!$D$2:$D$4694,MATCH($A1705&amp;"|18",Positions!$A$2:$A$4694,0))</f>
        <v>18</v>
      </c>
      <c r="E1705" s="23">
        <f>INDEX(Positions!$D$2:$D$4694,MATCH($A1705&amp;"|55",Positions!$A$2:$A$4694,0))</f>
        <v>56</v>
      </c>
      <c r="F1705" s="23" t="str">
        <f>INDEX(Positions!$E$2:$E$4694,MATCH($A1705&amp;"|18",Positions!$A$2:$A$4694,0))</f>
        <v>G</v>
      </c>
      <c r="G1705" s="23" t="str">
        <f>INDEX(Positions!$E$2:$E$4694,MATCH($A1705&amp;"|55",Positions!$A$2:$A$4694,0))</f>
        <v>U</v>
      </c>
      <c r="H1705" s="24" t="str">
        <f t="shared" si="104"/>
        <v>G-U</v>
      </c>
      <c r="I1705" s="23">
        <f t="shared" si="105"/>
        <v>1</v>
      </c>
      <c r="J1705" s="23">
        <f t="shared" si="106"/>
        <v>0</v>
      </c>
      <c r="K1705" s="24">
        <f t="shared" si="107"/>
        <v>1</v>
      </c>
    </row>
    <row r="1706" spans="1:11">
      <c r="A1706" s="23" t="s">
        <v>97</v>
      </c>
      <c r="B1706" s="23" t="s">
        <v>241</v>
      </c>
      <c r="C1706" s="23" t="s">
        <v>245</v>
      </c>
      <c r="D1706" s="23">
        <f>INDEX(Positions!$D$2:$D$4694,MATCH($A1706&amp;"|19",Positions!$A$2:$A$4694,0))</f>
        <v>19</v>
      </c>
      <c r="E1706" s="23">
        <f>INDEX(Positions!$D$2:$D$4694,MATCH($A1706&amp;"|56",Positions!$A$2:$A$4694,0))</f>
        <v>57</v>
      </c>
      <c r="F1706" s="23" t="str">
        <f>INDEX(Positions!$E$2:$E$4694,MATCH($A1706&amp;"|19",Positions!$A$2:$A$4694,0))</f>
        <v>G</v>
      </c>
      <c r="G1706" s="23" t="str">
        <f>INDEX(Positions!$E$2:$E$4694,MATCH($A1706&amp;"|56",Positions!$A$2:$A$4694,0))</f>
        <v>C</v>
      </c>
      <c r="H1706" s="24" t="str">
        <f t="shared" si="104"/>
        <v>G-C</v>
      </c>
      <c r="I1706" s="23">
        <f t="shared" si="105"/>
        <v>1</v>
      </c>
      <c r="J1706" s="23">
        <f t="shared" si="106"/>
        <v>1</v>
      </c>
      <c r="K1706" s="24">
        <f t="shared" si="107"/>
        <v>2</v>
      </c>
    </row>
    <row r="1707" spans="1:11">
      <c r="A1707" s="23" t="s">
        <v>97</v>
      </c>
      <c r="B1707" s="23" t="s">
        <v>241</v>
      </c>
      <c r="C1707" s="23" t="s">
        <v>246</v>
      </c>
      <c r="D1707" s="23">
        <f>INDEX(Positions!$D$2:$D$4694,MATCH($A1707&amp;"|26",Positions!$A$2:$A$4694,0))</f>
        <v>27</v>
      </c>
      <c r="E1707" s="23">
        <f>INDEX(Positions!$D$2:$D$4694,MATCH($A1707&amp;"|44",Positions!$A$2:$A$4694,0))</f>
        <v>45</v>
      </c>
      <c r="F1707" s="23" t="str">
        <f>INDEX(Positions!$E$2:$E$4694,MATCH($A1707&amp;"|26",Positions!$A$2:$A$4694,0))</f>
        <v>G</v>
      </c>
      <c r="G1707" s="23" t="str">
        <f>INDEX(Positions!$E$2:$E$4694,MATCH($A1707&amp;"|44",Positions!$A$2:$A$4694,0))</f>
        <v>A</v>
      </c>
      <c r="H1707" s="24" t="str">
        <f t="shared" si="104"/>
        <v>G-A</v>
      </c>
      <c r="I1707" s="23">
        <f t="shared" si="105"/>
        <v>1</v>
      </c>
      <c r="J1707" s="23">
        <f t="shared" si="106"/>
        <v>0</v>
      </c>
      <c r="K1707" s="24">
        <f t="shared" si="107"/>
        <v>1</v>
      </c>
    </row>
    <row r="1708" spans="1:11">
      <c r="A1708" s="23" t="s">
        <v>97</v>
      </c>
      <c r="B1708" s="23" t="s">
        <v>241</v>
      </c>
      <c r="C1708" s="23" t="s">
        <v>247</v>
      </c>
      <c r="D1708" s="23">
        <f>INDEX(Positions!$D$2:$D$4694,MATCH($A1708&amp;"|32",Positions!$A$2:$A$4694,0))</f>
        <v>33</v>
      </c>
      <c r="E1708" s="23">
        <f>INDEX(Positions!$D$2:$D$4694,MATCH($A1708&amp;"|38",Positions!$A$2:$A$4694,0))</f>
        <v>39</v>
      </c>
      <c r="F1708" s="23" t="str">
        <f>INDEX(Positions!$E$2:$E$4694,MATCH($A1708&amp;"|32",Positions!$A$2:$A$4694,0))</f>
        <v>U</v>
      </c>
      <c r="G1708" s="23" t="str">
        <f>INDEX(Positions!$E$2:$E$4694,MATCH($A1708&amp;"|38",Positions!$A$2:$A$4694,0))</f>
        <v>U</v>
      </c>
      <c r="H1708" s="24" t="str">
        <f t="shared" si="104"/>
        <v>U-U</v>
      </c>
      <c r="I1708" s="23">
        <f t="shared" si="105"/>
        <v>0</v>
      </c>
      <c r="J1708" s="23">
        <f t="shared" si="106"/>
        <v>0</v>
      </c>
      <c r="K1708" s="24">
        <f t="shared" si="107"/>
        <v>0</v>
      </c>
    </row>
    <row r="1709" spans="1:11">
      <c r="A1709" s="23" t="s">
        <v>97</v>
      </c>
      <c r="B1709" s="23" t="s">
        <v>241</v>
      </c>
      <c r="C1709" s="23" t="s">
        <v>248</v>
      </c>
      <c r="D1709" s="23">
        <f>INDEX(Positions!$D$2:$D$4694,MATCH($A1709&amp;"|54",Positions!$A$2:$A$4694,0))</f>
        <v>55</v>
      </c>
      <c r="E1709" s="23">
        <f>INDEX(Positions!$D$2:$D$4694,MATCH($A1709&amp;"|58",Positions!$A$2:$A$4694,0))</f>
        <v>59</v>
      </c>
      <c r="F1709" s="23" t="str">
        <f>INDEX(Positions!$E$2:$E$4694,MATCH($A1709&amp;"|54",Positions!$A$2:$A$4694,0))</f>
        <v>U</v>
      </c>
      <c r="G1709" s="23" t="str">
        <f>INDEX(Positions!$E$2:$E$4694,MATCH($A1709&amp;"|58",Positions!$A$2:$A$4694,0))</f>
        <v>A</v>
      </c>
      <c r="H1709" s="24" t="str">
        <f t="shared" si="104"/>
        <v>U-A</v>
      </c>
      <c r="I1709" s="23">
        <f t="shared" si="105"/>
        <v>0</v>
      </c>
      <c r="J1709" s="23">
        <f t="shared" si="106"/>
        <v>0</v>
      </c>
      <c r="K1709" s="24">
        <f t="shared" si="107"/>
        <v>0</v>
      </c>
    </row>
    <row r="1710" spans="1:11">
      <c r="A1710" s="4" t="s">
        <v>98</v>
      </c>
      <c r="B1710" s="4" t="s">
        <v>110</v>
      </c>
      <c r="C1710" s="4" t="s">
        <v>220</v>
      </c>
      <c r="D1710" s="4">
        <f>INDEX(Positions!$D$2:$D$4694,MATCH($A1710&amp;"|1",Positions!$A$2:$A$4694,0))</f>
        <v>1</v>
      </c>
      <c r="E1710" s="4">
        <f>INDEX(Positions!$D$2:$D$4694,MATCH($A1710&amp;"|72",Positions!$A$2:$A$4694,0))</f>
        <v>73</v>
      </c>
      <c r="F1710" s="4" t="str">
        <f>INDEX(Positions!$E$2:$E$4694,MATCH($A1710&amp;"|1",Positions!$A$2:$A$4694,0))</f>
        <v>G</v>
      </c>
      <c r="G1710" s="4" t="str">
        <f>INDEX(Positions!$E$2:$E$4694,MATCH($A1710&amp;"|72",Positions!$A$2:$A$4694,0))</f>
        <v>C</v>
      </c>
      <c r="H1710" s="3" t="str">
        <f t="shared" si="104"/>
        <v>G-C</v>
      </c>
      <c r="I1710" s="4">
        <f t="shared" si="105"/>
        <v>1</v>
      </c>
      <c r="J1710" s="4">
        <f t="shared" si="106"/>
        <v>1</v>
      </c>
      <c r="K1710" s="3">
        <f t="shared" si="107"/>
        <v>2</v>
      </c>
    </row>
    <row r="1711" spans="1:11">
      <c r="A1711" s="4" t="s">
        <v>98</v>
      </c>
      <c r="B1711" s="4" t="s">
        <v>110</v>
      </c>
      <c r="C1711" s="4" t="s">
        <v>221</v>
      </c>
      <c r="D1711" s="4">
        <f>INDEX(Positions!$D$2:$D$4694,MATCH($A1711&amp;"|2",Positions!$A$2:$A$4694,0))</f>
        <v>2</v>
      </c>
      <c r="E1711" s="4">
        <f>INDEX(Positions!$D$2:$D$4694,MATCH($A1711&amp;"|71",Positions!$A$2:$A$4694,0))</f>
        <v>72</v>
      </c>
      <c r="F1711" s="4" t="str">
        <f>INDEX(Positions!$E$2:$E$4694,MATCH($A1711&amp;"|2",Positions!$A$2:$A$4694,0))</f>
        <v>G</v>
      </c>
      <c r="G1711" s="4" t="str">
        <f>INDEX(Positions!$E$2:$E$4694,MATCH($A1711&amp;"|71",Positions!$A$2:$A$4694,0))</f>
        <v>C</v>
      </c>
      <c r="H1711" s="3" t="str">
        <f t="shared" si="104"/>
        <v>G-C</v>
      </c>
      <c r="I1711" s="4">
        <f t="shared" si="105"/>
        <v>1</v>
      </c>
      <c r="J1711" s="4">
        <f t="shared" si="106"/>
        <v>1</v>
      </c>
      <c r="K1711" s="3">
        <f t="shared" si="107"/>
        <v>2</v>
      </c>
    </row>
    <row r="1712" spans="1:11">
      <c r="A1712" s="4" t="s">
        <v>98</v>
      </c>
      <c r="B1712" s="4" t="s">
        <v>110</v>
      </c>
      <c r="C1712" s="4" t="s">
        <v>222</v>
      </c>
      <c r="D1712" s="4">
        <f>INDEX(Positions!$D$2:$D$4694,MATCH($A1712&amp;"|3",Positions!$A$2:$A$4694,0))</f>
        <v>3</v>
      </c>
      <c r="E1712" s="4">
        <f>INDEX(Positions!$D$2:$D$4694,MATCH($A1712&amp;"|70",Positions!$A$2:$A$4694,0))</f>
        <v>71</v>
      </c>
      <c r="F1712" s="4" t="str">
        <f>INDEX(Positions!$E$2:$E$4694,MATCH($A1712&amp;"|3",Positions!$A$2:$A$4694,0))</f>
        <v>G</v>
      </c>
      <c r="G1712" s="4" t="str">
        <f>INDEX(Positions!$E$2:$E$4694,MATCH($A1712&amp;"|70",Positions!$A$2:$A$4694,0))</f>
        <v>C</v>
      </c>
      <c r="H1712" s="3" t="str">
        <f t="shared" si="104"/>
        <v>G-C</v>
      </c>
      <c r="I1712" s="4">
        <f t="shared" si="105"/>
        <v>1</v>
      </c>
      <c r="J1712" s="4">
        <f t="shared" si="106"/>
        <v>1</v>
      </c>
      <c r="K1712" s="3">
        <f t="shared" si="107"/>
        <v>2</v>
      </c>
    </row>
    <row r="1713" spans="1:11">
      <c r="A1713" s="4" t="s">
        <v>98</v>
      </c>
      <c r="B1713" s="4" t="s">
        <v>110</v>
      </c>
      <c r="C1713" s="4" t="s">
        <v>223</v>
      </c>
      <c r="D1713" s="4">
        <f>INDEX(Positions!$D$2:$D$4694,MATCH($A1713&amp;"|4",Positions!$A$2:$A$4694,0))</f>
        <v>4</v>
      </c>
      <c r="E1713" s="4">
        <f>INDEX(Positions!$D$2:$D$4694,MATCH($A1713&amp;"|69",Positions!$A$2:$A$4694,0))</f>
        <v>70</v>
      </c>
      <c r="F1713" s="4" t="str">
        <f>INDEX(Positions!$E$2:$E$4694,MATCH($A1713&amp;"|4",Positions!$A$2:$A$4694,0))</f>
        <v>C</v>
      </c>
      <c r="G1713" s="4" t="str">
        <f>INDEX(Positions!$E$2:$E$4694,MATCH($A1713&amp;"|69",Positions!$A$2:$A$4694,0))</f>
        <v>G</v>
      </c>
      <c r="H1713" s="3" t="str">
        <f t="shared" si="104"/>
        <v>C-G</v>
      </c>
      <c r="I1713" s="4">
        <f t="shared" si="105"/>
        <v>1</v>
      </c>
      <c r="J1713" s="4">
        <f t="shared" si="106"/>
        <v>1</v>
      </c>
      <c r="K1713" s="3">
        <f t="shared" si="107"/>
        <v>2</v>
      </c>
    </row>
    <row r="1714" spans="1:11">
      <c r="A1714" s="4" t="s">
        <v>98</v>
      </c>
      <c r="B1714" s="4" t="s">
        <v>110</v>
      </c>
      <c r="C1714" s="4" t="s">
        <v>224</v>
      </c>
      <c r="D1714" s="4">
        <f>INDEX(Positions!$D$2:$D$4694,MATCH($A1714&amp;"|5",Positions!$A$2:$A$4694,0))</f>
        <v>5</v>
      </c>
      <c r="E1714" s="4">
        <f>INDEX(Positions!$D$2:$D$4694,MATCH($A1714&amp;"|68",Positions!$A$2:$A$4694,0))</f>
        <v>69</v>
      </c>
      <c r="F1714" s="4" t="str">
        <f>INDEX(Positions!$E$2:$E$4694,MATCH($A1714&amp;"|5",Positions!$A$2:$A$4694,0))</f>
        <v>U</v>
      </c>
      <c r="G1714" s="4" t="str">
        <f>INDEX(Positions!$E$2:$E$4694,MATCH($A1714&amp;"|68",Positions!$A$2:$A$4694,0))</f>
        <v>G</v>
      </c>
      <c r="H1714" s="3" t="str">
        <f t="shared" si="104"/>
        <v>U-G</v>
      </c>
      <c r="I1714" s="4">
        <f t="shared" si="105"/>
        <v>1</v>
      </c>
      <c r="J1714" s="4">
        <f t="shared" si="106"/>
        <v>0</v>
      </c>
      <c r="K1714" s="3">
        <f t="shared" si="107"/>
        <v>1</v>
      </c>
    </row>
    <row r="1715" spans="1:11">
      <c r="A1715" s="4" t="s">
        <v>98</v>
      </c>
      <c r="B1715" s="4" t="s">
        <v>110</v>
      </c>
      <c r="C1715" s="4" t="s">
        <v>225</v>
      </c>
      <c r="D1715" s="4">
        <f>INDEX(Positions!$D$2:$D$4694,MATCH($A1715&amp;"|6",Positions!$A$2:$A$4694,0))</f>
        <v>6</v>
      </c>
      <c r="E1715" s="4">
        <f>INDEX(Positions!$D$2:$D$4694,MATCH($A1715&amp;"|67",Positions!$A$2:$A$4694,0))</f>
        <v>68</v>
      </c>
      <c r="F1715" s="4" t="str">
        <f>INDEX(Positions!$E$2:$E$4694,MATCH($A1715&amp;"|6",Positions!$A$2:$A$4694,0))</f>
        <v>C</v>
      </c>
      <c r="G1715" s="4" t="str">
        <f>INDEX(Positions!$E$2:$E$4694,MATCH($A1715&amp;"|67",Positions!$A$2:$A$4694,0))</f>
        <v>G</v>
      </c>
      <c r="H1715" s="3" t="str">
        <f t="shared" si="104"/>
        <v>C-G</v>
      </c>
      <c r="I1715" s="4">
        <f t="shared" si="105"/>
        <v>1</v>
      </c>
      <c r="J1715" s="4">
        <f t="shared" si="106"/>
        <v>1</v>
      </c>
      <c r="K1715" s="3">
        <f t="shared" si="107"/>
        <v>2</v>
      </c>
    </row>
    <row r="1716" spans="1:11">
      <c r="A1716" s="4" t="s">
        <v>98</v>
      </c>
      <c r="B1716" s="4" t="s">
        <v>110</v>
      </c>
      <c r="C1716" s="4" t="s">
        <v>226</v>
      </c>
      <c r="D1716" s="4">
        <f>INDEX(Positions!$D$2:$D$4694,MATCH($A1716&amp;"|7",Positions!$A$2:$A$4694,0))</f>
        <v>7</v>
      </c>
      <c r="E1716" s="4">
        <f>INDEX(Positions!$D$2:$D$4694,MATCH($A1716&amp;"|66",Positions!$A$2:$A$4694,0))</f>
        <v>67</v>
      </c>
      <c r="F1716" s="4" t="str">
        <f>INDEX(Positions!$E$2:$E$4694,MATCH($A1716&amp;"|7",Positions!$A$2:$A$4694,0))</f>
        <v>G</v>
      </c>
      <c r="G1716" s="4" t="str">
        <f>INDEX(Positions!$E$2:$E$4694,MATCH($A1716&amp;"|66",Positions!$A$2:$A$4694,0))</f>
        <v>C</v>
      </c>
      <c r="H1716" s="3" t="str">
        <f t="shared" si="104"/>
        <v>G-C</v>
      </c>
      <c r="I1716" s="4">
        <f t="shared" si="105"/>
        <v>1</v>
      </c>
      <c r="J1716" s="4">
        <f t="shared" si="106"/>
        <v>1</v>
      </c>
      <c r="K1716" s="3">
        <f t="shared" si="107"/>
        <v>2</v>
      </c>
    </row>
    <row r="1717" spans="1:11">
      <c r="A1717" s="4" t="s">
        <v>98</v>
      </c>
      <c r="B1717" s="4" t="s">
        <v>125</v>
      </c>
      <c r="C1717" s="4" t="s">
        <v>227</v>
      </c>
      <c r="D1717" s="4">
        <f>INDEX(Positions!$D$2:$D$4694,MATCH($A1717&amp;"|10",Positions!$A$2:$A$4694,0))</f>
        <v>10</v>
      </c>
      <c r="E1717" s="4">
        <f>INDEX(Positions!$D$2:$D$4694,MATCH($A1717&amp;"|25",Positions!$A$2:$A$4694,0))</f>
        <v>26</v>
      </c>
      <c r="F1717" s="4" t="str">
        <f>INDEX(Positions!$E$2:$E$4694,MATCH($A1717&amp;"|10",Positions!$A$2:$A$4694,0))</f>
        <v>G</v>
      </c>
      <c r="G1717" s="4" t="str">
        <f>INDEX(Positions!$E$2:$E$4694,MATCH($A1717&amp;"|25",Positions!$A$2:$A$4694,0))</f>
        <v>C</v>
      </c>
      <c r="H1717" s="3" t="str">
        <f t="shared" si="104"/>
        <v>G-C</v>
      </c>
      <c r="I1717" s="4">
        <f t="shared" si="105"/>
        <v>1</v>
      </c>
      <c r="J1717" s="4">
        <f t="shared" si="106"/>
        <v>1</v>
      </c>
      <c r="K1717" s="3">
        <f t="shared" si="107"/>
        <v>2</v>
      </c>
    </row>
    <row r="1718" spans="1:11">
      <c r="A1718" s="4" t="s">
        <v>98</v>
      </c>
      <c r="B1718" s="4" t="s">
        <v>125</v>
      </c>
      <c r="C1718" s="4" t="s">
        <v>228</v>
      </c>
      <c r="D1718" s="4">
        <f>INDEX(Positions!$D$2:$D$4694,MATCH($A1718&amp;"|11",Positions!$A$2:$A$4694,0))</f>
        <v>11</v>
      </c>
      <c r="E1718" s="4">
        <f>INDEX(Positions!$D$2:$D$4694,MATCH($A1718&amp;"|24",Positions!$A$2:$A$4694,0))</f>
        <v>25</v>
      </c>
      <c r="F1718" s="4" t="str">
        <f>INDEX(Positions!$E$2:$E$4694,MATCH($A1718&amp;"|11",Positions!$A$2:$A$4694,0))</f>
        <v>U</v>
      </c>
      <c r="G1718" s="4" t="str">
        <f>INDEX(Positions!$E$2:$E$4694,MATCH($A1718&amp;"|24",Positions!$A$2:$A$4694,0))</f>
        <v>A</v>
      </c>
      <c r="H1718" s="3" t="str">
        <f t="shared" si="104"/>
        <v>U-A</v>
      </c>
      <c r="I1718" s="4">
        <f t="shared" si="105"/>
        <v>0</v>
      </c>
      <c r="J1718" s="4">
        <f t="shared" si="106"/>
        <v>0</v>
      </c>
      <c r="K1718" s="3">
        <f t="shared" si="107"/>
        <v>0</v>
      </c>
    </row>
    <row r="1719" spans="1:11">
      <c r="A1719" s="4" t="s">
        <v>98</v>
      </c>
      <c r="B1719" s="4" t="s">
        <v>125</v>
      </c>
      <c r="C1719" s="4" t="s">
        <v>229</v>
      </c>
      <c r="D1719" s="4">
        <f>INDEX(Positions!$D$2:$D$4694,MATCH($A1719&amp;"|12",Positions!$A$2:$A$4694,0))</f>
        <v>12</v>
      </c>
      <c r="E1719" s="4">
        <f>INDEX(Positions!$D$2:$D$4694,MATCH($A1719&amp;"|23",Positions!$A$2:$A$4694,0))</f>
        <v>24</v>
      </c>
      <c r="F1719" s="4" t="str">
        <f>INDEX(Positions!$E$2:$E$4694,MATCH($A1719&amp;"|12",Positions!$A$2:$A$4694,0))</f>
        <v>C</v>
      </c>
      <c r="G1719" s="4" t="str">
        <f>INDEX(Positions!$E$2:$E$4694,MATCH($A1719&amp;"|23",Positions!$A$2:$A$4694,0))</f>
        <v>G</v>
      </c>
      <c r="H1719" s="3" t="str">
        <f t="shared" si="104"/>
        <v>C-G</v>
      </c>
      <c r="I1719" s="4">
        <f t="shared" si="105"/>
        <v>1</v>
      </c>
      <c r="J1719" s="4">
        <f t="shared" si="106"/>
        <v>1</v>
      </c>
      <c r="K1719" s="3">
        <f t="shared" si="107"/>
        <v>2</v>
      </c>
    </row>
    <row r="1720" spans="1:11">
      <c r="A1720" s="4" t="s">
        <v>98</v>
      </c>
      <c r="B1720" s="4" t="s">
        <v>125</v>
      </c>
      <c r="C1720" s="4" t="s">
        <v>230</v>
      </c>
      <c r="D1720" s="4">
        <f>INDEX(Positions!$D$2:$D$4694,MATCH($A1720&amp;"|13",Positions!$A$2:$A$4694,0))</f>
        <v>13</v>
      </c>
      <c r="E1720" s="4">
        <f>INDEX(Positions!$D$2:$D$4694,MATCH($A1720&amp;"|22",Positions!$A$2:$A$4694,0))</f>
        <v>23</v>
      </c>
      <c r="F1720" s="4" t="str">
        <f>INDEX(Positions!$E$2:$E$4694,MATCH($A1720&amp;"|13",Positions!$A$2:$A$4694,0))</f>
        <v>U</v>
      </c>
      <c r="G1720" s="4" t="str">
        <f>INDEX(Positions!$E$2:$E$4694,MATCH($A1720&amp;"|22",Positions!$A$2:$A$4694,0))</f>
        <v>U</v>
      </c>
      <c r="H1720" s="3" t="str">
        <f t="shared" si="104"/>
        <v>U-U</v>
      </c>
      <c r="I1720" s="4">
        <f t="shared" si="105"/>
        <v>0</v>
      </c>
      <c r="J1720" s="4">
        <f t="shared" si="106"/>
        <v>0</v>
      </c>
      <c r="K1720" s="3">
        <f t="shared" si="107"/>
        <v>0</v>
      </c>
    </row>
    <row r="1721" spans="1:11">
      <c r="A1721" s="4" t="s">
        <v>98</v>
      </c>
      <c r="B1721" s="4" t="s">
        <v>144</v>
      </c>
      <c r="C1721" s="4" t="s">
        <v>231</v>
      </c>
      <c r="D1721" s="4">
        <f>INDEX(Positions!$D$2:$D$4694,MATCH($A1721&amp;"|27",Positions!$A$2:$A$4694,0))</f>
        <v>28</v>
      </c>
      <c r="E1721" s="4">
        <f>INDEX(Positions!$D$2:$D$4694,MATCH($A1721&amp;"|43",Positions!$A$2:$A$4694,0))</f>
        <v>44</v>
      </c>
      <c r="F1721" s="4" t="str">
        <f>INDEX(Positions!$E$2:$E$4694,MATCH($A1721&amp;"|27",Positions!$A$2:$A$4694,0))</f>
        <v>U</v>
      </c>
      <c r="G1721" s="4" t="str">
        <f>INDEX(Positions!$E$2:$E$4694,MATCH($A1721&amp;"|43",Positions!$A$2:$A$4694,0))</f>
        <v>G</v>
      </c>
      <c r="H1721" s="3" t="str">
        <f t="shared" si="104"/>
        <v>U-G</v>
      </c>
      <c r="I1721" s="4">
        <f t="shared" si="105"/>
        <v>1</v>
      </c>
      <c r="J1721" s="4">
        <f t="shared" si="106"/>
        <v>0</v>
      </c>
      <c r="K1721" s="3">
        <f t="shared" si="107"/>
        <v>1</v>
      </c>
    </row>
    <row r="1722" spans="1:11">
      <c r="A1722" s="4" t="s">
        <v>98</v>
      </c>
      <c r="B1722" s="4" t="s">
        <v>144</v>
      </c>
      <c r="C1722" s="4" t="s">
        <v>232</v>
      </c>
      <c r="D1722" s="4">
        <f>INDEX(Positions!$D$2:$D$4694,MATCH($A1722&amp;"|28",Positions!$A$2:$A$4694,0))</f>
        <v>29</v>
      </c>
      <c r="E1722" s="4">
        <f>INDEX(Positions!$D$2:$D$4694,MATCH($A1722&amp;"|42",Positions!$A$2:$A$4694,0))</f>
        <v>43</v>
      </c>
      <c r="F1722" s="4" t="str">
        <f>INDEX(Positions!$E$2:$E$4694,MATCH($A1722&amp;"|28",Positions!$A$2:$A$4694,0))</f>
        <v>C</v>
      </c>
      <c r="G1722" s="4" t="str">
        <f>INDEX(Positions!$E$2:$E$4694,MATCH($A1722&amp;"|42",Positions!$A$2:$A$4694,0))</f>
        <v>G</v>
      </c>
      <c r="H1722" s="3" t="str">
        <f t="shared" si="104"/>
        <v>C-G</v>
      </c>
      <c r="I1722" s="4">
        <f t="shared" si="105"/>
        <v>1</v>
      </c>
      <c r="J1722" s="4">
        <f t="shared" si="106"/>
        <v>1</v>
      </c>
      <c r="K1722" s="3">
        <f t="shared" si="107"/>
        <v>2</v>
      </c>
    </row>
    <row r="1723" spans="1:11">
      <c r="A1723" s="4" t="s">
        <v>98</v>
      </c>
      <c r="B1723" s="4" t="s">
        <v>144</v>
      </c>
      <c r="C1723" s="4" t="s">
        <v>233</v>
      </c>
      <c r="D1723" s="4">
        <f>INDEX(Positions!$D$2:$D$4694,MATCH($A1723&amp;"|29",Positions!$A$2:$A$4694,0))</f>
        <v>30</v>
      </c>
      <c r="E1723" s="4">
        <f>INDEX(Positions!$D$2:$D$4694,MATCH($A1723&amp;"|41",Positions!$A$2:$A$4694,0))</f>
        <v>42</v>
      </c>
      <c r="F1723" s="4" t="str">
        <f>INDEX(Positions!$E$2:$E$4694,MATCH($A1723&amp;"|29",Positions!$A$2:$A$4694,0))</f>
        <v>G</v>
      </c>
      <c r="G1723" s="4" t="str">
        <f>INDEX(Positions!$E$2:$E$4694,MATCH($A1723&amp;"|41",Positions!$A$2:$A$4694,0))</f>
        <v>C</v>
      </c>
      <c r="H1723" s="3" t="str">
        <f t="shared" si="104"/>
        <v>G-C</v>
      </c>
      <c r="I1723" s="4">
        <f t="shared" si="105"/>
        <v>1</v>
      </c>
      <c r="J1723" s="4">
        <f t="shared" si="106"/>
        <v>1</v>
      </c>
      <c r="K1723" s="3">
        <f t="shared" si="107"/>
        <v>2</v>
      </c>
    </row>
    <row r="1724" spans="1:11">
      <c r="A1724" s="4" t="s">
        <v>98</v>
      </c>
      <c r="B1724" s="4" t="s">
        <v>144</v>
      </c>
      <c r="C1724" s="4" t="s">
        <v>234</v>
      </c>
      <c r="D1724" s="4">
        <f>INDEX(Positions!$D$2:$D$4694,MATCH($A1724&amp;"|30",Positions!$A$2:$A$4694,0))</f>
        <v>31</v>
      </c>
      <c r="E1724" s="4">
        <f>INDEX(Positions!$D$2:$D$4694,MATCH($A1724&amp;"|40",Positions!$A$2:$A$4694,0))</f>
        <v>41</v>
      </c>
      <c r="F1724" s="4" t="str">
        <f>INDEX(Positions!$E$2:$E$4694,MATCH($A1724&amp;"|30",Positions!$A$2:$A$4694,0))</f>
        <v>C</v>
      </c>
      <c r="G1724" s="4" t="str">
        <f>INDEX(Positions!$E$2:$E$4694,MATCH($A1724&amp;"|40",Positions!$A$2:$A$4694,0))</f>
        <v>G</v>
      </c>
      <c r="H1724" s="3" t="str">
        <f t="shared" si="104"/>
        <v>C-G</v>
      </c>
      <c r="I1724" s="4">
        <f t="shared" si="105"/>
        <v>1</v>
      </c>
      <c r="J1724" s="4">
        <f t="shared" si="106"/>
        <v>1</v>
      </c>
      <c r="K1724" s="3">
        <f t="shared" si="107"/>
        <v>2</v>
      </c>
    </row>
    <row r="1725" spans="1:11">
      <c r="A1725" s="4" t="s">
        <v>98</v>
      </c>
      <c r="B1725" s="4" t="s">
        <v>144</v>
      </c>
      <c r="C1725" s="4" t="s">
        <v>235</v>
      </c>
      <c r="D1725" s="4">
        <f>INDEX(Positions!$D$2:$D$4694,MATCH($A1725&amp;"|31",Positions!$A$2:$A$4694,0))</f>
        <v>32</v>
      </c>
      <c r="E1725" s="4">
        <f>INDEX(Positions!$D$2:$D$4694,MATCH($A1725&amp;"|39",Positions!$A$2:$A$4694,0))</f>
        <v>40</v>
      </c>
      <c r="F1725" s="4" t="str">
        <f>INDEX(Positions!$E$2:$E$4694,MATCH($A1725&amp;"|31",Positions!$A$2:$A$4694,0))</f>
        <v>C</v>
      </c>
      <c r="G1725" s="4" t="str">
        <f>INDEX(Positions!$E$2:$E$4694,MATCH($A1725&amp;"|39",Positions!$A$2:$A$4694,0))</f>
        <v>G</v>
      </c>
      <c r="H1725" s="3" t="str">
        <f t="shared" si="104"/>
        <v>C-G</v>
      </c>
      <c r="I1725" s="4">
        <f t="shared" si="105"/>
        <v>1</v>
      </c>
      <c r="J1725" s="4">
        <f t="shared" si="106"/>
        <v>1</v>
      </c>
      <c r="K1725" s="3">
        <f t="shared" si="107"/>
        <v>2</v>
      </c>
    </row>
    <row r="1726" spans="1:11">
      <c r="A1726" s="4" t="s">
        <v>98</v>
      </c>
      <c r="B1726" s="4" t="s">
        <v>169</v>
      </c>
      <c r="C1726" s="4" t="s">
        <v>236</v>
      </c>
      <c r="D1726" s="4">
        <f>INDEX(Positions!$D$2:$D$4694,MATCH($A1726&amp;"|49",Positions!$A$2:$A$4694,0))</f>
        <v>50</v>
      </c>
      <c r="E1726" s="4">
        <f>INDEX(Positions!$D$2:$D$4694,MATCH($A1726&amp;"|65",Positions!$A$2:$A$4694,0))</f>
        <v>66</v>
      </c>
      <c r="F1726" s="4" t="str">
        <f>INDEX(Positions!$E$2:$E$4694,MATCH($A1726&amp;"|49",Positions!$A$2:$A$4694,0))</f>
        <v>C</v>
      </c>
      <c r="G1726" s="4" t="str">
        <f>INDEX(Positions!$E$2:$E$4694,MATCH($A1726&amp;"|65",Positions!$A$2:$A$4694,0))</f>
        <v>G</v>
      </c>
      <c r="H1726" s="3" t="str">
        <f t="shared" si="104"/>
        <v>C-G</v>
      </c>
      <c r="I1726" s="4">
        <f t="shared" si="105"/>
        <v>1</v>
      </c>
      <c r="J1726" s="4">
        <f t="shared" si="106"/>
        <v>1</v>
      </c>
      <c r="K1726" s="3">
        <f t="shared" si="107"/>
        <v>2</v>
      </c>
    </row>
    <row r="1727" spans="1:11">
      <c r="A1727" s="4" t="s">
        <v>98</v>
      </c>
      <c r="B1727" s="4" t="s">
        <v>169</v>
      </c>
      <c r="C1727" s="4" t="s">
        <v>237</v>
      </c>
      <c r="D1727" s="4">
        <f>INDEX(Positions!$D$2:$D$4694,MATCH($A1727&amp;"|50",Positions!$A$2:$A$4694,0))</f>
        <v>51</v>
      </c>
      <c r="E1727" s="4">
        <f>INDEX(Positions!$D$2:$D$4694,MATCH($A1727&amp;"|64",Positions!$A$2:$A$4694,0))</f>
        <v>65</v>
      </c>
      <c r="F1727" s="4" t="str">
        <f>INDEX(Positions!$E$2:$E$4694,MATCH($A1727&amp;"|50",Positions!$A$2:$A$4694,0))</f>
        <v>U</v>
      </c>
      <c r="G1727" s="4" t="str">
        <f>INDEX(Positions!$E$2:$E$4694,MATCH($A1727&amp;"|64",Positions!$A$2:$A$4694,0))</f>
        <v>A</v>
      </c>
      <c r="H1727" s="3" t="str">
        <f t="shared" si="104"/>
        <v>U-A</v>
      </c>
      <c r="I1727" s="4">
        <f t="shared" si="105"/>
        <v>0</v>
      </c>
      <c r="J1727" s="4">
        <f t="shared" si="106"/>
        <v>0</v>
      </c>
      <c r="K1727" s="3">
        <f t="shared" si="107"/>
        <v>0</v>
      </c>
    </row>
    <row r="1728" spans="1:11">
      <c r="A1728" s="4" t="s">
        <v>98</v>
      </c>
      <c r="B1728" s="4" t="s">
        <v>169</v>
      </c>
      <c r="C1728" s="4" t="s">
        <v>238</v>
      </c>
      <c r="D1728" s="4">
        <f>INDEX(Positions!$D$2:$D$4694,MATCH($A1728&amp;"|51",Positions!$A$2:$A$4694,0))</f>
        <v>52</v>
      </c>
      <c r="E1728" s="4">
        <f>INDEX(Positions!$D$2:$D$4694,MATCH($A1728&amp;"|63",Positions!$A$2:$A$4694,0))</f>
        <v>64</v>
      </c>
      <c r="F1728" s="4" t="str">
        <f>INDEX(Positions!$E$2:$E$4694,MATCH($A1728&amp;"|51",Positions!$A$2:$A$4694,0))</f>
        <v>G</v>
      </c>
      <c r="G1728" s="4" t="str">
        <f>INDEX(Positions!$E$2:$E$4694,MATCH($A1728&amp;"|63",Positions!$A$2:$A$4694,0))</f>
        <v>C</v>
      </c>
      <c r="H1728" s="3" t="str">
        <f t="shared" si="104"/>
        <v>G-C</v>
      </c>
      <c r="I1728" s="4">
        <f t="shared" si="105"/>
        <v>1</v>
      </c>
      <c r="J1728" s="4">
        <f t="shared" si="106"/>
        <v>1</v>
      </c>
      <c r="K1728" s="3">
        <f t="shared" si="107"/>
        <v>2</v>
      </c>
    </row>
    <row r="1729" spans="1:11">
      <c r="A1729" s="4" t="s">
        <v>98</v>
      </c>
      <c r="B1729" s="4" t="s">
        <v>169</v>
      </c>
      <c r="C1729" s="4" t="s">
        <v>239</v>
      </c>
      <c r="D1729" s="4">
        <f>INDEX(Positions!$D$2:$D$4694,MATCH($A1729&amp;"|52",Positions!$A$2:$A$4694,0))</f>
        <v>53</v>
      </c>
      <c r="E1729" s="4">
        <f>INDEX(Positions!$D$2:$D$4694,MATCH($A1729&amp;"|62",Positions!$A$2:$A$4694,0))</f>
        <v>63</v>
      </c>
      <c r="F1729" s="4" t="str">
        <f>INDEX(Positions!$E$2:$E$4694,MATCH($A1729&amp;"|52",Positions!$A$2:$A$4694,0))</f>
        <v>A</v>
      </c>
      <c r="G1729" s="4" t="str">
        <f>INDEX(Positions!$E$2:$E$4694,MATCH($A1729&amp;"|62",Positions!$A$2:$A$4694,0))</f>
        <v>U</v>
      </c>
      <c r="H1729" s="3" t="str">
        <f t="shared" si="104"/>
        <v>A-U</v>
      </c>
      <c r="I1729" s="4">
        <f t="shared" si="105"/>
        <v>0</v>
      </c>
      <c r="J1729" s="4">
        <f t="shared" si="106"/>
        <v>0</v>
      </c>
      <c r="K1729" s="3">
        <f t="shared" si="107"/>
        <v>0</v>
      </c>
    </row>
    <row r="1730" spans="1:11">
      <c r="A1730" s="4" t="s">
        <v>98</v>
      </c>
      <c r="B1730" s="4" t="s">
        <v>169</v>
      </c>
      <c r="C1730" s="4" t="s">
        <v>240</v>
      </c>
      <c r="D1730" s="4">
        <f>INDEX(Positions!$D$2:$D$4694,MATCH($A1730&amp;"|53",Positions!$A$2:$A$4694,0))</f>
        <v>54</v>
      </c>
      <c r="E1730" s="4">
        <f>INDEX(Positions!$D$2:$D$4694,MATCH($A1730&amp;"|61",Positions!$A$2:$A$4694,0))</f>
        <v>62</v>
      </c>
      <c r="F1730" s="4" t="str">
        <f>INDEX(Positions!$E$2:$E$4694,MATCH($A1730&amp;"|53",Positions!$A$2:$A$4694,0))</f>
        <v>G</v>
      </c>
      <c r="G1730" s="4" t="str">
        <f>INDEX(Positions!$E$2:$E$4694,MATCH($A1730&amp;"|61",Positions!$A$2:$A$4694,0))</f>
        <v>C</v>
      </c>
      <c r="H1730" s="3" t="str">
        <f t="shared" ref="H1730:H1793" si="108">F1730&amp;"-"&amp;G1730</f>
        <v>G-C</v>
      </c>
      <c r="I1730" s="4">
        <f t="shared" ref="I1730:I1765" si="109">(F1730="G")+(G1730="G")</f>
        <v>1</v>
      </c>
      <c r="J1730" s="4">
        <f t="shared" ref="J1730:J1765" si="110">(F1730="C")+(G1730="C")</f>
        <v>1</v>
      </c>
      <c r="K1730" s="3">
        <f t="shared" ref="K1730:K1793" si="111">I1730+J1730</f>
        <v>2</v>
      </c>
    </row>
    <row r="1731" spans="1:11">
      <c r="A1731" s="23" t="s">
        <v>98</v>
      </c>
      <c r="B1731" s="23" t="s">
        <v>241</v>
      </c>
      <c r="C1731" s="23" t="s">
        <v>242</v>
      </c>
      <c r="D1731" s="23">
        <f>INDEX(Positions!$D$2:$D$4694,MATCH($A1731&amp;"|8",Positions!$A$2:$A$4694,0))</f>
        <v>8</v>
      </c>
      <c r="E1731" s="23">
        <f>INDEX(Positions!$D$2:$D$4694,MATCH($A1731&amp;"|14",Positions!$A$2:$A$4694,0))</f>
        <v>14</v>
      </c>
      <c r="F1731" s="23" t="str">
        <f>INDEX(Positions!$E$2:$E$4694,MATCH($A1731&amp;"|8",Positions!$A$2:$A$4694,0))</f>
        <v>U</v>
      </c>
      <c r="G1731" s="23" t="str">
        <f>INDEX(Positions!$E$2:$E$4694,MATCH($A1731&amp;"|14",Positions!$A$2:$A$4694,0))</f>
        <v>A</v>
      </c>
      <c r="H1731" s="24" t="str">
        <f t="shared" si="108"/>
        <v>U-A</v>
      </c>
      <c r="I1731" s="23">
        <f t="shared" si="109"/>
        <v>0</v>
      </c>
      <c r="J1731" s="23">
        <f t="shared" si="110"/>
        <v>0</v>
      </c>
      <c r="K1731" s="24">
        <f t="shared" si="111"/>
        <v>0</v>
      </c>
    </row>
    <row r="1732" spans="1:11">
      <c r="A1732" s="23" t="s">
        <v>98</v>
      </c>
      <c r="B1732" s="23" t="s">
        <v>241</v>
      </c>
      <c r="C1732" s="23" t="s">
        <v>243</v>
      </c>
      <c r="D1732" s="23">
        <f>INDEX(Positions!$D$2:$D$4694,MATCH($A1732&amp;"|15",Positions!$A$2:$A$4694,0))</f>
        <v>15</v>
      </c>
      <c r="E1732" s="23">
        <f>INDEX(Positions!$D$2:$D$4694,MATCH($A1732&amp;"|48",Positions!$A$2:$A$4694,0))</f>
        <v>49</v>
      </c>
      <c r="F1732" s="23" t="str">
        <f>INDEX(Positions!$E$2:$E$4694,MATCH($A1732&amp;"|15",Positions!$A$2:$A$4694,0))</f>
        <v>G</v>
      </c>
      <c r="G1732" s="23" t="str">
        <f>INDEX(Positions!$E$2:$E$4694,MATCH($A1732&amp;"|48",Positions!$A$2:$A$4694,0))</f>
        <v>C</v>
      </c>
      <c r="H1732" s="24" t="str">
        <f t="shared" si="108"/>
        <v>G-C</v>
      </c>
      <c r="I1732" s="23">
        <f t="shared" si="109"/>
        <v>1</v>
      </c>
      <c r="J1732" s="23">
        <f t="shared" si="110"/>
        <v>1</v>
      </c>
      <c r="K1732" s="24">
        <f t="shared" si="111"/>
        <v>2</v>
      </c>
    </row>
    <row r="1733" spans="1:11">
      <c r="A1733" s="23" t="s">
        <v>98</v>
      </c>
      <c r="B1733" s="23" t="s">
        <v>241</v>
      </c>
      <c r="C1733" s="23" t="s">
        <v>244</v>
      </c>
      <c r="D1733" s="23">
        <f>INDEX(Positions!$D$2:$D$4694,MATCH($A1733&amp;"|18",Positions!$A$2:$A$4694,0))</f>
        <v>18</v>
      </c>
      <c r="E1733" s="23">
        <f>INDEX(Positions!$D$2:$D$4694,MATCH($A1733&amp;"|55",Positions!$A$2:$A$4694,0))</f>
        <v>56</v>
      </c>
      <c r="F1733" s="23" t="str">
        <f>INDEX(Positions!$E$2:$E$4694,MATCH($A1733&amp;"|18",Positions!$A$2:$A$4694,0))</f>
        <v>G</v>
      </c>
      <c r="G1733" s="23" t="str">
        <f>INDEX(Positions!$E$2:$E$4694,MATCH($A1733&amp;"|55",Positions!$A$2:$A$4694,0))</f>
        <v>U</v>
      </c>
      <c r="H1733" s="24" t="str">
        <f t="shared" si="108"/>
        <v>G-U</v>
      </c>
      <c r="I1733" s="23">
        <f t="shared" si="109"/>
        <v>1</v>
      </c>
      <c r="J1733" s="23">
        <f t="shared" si="110"/>
        <v>0</v>
      </c>
      <c r="K1733" s="24">
        <f t="shared" si="111"/>
        <v>1</v>
      </c>
    </row>
    <row r="1734" spans="1:11">
      <c r="A1734" s="23" t="s">
        <v>98</v>
      </c>
      <c r="B1734" s="23" t="s">
        <v>241</v>
      </c>
      <c r="C1734" s="23" t="s">
        <v>245</v>
      </c>
      <c r="D1734" s="23">
        <f>INDEX(Positions!$D$2:$D$4694,MATCH($A1734&amp;"|19",Positions!$A$2:$A$4694,0))</f>
        <v>19</v>
      </c>
      <c r="E1734" s="23">
        <f>INDEX(Positions!$D$2:$D$4694,MATCH($A1734&amp;"|56",Positions!$A$2:$A$4694,0))</f>
        <v>57</v>
      </c>
      <c r="F1734" s="23" t="str">
        <f>INDEX(Positions!$E$2:$E$4694,MATCH($A1734&amp;"|19",Positions!$A$2:$A$4694,0))</f>
        <v>G</v>
      </c>
      <c r="G1734" s="23" t="str">
        <f>INDEX(Positions!$E$2:$E$4694,MATCH($A1734&amp;"|56",Positions!$A$2:$A$4694,0))</f>
        <v>C</v>
      </c>
      <c r="H1734" s="24" t="str">
        <f t="shared" si="108"/>
        <v>G-C</v>
      </c>
      <c r="I1734" s="23">
        <f t="shared" si="109"/>
        <v>1</v>
      </c>
      <c r="J1734" s="23">
        <f t="shared" si="110"/>
        <v>1</v>
      </c>
      <c r="K1734" s="24">
        <f t="shared" si="111"/>
        <v>2</v>
      </c>
    </row>
    <row r="1735" spans="1:11">
      <c r="A1735" s="23" t="s">
        <v>98</v>
      </c>
      <c r="B1735" s="23" t="s">
        <v>241</v>
      </c>
      <c r="C1735" s="23" t="s">
        <v>246</v>
      </c>
      <c r="D1735" s="23">
        <f>INDEX(Positions!$D$2:$D$4694,MATCH($A1735&amp;"|26",Positions!$A$2:$A$4694,0))</f>
        <v>27</v>
      </c>
      <c r="E1735" s="23">
        <f>INDEX(Positions!$D$2:$D$4694,MATCH($A1735&amp;"|44",Positions!$A$2:$A$4694,0))</f>
        <v>45</v>
      </c>
      <c r="F1735" s="23" t="str">
        <f>INDEX(Positions!$E$2:$E$4694,MATCH($A1735&amp;"|26",Positions!$A$2:$A$4694,0))</f>
        <v>G</v>
      </c>
      <c r="G1735" s="23" t="str">
        <f>INDEX(Positions!$E$2:$E$4694,MATCH($A1735&amp;"|44",Positions!$A$2:$A$4694,0))</f>
        <v>A</v>
      </c>
      <c r="H1735" s="24" t="str">
        <f t="shared" si="108"/>
        <v>G-A</v>
      </c>
      <c r="I1735" s="23">
        <f t="shared" si="109"/>
        <v>1</v>
      </c>
      <c r="J1735" s="23">
        <f t="shared" si="110"/>
        <v>0</v>
      </c>
      <c r="K1735" s="24">
        <f t="shared" si="111"/>
        <v>1</v>
      </c>
    </row>
    <row r="1736" spans="1:11">
      <c r="A1736" s="23" t="s">
        <v>98</v>
      </c>
      <c r="B1736" s="23" t="s">
        <v>241</v>
      </c>
      <c r="C1736" s="23" t="s">
        <v>247</v>
      </c>
      <c r="D1736" s="23">
        <f>INDEX(Positions!$D$2:$D$4694,MATCH($A1736&amp;"|32",Positions!$A$2:$A$4694,0))</f>
        <v>33</v>
      </c>
      <c r="E1736" s="23">
        <f>INDEX(Positions!$D$2:$D$4694,MATCH($A1736&amp;"|38",Positions!$A$2:$A$4694,0))</f>
        <v>39</v>
      </c>
      <c r="F1736" s="23" t="str">
        <f>INDEX(Positions!$E$2:$E$4694,MATCH($A1736&amp;"|32",Positions!$A$2:$A$4694,0))</f>
        <v>U</v>
      </c>
      <c r="G1736" s="23" t="str">
        <f>INDEX(Positions!$E$2:$E$4694,MATCH($A1736&amp;"|38",Positions!$A$2:$A$4694,0))</f>
        <v>U</v>
      </c>
      <c r="H1736" s="24" t="str">
        <f t="shared" si="108"/>
        <v>U-U</v>
      </c>
      <c r="I1736" s="23">
        <f t="shared" si="109"/>
        <v>0</v>
      </c>
      <c r="J1736" s="23">
        <f t="shared" si="110"/>
        <v>0</v>
      </c>
      <c r="K1736" s="24">
        <f t="shared" si="111"/>
        <v>0</v>
      </c>
    </row>
    <row r="1737" spans="1:11">
      <c r="A1737" s="23" t="s">
        <v>98</v>
      </c>
      <c r="B1737" s="23" t="s">
        <v>241</v>
      </c>
      <c r="C1737" s="23" t="s">
        <v>248</v>
      </c>
      <c r="D1737" s="23">
        <f>INDEX(Positions!$D$2:$D$4694,MATCH($A1737&amp;"|54",Positions!$A$2:$A$4694,0))</f>
        <v>55</v>
      </c>
      <c r="E1737" s="23">
        <f>INDEX(Positions!$D$2:$D$4694,MATCH($A1737&amp;"|58",Positions!$A$2:$A$4694,0))</f>
        <v>59</v>
      </c>
      <c r="F1737" s="23" t="str">
        <f>INDEX(Positions!$E$2:$E$4694,MATCH($A1737&amp;"|54",Positions!$A$2:$A$4694,0))</f>
        <v>U</v>
      </c>
      <c r="G1737" s="23" t="str">
        <f>INDEX(Positions!$E$2:$E$4694,MATCH($A1737&amp;"|58",Positions!$A$2:$A$4694,0))</f>
        <v>A</v>
      </c>
      <c r="H1737" s="24" t="str">
        <f t="shared" si="108"/>
        <v>U-A</v>
      </c>
      <c r="I1737" s="23">
        <f t="shared" si="109"/>
        <v>0</v>
      </c>
      <c r="J1737" s="23">
        <f t="shared" si="110"/>
        <v>0</v>
      </c>
      <c r="K1737" s="24">
        <f t="shared" si="111"/>
        <v>0</v>
      </c>
    </row>
    <row r="1738" spans="1:11">
      <c r="A1738" s="4" t="s">
        <v>99</v>
      </c>
      <c r="B1738" s="4" t="s">
        <v>110</v>
      </c>
      <c r="C1738" s="4" t="s">
        <v>220</v>
      </c>
      <c r="D1738" s="4">
        <f>INDEX(Positions!$D$2:$D$4694,MATCH($A1738&amp;"|1",Positions!$A$2:$A$4694,0))</f>
        <v>1</v>
      </c>
      <c r="E1738" s="4">
        <f>INDEX(Positions!$D$2:$D$4694,MATCH($A1738&amp;"|72",Positions!$A$2:$A$4694,0))</f>
        <v>73</v>
      </c>
      <c r="F1738" s="4" t="str">
        <f>INDEX(Positions!$E$2:$E$4694,MATCH($A1738&amp;"|1",Positions!$A$2:$A$4694,0))</f>
        <v>G</v>
      </c>
      <c r="G1738" s="4" t="str">
        <f>INDEX(Positions!$E$2:$E$4694,MATCH($A1738&amp;"|72",Positions!$A$2:$A$4694,0))</f>
        <v>C</v>
      </c>
      <c r="H1738" s="3" t="str">
        <f t="shared" si="108"/>
        <v>G-C</v>
      </c>
      <c r="I1738" s="4">
        <f t="shared" si="109"/>
        <v>1</v>
      </c>
      <c r="J1738" s="4">
        <f t="shared" si="110"/>
        <v>1</v>
      </c>
      <c r="K1738" s="3">
        <f t="shared" si="111"/>
        <v>2</v>
      </c>
    </row>
    <row r="1739" spans="1:11">
      <c r="A1739" s="4" t="s">
        <v>99</v>
      </c>
      <c r="B1739" s="4" t="s">
        <v>110</v>
      </c>
      <c r="C1739" s="4" t="s">
        <v>221</v>
      </c>
      <c r="D1739" s="4">
        <f>INDEX(Positions!$D$2:$D$4694,MATCH($A1739&amp;"|2",Positions!$A$2:$A$4694,0))</f>
        <v>2</v>
      </c>
      <c r="E1739" s="4">
        <f>INDEX(Positions!$D$2:$D$4694,MATCH($A1739&amp;"|71",Positions!$A$2:$A$4694,0))</f>
        <v>72</v>
      </c>
      <c r="F1739" s="4" t="str">
        <f>INDEX(Positions!$E$2:$E$4694,MATCH($A1739&amp;"|2",Positions!$A$2:$A$4694,0))</f>
        <v>G</v>
      </c>
      <c r="G1739" s="4" t="str">
        <f>INDEX(Positions!$E$2:$E$4694,MATCH($A1739&amp;"|71",Positions!$A$2:$A$4694,0))</f>
        <v>C</v>
      </c>
      <c r="H1739" s="3" t="str">
        <f t="shared" si="108"/>
        <v>G-C</v>
      </c>
      <c r="I1739" s="4">
        <f t="shared" si="109"/>
        <v>1</v>
      </c>
      <c r="J1739" s="4">
        <f t="shared" si="110"/>
        <v>1</v>
      </c>
      <c r="K1739" s="3">
        <f t="shared" si="111"/>
        <v>2</v>
      </c>
    </row>
    <row r="1740" spans="1:11">
      <c r="A1740" s="4" t="s">
        <v>99</v>
      </c>
      <c r="B1740" s="4" t="s">
        <v>110</v>
      </c>
      <c r="C1740" s="4" t="s">
        <v>222</v>
      </c>
      <c r="D1740" s="4">
        <f>INDEX(Positions!$D$2:$D$4694,MATCH($A1740&amp;"|3",Positions!$A$2:$A$4694,0))</f>
        <v>3</v>
      </c>
      <c r="E1740" s="4">
        <f>INDEX(Positions!$D$2:$D$4694,MATCH($A1740&amp;"|70",Positions!$A$2:$A$4694,0))</f>
        <v>71</v>
      </c>
      <c r="F1740" s="4" t="str">
        <f>INDEX(Positions!$E$2:$E$4694,MATCH($A1740&amp;"|3",Positions!$A$2:$A$4694,0))</f>
        <v>G</v>
      </c>
      <c r="G1740" s="4" t="str">
        <f>INDEX(Positions!$E$2:$E$4694,MATCH($A1740&amp;"|70",Positions!$A$2:$A$4694,0))</f>
        <v>C</v>
      </c>
      <c r="H1740" s="3" t="str">
        <f t="shared" si="108"/>
        <v>G-C</v>
      </c>
      <c r="I1740" s="4">
        <f t="shared" si="109"/>
        <v>1</v>
      </c>
      <c r="J1740" s="4">
        <f t="shared" si="110"/>
        <v>1</v>
      </c>
      <c r="K1740" s="3">
        <f t="shared" si="111"/>
        <v>2</v>
      </c>
    </row>
    <row r="1741" spans="1:11">
      <c r="A1741" s="4" t="s">
        <v>99</v>
      </c>
      <c r="B1741" s="4" t="s">
        <v>110</v>
      </c>
      <c r="C1741" s="4" t="s">
        <v>223</v>
      </c>
      <c r="D1741" s="4">
        <f>INDEX(Positions!$D$2:$D$4694,MATCH($A1741&amp;"|4",Positions!$A$2:$A$4694,0))</f>
        <v>4</v>
      </c>
      <c r="E1741" s="4">
        <f>INDEX(Positions!$D$2:$D$4694,MATCH($A1741&amp;"|69",Positions!$A$2:$A$4694,0))</f>
        <v>70</v>
      </c>
      <c r="F1741" s="4" t="str">
        <f>INDEX(Positions!$E$2:$E$4694,MATCH($A1741&amp;"|4",Positions!$A$2:$A$4694,0))</f>
        <v>C</v>
      </c>
      <c r="G1741" s="4" t="str">
        <f>INDEX(Positions!$E$2:$E$4694,MATCH($A1741&amp;"|69",Positions!$A$2:$A$4694,0))</f>
        <v>G</v>
      </c>
      <c r="H1741" s="3" t="str">
        <f t="shared" si="108"/>
        <v>C-G</v>
      </c>
      <c r="I1741" s="4">
        <f t="shared" si="109"/>
        <v>1</v>
      </c>
      <c r="J1741" s="4">
        <f t="shared" si="110"/>
        <v>1</v>
      </c>
      <c r="K1741" s="3">
        <f t="shared" si="111"/>
        <v>2</v>
      </c>
    </row>
    <row r="1742" spans="1:11">
      <c r="A1742" s="4" t="s">
        <v>99</v>
      </c>
      <c r="B1742" s="4" t="s">
        <v>110</v>
      </c>
      <c r="C1742" s="4" t="s">
        <v>224</v>
      </c>
      <c r="D1742" s="4">
        <f>INDEX(Positions!$D$2:$D$4694,MATCH($A1742&amp;"|5",Positions!$A$2:$A$4694,0))</f>
        <v>5</v>
      </c>
      <c r="E1742" s="4">
        <f>INDEX(Positions!$D$2:$D$4694,MATCH($A1742&amp;"|68",Positions!$A$2:$A$4694,0))</f>
        <v>69</v>
      </c>
      <c r="F1742" s="4" t="str">
        <f>INDEX(Positions!$E$2:$E$4694,MATCH($A1742&amp;"|5",Positions!$A$2:$A$4694,0))</f>
        <v>U</v>
      </c>
      <c r="G1742" s="4" t="str">
        <f>INDEX(Positions!$E$2:$E$4694,MATCH($A1742&amp;"|68",Positions!$A$2:$A$4694,0))</f>
        <v>G</v>
      </c>
      <c r="H1742" s="3" t="str">
        <f t="shared" si="108"/>
        <v>U-G</v>
      </c>
      <c r="I1742" s="4">
        <f t="shared" si="109"/>
        <v>1</v>
      </c>
      <c r="J1742" s="4">
        <f t="shared" si="110"/>
        <v>0</v>
      </c>
      <c r="K1742" s="3">
        <f t="shared" si="111"/>
        <v>1</v>
      </c>
    </row>
    <row r="1743" spans="1:11">
      <c r="A1743" s="4" t="s">
        <v>99</v>
      </c>
      <c r="B1743" s="4" t="s">
        <v>110</v>
      </c>
      <c r="C1743" s="4" t="s">
        <v>225</v>
      </c>
      <c r="D1743" s="4">
        <f>INDEX(Positions!$D$2:$D$4694,MATCH($A1743&amp;"|6",Positions!$A$2:$A$4694,0))</f>
        <v>6</v>
      </c>
      <c r="E1743" s="4">
        <f>INDEX(Positions!$D$2:$D$4694,MATCH($A1743&amp;"|67",Positions!$A$2:$A$4694,0))</f>
        <v>68</v>
      </c>
      <c r="F1743" s="4" t="str">
        <f>INDEX(Positions!$E$2:$E$4694,MATCH($A1743&amp;"|6",Positions!$A$2:$A$4694,0))</f>
        <v>C</v>
      </c>
      <c r="G1743" s="4" t="str">
        <f>INDEX(Positions!$E$2:$E$4694,MATCH($A1743&amp;"|67",Positions!$A$2:$A$4694,0))</f>
        <v>G</v>
      </c>
      <c r="H1743" s="3" t="str">
        <f t="shared" si="108"/>
        <v>C-G</v>
      </c>
      <c r="I1743" s="4">
        <f t="shared" si="109"/>
        <v>1</v>
      </c>
      <c r="J1743" s="4">
        <f t="shared" si="110"/>
        <v>1</v>
      </c>
      <c r="K1743" s="3">
        <f t="shared" si="111"/>
        <v>2</v>
      </c>
    </row>
    <row r="1744" spans="1:11">
      <c r="A1744" s="4" t="s">
        <v>99</v>
      </c>
      <c r="B1744" s="4" t="s">
        <v>110</v>
      </c>
      <c r="C1744" s="4" t="s">
        <v>226</v>
      </c>
      <c r="D1744" s="4">
        <f>INDEX(Positions!$D$2:$D$4694,MATCH($A1744&amp;"|7",Positions!$A$2:$A$4694,0))</f>
        <v>7</v>
      </c>
      <c r="E1744" s="4">
        <f>INDEX(Positions!$D$2:$D$4694,MATCH($A1744&amp;"|66",Positions!$A$2:$A$4694,0))</f>
        <v>67</v>
      </c>
      <c r="F1744" s="4" t="str">
        <f>INDEX(Positions!$E$2:$E$4694,MATCH($A1744&amp;"|7",Positions!$A$2:$A$4694,0))</f>
        <v>G</v>
      </c>
      <c r="G1744" s="4" t="str">
        <f>INDEX(Positions!$E$2:$E$4694,MATCH($A1744&amp;"|66",Positions!$A$2:$A$4694,0))</f>
        <v>C</v>
      </c>
      <c r="H1744" s="3" t="str">
        <f t="shared" si="108"/>
        <v>G-C</v>
      </c>
      <c r="I1744" s="4">
        <f t="shared" si="109"/>
        <v>1</v>
      </c>
      <c r="J1744" s="4">
        <f t="shared" si="110"/>
        <v>1</v>
      </c>
      <c r="K1744" s="3">
        <f t="shared" si="111"/>
        <v>2</v>
      </c>
    </row>
    <row r="1745" spans="1:11">
      <c r="A1745" s="4" t="s">
        <v>99</v>
      </c>
      <c r="B1745" s="4" t="s">
        <v>125</v>
      </c>
      <c r="C1745" s="4" t="s">
        <v>227</v>
      </c>
      <c r="D1745" s="4">
        <f>INDEX(Positions!$D$2:$D$4694,MATCH($A1745&amp;"|10",Positions!$A$2:$A$4694,0))</f>
        <v>10</v>
      </c>
      <c r="E1745" s="4">
        <f>INDEX(Positions!$D$2:$D$4694,MATCH($A1745&amp;"|25",Positions!$A$2:$A$4694,0))</f>
        <v>26</v>
      </c>
      <c r="F1745" s="4" t="str">
        <f>INDEX(Positions!$E$2:$E$4694,MATCH($A1745&amp;"|10",Positions!$A$2:$A$4694,0))</f>
        <v>G</v>
      </c>
      <c r="G1745" s="4" t="str">
        <f>INDEX(Positions!$E$2:$E$4694,MATCH($A1745&amp;"|25",Positions!$A$2:$A$4694,0))</f>
        <v>C</v>
      </c>
      <c r="H1745" s="3" t="str">
        <f t="shared" si="108"/>
        <v>G-C</v>
      </c>
      <c r="I1745" s="4">
        <f t="shared" si="109"/>
        <v>1</v>
      </c>
      <c r="J1745" s="4">
        <f t="shared" si="110"/>
        <v>1</v>
      </c>
      <c r="K1745" s="3">
        <f t="shared" si="111"/>
        <v>2</v>
      </c>
    </row>
    <row r="1746" spans="1:11">
      <c r="A1746" s="4" t="s">
        <v>99</v>
      </c>
      <c r="B1746" s="4" t="s">
        <v>125</v>
      </c>
      <c r="C1746" s="4" t="s">
        <v>228</v>
      </c>
      <c r="D1746" s="4">
        <f>INDEX(Positions!$D$2:$D$4694,MATCH($A1746&amp;"|11",Positions!$A$2:$A$4694,0))</f>
        <v>11</v>
      </c>
      <c r="E1746" s="4">
        <f>INDEX(Positions!$D$2:$D$4694,MATCH($A1746&amp;"|24",Positions!$A$2:$A$4694,0))</f>
        <v>25</v>
      </c>
      <c r="F1746" s="4" t="str">
        <f>INDEX(Positions!$E$2:$E$4694,MATCH($A1746&amp;"|11",Positions!$A$2:$A$4694,0))</f>
        <v>U</v>
      </c>
      <c r="G1746" s="4" t="str">
        <f>INDEX(Positions!$E$2:$E$4694,MATCH($A1746&amp;"|24",Positions!$A$2:$A$4694,0))</f>
        <v>A</v>
      </c>
      <c r="H1746" s="3" t="str">
        <f t="shared" si="108"/>
        <v>U-A</v>
      </c>
      <c r="I1746" s="4">
        <f t="shared" si="109"/>
        <v>0</v>
      </c>
      <c r="J1746" s="4">
        <f t="shared" si="110"/>
        <v>0</v>
      </c>
      <c r="K1746" s="3">
        <f t="shared" si="111"/>
        <v>0</v>
      </c>
    </row>
    <row r="1747" spans="1:11">
      <c r="A1747" s="4" t="s">
        <v>99</v>
      </c>
      <c r="B1747" s="4" t="s">
        <v>125</v>
      </c>
      <c r="C1747" s="4" t="s">
        <v>229</v>
      </c>
      <c r="D1747" s="4">
        <f>INDEX(Positions!$D$2:$D$4694,MATCH($A1747&amp;"|12",Positions!$A$2:$A$4694,0))</f>
        <v>12</v>
      </c>
      <c r="E1747" s="4">
        <f>INDEX(Positions!$D$2:$D$4694,MATCH($A1747&amp;"|23",Positions!$A$2:$A$4694,0))</f>
        <v>24</v>
      </c>
      <c r="F1747" s="4" t="str">
        <f>INDEX(Positions!$E$2:$E$4694,MATCH($A1747&amp;"|12",Positions!$A$2:$A$4694,0))</f>
        <v>C</v>
      </c>
      <c r="G1747" s="4" t="str">
        <f>INDEX(Positions!$E$2:$E$4694,MATCH($A1747&amp;"|23",Positions!$A$2:$A$4694,0))</f>
        <v>G</v>
      </c>
      <c r="H1747" s="3" t="str">
        <f t="shared" si="108"/>
        <v>C-G</v>
      </c>
      <c r="I1747" s="4">
        <f t="shared" si="109"/>
        <v>1</v>
      </c>
      <c r="J1747" s="4">
        <f t="shared" si="110"/>
        <v>1</v>
      </c>
      <c r="K1747" s="3">
        <f t="shared" si="111"/>
        <v>2</v>
      </c>
    </row>
    <row r="1748" spans="1:11">
      <c r="A1748" s="4" t="s">
        <v>99</v>
      </c>
      <c r="B1748" s="4" t="s">
        <v>125</v>
      </c>
      <c r="C1748" s="4" t="s">
        <v>230</v>
      </c>
      <c r="D1748" s="4">
        <f>INDEX(Positions!$D$2:$D$4694,MATCH($A1748&amp;"|13",Positions!$A$2:$A$4694,0))</f>
        <v>13</v>
      </c>
      <c r="E1748" s="4">
        <f>INDEX(Positions!$D$2:$D$4694,MATCH($A1748&amp;"|22",Positions!$A$2:$A$4694,0))</f>
        <v>23</v>
      </c>
      <c r="F1748" s="4" t="str">
        <f>INDEX(Positions!$E$2:$E$4694,MATCH($A1748&amp;"|13",Positions!$A$2:$A$4694,0))</f>
        <v>U</v>
      </c>
      <c r="G1748" s="4" t="str">
        <f>INDEX(Positions!$E$2:$E$4694,MATCH($A1748&amp;"|22",Positions!$A$2:$A$4694,0))</f>
        <v>U</v>
      </c>
      <c r="H1748" s="3" t="str">
        <f t="shared" si="108"/>
        <v>U-U</v>
      </c>
      <c r="I1748" s="4">
        <f t="shared" si="109"/>
        <v>0</v>
      </c>
      <c r="J1748" s="4">
        <f t="shared" si="110"/>
        <v>0</v>
      </c>
      <c r="K1748" s="3">
        <f t="shared" si="111"/>
        <v>0</v>
      </c>
    </row>
    <row r="1749" spans="1:11">
      <c r="A1749" s="4" t="s">
        <v>99</v>
      </c>
      <c r="B1749" s="4" t="s">
        <v>144</v>
      </c>
      <c r="C1749" s="4" t="s">
        <v>231</v>
      </c>
      <c r="D1749" s="4">
        <f>INDEX(Positions!$D$2:$D$4694,MATCH($A1749&amp;"|27",Positions!$A$2:$A$4694,0))</f>
        <v>28</v>
      </c>
      <c r="E1749" s="4">
        <f>INDEX(Positions!$D$2:$D$4694,MATCH($A1749&amp;"|43",Positions!$A$2:$A$4694,0))</f>
        <v>44</v>
      </c>
      <c r="F1749" s="4" t="str">
        <f>INDEX(Positions!$E$2:$E$4694,MATCH($A1749&amp;"|27",Positions!$A$2:$A$4694,0))</f>
        <v>U</v>
      </c>
      <c r="G1749" s="4" t="str">
        <f>INDEX(Positions!$E$2:$E$4694,MATCH($A1749&amp;"|43",Positions!$A$2:$A$4694,0))</f>
        <v>G</v>
      </c>
      <c r="H1749" s="3" t="str">
        <f t="shared" si="108"/>
        <v>U-G</v>
      </c>
      <c r="I1749" s="4">
        <f t="shared" si="109"/>
        <v>1</v>
      </c>
      <c r="J1749" s="4">
        <f t="shared" si="110"/>
        <v>0</v>
      </c>
      <c r="K1749" s="3">
        <f t="shared" si="111"/>
        <v>1</v>
      </c>
    </row>
    <row r="1750" spans="1:11">
      <c r="A1750" s="4" t="s">
        <v>99</v>
      </c>
      <c r="B1750" s="4" t="s">
        <v>144</v>
      </c>
      <c r="C1750" s="4" t="s">
        <v>232</v>
      </c>
      <c r="D1750" s="4">
        <f>INDEX(Positions!$D$2:$D$4694,MATCH($A1750&amp;"|28",Positions!$A$2:$A$4694,0))</f>
        <v>29</v>
      </c>
      <c r="E1750" s="4">
        <f>INDEX(Positions!$D$2:$D$4694,MATCH($A1750&amp;"|42",Positions!$A$2:$A$4694,0))</f>
        <v>43</v>
      </c>
      <c r="F1750" s="4" t="str">
        <f>INDEX(Positions!$E$2:$E$4694,MATCH($A1750&amp;"|28",Positions!$A$2:$A$4694,0))</f>
        <v>C</v>
      </c>
      <c r="G1750" s="4" t="str">
        <f>INDEX(Positions!$E$2:$E$4694,MATCH($A1750&amp;"|42",Positions!$A$2:$A$4694,0))</f>
        <v>G</v>
      </c>
      <c r="H1750" s="3" t="str">
        <f t="shared" si="108"/>
        <v>C-G</v>
      </c>
      <c r="I1750" s="4">
        <f t="shared" si="109"/>
        <v>1</v>
      </c>
      <c r="J1750" s="4">
        <f t="shared" si="110"/>
        <v>1</v>
      </c>
      <c r="K1750" s="3">
        <f t="shared" si="111"/>
        <v>2</v>
      </c>
    </row>
    <row r="1751" spans="1:11">
      <c r="A1751" s="4" t="s">
        <v>99</v>
      </c>
      <c r="B1751" s="4" t="s">
        <v>144</v>
      </c>
      <c r="C1751" s="4" t="s">
        <v>233</v>
      </c>
      <c r="D1751" s="4">
        <f>INDEX(Positions!$D$2:$D$4694,MATCH($A1751&amp;"|29",Positions!$A$2:$A$4694,0))</f>
        <v>30</v>
      </c>
      <c r="E1751" s="4">
        <f>INDEX(Positions!$D$2:$D$4694,MATCH($A1751&amp;"|41",Positions!$A$2:$A$4694,0))</f>
        <v>42</v>
      </c>
      <c r="F1751" s="4" t="str">
        <f>INDEX(Positions!$E$2:$E$4694,MATCH($A1751&amp;"|29",Positions!$A$2:$A$4694,0))</f>
        <v>G</v>
      </c>
      <c r="G1751" s="4" t="str">
        <f>INDEX(Positions!$E$2:$E$4694,MATCH($A1751&amp;"|41",Positions!$A$2:$A$4694,0))</f>
        <v>C</v>
      </c>
      <c r="H1751" s="3" t="str">
        <f t="shared" si="108"/>
        <v>G-C</v>
      </c>
      <c r="I1751" s="4">
        <f t="shared" si="109"/>
        <v>1</v>
      </c>
      <c r="J1751" s="4">
        <f t="shared" si="110"/>
        <v>1</v>
      </c>
      <c r="K1751" s="3">
        <f t="shared" si="111"/>
        <v>2</v>
      </c>
    </row>
    <row r="1752" spans="1:11">
      <c r="A1752" s="4" t="s">
        <v>99</v>
      </c>
      <c r="B1752" s="4" t="s">
        <v>144</v>
      </c>
      <c r="C1752" s="4" t="s">
        <v>234</v>
      </c>
      <c r="D1752" s="4">
        <f>INDEX(Positions!$D$2:$D$4694,MATCH($A1752&amp;"|30",Positions!$A$2:$A$4694,0))</f>
        <v>31</v>
      </c>
      <c r="E1752" s="4">
        <f>INDEX(Positions!$D$2:$D$4694,MATCH($A1752&amp;"|40",Positions!$A$2:$A$4694,0))</f>
        <v>41</v>
      </c>
      <c r="F1752" s="4" t="str">
        <f>INDEX(Positions!$E$2:$E$4694,MATCH($A1752&amp;"|30",Positions!$A$2:$A$4694,0))</f>
        <v>C</v>
      </c>
      <c r="G1752" s="4" t="str">
        <f>INDEX(Positions!$E$2:$E$4694,MATCH($A1752&amp;"|40",Positions!$A$2:$A$4694,0))</f>
        <v>G</v>
      </c>
      <c r="H1752" s="3" t="str">
        <f t="shared" si="108"/>
        <v>C-G</v>
      </c>
      <c r="I1752" s="4">
        <f t="shared" si="109"/>
        <v>1</v>
      </c>
      <c r="J1752" s="4">
        <f t="shared" si="110"/>
        <v>1</v>
      </c>
      <c r="K1752" s="3">
        <f t="shared" si="111"/>
        <v>2</v>
      </c>
    </row>
    <row r="1753" spans="1:11">
      <c r="A1753" s="4" t="s">
        <v>99</v>
      </c>
      <c r="B1753" s="4" t="s">
        <v>144</v>
      </c>
      <c r="C1753" s="4" t="s">
        <v>235</v>
      </c>
      <c r="D1753" s="4">
        <f>INDEX(Positions!$D$2:$D$4694,MATCH($A1753&amp;"|31",Positions!$A$2:$A$4694,0))</f>
        <v>32</v>
      </c>
      <c r="E1753" s="4">
        <f>INDEX(Positions!$D$2:$D$4694,MATCH($A1753&amp;"|39",Positions!$A$2:$A$4694,0))</f>
        <v>40</v>
      </c>
      <c r="F1753" s="4" t="str">
        <f>INDEX(Positions!$E$2:$E$4694,MATCH($A1753&amp;"|31",Positions!$A$2:$A$4694,0))</f>
        <v>C</v>
      </c>
      <c r="G1753" s="4" t="str">
        <f>INDEX(Positions!$E$2:$E$4694,MATCH($A1753&amp;"|39",Positions!$A$2:$A$4694,0))</f>
        <v>G</v>
      </c>
      <c r="H1753" s="3" t="str">
        <f t="shared" si="108"/>
        <v>C-G</v>
      </c>
      <c r="I1753" s="4">
        <f t="shared" si="109"/>
        <v>1</v>
      </c>
      <c r="J1753" s="4">
        <f t="shared" si="110"/>
        <v>1</v>
      </c>
      <c r="K1753" s="3">
        <f t="shared" si="111"/>
        <v>2</v>
      </c>
    </row>
    <row r="1754" spans="1:11">
      <c r="A1754" s="4" t="s">
        <v>99</v>
      </c>
      <c r="B1754" s="4" t="s">
        <v>169</v>
      </c>
      <c r="C1754" s="4" t="s">
        <v>236</v>
      </c>
      <c r="D1754" s="4">
        <f>INDEX(Positions!$D$2:$D$4694,MATCH($A1754&amp;"|49",Positions!$A$2:$A$4694,0))</f>
        <v>50</v>
      </c>
      <c r="E1754" s="4">
        <f>INDEX(Positions!$D$2:$D$4694,MATCH($A1754&amp;"|65",Positions!$A$2:$A$4694,0))</f>
        <v>66</v>
      </c>
      <c r="F1754" s="4" t="str">
        <f>INDEX(Positions!$E$2:$E$4694,MATCH($A1754&amp;"|49",Positions!$A$2:$A$4694,0))</f>
        <v>C</v>
      </c>
      <c r="G1754" s="4" t="str">
        <f>INDEX(Positions!$E$2:$E$4694,MATCH($A1754&amp;"|65",Positions!$A$2:$A$4694,0))</f>
        <v>G</v>
      </c>
      <c r="H1754" s="3" t="str">
        <f t="shared" si="108"/>
        <v>C-G</v>
      </c>
      <c r="I1754" s="4">
        <f t="shared" si="109"/>
        <v>1</v>
      </c>
      <c r="J1754" s="4">
        <f t="shared" si="110"/>
        <v>1</v>
      </c>
      <c r="K1754" s="3">
        <f t="shared" si="111"/>
        <v>2</v>
      </c>
    </row>
    <row r="1755" spans="1:11">
      <c r="A1755" s="4" t="s">
        <v>99</v>
      </c>
      <c r="B1755" s="4" t="s">
        <v>169</v>
      </c>
      <c r="C1755" s="4" t="s">
        <v>237</v>
      </c>
      <c r="D1755" s="4">
        <f>INDEX(Positions!$D$2:$D$4694,MATCH($A1755&amp;"|50",Positions!$A$2:$A$4694,0))</f>
        <v>51</v>
      </c>
      <c r="E1755" s="4">
        <f>INDEX(Positions!$D$2:$D$4694,MATCH($A1755&amp;"|64",Positions!$A$2:$A$4694,0))</f>
        <v>65</v>
      </c>
      <c r="F1755" s="4" t="str">
        <f>INDEX(Positions!$E$2:$E$4694,MATCH($A1755&amp;"|50",Positions!$A$2:$A$4694,0))</f>
        <v>U</v>
      </c>
      <c r="G1755" s="4" t="str">
        <f>INDEX(Positions!$E$2:$E$4694,MATCH($A1755&amp;"|64",Positions!$A$2:$A$4694,0))</f>
        <v>A</v>
      </c>
      <c r="H1755" s="3" t="str">
        <f t="shared" si="108"/>
        <v>U-A</v>
      </c>
      <c r="I1755" s="4">
        <f t="shared" si="109"/>
        <v>0</v>
      </c>
      <c r="J1755" s="4">
        <f t="shared" si="110"/>
        <v>0</v>
      </c>
      <c r="K1755" s="3">
        <f t="shared" si="111"/>
        <v>0</v>
      </c>
    </row>
    <row r="1756" spans="1:11">
      <c r="A1756" s="4" t="s">
        <v>99</v>
      </c>
      <c r="B1756" s="4" t="s">
        <v>169</v>
      </c>
      <c r="C1756" s="4" t="s">
        <v>238</v>
      </c>
      <c r="D1756" s="4">
        <f>INDEX(Positions!$D$2:$D$4694,MATCH($A1756&amp;"|51",Positions!$A$2:$A$4694,0))</f>
        <v>52</v>
      </c>
      <c r="E1756" s="4">
        <f>INDEX(Positions!$D$2:$D$4694,MATCH($A1756&amp;"|63",Positions!$A$2:$A$4694,0))</f>
        <v>64</v>
      </c>
      <c r="F1756" s="4" t="str">
        <f>INDEX(Positions!$E$2:$E$4694,MATCH($A1756&amp;"|51",Positions!$A$2:$A$4694,0))</f>
        <v>G</v>
      </c>
      <c r="G1756" s="4" t="str">
        <f>INDEX(Positions!$E$2:$E$4694,MATCH($A1756&amp;"|63",Positions!$A$2:$A$4694,0))</f>
        <v>C</v>
      </c>
      <c r="H1756" s="3" t="str">
        <f t="shared" si="108"/>
        <v>G-C</v>
      </c>
      <c r="I1756" s="4">
        <f t="shared" si="109"/>
        <v>1</v>
      </c>
      <c r="J1756" s="4">
        <f t="shared" si="110"/>
        <v>1</v>
      </c>
      <c r="K1756" s="3">
        <f t="shared" si="111"/>
        <v>2</v>
      </c>
    </row>
    <row r="1757" spans="1:11">
      <c r="A1757" s="4" t="s">
        <v>99</v>
      </c>
      <c r="B1757" s="4" t="s">
        <v>169</v>
      </c>
      <c r="C1757" s="4" t="s">
        <v>239</v>
      </c>
      <c r="D1757" s="4">
        <f>INDEX(Positions!$D$2:$D$4694,MATCH($A1757&amp;"|52",Positions!$A$2:$A$4694,0))</f>
        <v>53</v>
      </c>
      <c r="E1757" s="4">
        <f>INDEX(Positions!$D$2:$D$4694,MATCH($A1757&amp;"|62",Positions!$A$2:$A$4694,0))</f>
        <v>63</v>
      </c>
      <c r="F1757" s="4" t="str">
        <f>INDEX(Positions!$E$2:$E$4694,MATCH($A1757&amp;"|52",Positions!$A$2:$A$4694,0))</f>
        <v>A</v>
      </c>
      <c r="G1757" s="4" t="str">
        <f>INDEX(Positions!$E$2:$E$4694,MATCH($A1757&amp;"|62",Positions!$A$2:$A$4694,0))</f>
        <v>U</v>
      </c>
      <c r="H1757" s="3" t="str">
        <f t="shared" si="108"/>
        <v>A-U</v>
      </c>
      <c r="I1757" s="4">
        <f t="shared" si="109"/>
        <v>0</v>
      </c>
      <c r="J1757" s="4">
        <f t="shared" si="110"/>
        <v>0</v>
      </c>
      <c r="K1757" s="3">
        <f t="shared" si="111"/>
        <v>0</v>
      </c>
    </row>
    <row r="1758" spans="1:11">
      <c r="A1758" s="4" t="s">
        <v>99</v>
      </c>
      <c r="B1758" s="4" t="s">
        <v>169</v>
      </c>
      <c r="C1758" s="4" t="s">
        <v>240</v>
      </c>
      <c r="D1758" s="4">
        <f>INDEX(Positions!$D$2:$D$4694,MATCH($A1758&amp;"|53",Positions!$A$2:$A$4694,0))</f>
        <v>54</v>
      </c>
      <c r="E1758" s="4">
        <f>INDEX(Positions!$D$2:$D$4694,MATCH($A1758&amp;"|61",Positions!$A$2:$A$4694,0))</f>
        <v>62</v>
      </c>
      <c r="F1758" s="4" t="str">
        <f>INDEX(Positions!$E$2:$E$4694,MATCH($A1758&amp;"|53",Positions!$A$2:$A$4694,0))</f>
        <v>G</v>
      </c>
      <c r="G1758" s="4" t="str">
        <f>INDEX(Positions!$E$2:$E$4694,MATCH($A1758&amp;"|61",Positions!$A$2:$A$4694,0))</f>
        <v>C</v>
      </c>
      <c r="H1758" s="3" t="str">
        <f t="shared" si="108"/>
        <v>G-C</v>
      </c>
      <c r="I1758" s="4">
        <f t="shared" si="109"/>
        <v>1</v>
      </c>
      <c r="J1758" s="4">
        <f t="shared" si="110"/>
        <v>1</v>
      </c>
      <c r="K1758" s="3">
        <f t="shared" si="111"/>
        <v>2</v>
      </c>
    </row>
    <row r="1759" spans="1:11">
      <c r="A1759" s="23" t="s">
        <v>99</v>
      </c>
      <c r="B1759" s="23" t="s">
        <v>241</v>
      </c>
      <c r="C1759" s="23" t="s">
        <v>242</v>
      </c>
      <c r="D1759" s="23">
        <f>INDEX(Positions!$D$2:$D$4694,MATCH($A1759&amp;"|8",Positions!$A$2:$A$4694,0))</f>
        <v>8</v>
      </c>
      <c r="E1759" s="23">
        <f>INDEX(Positions!$D$2:$D$4694,MATCH($A1759&amp;"|14",Positions!$A$2:$A$4694,0))</f>
        <v>14</v>
      </c>
      <c r="F1759" s="23" t="str">
        <f>INDEX(Positions!$E$2:$E$4694,MATCH($A1759&amp;"|8",Positions!$A$2:$A$4694,0))</f>
        <v>U</v>
      </c>
      <c r="G1759" s="23" t="str">
        <f>INDEX(Positions!$E$2:$E$4694,MATCH($A1759&amp;"|14",Positions!$A$2:$A$4694,0))</f>
        <v>A</v>
      </c>
      <c r="H1759" s="24" t="str">
        <f t="shared" si="108"/>
        <v>U-A</v>
      </c>
      <c r="I1759" s="23">
        <f t="shared" si="109"/>
        <v>0</v>
      </c>
      <c r="J1759" s="23">
        <f t="shared" si="110"/>
        <v>0</v>
      </c>
      <c r="K1759" s="24">
        <f t="shared" si="111"/>
        <v>0</v>
      </c>
    </row>
    <row r="1760" spans="1:11">
      <c r="A1760" s="23" t="s">
        <v>99</v>
      </c>
      <c r="B1760" s="23" t="s">
        <v>241</v>
      </c>
      <c r="C1760" s="23" t="s">
        <v>243</v>
      </c>
      <c r="D1760" s="23">
        <f>INDEX(Positions!$D$2:$D$4694,MATCH($A1760&amp;"|15",Positions!$A$2:$A$4694,0))</f>
        <v>15</v>
      </c>
      <c r="E1760" s="23">
        <f>INDEX(Positions!$D$2:$D$4694,MATCH($A1760&amp;"|48",Positions!$A$2:$A$4694,0))</f>
        <v>49</v>
      </c>
      <c r="F1760" s="23" t="str">
        <f>INDEX(Positions!$E$2:$E$4694,MATCH($A1760&amp;"|15",Positions!$A$2:$A$4694,0))</f>
        <v>G</v>
      </c>
      <c r="G1760" s="23" t="str">
        <f>INDEX(Positions!$E$2:$E$4694,MATCH($A1760&amp;"|48",Positions!$A$2:$A$4694,0))</f>
        <v>C</v>
      </c>
      <c r="H1760" s="24" t="str">
        <f t="shared" si="108"/>
        <v>G-C</v>
      </c>
      <c r="I1760" s="23">
        <f t="shared" si="109"/>
        <v>1</v>
      </c>
      <c r="J1760" s="23">
        <f t="shared" si="110"/>
        <v>1</v>
      </c>
      <c r="K1760" s="24">
        <f t="shared" si="111"/>
        <v>2</v>
      </c>
    </row>
    <row r="1761" spans="1:11">
      <c r="A1761" s="23" t="s">
        <v>99</v>
      </c>
      <c r="B1761" s="23" t="s">
        <v>241</v>
      </c>
      <c r="C1761" s="23" t="s">
        <v>244</v>
      </c>
      <c r="D1761" s="23">
        <f>INDEX(Positions!$D$2:$D$4694,MATCH($A1761&amp;"|18",Positions!$A$2:$A$4694,0))</f>
        <v>18</v>
      </c>
      <c r="E1761" s="23">
        <f>INDEX(Positions!$D$2:$D$4694,MATCH($A1761&amp;"|55",Positions!$A$2:$A$4694,0))</f>
        <v>56</v>
      </c>
      <c r="F1761" s="23" t="str">
        <f>INDEX(Positions!$E$2:$E$4694,MATCH($A1761&amp;"|18",Positions!$A$2:$A$4694,0))</f>
        <v>G</v>
      </c>
      <c r="G1761" s="23" t="str">
        <f>INDEX(Positions!$E$2:$E$4694,MATCH($A1761&amp;"|55",Positions!$A$2:$A$4694,0))</f>
        <v>U</v>
      </c>
      <c r="H1761" s="24" t="str">
        <f t="shared" si="108"/>
        <v>G-U</v>
      </c>
      <c r="I1761" s="23">
        <f t="shared" si="109"/>
        <v>1</v>
      </c>
      <c r="J1761" s="23">
        <f t="shared" si="110"/>
        <v>0</v>
      </c>
      <c r="K1761" s="24">
        <f t="shared" si="111"/>
        <v>1</v>
      </c>
    </row>
    <row r="1762" spans="1:11">
      <c r="A1762" s="23" t="s">
        <v>99</v>
      </c>
      <c r="B1762" s="23" t="s">
        <v>241</v>
      </c>
      <c r="C1762" s="23" t="s">
        <v>245</v>
      </c>
      <c r="D1762" s="23">
        <f>INDEX(Positions!$D$2:$D$4694,MATCH($A1762&amp;"|19",Positions!$A$2:$A$4694,0))</f>
        <v>19</v>
      </c>
      <c r="E1762" s="23">
        <f>INDEX(Positions!$D$2:$D$4694,MATCH($A1762&amp;"|56",Positions!$A$2:$A$4694,0))</f>
        <v>57</v>
      </c>
      <c r="F1762" s="23" t="str">
        <f>INDEX(Positions!$E$2:$E$4694,MATCH($A1762&amp;"|19",Positions!$A$2:$A$4694,0))</f>
        <v>G</v>
      </c>
      <c r="G1762" s="23" t="str">
        <f>INDEX(Positions!$E$2:$E$4694,MATCH($A1762&amp;"|56",Positions!$A$2:$A$4694,0))</f>
        <v>C</v>
      </c>
      <c r="H1762" s="24" t="str">
        <f t="shared" si="108"/>
        <v>G-C</v>
      </c>
      <c r="I1762" s="23">
        <f t="shared" si="109"/>
        <v>1</v>
      </c>
      <c r="J1762" s="23">
        <f t="shared" si="110"/>
        <v>1</v>
      </c>
      <c r="K1762" s="24">
        <f t="shared" si="111"/>
        <v>2</v>
      </c>
    </row>
    <row r="1763" spans="1:11">
      <c r="A1763" s="23" t="s">
        <v>99</v>
      </c>
      <c r="B1763" s="23" t="s">
        <v>241</v>
      </c>
      <c r="C1763" s="23" t="s">
        <v>246</v>
      </c>
      <c r="D1763" s="23">
        <f>INDEX(Positions!$D$2:$D$4694,MATCH($A1763&amp;"|26",Positions!$A$2:$A$4694,0))</f>
        <v>27</v>
      </c>
      <c r="E1763" s="23">
        <f>INDEX(Positions!$D$2:$D$4694,MATCH($A1763&amp;"|44",Positions!$A$2:$A$4694,0))</f>
        <v>45</v>
      </c>
      <c r="F1763" s="23" t="str">
        <f>INDEX(Positions!$E$2:$E$4694,MATCH($A1763&amp;"|26",Positions!$A$2:$A$4694,0))</f>
        <v>A</v>
      </c>
      <c r="G1763" s="23" t="str">
        <f>INDEX(Positions!$E$2:$E$4694,MATCH($A1763&amp;"|44",Positions!$A$2:$A$4694,0))</f>
        <v>G</v>
      </c>
      <c r="H1763" s="24" t="str">
        <f t="shared" si="108"/>
        <v>A-G</v>
      </c>
      <c r="I1763" s="23">
        <f t="shared" si="109"/>
        <v>1</v>
      </c>
      <c r="J1763" s="23">
        <f t="shared" si="110"/>
        <v>0</v>
      </c>
      <c r="K1763" s="24">
        <f t="shared" si="111"/>
        <v>1</v>
      </c>
    </row>
    <row r="1764" spans="1:11">
      <c r="A1764" s="23" t="s">
        <v>99</v>
      </c>
      <c r="B1764" s="23" t="s">
        <v>241</v>
      </c>
      <c r="C1764" s="23" t="s">
        <v>247</v>
      </c>
      <c r="D1764" s="23">
        <f>INDEX(Positions!$D$2:$D$4694,MATCH($A1764&amp;"|32",Positions!$A$2:$A$4694,0))</f>
        <v>33</v>
      </c>
      <c r="E1764" s="23">
        <f>INDEX(Positions!$D$2:$D$4694,MATCH($A1764&amp;"|38",Positions!$A$2:$A$4694,0))</f>
        <v>39</v>
      </c>
      <c r="F1764" s="23" t="str">
        <f>INDEX(Positions!$E$2:$E$4694,MATCH($A1764&amp;"|32",Positions!$A$2:$A$4694,0))</f>
        <v>U</v>
      </c>
      <c r="G1764" s="23" t="str">
        <f>INDEX(Positions!$E$2:$E$4694,MATCH($A1764&amp;"|38",Positions!$A$2:$A$4694,0))</f>
        <v>C</v>
      </c>
      <c r="H1764" s="24" t="str">
        <f t="shared" si="108"/>
        <v>U-C</v>
      </c>
      <c r="I1764" s="23">
        <f t="shared" si="109"/>
        <v>0</v>
      </c>
      <c r="J1764" s="23">
        <f t="shared" si="110"/>
        <v>1</v>
      </c>
      <c r="K1764" s="24">
        <f t="shared" si="111"/>
        <v>1</v>
      </c>
    </row>
    <row r="1765" spans="1:11">
      <c r="A1765" s="23" t="s">
        <v>99</v>
      </c>
      <c r="B1765" s="23" t="s">
        <v>241</v>
      </c>
      <c r="C1765" s="23" t="s">
        <v>248</v>
      </c>
      <c r="D1765" s="23">
        <f>INDEX(Positions!$D$2:$D$4694,MATCH($A1765&amp;"|54",Positions!$A$2:$A$4694,0))</f>
        <v>55</v>
      </c>
      <c r="E1765" s="23">
        <f>INDEX(Positions!$D$2:$D$4694,MATCH($A1765&amp;"|58",Positions!$A$2:$A$4694,0))</f>
        <v>59</v>
      </c>
      <c r="F1765" s="23" t="str">
        <f>INDEX(Positions!$E$2:$E$4694,MATCH($A1765&amp;"|54",Positions!$A$2:$A$4694,0))</f>
        <v>U</v>
      </c>
      <c r="G1765" s="23" t="str">
        <f>INDEX(Positions!$E$2:$E$4694,MATCH($A1765&amp;"|58",Positions!$A$2:$A$4694,0))</f>
        <v>A</v>
      </c>
      <c r="H1765" s="24" t="str">
        <f t="shared" si="108"/>
        <v>U-A</v>
      </c>
      <c r="I1765" s="23">
        <f t="shared" si="109"/>
        <v>0</v>
      </c>
      <c r="J1765" s="23">
        <f t="shared" si="110"/>
        <v>0</v>
      </c>
      <c r="K1765" s="24">
        <f t="shared" si="111"/>
        <v>0</v>
      </c>
    </row>
  </sheetData>
  <autoFilter ref="A1:K1765"/>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dimension ref="A1:J316"/>
  <sheetViews>
    <sheetView workbookViewId="0">
      <pane ySplit="1" topLeftCell="A2" activePane="bottomLeft" state="frozen"/>
      <selection pane="bottomLeft"/>
    </sheetView>
  </sheetViews>
  <sheetFormatPr defaultColWidth="8.7109375" defaultRowHeight="15"/>
  <cols>
    <col min="1" max="1" width="19" customWidth="1"/>
    <col min="2" max="2" width="16" customWidth="1"/>
    <col min="3" max="4" width="12" customWidth="1"/>
    <col min="5" max="5" width="30" customWidth="1"/>
    <col min="6" max="6" width="8" customWidth="1"/>
    <col min="7" max="8" width="9" customWidth="1"/>
    <col min="9" max="9" width="10" customWidth="1"/>
    <col min="10" max="10" width="9" customWidth="1"/>
  </cols>
  <sheetData>
    <row r="1" spans="1:10" ht="30">
      <c r="A1" s="2" t="s">
        <v>1</v>
      </c>
      <c r="B1" s="2" t="s">
        <v>249</v>
      </c>
      <c r="C1" s="2" t="s">
        <v>250</v>
      </c>
      <c r="D1" s="2" t="s">
        <v>251</v>
      </c>
      <c r="E1" s="2" t="s">
        <v>252</v>
      </c>
      <c r="F1" s="2" t="s">
        <v>253</v>
      </c>
      <c r="G1" s="2" t="s">
        <v>217</v>
      </c>
      <c r="H1" s="2" t="s">
        <v>218</v>
      </c>
      <c r="I1" s="2" t="s">
        <v>219</v>
      </c>
      <c r="J1" s="2" t="s">
        <v>254</v>
      </c>
    </row>
    <row r="2" spans="1:10">
      <c r="A2" s="4" t="s">
        <v>37</v>
      </c>
      <c r="B2" s="4" t="s">
        <v>130</v>
      </c>
      <c r="C2" s="4" t="s">
        <v>255</v>
      </c>
      <c r="D2" s="4" t="s">
        <v>256</v>
      </c>
      <c r="E2" s="4" t="s">
        <v>257</v>
      </c>
      <c r="F2" s="4">
        <f>COUNTIFS(Positions!$B$2:$B$4694,A2,Positions!$F$2:$F$4694,B2)</f>
        <v>7</v>
      </c>
      <c r="G2" s="4">
        <f>COUNTIFS(Positions!$B$2:$B$4694,A2,Positions!$F$2:$F$4694,B2,Positions!$E$2:$E$4694,"G")</f>
        <v>4</v>
      </c>
      <c r="H2" s="4">
        <f>COUNTIFS(Positions!$B$2:$B$4694,A2,Positions!$F$2:$F$4694,B2,Positions!$E$2:$E$4694,"C")</f>
        <v>0</v>
      </c>
      <c r="I2" s="3">
        <f t="shared" ref="I2:I65" si="0">G2+H2</f>
        <v>4</v>
      </c>
      <c r="J2" s="6">
        <f t="shared" ref="J2:J65" si="1">IF(F2=0,0,I2/F2)</f>
        <v>0.5714285714285714</v>
      </c>
    </row>
    <row r="3" spans="1:10">
      <c r="A3" s="4" t="s">
        <v>37</v>
      </c>
      <c r="B3" s="4" t="s">
        <v>150</v>
      </c>
      <c r="C3" s="4" t="s">
        <v>258</v>
      </c>
      <c r="D3" s="4" t="s">
        <v>259</v>
      </c>
      <c r="E3" s="4" t="s">
        <v>260</v>
      </c>
      <c r="F3" s="4">
        <f>COUNTIFS(Positions!$B$2:$B$4694,A3,Positions!$F$2:$F$4694,B3)</f>
        <v>7</v>
      </c>
      <c r="G3" s="4">
        <f>COUNTIFS(Positions!$B$2:$B$4694,A3,Positions!$F$2:$F$4694,B3,Positions!$E$2:$E$4694,"G")</f>
        <v>1</v>
      </c>
      <c r="H3" s="4">
        <f>COUNTIFS(Positions!$B$2:$B$4694,A3,Positions!$F$2:$F$4694,B3,Positions!$E$2:$E$4694,"C")</f>
        <v>2</v>
      </c>
      <c r="I3" s="3">
        <f t="shared" si="0"/>
        <v>3</v>
      </c>
      <c r="J3" s="6">
        <f t="shared" si="1"/>
        <v>0.42857142857142855</v>
      </c>
    </row>
    <row r="4" spans="1:10">
      <c r="A4" s="4" t="s">
        <v>37</v>
      </c>
      <c r="B4" s="4" t="s">
        <v>163</v>
      </c>
      <c r="C4" s="4" t="s">
        <v>261</v>
      </c>
      <c r="D4" s="4" t="s">
        <v>262</v>
      </c>
      <c r="E4" s="4" t="s">
        <v>263</v>
      </c>
      <c r="F4" s="4">
        <f>COUNTIFS(Positions!$B$2:$B$4694,A4,Positions!$F$2:$F$4694,B4)</f>
        <v>5</v>
      </c>
      <c r="G4" s="4">
        <f>COUNTIFS(Positions!$B$2:$B$4694,A4,Positions!$F$2:$F$4694,B4,Positions!$E$2:$E$4694,"G")</f>
        <v>2</v>
      </c>
      <c r="H4" s="4">
        <f>COUNTIFS(Positions!$B$2:$B$4694,A4,Positions!$F$2:$F$4694,B4,Positions!$E$2:$E$4694,"C")</f>
        <v>2</v>
      </c>
      <c r="I4" s="3">
        <f t="shared" si="0"/>
        <v>4</v>
      </c>
      <c r="J4" s="6">
        <f t="shared" si="1"/>
        <v>0.8</v>
      </c>
    </row>
    <row r="5" spans="1:10">
      <c r="A5" s="4" t="s">
        <v>37</v>
      </c>
      <c r="B5" s="4" t="s">
        <v>175</v>
      </c>
      <c r="C5" s="4" t="s">
        <v>264</v>
      </c>
      <c r="D5" s="4" t="s">
        <v>265</v>
      </c>
      <c r="E5" s="4" t="s">
        <v>266</v>
      </c>
      <c r="F5" s="4">
        <f>COUNTIFS(Positions!$B$2:$B$4694,A5,Positions!$F$2:$F$4694,B5)</f>
        <v>7</v>
      </c>
      <c r="G5" s="4">
        <f>COUNTIFS(Positions!$B$2:$B$4694,A5,Positions!$F$2:$F$4694,B5,Positions!$E$2:$E$4694,"G")</f>
        <v>0</v>
      </c>
      <c r="H5" s="4">
        <f>COUNTIFS(Positions!$B$2:$B$4694,A5,Positions!$F$2:$F$4694,B5,Positions!$E$2:$E$4694,"C")</f>
        <v>1</v>
      </c>
      <c r="I5" s="3">
        <f t="shared" si="0"/>
        <v>1</v>
      </c>
      <c r="J5" s="6">
        <f t="shared" si="1"/>
        <v>0.14285714285714285</v>
      </c>
    </row>
    <row r="6" spans="1:10">
      <c r="A6" s="7" t="s">
        <v>37</v>
      </c>
      <c r="B6" s="7" t="s">
        <v>267</v>
      </c>
      <c r="C6" s="7" t="s">
        <v>268</v>
      </c>
      <c r="D6" s="7" t="s">
        <v>269</v>
      </c>
      <c r="E6" s="7" t="s">
        <v>270</v>
      </c>
      <c r="F6" s="7">
        <f>COUNTIFS(Positions!$B$2:$B$4694,A6,Positions!$F$2:$F$4694,"Position 8")+COUNTIFS(Positions!$B$2:$B$4694,A6,Positions!$F$2:$F$4694,"Position 9")+COUNTIFS(Positions!$B$2:$B$4694,A6,Positions!$F$2:$F$4694,"Position 26")</f>
        <v>3</v>
      </c>
      <c r="G6" s="7">
        <f>COUNTIFS(Positions!$B$2:$B$4694,A6,Positions!$F$2:$F$4694,"Position 8",Positions!$E$2:$E$4694,"G")+COUNTIFS(Positions!$B$2:$B$4694,A6,Positions!$F$2:$F$4694,"Position 9",Positions!$E$2:$E$4694,"G")+COUNTIFS(Positions!$B$2:$B$4694,A6,Positions!$F$2:$F$4694,"Position 26",Positions!$E$2:$E$4694,"G")</f>
        <v>1</v>
      </c>
      <c r="H6" s="7">
        <f>COUNTIFS(Positions!$B$2:$B$4694,A6,Positions!$F$2:$F$4694,"Position 8",Positions!$E$2:$E$4694,"C")+COUNTIFS(Positions!$B$2:$B$4694,A6,Positions!$F$2:$F$4694,"Position 9",Positions!$E$2:$E$4694,"C")+COUNTIFS(Positions!$B$2:$B$4694,A6,Positions!$F$2:$F$4694,"Position 26",Positions!$E$2:$E$4694,"C")</f>
        <v>0</v>
      </c>
      <c r="I6" s="8">
        <f t="shared" si="0"/>
        <v>1</v>
      </c>
      <c r="J6" s="25">
        <f t="shared" si="1"/>
        <v>0.33333333333333331</v>
      </c>
    </row>
    <row r="7" spans="1:10">
      <c r="A7" s="4" t="s">
        <v>38</v>
      </c>
      <c r="B7" s="4" t="s">
        <v>130</v>
      </c>
      <c r="C7" s="4" t="s">
        <v>255</v>
      </c>
      <c r="D7" s="4" t="s">
        <v>256</v>
      </c>
      <c r="E7" s="4" t="s">
        <v>257</v>
      </c>
      <c r="F7" s="4">
        <f>COUNTIFS(Positions!$B$2:$B$4694,A7,Positions!$F$2:$F$4694,B7)</f>
        <v>7</v>
      </c>
      <c r="G7" s="4">
        <f>COUNTIFS(Positions!$B$2:$B$4694,A7,Positions!$F$2:$F$4694,B7,Positions!$E$2:$E$4694,"G")</f>
        <v>4</v>
      </c>
      <c r="H7" s="4">
        <f>COUNTIFS(Positions!$B$2:$B$4694,A7,Positions!$F$2:$F$4694,B7,Positions!$E$2:$E$4694,"C")</f>
        <v>0</v>
      </c>
      <c r="I7" s="3">
        <f t="shared" si="0"/>
        <v>4</v>
      </c>
      <c r="J7" s="6">
        <f t="shared" si="1"/>
        <v>0.5714285714285714</v>
      </c>
    </row>
    <row r="8" spans="1:10">
      <c r="A8" s="4" t="s">
        <v>38</v>
      </c>
      <c r="B8" s="4" t="s">
        <v>150</v>
      </c>
      <c r="C8" s="4" t="s">
        <v>258</v>
      </c>
      <c r="D8" s="4" t="s">
        <v>259</v>
      </c>
      <c r="E8" s="4" t="s">
        <v>271</v>
      </c>
      <c r="F8" s="4">
        <f>COUNTIFS(Positions!$B$2:$B$4694,A8,Positions!$F$2:$F$4694,B8)</f>
        <v>7</v>
      </c>
      <c r="G8" s="4">
        <f>COUNTIFS(Positions!$B$2:$B$4694,A8,Positions!$F$2:$F$4694,B8,Positions!$E$2:$E$4694,"G")</f>
        <v>2</v>
      </c>
      <c r="H8" s="4">
        <f>COUNTIFS(Positions!$B$2:$B$4694,A8,Positions!$F$2:$F$4694,B8,Positions!$E$2:$E$4694,"C")</f>
        <v>1</v>
      </c>
      <c r="I8" s="3">
        <f t="shared" si="0"/>
        <v>3</v>
      </c>
      <c r="J8" s="6">
        <f t="shared" si="1"/>
        <v>0.42857142857142855</v>
      </c>
    </row>
    <row r="9" spans="1:10">
      <c r="A9" s="4" t="s">
        <v>38</v>
      </c>
      <c r="B9" s="4" t="s">
        <v>163</v>
      </c>
      <c r="C9" s="4" t="s">
        <v>261</v>
      </c>
      <c r="D9" s="4" t="s">
        <v>262</v>
      </c>
      <c r="E9" s="4" t="s">
        <v>263</v>
      </c>
      <c r="F9" s="4">
        <f>COUNTIFS(Positions!$B$2:$B$4694,A9,Positions!$F$2:$F$4694,B9)</f>
        <v>5</v>
      </c>
      <c r="G9" s="4">
        <f>COUNTIFS(Positions!$B$2:$B$4694,A9,Positions!$F$2:$F$4694,B9,Positions!$E$2:$E$4694,"G")</f>
        <v>2</v>
      </c>
      <c r="H9" s="4">
        <f>COUNTIFS(Positions!$B$2:$B$4694,A9,Positions!$F$2:$F$4694,B9,Positions!$E$2:$E$4694,"C")</f>
        <v>2</v>
      </c>
      <c r="I9" s="3">
        <f t="shared" si="0"/>
        <v>4</v>
      </c>
      <c r="J9" s="6">
        <f t="shared" si="1"/>
        <v>0.8</v>
      </c>
    </row>
    <row r="10" spans="1:10">
      <c r="A10" s="4" t="s">
        <v>38</v>
      </c>
      <c r="B10" s="4" t="s">
        <v>175</v>
      </c>
      <c r="C10" s="4" t="s">
        <v>264</v>
      </c>
      <c r="D10" s="4" t="s">
        <v>265</v>
      </c>
      <c r="E10" s="4" t="s">
        <v>272</v>
      </c>
      <c r="F10" s="4">
        <f>COUNTIFS(Positions!$B$2:$B$4694,A10,Positions!$F$2:$F$4694,B10)</f>
        <v>7</v>
      </c>
      <c r="G10" s="4">
        <f>COUNTIFS(Positions!$B$2:$B$4694,A10,Positions!$F$2:$F$4694,B10,Positions!$E$2:$E$4694,"G")</f>
        <v>0</v>
      </c>
      <c r="H10" s="4">
        <f>COUNTIFS(Positions!$B$2:$B$4694,A10,Positions!$F$2:$F$4694,B10,Positions!$E$2:$E$4694,"C")</f>
        <v>1</v>
      </c>
      <c r="I10" s="3">
        <f t="shared" si="0"/>
        <v>1</v>
      </c>
      <c r="J10" s="6">
        <f t="shared" si="1"/>
        <v>0.14285714285714285</v>
      </c>
    </row>
    <row r="11" spans="1:10">
      <c r="A11" s="7" t="s">
        <v>38</v>
      </c>
      <c r="B11" s="7" t="s">
        <v>267</v>
      </c>
      <c r="C11" s="7" t="s">
        <v>268</v>
      </c>
      <c r="D11" s="7" t="s">
        <v>269</v>
      </c>
      <c r="E11" s="7" t="s">
        <v>270</v>
      </c>
      <c r="F11" s="7">
        <f>COUNTIFS(Positions!$B$2:$B$4694,A11,Positions!$F$2:$F$4694,"Position 8")+COUNTIFS(Positions!$B$2:$B$4694,A11,Positions!$F$2:$F$4694,"Position 9")+COUNTIFS(Positions!$B$2:$B$4694,A11,Positions!$F$2:$F$4694,"Position 26")</f>
        <v>3</v>
      </c>
      <c r="G11" s="7">
        <f>COUNTIFS(Positions!$B$2:$B$4694,A11,Positions!$F$2:$F$4694,"Position 8",Positions!$E$2:$E$4694,"G")+COUNTIFS(Positions!$B$2:$B$4694,A11,Positions!$F$2:$F$4694,"Position 9",Positions!$E$2:$E$4694,"G")+COUNTIFS(Positions!$B$2:$B$4694,A11,Positions!$F$2:$F$4694,"Position 26",Positions!$E$2:$E$4694,"G")</f>
        <v>1</v>
      </c>
      <c r="H11" s="7">
        <f>COUNTIFS(Positions!$B$2:$B$4694,A11,Positions!$F$2:$F$4694,"Position 8",Positions!$E$2:$E$4694,"C")+COUNTIFS(Positions!$B$2:$B$4694,A11,Positions!$F$2:$F$4694,"Position 9",Positions!$E$2:$E$4694,"C")+COUNTIFS(Positions!$B$2:$B$4694,A11,Positions!$F$2:$F$4694,"Position 26",Positions!$E$2:$E$4694,"C")</f>
        <v>0</v>
      </c>
      <c r="I11" s="8">
        <f t="shared" si="0"/>
        <v>1</v>
      </c>
      <c r="J11" s="25">
        <f t="shared" si="1"/>
        <v>0.33333333333333331</v>
      </c>
    </row>
    <row r="12" spans="1:10">
      <c r="A12" s="4" t="s">
        <v>39</v>
      </c>
      <c r="B12" s="4" t="s">
        <v>130</v>
      </c>
      <c r="C12" s="4" t="s">
        <v>255</v>
      </c>
      <c r="D12" s="4" t="s">
        <v>255</v>
      </c>
      <c r="E12" s="4" t="s">
        <v>273</v>
      </c>
      <c r="F12" s="4">
        <f>COUNTIFS(Positions!$B$2:$B$4694,A12,Positions!$F$2:$F$4694,B12)</f>
        <v>8</v>
      </c>
      <c r="G12" s="4">
        <f>COUNTIFS(Positions!$B$2:$B$4694,A12,Positions!$F$2:$F$4694,B12,Positions!$E$2:$E$4694,"G")</f>
        <v>3</v>
      </c>
      <c r="H12" s="4">
        <f>COUNTIFS(Positions!$B$2:$B$4694,A12,Positions!$F$2:$F$4694,B12,Positions!$E$2:$E$4694,"C")</f>
        <v>0</v>
      </c>
      <c r="I12" s="3">
        <f t="shared" si="0"/>
        <v>3</v>
      </c>
      <c r="J12" s="6">
        <f t="shared" si="1"/>
        <v>0.375</v>
      </c>
    </row>
    <row r="13" spans="1:10">
      <c r="A13" s="4" t="s">
        <v>39</v>
      </c>
      <c r="B13" s="4" t="s">
        <v>150</v>
      </c>
      <c r="C13" s="4" t="s">
        <v>258</v>
      </c>
      <c r="D13" s="4" t="s">
        <v>258</v>
      </c>
      <c r="E13" s="4" t="s">
        <v>274</v>
      </c>
      <c r="F13" s="4">
        <f>COUNTIFS(Positions!$B$2:$B$4694,A13,Positions!$F$2:$F$4694,B13)</f>
        <v>7</v>
      </c>
      <c r="G13" s="4">
        <f>COUNTIFS(Positions!$B$2:$B$4694,A13,Positions!$F$2:$F$4694,B13,Positions!$E$2:$E$4694,"G")</f>
        <v>1</v>
      </c>
      <c r="H13" s="4">
        <f>COUNTIFS(Positions!$B$2:$B$4694,A13,Positions!$F$2:$F$4694,B13,Positions!$E$2:$E$4694,"C")</f>
        <v>1</v>
      </c>
      <c r="I13" s="3">
        <f t="shared" si="0"/>
        <v>2</v>
      </c>
      <c r="J13" s="6">
        <f t="shared" si="1"/>
        <v>0.2857142857142857</v>
      </c>
    </row>
    <row r="14" spans="1:10">
      <c r="A14" s="4" t="s">
        <v>39</v>
      </c>
      <c r="B14" s="4" t="s">
        <v>163</v>
      </c>
      <c r="C14" s="4" t="s">
        <v>261</v>
      </c>
      <c r="D14" s="4" t="s">
        <v>261</v>
      </c>
      <c r="E14" s="4" t="s">
        <v>263</v>
      </c>
      <c r="F14" s="4">
        <f>COUNTIFS(Positions!$B$2:$B$4694,A14,Positions!$F$2:$F$4694,B14)</f>
        <v>5</v>
      </c>
      <c r="G14" s="4">
        <f>COUNTIFS(Positions!$B$2:$B$4694,A14,Positions!$F$2:$F$4694,B14,Positions!$E$2:$E$4694,"G")</f>
        <v>2</v>
      </c>
      <c r="H14" s="4">
        <f>COUNTIFS(Positions!$B$2:$B$4694,A14,Positions!$F$2:$F$4694,B14,Positions!$E$2:$E$4694,"C")</f>
        <v>2</v>
      </c>
      <c r="I14" s="3">
        <f t="shared" si="0"/>
        <v>4</v>
      </c>
      <c r="J14" s="6">
        <f t="shared" si="1"/>
        <v>0.8</v>
      </c>
    </row>
    <row r="15" spans="1:10">
      <c r="A15" s="4" t="s">
        <v>39</v>
      </c>
      <c r="B15" s="4" t="s">
        <v>175</v>
      </c>
      <c r="C15" s="4" t="s">
        <v>264</v>
      </c>
      <c r="D15" s="4" t="s">
        <v>264</v>
      </c>
      <c r="E15" s="4" t="s">
        <v>275</v>
      </c>
      <c r="F15" s="4">
        <f>COUNTIFS(Positions!$B$2:$B$4694,A15,Positions!$F$2:$F$4694,B15)</f>
        <v>7</v>
      </c>
      <c r="G15" s="4">
        <f>COUNTIFS(Positions!$B$2:$B$4694,A15,Positions!$F$2:$F$4694,B15,Positions!$E$2:$E$4694,"G")</f>
        <v>1</v>
      </c>
      <c r="H15" s="4">
        <f>COUNTIFS(Positions!$B$2:$B$4694,A15,Positions!$F$2:$F$4694,B15,Positions!$E$2:$E$4694,"C")</f>
        <v>1</v>
      </c>
      <c r="I15" s="3">
        <f t="shared" si="0"/>
        <v>2</v>
      </c>
      <c r="J15" s="6">
        <f t="shared" si="1"/>
        <v>0.2857142857142857</v>
      </c>
    </row>
    <row r="16" spans="1:10">
      <c r="A16" s="7" t="s">
        <v>39</v>
      </c>
      <c r="B16" s="7" t="s">
        <v>267</v>
      </c>
      <c r="C16" s="7" t="s">
        <v>268</v>
      </c>
      <c r="D16" s="7" t="s">
        <v>268</v>
      </c>
      <c r="E16" s="7" t="s">
        <v>270</v>
      </c>
      <c r="F16" s="7">
        <f>COUNTIFS(Positions!$B$2:$B$4694,A16,Positions!$F$2:$F$4694,"Position 8")+COUNTIFS(Positions!$B$2:$B$4694,A16,Positions!$F$2:$F$4694,"Position 9")+COUNTIFS(Positions!$B$2:$B$4694,A16,Positions!$F$2:$F$4694,"Position 26")</f>
        <v>3</v>
      </c>
      <c r="G16" s="7">
        <f>COUNTIFS(Positions!$B$2:$B$4694,A16,Positions!$F$2:$F$4694,"Position 8",Positions!$E$2:$E$4694,"G")+COUNTIFS(Positions!$B$2:$B$4694,A16,Positions!$F$2:$F$4694,"Position 9",Positions!$E$2:$E$4694,"G")+COUNTIFS(Positions!$B$2:$B$4694,A16,Positions!$F$2:$F$4694,"Position 26",Positions!$E$2:$E$4694,"G")</f>
        <v>1</v>
      </c>
      <c r="H16" s="7">
        <f>COUNTIFS(Positions!$B$2:$B$4694,A16,Positions!$F$2:$F$4694,"Position 8",Positions!$E$2:$E$4694,"C")+COUNTIFS(Positions!$B$2:$B$4694,A16,Positions!$F$2:$F$4694,"Position 9",Positions!$E$2:$E$4694,"C")+COUNTIFS(Positions!$B$2:$B$4694,A16,Positions!$F$2:$F$4694,"Position 26",Positions!$E$2:$E$4694,"C")</f>
        <v>0</v>
      </c>
      <c r="I16" s="8">
        <f t="shared" si="0"/>
        <v>1</v>
      </c>
      <c r="J16" s="25">
        <f t="shared" si="1"/>
        <v>0.33333333333333331</v>
      </c>
    </row>
    <row r="17" spans="1:10">
      <c r="A17" s="4" t="s">
        <v>40</v>
      </c>
      <c r="B17" s="4" t="s">
        <v>130</v>
      </c>
      <c r="C17" s="4" t="s">
        <v>255</v>
      </c>
      <c r="D17" s="4" t="s">
        <v>255</v>
      </c>
      <c r="E17" s="4" t="s">
        <v>276</v>
      </c>
      <c r="F17" s="4">
        <f>COUNTIFS(Positions!$B$2:$B$4694,A17,Positions!$F$2:$F$4694,B17)</f>
        <v>8</v>
      </c>
      <c r="G17" s="4">
        <f>COUNTIFS(Positions!$B$2:$B$4694,A17,Positions!$F$2:$F$4694,B17,Positions!$E$2:$E$4694,"G")</f>
        <v>3</v>
      </c>
      <c r="H17" s="4">
        <f>COUNTIFS(Positions!$B$2:$B$4694,A17,Positions!$F$2:$F$4694,B17,Positions!$E$2:$E$4694,"C")</f>
        <v>0</v>
      </c>
      <c r="I17" s="3">
        <f t="shared" si="0"/>
        <v>3</v>
      </c>
      <c r="J17" s="6">
        <f t="shared" si="1"/>
        <v>0.375</v>
      </c>
    </row>
    <row r="18" spans="1:10">
      <c r="A18" s="4" t="s">
        <v>40</v>
      </c>
      <c r="B18" s="4" t="s">
        <v>150</v>
      </c>
      <c r="C18" s="4" t="s">
        <v>258</v>
      </c>
      <c r="D18" s="4" t="s">
        <v>258</v>
      </c>
      <c r="E18" s="4" t="s">
        <v>277</v>
      </c>
      <c r="F18" s="4">
        <f>COUNTIFS(Positions!$B$2:$B$4694,A18,Positions!$F$2:$F$4694,B18)</f>
        <v>7</v>
      </c>
      <c r="G18" s="4">
        <f>COUNTIFS(Positions!$B$2:$B$4694,A18,Positions!$F$2:$F$4694,B18,Positions!$E$2:$E$4694,"G")</f>
        <v>2</v>
      </c>
      <c r="H18" s="4">
        <f>COUNTIFS(Positions!$B$2:$B$4694,A18,Positions!$F$2:$F$4694,B18,Positions!$E$2:$E$4694,"C")</f>
        <v>3</v>
      </c>
      <c r="I18" s="3">
        <f t="shared" si="0"/>
        <v>5</v>
      </c>
      <c r="J18" s="6">
        <f t="shared" si="1"/>
        <v>0.7142857142857143</v>
      </c>
    </row>
    <row r="19" spans="1:10">
      <c r="A19" s="4" t="s">
        <v>40</v>
      </c>
      <c r="B19" s="4" t="s">
        <v>163</v>
      </c>
      <c r="C19" s="4" t="s">
        <v>261</v>
      </c>
      <c r="D19" s="4" t="s">
        <v>278</v>
      </c>
      <c r="E19" s="4" t="s">
        <v>279</v>
      </c>
      <c r="F19" s="4">
        <f>COUNTIFS(Positions!$B$2:$B$4694,A19,Positions!$F$2:$F$4694,B19)</f>
        <v>4</v>
      </c>
      <c r="G19" s="4">
        <f>COUNTIFS(Positions!$B$2:$B$4694,A19,Positions!$F$2:$F$4694,B19,Positions!$E$2:$E$4694,"G")</f>
        <v>1</v>
      </c>
      <c r="H19" s="4">
        <f>COUNTIFS(Positions!$B$2:$B$4694,A19,Positions!$F$2:$F$4694,B19,Positions!$E$2:$E$4694,"C")</f>
        <v>1</v>
      </c>
      <c r="I19" s="3">
        <f t="shared" si="0"/>
        <v>2</v>
      </c>
      <c r="J19" s="6">
        <f t="shared" si="1"/>
        <v>0.5</v>
      </c>
    </row>
    <row r="20" spans="1:10">
      <c r="A20" s="4" t="s">
        <v>40</v>
      </c>
      <c r="B20" s="4" t="s">
        <v>175</v>
      </c>
      <c r="C20" s="4" t="s">
        <v>264</v>
      </c>
      <c r="D20" s="4" t="s">
        <v>265</v>
      </c>
      <c r="E20" s="4" t="s">
        <v>280</v>
      </c>
      <c r="F20" s="4">
        <f>COUNTIFS(Positions!$B$2:$B$4694,A20,Positions!$F$2:$F$4694,B20)</f>
        <v>7</v>
      </c>
      <c r="G20" s="4">
        <f>COUNTIFS(Positions!$B$2:$B$4694,A20,Positions!$F$2:$F$4694,B20,Positions!$E$2:$E$4694,"G")</f>
        <v>1</v>
      </c>
      <c r="H20" s="4">
        <f>COUNTIFS(Positions!$B$2:$B$4694,A20,Positions!$F$2:$F$4694,B20,Positions!$E$2:$E$4694,"C")</f>
        <v>1</v>
      </c>
      <c r="I20" s="3">
        <f t="shared" si="0"/>
        <v>2</v>
      </c>
      <c r="J20" s="6">
        <f t="shared" si="1"/>
        <v>0.2857142857142857</v>
      </c>
    </row>
    <row r="21" spans="1:10">
      <c r="A21" s="7" t="s">
        <v>40</v>
      </c>
      <c r="B21" s="7" t="s">
        <v>267</v>
      </c>
      <c r="C21" s="7" t="s">
        <v>268</v>
      </c>
      <c r="D21" s="7" t="s">
        <v>268</v>
      </c>
      <c r="E21" s="7" t="s">
        <v>281</v>
      </c>
      <c r="F21" s="7">
        <f>COUNTIFS(Positions!$B$2:$B$4694,A21,Positions!$F$2:$F$4694,"Position 8")+COUNTIFS(Positions!$B$2:$B$4694,A21,Positions!$F$2:$F$4694,"Position 9")+COUNTIFS(Positions!$B$2:$B$4694,A21,Positions!$F$2:$F$4694,"Position 26")</f>
        <v>3</v>
      </c>
      <c r="G21" s="7">
        <f>COUNTIFS(Positions!$B$2:$B$4694,A21,Positions!$F$2:$F$4694,"Position 8",Positions!$E$2:$E$4694,"G")+COUNTIFS(Positions!$B$2:$B$4694,A21,Positions!$F$2:$F$4694,"Position 9",Positions!$E$2:$E$4694,"G")+COUNTIFS(Positions!$B$2:$B$4694,A21,Positions!$F$2:$F$4694,"Position 26",Positions!$E$2:$E$4694,"G")</f>
        <v>0</v>
      </c>
      <c r="H21" s="7">
        <f>COUNTIFS(Positions!$B$2:$B$4694,A21,Positions!$F$2:$F$4694,"Position 8",Positions!$E$2:$E$4694,"C")+COUNTIFS(Positions!$B$2:$B$4694,A21,Positions!$F$2:$F$4694,"Position 9",Positions!$E$2:$E$4694,"C")+COUNTIFS(Positions!$B$2:$B$4694,A21,Positions!$F$2:$F$4694,"Position 26",Positions!$E$2:$E$4694,"C")</f>
        <v>0</v>
      </c>
      <c r="I21" s="8">
        <f t="shared" si="0"/>
        <v>0</v>
      </c>
      <c r="J21" s="25">
        <f t="shared" si="1"/>
        <v>0</v>
      </c>
    </row>
    <row r="22" spans="1:10">
      <c r="A22" s="4" t="s">
        <v>41</v>
      </c>
      <c r="B22" s="4" t="s">
        <v>130</v>
      </c>
      <c r="C22" s="4" t="s">
        <v>255</v>
      </c>
      <c r="D22" s="4" t="s">
        <v>282</v>
      </c>
      <c r="E22" s="4" t="s">
        <v>283</v>
      </c>
      <c r="F22" s="4">
        <f>COUNTIFS(Positions!$B$2:$B$4694,A22,Positions!$F$2:$F$4694,B22)</f>
        <v>10</v>
      </c>
      <c r="G22" s="4">
        <f>COUNTIFS(Positions!$B$2:$B$4694,A22,Positions!$F$2:$F$4694,B22,Positions!$E$2:$E$4694,"G")</f>
        <v>3</v>
      </c>
      <c r="H22" s="4">
        <f>COUNTIFS(Positions!$B$2:$B$4694,A22,Positions!$F$2:$F$4694,B22,Positions!$E$2:$E$4694,"C")</f>
        <v>2</v>
      </c>
      <c r="I22" s="3">
        <f t="shared" si="0"/>
        <v>5</v>
      </c>
      <c r="J22" s="6">
        <f t="shared" si="1"/>
        <v>0.5</v>
      </c>
    </row>
    <row r="23" spans="1:10">
      <c r="A23" s="4" t="s">
        <v>41</v>
      </c>
      <c r="B23" s="4" t="s">
        <v>150</v>
      </c>
      <c r="C23" s="4" t="s">
        <v>258</v>
      </c>
      <c r="D23" s="4" t="s">
        <v>284</v>
      </c>
      <c r="E23" s="4" t="s">
        <v>285</v>
      </c>
      <c r="F23" s="4">
        <f>COUNTIFS(Positions!$B$2:$B$4694,A23,Positions!$F$2:$F$4694,B23)</f>
        <v>7</v>
      </c>
      <c r="G23" s="4">
        <f>COUNTIFS(Positions!$B$2:$B$4694,A23,Positions!$F$2:$F$4694,B23,Positions!$E$2:$E$4694,"G")</f>
        <v>0</v>
      </c>
      <c r="H23" s="4">
        <f>COUNTIFS(Positions!$B$2:$B$4694,A23,Positions!$F$2:$F$4694,B23,Positions!$E$2:$E$4694,"C")</f>
        <v>3</v>
      </c>
      <c r="I23" s="3">
        <f t="shared" si="0"/>
        <v>3</v>
      </c>
      <c r="J23" s="6">
        <f t="shared" si="1"/>
        <v>0.42857142857142855</v>
      </c>
    </row>
    <row r="24" spans="1:10">
      <c r="A24" s="4" t="s">
        <v>41</v>
      </c>
      <c r="B24" s="4" t="s">
        <v>163</v>
      </c>
      <c r="C24" s="4" t="s">
        <v>261</v>
      </c>
      <c r="D24" s="4" t="s">
        <v>286</v>
      </c>
      <c r="E24" s="4" t="s">
        <v>287</v>
      </c>
      <c r="F24" s="4">
        <f>COUNTIFS(Positions!$B$2:$B$4694,A24,Positions!$F$2:$F$4694,B24)</f>
        <v>5</v>
      </c>
      <c r="G24" s="4">
        <f>COUNTIFS(Positions!$B$2:$B$4694,A24,Positions!$F$2:$F$4694,B24,Positions!$E$2:$E$4694,"G")</f>
        <v>0</v>
      </c>
      <c r="H24" s="4">
        <f>COUNTIFS(Positions!$B$2:$B$4694,A24,Positions!$F$2:$F$4694,B24,Positions!$E$2:$E$4694,"C")</f>
        <v>1</v>
      </c>
      <c r="I24" s="3">
        <f t="shared" si="0"/>
        <v>1</v>
      </c>
      <c r="J24" s="6">
        <f t="shared" si="1"/>
        <v>0.2</v>
      </c>
    </row>
    <row r="25" spans="1:10">
      <c r="A25" s="4" t="s">
        <v>41</v>
      </c>
      <c r="B25" s="4" t="s">
        <v>175</v>
      </c>
      <c r="C25" s="4" t="s">
        <v>264</v>
      </c>
      <c r="D25" s="4" t="s">
        <v>288</v>
      </c>
      <c r="E25" s="4" t="s">
        <v>266</v>
      </c>
      <c r="F25" s="4">
        <f>COUNTIFS(Positions!$B$2:$B$4694,A25,Positions!$F$2:$F$4694,B25)</f>
        <v>7</v>
      </c>
      <c r="G25" s="4">
        <f>COUNTIFS(Positions!$B$2:$B$4694,A25,Positions!$F$2:$F$4694,B25,Positions!$E$2:$E$4694,"G")</f>
        <v>0</v>
      </c>
      <c r="H25" s="4">
        <f>COUNTIFS(Positions!$B$2:$B$4694,A25,Positions!$F$2:$F$4694,B25,Positions!$E$2:$E$4694,"C")</f>
        <v>1</v>
      </c>
      <c r="I25" s="3">
        <f t="shared" si="0"/>
        <v>1</v>
      </c>
      <c r="J25" s="6">
        <f t="shared" si="1"/>
        <v>0.14285714285714285</v>
      </c>
    </row>
    <row r="26" spans="1:10">
      <c r="A26" s="7" t="s">
        <v>41</v>
      </c>
      <c r="B26" s="7" t="s">
        <v>267</v>
      </c>
      <c r="C26" s="7" t="s">
        <v>268</v>
      </c>
      <c r="D26" s="7" t="s">
        <v>289</v>
      </c>
      <c r="E26" s="7" t="s">
        <v>290</v>
      </c>
      <c r="F26" s="7">
        <f>COUNTIFS(Positions!$B$2:$B$4694,A26,Positions!$F$2:$F$4694,"Position 8")+COUNTIFS(Positions!$B$2:$B$4694,A26,Positions!$F$2:$F$4694,"Position 9")+COUNTIFS(Positions!$B$2:$B$4694,A26,Positions!$F$2:$F$4694,"Position 26")</f>
        <v>3</v>
      </c>
      <c r="G26" s="7">
        <f>COUNTIFS(Positions!$B$2:$B$4694,A26,Positions!$F$2:$F$4694,"Position 8",Positions!$E$2:$E$4694,"G")+COUNTIFS(Positions!$B$2:$B$4694,A26,Positions!$F$2:$F$4694,"Position 9",Positions!$E$2:$E$4694,"G")+COUNTIFS(Positions!$B$2:$B$4694,A26,Positions!$F$2:$F$4694,"Position 26",Positions!$E$2:$E$4694,"G")</f>
        <v>2</v>
      </c>
      <c r="H26" s="7">
        <f>COUNTIFS(Positions!$B$2:$B$4694,A26,Positions!$F$2:$F$4694,"Position 8",Positions!$E$2:$E$4694,"C")+COUNTIFS(Positions!$B$2:$B$4694,A26,Positions!$F$2:$F$4694,"Position 9",Positions!$E$2:$E$4694,"C")+COUNTIFS(Positions!$B$2:$B$4694,A26,Positions!$F$2:$F$4694,"Position 26",Positions!$E$2:$E$4694,"C")</f>
        <v>0</v>
      </c>
      <c r="I26" s="8">
        <f t="shared" si="0"/>
        <v>2</v>
      </c>
      <c r="J26" s="25">
        <f t="shared" si="1"/>
        <v>0.66666666666666663</v>
      </c>
    </row>
    <row r="27" spans="1:10">
      <c r="A27" s="4" t="s">
        <v>42</v>
      </c>
      <c r="B27" s="4" t="s">
        <v>130</v>
      </c>
      <c r="C27" s="4" t="s">
        <v>255</v>
      </c>
      <c r="D27" s="4" t="s">
        <v>255</v>
      </c>
      <c r="E27" s="4" t="s">
        <v>291</v>
      </c>
      <c r="F27" s="4">
        <f>COUNTIFS(Positions!$B$2:$B$4694,A27,Positions!$F$2:$F$4694,B27)</f>
        <v>8</v>
      </c>
      <c r="G27" s="4">
        <f>COUNTIFS(Positions!$B$2:$B$4694,A27,Positions!$F$2:$F$4694,B27,Positions!$E$2:$E$4694,"G")</f>
        <v>3</v>
      </c>
      <c r="H27" s="4">
        <f>COUNTIFS(Positions!$B$2:$B$4694,A27,Positions!$F$2:$F$4694,B27,Positions!$E$2:$E$4694,"C")</f>
        <v>0</v>
      </c>
      <c r="I27" s="3">
        <f t="shared" si="0"/>
        <v>3</v>
      </c>
      <c r="J27" s="6">
        <f t="shared" si="1"/>
        <v>0.375</v>
      </c>
    </row>
    <row r="28" spans="1:10">
      <c r="A28" s="4" t="s">
        <v>42</v>
      </c>
      <c r="B28" s="4" t="s">
        <v>150</v>
      </c>
      <c r="C28" s="4" t="s">
        <v>258</v>
      </c>
      <c r="D28" s="4" t="s">
        <v>258</v>
      </c>
      <c r="E28" s="4" t="s">
        <v>292</v>
      </c>
      <c r="F28" s="4">
        <f>COUNTIFS(Positions!$B$2:$B$4694,A28,Positions!$F$2:$F$4694,B28)</f>
        <v>7</v>
      </c>
      <c r="G28" s="4">
        <f>COUNTIFS(Positions!$B$2:$B$4694,A28,Positions!$F$2:$F$4694,B28,Positions!$E$2:$E$4694,"G")</f>
        <v>3</v>
      </c>
      <c r="H28" s="4">
        <f>COUNTIFS(Positions!$B$2:$B$4694,A28,Positions!$F$2:$F$4694,B28,Positions!$E$2:$E$4694,"C")</f>
        <v>2</v>
      </c>
      <c r="I28" s="3">
        <f t="shared" si="0"/>
        <v>5</v>
      </c>
      <c r="J28" s="6">
        <f t="shared" si="1"/>
        <v>0.7142857142857143</v>
      </c>
    </row>
    <row r="29" spans="1:10">
      <c r="A29" s="4" t="s">
        <v>42</v>
      </c>
      <c r="B29" s="4" t="s">
        <v>163</v>
      </c>
      <c r="C29" s="4" t="s">
        <v>261</v>
      </c>
      <c r="D29" s="4" t="s">
        <v>278</v>
      </c>
      <c r="E29" s="4" t="s">
        <v>293</v>
      </c>
      <c r="F29" s="4">
        <f>COUNTIFS(Positions!$B$2:$B$4694,A29,Positions!$F$2:$F$4694,B29)</f>
        <v>4</v>
      </c>
      <c r="G29" s="4">
        <f>COUNTIFS(Positions!$B$2:$B$4694,A29,Positions!$F$2:$F$4694,B29,Positions!$E$2:$E$4694,"G")</f>
        <v>1</v>
      </c>
      <c r="H29" s="4">
        <f>COUNTIFS(Positions!$B$2:$B$4694,A29,Positions!$F$2:$F$4694,B29,Positions!$E$2:$E$4694,"C")</f>
        <v>1</v>
      </c>
      <c r="I29" s="3">
        <f t="shared" si="0"/>
        <v>2</v>
      </c>
      <c r="J29" s="6">
        <f t="shared" si="1"/>
        <v>0.5</v>
      </c>
    </row>
    <row r="30" spans="1:10">
      <c r="A30" s="4" t="s">
        <v>42</v>
      </c>
      <c r="B30" s="4" t="s">
        <v>175</v>
      </c>
      <c r="C30" s="4" t="s">
        <v>264</v>
      </c>
      <c r="D30" s="4" t="s">
        <v>265</v>
      </c>
      <c r="E30" s="4" t="s">
        <v>294</v>
      </c>
      <c r="F30" s="4">
        <f>COUNTIFS(Positions!$B$2:$B$4694,A30,Positions!$F$2:$F$4694,B30)</f>
        <v>7</v>
      </c>
      <c r="G30" s="4">
        <f>COUNTIFS(Positions!$B$2:$B$4694,A30,Positions!$F$2:$F$4694,B30,Positions!$E$2:$E$4694,"G")</f>
        <v>1</v>
      </c>
      <c r="H30" s="4">
        <f>COUNTIFS(Positions!$B$2:$B$4694,A30,Positions!$F$2:$F$4694,B30,Positions!$E$2:$E$4694,"C")</f>
        <v>1</v>
      </c>
      <c r="I30" s="3">
        <f t="shared" si="0"/>
        <v>2</v>
      </c>
      <c r="J30" s="6">
        <f t="shared" si="1"/>
        <v>0.2857142857142857</v>
      </c>
    </row>
    <row r="31" spans="1:10">
      <c r="A31" s="7" t="s">
        <v>42</v>
      </c>
      <c r="B31" s="7" t="s">
        <v>267</v>
      </c>
      <c r="C31" s="7" t="s">
        <v>268</v>
      </c>
      <c r="D31" s="7" t="s">
        <v>268</v>
      </c>
      <c r="E31" s="7" t="s">
        <v>281</v>
      </c>
      <c r="F31" s="7">
        <f>COUNTIFS(Positions!$B$2:$B$4694,A31,Positions!$F$2:$F$4694,"Position 8")+COUNTIFS(Positions!$B$2:$B$4694,A31,Positions!$F$2:$F$4694,"Position 9")+COUNTIFS(Positions!$B$2:$B$4694,A31,Positions!$F$2:$F$4694,"Position 26")</f>
        <v>3</v>
      </c>
      <c r="G31" s="7">
        <f>COUNTIFS(Positions!$B$2:$B$4694,A31,Positions!$F$2:$F$4694,"Position 8",Positions!$E$2:$E$4694,"G")+COUNTIFS(Positions!$B$2:$B$4694,A31,Positions!$F$2:$F$4694,"Position 9",Positions!$E$2:$E$4694,"G")+COUNTIFS(Positions!$B$2:$B$4694,A31,Positions!$F$2:$F$4694,"Position 26",Positions!$E$2:$E$4694,"G")</f>
        <v>0</v>
      </c>
      <c r="H31" s="7">
        <f>COUNTIFS(Positions!$B$2:$B$4694,A31,Positions!$F$2:$F$4694,"Position 8",Positions!$E$2:$E$4694,"C")+COUNTIFS(Positions!$B$2:$B$4694,A31,Positions!$F$2:$F$4694,"Position 9",Positions!$E$2:$E$4694,"C")+COUNTIFS(Positions!$B$2:$B$4694,A31,Positions!$F$2:$F$4694,"Position 26",Positions!$E$2:$E$4694,"C")</f>
        <v>0</v>
      </c>
      <c r="I31" s="8">
        <f t="shared" si="0"/>
        <v>0</v>
      </c>
      <c r="J31" s="25">
        <f t="shared" si="1"/>
        <v>0</v>
      </c>
    </row>
    <row r="32" spans="1:10">
      <c r="A32" s="4" t="s">
        <v>43</v>
      </c>
      <c r="B32" s="4" t="s">
        <v>130</v>
      </c>
      <c r="C32" s="4" t="s">
        <v>255</v>
      </c>
      <c r="D32" s="4" t="s">
        <v>282</v>
      </c>
      <c r="E32" s="4" t="s">
        <v>283</v>
      </c>
      <c r="F32" s="4">
        <f>COUNTIFS(Positions!$B$2:$B$4694,A32,Positions!$F$2:$F$4694,B32)</f>
        <v>10</v>
      </c>
      <c r="G32" s="4">
        <f>COUNTIFS(Positions!$B$2:$B$4694,A32,Positions!$F$2:$F$4694,B32,Positions!$E$2:$E$4694,"G")</f>
        <v>3</v>
      </c>
      <c r="H32" s="4">
        <f>COUNTIFS(Positions!$B$2:$B$4694,A32,Positions!$F$2:$F$4694,B32,Positions!$E$2:$E$4694,"C")</f>
        <v>2</v>
      </c>
      <c r="I32" s="3">
        <f t="shared" si="0"/>
        <v>5</v>
      </c>
      <c r="J32" s="6">
        <f t="shared" si="1"/>
        <v>0.5</v>
      </c>
    </row>
    <row r="33" spans="1:10">
      <c r="A33" s="4" t="s">
        <v>43</v>
      </c>
      <c r="B33" s="4" t="s">
        <v>150</v>
      </c>
      <c r="C33" s="4" t="s">
        <v>258</v>
      </c>
      <c r="D33" s="4" t="s">
        <v>284</v>
      </c>
      <c r="E33" s="4" t="s">
        <v>295</v>
      </c>
      <c r="F33" s="4">
        <f>COUNTIFS(Positions!$B$2:$B$4694,A33,Positions!$F$2:$F$4694,B33)</f>
        <v>7</v>
      </c>
      <c r="G33" s="4">
        <f>COUNTIFS(Positions!$B$2:$B$4694,A33,Positions!$F$2:$F$4694,B33,Positions!$E$2:$E$4694,"G")</f>
        <v>1</v>
      </c>
      <c r="H33" s="4">
        <f>COUNTIFS(Positions!$B$2:$B$4694,A33,Positions!$F$2:$F$4694,B33,Positions!$E$2:$E$4694,"C")</f>
        <v>2</v>
      </c>
      <c r="I33" s="3">
        <f t="shared" si="0"/>
        <v>3</v>
      </c>
      <c r="J33" s="6">
        <f t="shared" si="1"/>
        <v>0.42857142857142855</v>
      </c>
    </row>
    <row r="34" spans="1:10">
      <c r="A34" s="4" t="s">
        <v>43</v>
      </c>
      <c r="B34" s="4" t="s">
        <v>163</v>
      </c>
      <c r="C34" s="4" t="s">
        <v>261</v>
      </c>
      <c r="D34" s="4" t="s">
        <v>296</v>
      </c>
      <c r="E34" s="4" t="s">
        <v>297</v>
      </c>
      <c r="F34" s="4">
        <f>COUNTIFS(Positions!$B$2:$B$4694,A34,Positions!$F$2:$F$4694,B34)</f>
        <v>4</v>
      </c>
      <c r="G34" s="4">
        <f>COUNTIFS(Positions!$B$2:$B$4694,A34,Positions!$F$2:$F$4694,B34,Positions!$E$2:$E$4694,"G")</f>
        <v>1</v>
      </c>
      <c r="H34" s="4">
        <f>COUNTIFS(Positions!$B$2:$B$4694,A34,Positions!$F$2:$F$4694,B34,Positions!$E$2:$E$4694,"C")</f>
        <v>1</v>
      </c>
      <c r="I34" s="3">
        <f t="shared" si="0"/>
        <v>2</v>
      </c>
      <c r="J34" s="6">
        <f t="shared" si="1"/>
        <v>0.5</v>
      </c>
    </row>
    <row r="35" spans="1:10">
      <c r="A35" s="4" t="s">
        <v>43</v>
      </c>
      <c r="B35" s="4" t="s">
        <v>175</v>
      </c>
      <c r="C35" s="4" t="s">
        <v>264</v>
      </c>
      <c r="D35" s="4" t="s">
        <v>298</v>
      </c>
      <c r="E35" s="4" t="s">
        <v>275</v>
      </c>
      <c r="F35" s="4">
        <f>COUNTIFS(Positions!$B$2:$B$4694,A35,Positions!$F$2:$F$4694,B35)</f>
        <v>7</v>
      </c>
      <c r="G35" s="4">
        <f>COUNTIFS(Positions!$B$2:$B$4694,A35,Positions!$F$2:$F$4694,B35,Positions!$E$2:$E$4694,"G")</f>
        <v>1</v>
      </c>
      <c r="H35" s="4">
        <f>COUNTIFS(Positions!$B$2:$B$4694,A35,Positions!$F$2:$F$4694,B35,Positions!$E$2:$E$4694,"C")</f>
        <v>1</v>
      </c>
      <c r="I35" s="3">
        <f t="shared" si="0"/>
        <v>2</v>
      </c>
      <c r="J35" s="6">
        <f t="shared" si="1"/>
        <v>0.2857142857142857</v>
      </c>
    </row>
    <row r="36" spans="1:10">
      <c r="A36" s="7" t="s">
        <v>43</v>
      </c>
      <c r="B36" s="7" t="s">
        <v>267</v>
      </c>
      <c r="C36" s="7" t="s">
        <v>268</v>
      </c>
      <c r="D36" s="7" t="s">
        <v>289</v>
      </c>
      <c r="E36" s="7" t="s">
        <v>299</v>
      </c>
      <c r="F36" s="7">
        <f>COUNTIFS(Positions!$B$2:$B$4694,A36,Positions!$F$2:$F$4694,"Position 8")+COUNTIFS(Positions!$B$2:$B$4694,A36,Positions!$F$2:$F$4694,"Position 9")+COUNTIFS(Positions!$B$2:$B$4694,A36,Positions!$F$2:$F$4694,"Position 26")</f>
        <v>3</v>
      </c>
      <c r="G36" s="7">
        <f>COUNTIFS(Positions!$B$2:$B$4694,A36,Positions!$F$2:$F$4694,"Position 8",Positions!$E$2:$E$4694,"G")+COUNTIFS(Positions!$B$2:$B$4694,A36,Positions!$F$2:$F$4694,"Position 9",Positions!$E$2:$E$4694,"G")+COUNTIFS(Positions!$B$2:$B$4694,A36,Positions!$F$2:$F$4694,"Position 26",Positions!$E$2:$E$4694,"G")</f>
        <v>0</v>
      </c>
      <c r="H36" s="7">
        <f>COUNTIFS(Positions!$B$2:$B$4694,A36,Positions!$F$2:$F$4694,"Position 8",Positions!$E$2:$E$4694,"C")+COUNTIFS(Positions!$B$2:$B$4694,A36,Positions!$F$2:$F$4694,"Position 9",Positions!$E$2:$E$4694,"C")+COUNTIFS(Positions!$B$2:$B$4694,A36,Positions!$F$2:$F$4694,"Position 26",Positions!$E$2:$E$4694,"C")</f>
        <v>0</v>
      </c>
      <c r="I36" s="8">
        <f t="shared" si="0"/>
        <v>0</v>
      </c>
      <c r="J36" s="25">
        <f t="shared" si="1"/>
        <v>0</v>
      </c>
    </row>
    <row r="37" spans="1:10">
      <c r="A37" s="4" t="s">
        <v>44</v>
      </c>
      <c r="B37" s="4" t="s">
        <v>130</v>
      </c>
      <c r="C37" s="4" t="s">
        <v>255</v>
      </c>
      <c r="D37" s="4" t="s">
        <v>282</v>
      </c>
      <c r="E37" s="4" t="s">
        <v>283</v>
      </c>
      <c r="F37" s="4">
        <f>COUNTIFS(Positions!$B$2:$B$4694,A37,Positions!$F$2:$F$4694,B37)</f>
        <v>10</v>
      </c>
      <c r="G37" s="4">
        <f>COUNTIFS(Positions!$B$2:$B$4694,A37,Positions!$F$2:$F$4694,B37,Positions!$E$2:$E$4694,"G")</f>
        <v>3</v>
      </c>
      <c r="H37" s="4">
        <f>COUNTIFS(Positions!$B$2:$B$4694,A37,Positions!$F$2:$F$4694,B37,Positions!$E$2:$E$4694,"C")</f>
        <v>2</v>
      </c>
      <c r="I37" s="3">
        <f t="shared" si="0"/>
        <v>5</v>
      </c>
      <c r="J37" s="6">
        <f t="shared" si="1"/>
        <v>0.5</v>
      </c>
    </row>
    <row r="38" spans="1:10">
      <c r="A38" s="4" t="s">
        <v>44</v>
      </c>
      <c r="B38" s="4" t="s">
        <v>150</v>
      </c>
      <c r="C38" s="4" t="s">
        <v>258</v>
      </c>
      <c r="D38" s="4" t="s">
        <v>284</v>
      </c>
      <c r="E38" s="4" t="s">
        <v>300</v>
      </c>
      <c r="F38" s="4">
        <f>COUNTIFS(Positions!$B$2:$B$4694,A38,Positions!$F$2:$F$4694,B38)</f>
        <v>7</v>
      </c>
      <c r="G38" s="4">
        <f>COUNTIFS(Positions!$B$2:$B$4694,A38,Positions!$F$2:$F$4694,B38,Positions!$E$2:$E$4694,"G")</f>
        <v>0</v>
      </c>
      <c r="H38" s="4">
        <f>COUNTIFS(Positions!$B$2:$B$4694,A38,Positions!$F$2:$F$4694,B38,Positions!$E$2:$E$4694,"C")</f>
        <v>2</v>
      </c>
      <c r="I38" s="3">
        <f t="shared" si="0"/>
        <v>2</v>
      </c>
      <c r="J38" s="6">
        <f t="shared" si="1"/>
        <v>0.2857142857142857</v>
      </c>
    </row>
    <row r="39" spans="1:10">
      <c r="A39" s="4" t="s">
        <v>44</v>
      </c>
      <c r="B39" s="4" t="s">
        <v>163</v>
      </c>
      <c r="C39" s="4" t="s">
        <v>261</v>
      </c>
      <c r="D39" s="4" t="s">
        <v>286</v>
      </c>
      <c r="E39" s="4" t="s">
        <v>301</v>
      </c>
      <c r="F39" s="4">
        <f>COUNTIFS(Positions!$B$2:$B$4694,A39,Positions!$F$2:$F$4694,B39)</f>
        <v>5</v>
      </c>
      <c r="G39" s="4">
        <f>COUNTIFS(Positions!$B$2:$B$4694,A39,Positions!$F$2:$F$4694,B39,Positions!$E$2:$E$4694,"G")</f>
        <v>1</v>
      </c>
      <c r="H39" s="4">
        <f>COUNTIFS(Positions!$B$2:$B$4694,A39,Positions!$F$2:$F$4694,B39,Positions!$E$2:$E$4694,"C")</f>
        <v>2</v>
      </c>
      <c r="I39" s="3">
        <f t="shared" si="0"/>
        <v>3</v>
      </c>
      <c r="J39" s="6">
        <f t="shared" si="1"/>
        <v>0.6</v>
      </c>
    </row>
    <row r="40" spans="1:10">
      <c r="A40" s="4" t="s">
        <v>44</v>
      </c>
      <c r="B40" s="4" t="s">
        <v>175</v>
      </c>
      <c r="C40" s="4" t="s">
        <v>264</v>
      </c>
      <c r="D40" s="4" t="s">
        <v>288</v>
      </c>
      <c r="E40" s="4" t="s">
        <v>266</v>
      </c>
      <c r="F40" s="4">
        <f>COUNTIFS(Positions!$B$2:$B$4694,A40,Positions!$F$2:$F$4694,B40)</f>
        <v>7</v>
      </c>
      <c r="G40" s="4">
        <f>COUNTIFS(Positions!$B$2:$B$4694,A40,Positions!$F$2:$F$4694,B40,Positions!$E$2:$E$4694,"G")</f>
        <v>0</v>
      </c>
      <c r="H40" s="4">
        <f>COUNTIFS(Positions!$B$2:$B$4694,A40,Positions!$F$2:$F$4694,B40,Positions!$E$2:$E$4694,"C")</f>
        <v>1</v>
      </c>
      <c r="I40" s="3">
        <f t="shared" si="0"/>
        <v>1</v>
      </c>
      <c r="J40" s="6">
        <f t="shared" si="1"/>
        <v>0.14285714285714285</v>
      </c>
    </row>
    <row r="41" spans="1:10">
      <c r="A41" s="7" t="s">
        <v>44</v>
      </c>
      <c r="B41" s="7" t="s">
        <v>267</v>
      </c>
      <c r="C41" s="7" t="s">
        <v>268</v>
      </c>
      <c r="D41" s="7" t="s">
        <v>289</v>
      </c>
      <c r="E41" s="7" t="s">
        <v>290</v>
      </c>
      <c r="F41" s="7">
        <f>COUNTIFS(Positions!$B$2:$B$4694,A41,Positions!$F$2:$F$4694,"Position 8")+COUNTIFS(Positions!$B$2:$B$4694,A41,Positions!$F$2:$F$4694,"Position 9")+COUNTIFS(Positions!$B$2:$B$4694,A41,Positions!$F$2:$F$4694,"Position 26")</f>
        <v>3</v>
      </c>
      <c r="G41" s="7">
        <f>COUNTIFS(Positions!$B$2:$B$4694,A41,Positions!$F$2:$F$4694,"Position 8",Positions!$E$2:$E$4694,"G")+COUNTIFS(Positions!$B$2:$B$4694,A41,Positions!$F$2:$F$4694,"Position 9",Positions!$E$2:$E$4694,"G")+COUNTIFS(Positions!$B$2:$B$4694,A41,Positions!$F$2:$F$4694,"Position 26",Positions!$E$2:$E$4694,"G")</f>
        <v>2</v>
      </c>
      <c r="H41" s="7">
        <f>COUNTIFS(Positions!$B$2:$B$4694,A41,Positions!$F$2:$F$4694,"Position 8",Positions!$E$2:$E$4694,"C")+COUNTIFS(Positions!$B$2:$B$4694,A41,Positions!$F$2:$F$4694,"Position 9",Positions!$E$2:$E$4694,"C")+COUNTIFS(Positions!$B$2:$B$4694,A41,Positions!$F$2:$F$4694,"Position 26",Positions!$E$2:$E$4694,"C")</f>
        <v>0</v>
      </c>
      <c r="I41" s="8">
        <f t="shared" si="0"/>
        <v>2</v>
      </c>
      <c r="J41" s="25">
        <f t="shared" si="1"/>
        <v>0.66666666666666663</v>
      </c>
    </row>
    <row r="42" spans="1:10">
      <c r="A42" s="4" t="s">
        <v>45</v>
      </c>
      <c r="B42" s="4" t="s">
        <v>130</v>
      </c>
      <c r="C42" s="4" t="s">
        <v>255</v>
      </c>
      <c r="D42" s="4" t="s">
        <v>255</v>
      </c>
      <c r="E42" s="4" t="s">
        <v>302</v>
      </c>
      <c r="F42" s="4">
        <f>COUNTIFS(Positions!$B$2:$B$4694,A42,Positions!$F$2:$F$4694,B42)</f>
        <v>8</v>
      </c>
      <c r="G42" s="4">
        <f>COUNTIFS(Positions!$B$2:$B$4694,A42,Positions!$F$2:$F$4694,B42,Positions!$E$2:$E$4694,"G")</f>
        <v>3</v>
      </c>
      <c r="H42" s="4">
        <f>COUNTIFS(Positions!$B$2:$B$4694,A42,Positions!$F$2:$F$4694,B42,Positions!$E$2:$E$4694,"C")</f>
        <v>0</v>
      </c>
      <c r="I42" s="3">
        <f t="shared" si="0"/>
        <v>3</v>
      </c>
      <c r="J42" s="6">
        <f t="shared" si="1"/>
        <v>0.375</v>
      </c>
    </row>
    <row r="43" spans="1:10">
      <c r="A43" s="4" t="s">
        <v>45</v>
      </c>
      <c r="B43" s="4" t="s">
        <v>150</v>
      </c>
      <c r="C43" s="4" t="s">
        <v>258</v>
      </c>
      <c r="D43" s="4" t="s">
        <v>258</v>
      </c>
      <c r="E43" s="4" t="s">
        <v>303</v>
      </c>
      <c r="F43" s="4">
        <f>COUNTIFS(Positions!$B$2:$B$4694,A43,Positions!$F$2:$F$4694,B43)</f>
        <v>7</v>
      </c>
      <c r="G43" s="4">
        <f>COUNTIFS(Positions!$B$2:$B$4694,A43,Positions!$F$2:$F$4694,B43,Positions!$E$2:$E$4694,"G")</f>
        <v>1</v>
      </c>
      <c r="H43" s="4">
        <f>COUNTIFS(Positions!$B$2:$B$4694,A43,Positions!$F$2:$F$4694,B43,Positions!$E$2:$E$4694,"C")</f>
        <v>1</v>
      </c>
      <c r="I43" s="3">
        <f t="shared" si="0"/>
        <v>2</v>
      </c>
      <c r="J43" s="6">
        <f t="shared" si="1"/>
        <v>0.2857142857142857</v>
      </c>
    </row>
    <row r="44" spans="1:10">
      <c r="A44" s="4" t="s">
        <v>45</v>
      </c>
      <c r="B44" s="4" t="s">
        <v>163</v>
      </c>
      <c r="C44" s="4" t="s">
        <v>261</v>
      </c>
      <c r="D44" s="4" t="s">
        <v>261</v>
      </c>
      <c r="E44" s="4" t="s">
        <v>304</v>
      </c>
      <c r="F44" s="4">
        <f>COUNTIFS(Positions!$B$2:$B$4694,A44,Positions!$F$2:$F$4694,B44)</f>
        <v>5</v>
      </c>
      <c r="G44" s="4">
        <f>COUNTIFS(Positions!$B$2:$B$4694,A44,Positions!$F$2:$F$4694,B44,Positions!$E$2:$E$4694,"G")</f>
        <v>1</v>
      </c>
      <c r="H44" s="4">
        <f>COUNTIFS(Positions!$B$2:$B$4694,A44,Positions!$F$2:$F$4694,B44,Positions!$E$2:$E$4694,"C")</f>
        <v>1</v>
      </c>
      <c r="I44" s="3">
        <f t="shared" si="0"/>
        <v>2</v>
      </c>
      <c r="J44" s="6">
        <f t="shared" si="1"/>
        <v>0.4</v>
      </c>
    </row>
    <row r="45" spans="1:10">
      <c r="A45" s="4" t="s">
        <v>45</v>
      </c>
      <c r="B45" s="4" t="s">
        <v>175</v>
      </c>
      <c r="C45" s="4" t="s">
        <v>264</v>
      </c>
      <c r="D45" s="4" t="s">
        <v>264</v>
      </c>
      <c r="E45" s="4" t="s">
        <v>305</v>
      </c>
      <c r="F45" s="4">
        <f>COUNTIFS(Positions!$B$2:$B$4694,A45,Positions!$F$2:$F$4694,B45)</f>
        <v>7</v>
      </c>
      <c r="G45" s="4">
        <f>COUNTIFS(Positions!$B$2:$B$4694,A45,Positions!$F$2:$F$4694,B45,Positions!$E$2:$E$4694,"G")</f>
        <v>2</v>
      </c>
      <c r="H45" s="4">
        <f>COUNTIFS(Positions!$B$2:$B$4694,A45,Positions!$F$2:$F$4694,B45,Positions!$E$2:$E$4694,"C")</f>
        <v>2</v>
      </c>
      <c r="I45" s="3">
        <f t="shared" si="0"/>
        <v>4</v>
      </c>
      <c r="J45" s="6">
        <f t="shared" si="1"/>
        <v>0.5714285714285714</v>
      </c>
    </row>
    <row r="46" spans="1:10">
      <c r="A46" s="7" t="s">
        <v>45</v>
      </c>
      <c r="B46" s="7" t="s">
        <v>267</v>
      </c>
      <c r="C46" s="7" t="s">
        <v>268</v>
      </c>
      <c r="D46" s="7" t="s">
        <v>268</v>
      </c>
      <c r="E46" s="7" t="s">
        <v>270</v>
      </c>
      <c r="F46" s="7">
        <f>COUNTIFS(Positions!$B$2:$B$4694,A46,Positions!$F$2:$F$4694,"Position 8")+COUNTIFS(Positions!$B$2:$B$4694,A46,Positions!$F$2:$F$4694,"Position 9")+COUNTIFS(Positions!$B$2:$B$4694,A46,Positions!$F$2:$F$4694,"Position 26")</f>
        <v>3</v>
      </c>
      <c r="G46" s="7">
        <f>COUNTIFS(Positions!$B$2:$B$4694,A46,Positions!$F$2:$F$4694,"Position 8",Positions!$E$2:$E$4694,"G")+COUNTIFS(Positions!$B$2:$B$4694,A46,Positions!$F$2:$F$4694,"Position 9",Positions!$E$2:$E$4694,"G")+COUNTIFS(Positions!$B$2:$B$4694,A46,Positions!$F$2:$F$4694,"Position 26",Positions!$E$2:$E$4694,"G")</f>
        <v>1</v>
      </c>
      <c r="H46" s="7">
        <f>COUNTIFS(Positions!$B$2:$B$4694,A46,Positions!$F$2:$F$4694,"Position 8",Positions!$E$2:$E$4694,"C")+COUNTIFS(Positions!$B$2:$B$4694,A46,Positions!$F$2:$F$4694,"Position 9",Positions!$E$2:$E$4694,"C")+COUNTIFS(Positions!$B$2:$B$4694,A46,Positions!$F$2:$F$4694,"Position 26",Positions!$E$2:$E$4694,"C")</f>
        <v>0</v>
      </c>
      <c r="I46" s="8">
        <f t="shared" si="0"/>
        <v>1</v>
      </c>
      <c r="J46" s="25">
        <f t="shared" si="1"/>
        <v>0.33333333333333331</v>
      </c>
    </row>
    <row r="47" spans="1:10">
      <c r="A47" s="4" t="s">
        <v>46</v>
      </c>
      <c r="B47" s="4" t="s">
        <v>130</v>
      </c>
      <c r="C47" s="4" t="s">
        <v>255</v>
      </c>
      <c r="D47" s="4" t="s">
        <v>255</v>
      </c>
      <c r="E47" s="4" t="s">
        <v>302</v>
      </c>
      <c r="F47" s="4">
        <f>COUNTIFS(Positions!$B$2:$B$4694,A47,Positions!$F$2:$F$4694,B47)</f>
        <v>8</v>
      </c>
      <c r="G47" s="4">
        <f>COUNTIFS(Positions!$B$2:$B$4694,A47,Positions!$F$2:$F$4694,B47,Positions!$E$2:$E$4694,"G")</f>
        <v>3</v>
      </c>
      <c r="H47" s="4">
        <f>COUNTIFS(Positions!$B$2:$B$4694,A47,Positions!$F$2:$F$4694,B47,Positions!$E$2:$E$4694,"C")</f>
        <v>0</v>
      </c>
      <c r="I47" s="3">
        <f t="shared" si="0"/>
        <v>3</v>
      </c>
      <c r="J47" s="6">
        <f t="shared" si="1"/>
        <v>0.375</v>
      </c>
    </row>
    <row r="48" spans="1:10">
      <c r="A48" s="4" t="s">
        <v>46</v>
      </c>
      <c r="B48" s="4" t="s">
        <v>150</v>
      </c>
      <c r="C48" s="4" t="s">
        <v>258</v>
      </c>
      <c r="D48" s="4" t="s">
        <v>258</v>
      </c>
      <c r="E48" s="4" t="s">
        <v>303</v>
      </c>
      <c r="F48" s="4">
        <f>COUNTIFS(Positions!$B$2:$B$4694,A48,Positions!$F$2:$F$4694,B48)</f>
        <v>7</v>
      </c>
      <c r="G48" s="4">
        <f>COUNTIFS(Positions!$B$2:$B$4694,A48,Positions!$F$2:$F$4694,B48,Positions!$E$2:$E$4694,"G")</f>
        <v>1</v>
      </c>
      <c r="H48" s="4">
        <f>COUNTIFS(Positions!$B$2:$B$4694,A48,Positions!$F$2:$F$4694,B48,Positions!$E$2:$E$4694,"C")</f>
        <v>1</v>
      </c>
      <c r="I48" s="3">
        <f t="shared" si="0"/>
        <v>2</v>
      </c>
      <c r="J48" s="6">
        <f t="shared" si="1"/>
        <v>0.2857142857142857</v>
      </c>
    </row>
    <row r="49" spans="1:10">
      <c r="A49" s="4" t="s">
        <v>46</v>
      </c>
      <c r="B49" s="4" t="s">
        <v>163</v>
      </c>
      <c r="C49" s="4" t="s">
        <v>261</v>
      </c>
      <c r="D49" s="4" t="s">
        <v>261</v>
      </c>
      <c r="E49" s="4" t="s">
        <v>304</v>
      </c>
      <c r="F49" s="4">
        <f>COUNTIFS(Positions!$B$2:$B$4694,A49,Positions!$F$2:$F$4694,B49)</f>
        <v>5</v>
      </c>
      <c r="G49" s="4">
        <f>COUNTIFS(Positions!$B$2:$B$4694,A49,Positions!$F$2:$F$4694,B49,Positions!$E$2:$E$4694,"G")</f>
        <v>1</v>
      </c>
      <c r="H49" s="4">
        <f>COUNTIFS(Positions!$B$2:$B$4694,A49,Positions!$F$2:$F$4694,B49,Positions!$E$2:$E$4694,"C")</f>
        <v>1</v>
      </c>
      <c r="I49" s="3">
        <f t="shared" si="0"/>
        <v>2</v>
      </c>
      <c r="J49" s="6">
        <f t="shared" si="1"/>
        <v>0.4</v>
      </c>
    </row>
    <row r="50" spans="1:10">
      <c r="A50" s="4" t="s">
        <v>46</v>
      </c>
      <c r="B50" s="4" t="s">
        <v>175</v>
      </c>
      <c r="C50" s="4" t="s">
        <v>264</v>
      </c>
      <c r="D50" s="4" t="s">
        <v>264</v>
      </c>
      <c r="E50" s="4" t="s">
        <v>305</v>
      </c>
      <c r="F50" s="4">
        <f>COUNTIFS(Positions!$B$2:$B$4694,A50,Positions!$F$2:$F$4694,B50)</f>
        <v>7</v>
      </c>
      <c r="G50" s="4">
        <f>COUNTIFS(Positions!$B$2:$B$4694,A50,Positions!$F$2:$F$4694,B50,Positions!$E$2:$E$4694,"G")</f>
        <v>2</v>
      </c>
      <c r="H50" s="4">
        <f>COUNTIFS(Positions!$B$2:$B$4694,A50,Positions!$F$2:$F$4694,B50,Positions!$E$2:$E$4694,"C")</f>
        <v>2</v>
      </c>
      <c r="I50" s="3">
        <f t="shared" si="0"/>
        <v>4</v>
      </c>
      <c r="J50" s="6">
        <f t="shared" si="1"/>
        <v>0.5714285714285714</v>
      </c>
    </row>
    <row r="51" spans="1:10">
      <c r="A51" s="7" t="s">
        <v>46</v>
      </c>
      <c r="B51" s="7" t="s">
        <v>267</v>
      </c>
      <c r="C51" s="7" t="s">
        <v>268</v>
      </c>
      <c r="D51" s="7" t="s">
        <v>268</v>
      </c>
      <c r="E51" s="7" t="s">
        <v>270</v>
      </c>
      <c r="F51" s="7">
        <f>COUNTIFS(Positions!$B$2:$B$4694,A51,Positions!$F$2:$F$4694,"Position 8")+COUNTIFS(Positions!$B$2:$B$4694,A51,Positions!$F$2:$F$4694,"Position 9")+COUNTIFS(Positions!$B$2:$B$4694,A51,Positions!$F$2:$F$4694,"Position 26")</f>
        <v>3</v>
      </c>
      <c r="G51" s="7">
        <f>COUNTIFS(Positions!$B$2:$B$4694,A51,Positions!$F$2:$F$4694,"Position 8",Positions!$E$2:$E$4694,"G")+COUNTIFS(Positions!$B$2:$B$4694,A51,Positions!$F$2:$F$4694,"Position 9",Positions!$E$2:$E$4694,"G")+COUNTIFS(Positions!$B$2:$B$4694,A51,Positions!$F$2:$F$4694,"Position 26",Positions!$E$2:$E$4694,"G")</f>
        <v>1</v>
      </c>
      <c r="H51" s="7">
        <f>COUNTIFS(Positions!$B$2:$B$4694,A51,Positions!$F$2:$F$4694,"Position 8",Positions!$E$2:$E$4694,"C")+COUNTIFS(Positions!$B$2:$B$4694,A51,Positions!$F$2:$F$4694,"Position 9",Positions!$E$2:$E$4694,"C")+COUNTIFS(Positions!$B$2:$B$4694,A51,Positions!$F$2:$F$4694,"Position 26",Positions!$E$2:$E$4694,"C")</f>
        <v>0</v>
      </c>
      <c r="I51" s="8">
        <f t="shared" si="0"/>
        <v>1</v>
      </c>
      <c r="J51" s="25">
        <f t="shared" si="1"/>
        <v>0.33333333333333331</v>
      </c>
    </row>
    <row r="52" spans="1:10">
      <c r="A52" s="4" t="s">
        <v>47</v>
      </c>
      <c r="B52" s="4" t="s">
        <v>130</v>
      </c>
      <c r="C52" s="4" t="s">
        <v>255</v>
      </c>
      <c r="D52" s="4" t="s">
        <v>306</v>
      </c>
      <c r="E52" s="4" t="s">
        <v>307</v>
      </c>
      <c r="F52" s="4">
        <f>COUNTIFS(Positions!$B$2:$B$4694,A52,Positions!$F$2:$F$4694,B52)</f>
        <v>9</v>
      </c>
      <c r="G52" s="4">
        <f>COUNTIFS(Positions!$B$2:$B$4694,A52,Positions!$F$2:$F$4694,B52,Positions!$E$2:$E$4694,"G")</f>
        <v>3</v>
      </c>
      <c r="H52" s="4">
        <f>COUNTIFS(Positions!$B$2:$B$4694,A52,Positions!$F$2:$F$4694,B52,Positions!$E$2:$E$4694,"C")</f>
        <v>2</v>
      </c>
      <c r="I52" s="3">
        <f t="shared" si="0"/>
        <v>5</v>
      </c>
      <c r="J52" s="6">
        <f t="shared" si="1"/>
        <v>0.55555555555555558</v>
      </c>
    </row>
    <row r="53" spans="1:10">
      <c r="A53" s="4" t="s">
        <v>47</v>
      </c>
      <c r="B53" s="4" t="s">
        <v>150</v>
      </c>
      <c r="C53" s="4" t="s">
        <v>258</v>
      </c>
      <c r="D53" s="4" t="s">
        <v>308</v>
      </c>
      <c r="E53" s="4" t="s">
        <v>309</v>
      </c>
      <c r="F53" s="4">
        <f>COUNTIFS(Positions!$B$2:$B$4694,A53,Positions!$F$2:$F$4694,B53)</f>
        <v>7</v>
      </c>
      <c r="G53" s="4">
        <f>COUNTIFS(Positions!$B$2:$B$4694,A53,Positions!$F$2:$F$4694,B53,Positions!$E$2:$E$4694,"G")</f>
        <v>2</v>
      </c>
      <c r="H53" s="4">
        <f>COUNTIFS(Positions!$B$2:$B$4694,A53,Positions!$F$2:$F$4694,B53,Positions!$E$2:$E$4694,"C")</f>
        <v>2</v>
      </c>
      <c r="I53" s="3">
        <f t="shared" si="0"/>
        <v>4</v>
      </c>
      <c r="J53" s="6">
        <f t="shared" si="1"/>
        <v>0.5714285714285714</v>
      </c>
    </row>
    <row r="54" spans="1:10">
      <c r="A54" s="4" t="s">
        <v>47</v>
      </c>
      <c r="B54" s="4" t="s">
        <v>163</v>
      </c>
      <c r="C54" s="4" t="s">
        <v>261</v>
      </c>
      <c r="D54" s="4" t="s">
        <v>310</v>
      </c>
      <c r="E54" s="4" t="s">
        <v>311</v>
      </c>
      <c r="F54" s="4">
        <f>COUNTIFS(Positions!$B$2:$B$4694,A54,Positions!$F$2:$F$4694,B54)</f>
        <v>4</v>
      </c>
      <c r="G54" s="4">
        <f>COUNTIFS(Positions!$B$2:$B$4694,A54,Positions!$F$2:$F$4694,B54,Positions!$E$2:$E$4694,"G")</f>
        <v>1</v>
      </c>
      <c r="H54" s="4">
        <f>COUNTIFS(Positions!$B$2:$B$4694,A54,Positions!$F$2:$F$4694,B54,Positions!$E$2:$E$4694,"C")</f>
        <v>2</v>
      </c>
      <c r="I54" s="3">
        <f t="shared" si="0"/>
        <v>3</v>
      </c>
      <c r="J54" s="6">
        <f t="shared" si="1"/>
        <v>0.75</v>
      </c>
    </row>
    <row r="55" spans="1:10">
      <c r="A55" s="4" t="s">
        <v>47</v>
      </c>
      <c r="B55" s="4" t="s">
        <v>175</v>
      </c>
      <c r="C55" s="4" t="s">
        <v>264</v>
      </c>
      <c r="D55" s="4" t="s">
        <v>264</v>
      </c>
      <c r="E55" s="4" t="s">
        <v>275</v>
      </c>
      <c r="F55" s="4">
        <f>COUNTIFS(Positions!$B$2:$B$4694,A55,Positions!$F$2:$F$4694,B55)</f>
        <v>7</v>
      </c>
      <c r="G55" s="4">
        <f>COUNTIFS(Positions!$B$2:$B$4694,A55,Positions!$F$2:$F$4694,B55,Positions!$E$2:$E$4694,"G")</f>
        <v>1</v>
      </c>
      <c r="H55" s="4">
        <f>COUNTIFS(Positions!$B$2:$B$4694,A55,Positions!$F$2:$F$4694,B55,Positions!$E$2:$E$4694,"C")</f>
        <v>1</v>
      </c>
      <c r="I55" s="3">
        <f t="shared" si="0"/>
        <v>2</v>
      </c>
      <c r="J55" s="6">
        <f t="shared" si="1"/>
        <v>0.2857142857142857</v>
      </c>
    </row>
    <row r="56" spans="1:10">
      <c r="A56" s="7" t="s">
        <v>47</v>
      </c>
      <c r="B56" s="7" t="s">
        <v>267</v>
      </c>
      <c r="C56" s="7" t="s">
        <v>268</v>
      </c>
      <c r="D56" s="7" t="s">
        <v>312</v>
      </c>
      <c r="E56" s="7" t="s">
        <v>270</v>
      </c>
      <c r="F56" s="7">
        <f>COUNTIFS(Positions!$B$2:$B$4694,A56,Positions!$F$2:$F$4694,"Position 8")+COUNTIFS(Positions!$B$2:$B$4694,A56,Positions!$F$2:$F$4694,"Position 9")+COUNTIFS(Positions!$B$2:$B$4694,A56,Positions!$F$2:$F$4694,"Position 26")</f>
        <v>3</v>
      </c>
      <c r="G56" s="7">
        <f>COUNTIFS(Positions!$B$2:$B$4694,A56,Positions!$F$2:$F$4694,"Position 8",Positions!$E$2:$E$4694,"G")+COUNTIFS(Positions!$B$2:$B$4694,A56,Positions!$F$2:$F$4694,"Position 9",Positions!$E$2:$E$4694,"G")+COUNTIFS(Positions!$B$2:$B$4694,A56,Positions!$F$2:$F$4694,"Position 26",Positions!$E$2:$E$4694,"G")</f>
        <v>1</v>
      </c>
      <c r="H56" s="7">
        <f>COUNTIFS(Positions!$B$2:$B$4694,A56,Positions!$F$2:$F$4694,"Position 8",Positions!$E$2:$E$4694,"C")+COUNTIFS(Positions!$B$2:$B$4694,A56,Positions!$F$2:$F$4694,"Position 9",Positions!$E$2:$E$4694,"C")+COUNTIFS(Positions!$B$2:$B$4694,A56,Positions!$F$2:$F$4694,"Position 26",Positions!$E$2:$E$4694,"C")</f>
        <v>0</v>
      </c>
      <c r="I56" s="8">
        <f t="shared" si="0"/>
        <v>1</v>
      </c>
      <c r="J56" s="25">
        <f t="shared" si="1"/>
        <v>0.33333333333333331</v>
      </c>
    </row>
    <row r="57" spans="1:10">
      <c r="A57" s="4" t="s">
        <v>48</v>
      </c>
      <c r="B57" s="4" t="s">
        <v>130</v>
      </c>
      <c r="C57" s="4" t="s">
        <v>255</v>
      </c>
      <c r="D57" s="4" t="s">
        <v>256</v>
      </c>
      <c r="E57" s="4" t="s">
        <v>313</v>
      </c>
      <c r="F57" s="4">
        <f>COUNTIFS(Positions!$B$2:$B$4694,A57,Positions!$F$2:$F$4694,B57)</f>
        <v>7</v>
      </c>
      <c r="G57" s="4">
        <f>COUNTIFS(Positions!$B$2:$B$4694,A57,Positions!$F$2:$F$4694,B57,Positions!$E$2:$E$4694,"G")</f>
        <v>3</v>
      </c>
      <c r="H57" s="4">
        <f>COUNTIFS(Positions!$B$2:$B$4694,A57,Positions!$F$2:$F$4694,B57,Positions!$E$2:$E$4694,"C")</f>
        <v>2</v>
      </c>
      <c r="I57" s="3">
        <f t="shared" si="0"/>
        <v>5</v>
      </c>
      <c r="J57" s="6">
        <f t="shared" si="1"/>
        <v>0.7142857142857143</v>
      </c>
    </row>
    <row r="58" spans="1:10">
      <c r="A58" s="4" t="s">
        <v>48</v>
      </c>
      <c r="B58" s="4" t="s">
        <v>150</v>
      </c>
      <c r="C58" s="4" t="s">
        <v>258</v>
      </c>
      <c r="D58" s="4" t="s">
        <v>259</v>
      </c>
      <c r="E58" s="4" t="s">
        <v>314</v>
      </c>
      <c r="F58" s="4">
        <f>COUNTIFS(Positions!$B$2:$B$4694,A58,Positions!$F$2:$F$4694,B58)</f>
        <v>7</v>
      </c>
      <c r="G58" s="4">
        <f>COUNTIFS(Positions!$B$2:$B$4694,A58,Positions!$F$2:$F$4694,B58,Positions!$E$2:$E$4694,"G")</f>
        <v>2</v>
      </c>
      <c r="H58" s="4">
        <f>COUNTIFS(Positions!$B$2:$B$4694,A58,Positions!$F$2:$F$4694,B58,Positions!$E$2:$E$4694,"C")</f>
        <v>2</v>
      </c>
      <c r="I58" s="3">
        <f t="shared" si="0"/>
        <v>4</v>
      </c>
      <c r="J58" s="6">
        <f t="shared" si="1"/>
        <v>0.5714285714285714</v>
      </c>
    </row>
    <row r="59" spans="1:10">
      <c r="A59" s="4" t="s">
        <v>48</v>
      </c>
      <c r="B59" s="4" t="s">
        <v>163</v>
      </c>
      <c r="C59" s="4" t="s">
        <v>261</v>
      </c>
      <c r="D59" s="4" t="s">
        <v>262</v>
      </c>
      <c r="E59" s="4" t="s">
        <v>315</v>
      </c>
      <c r="F59" s="4">
        <f>COUNTIFS(Positions!$B$2:$B$4694,A59,Positions!$F$2:$F$4694,B59)</f>
        <v>5</v>
      </c>
      <c r="G59" s="4">
        <f>COUNTIFS(Positions!$B$2:$B$4694,A59,Positions!$F$2:$F$4694,B59,Positions!$E$2:$E$4694,"G")</f>
        <v>0</v>
      </c>
      <c r="H59" s="4">
        <f>COUNTIFS(Positions!$B$2:$B$4694,A59,Positions!$F$2:$F$4694,B59,Positions!$E$2:$E$4694,"C")</f>
        <v>2</v>
      </c>
      <c r="I59" s="3">
        <f t="shared" si="0"/>
        <v>2</v>
      </c>
      <c r="J59" s="6">
        <f t="shared" si="1"/>
        <v>0.4</v>
      </c>
    </row>
    <row r="60" spans="1:10">
      <c r="A60" s="4" t="s">
        <v>48</v>
      </c>
      <c r="B60" s="4" t="s">
        <v>175</v>
      </c>
      <c r="C60" s="4" t="s">
        <v>264</v>
      </c>
      <c r="D60" s="4" t="s">
        <v>265</v>
      </c>
      <c r="E60" s="4" t="s">
        <v>275</v>
      </c>
      <c r="F60" s="4">
        <f>COUNTIFS(Positions!$B$2:$B$4694,A60,Positions!$F$2:$F$4694,B60)</f>
        <v>7</v>
      </c>
      <c r="G60" s="4">
        <f>COUNTIFS(Positions!$B$2:$B$4694,A60,Positions!$F$2:$F$4694,B60,Positions!$E$2:$E$4694,"G")</f>
        <v>1</v>
      </c>
      <c r="H60" s="4">
        <f>COUNTIFS(Positions!$B$2:$B$4694,A60,Positions!$F$2:$F$4694,B60,Positions!$E$2:$E$4694,"C")</f>
        <v>1</v>
      </c>
      <c r="I60" s="3">
        <f t="shared" si="0"/>
        <v>2</v>
      </c>
      <c r="J60" s="6">
        <f t="shared" si="1"/>
        <v>0.2857142857142857</v>
      </c>
    </row>
    <row r="61" spans="1:10">
      <c r="A61" s="7" t="s">
        <v>48</v>
      </c>
      <c r="B61" s="7" t="s">
        <v>267</v>
      </c>
      <c r="C61" s="7" t="s">
        <v>268</v>
      </c>
      <c r="D61" s="7" t="s">
        <v>269</v>
      </c>
      <c r="E61" s="7" t="s">
        <v>316</v>
      </c>
      <c r="F61" s="7">
        <f>COUNTIFS(Positions!$B$2:$B$4694,A61,Positions!$F$2:$F$4694,"Position 8")+COUNTIFS(Positions!$B$2:$B$4694,A61,Positions!$F$2:$F$4694,"Position 9")+COUNTIFS(Positions!$B$2:$B$4694,A61,Positions!$F$2:$F$4694,"Position 26")</f>
        <v>3</v>
      </c>
      <c r="G61" s="7">
        <f>COUNTIFS(Positions!$B$2:$B$4694,A61,Positions!$F$2:$F$4694,"Position 8",Positions!$E$2:$E$4694,"G")+COUNTIFS(Positions!$B$2:$B$4694,A61,Positions!$F$2:$F$4694,"Position 9",Positions!$E$2:$E$4694,"G")+COUNTIFS(Positions!$B$2:$B$4694,A61,Positions!$F$2:$F$4694,"Position 26",Positions!$E$2:$E$4694,"G")</f>
        <v>1</v>
      </c>
      <c r="H61" s="7">
        <f>COUNTIFS(Positions!$B$2:$B$4694,A61,Positions!$F$2:$F$4694,"Position 8",Positions!$E$2:$E$4694,"C")+COUNTIFS(Positions!$B$2:$B$4694,A61,Positions!$F$2:$F$4694,"Position 9",Positions!$E$2:$E$4694,"C")+COUNTIFS(Positions!$B$2:$B$4694,A61,Positions!$F$2:$F$4694,"Position 26",Positions!$E$2:$E$4694,"C")</f>
        <v>0</v>
      </c>
      <c r="I61" s="8">
        <f t="shared" si="0"/>
        <v>1</v>
      </c>
      <c r="J61" s="25">
        <f t="shared" si="1"/>
        <v>0.33333333333333331</v>
      </c>
    </row>
    <row r="62" spans="1:10">
      <c r="A62" s="4" t="s">
        <v>49</v>
      </c>
      <c r="B62" s="4" t="s">
        <v>130</v>
      </c>
      <c r="C62" s="4" t="s">
        <v>255</v>
      </c>
      <c r="D62" s="4" t="s">
        <v>256</v>
      </c>
      <c r="E62" s="4" t="s">
        <v>313</v>
      </c>
      <c r="F62" s="4">
        <f>COUNTIFS(Positions!$B$2:$B$4694,A62,Positions!$F$2:$F$4694,B62)</f>
        <v>7</v>
      </c>
      <c r="G62" s="4">
        <f>COUNTIFS(Positions!$B$2:$B$4694,A62,Positions!$F$2:$F$4694,B62,Positions!$E$2:$E$4694,"G")</f>
        <v>3</v>
      </c>
      <c r="H62" s="4">
        <f>COUNTIFS(Positions!$B$2:$B$4694,A62,Positions!$F$2:$F$4694,B62,Positions!$E$2:$E$4694,"C")</f>
        <v>2</v>
      </c>
      <c r="I62" s="3">
        <f t="shared" si="0"/>
        <v>5</v>
      </c>
      <c r="J62" s="6">
        <f t="shared" si="1"/>
        <v>0.7142857142857143</v>
      </c>
    </row>
    <row r="63" spans="1:10">
      <c r="A63" s="4" t="s">
        <v>49</v>
      </c>
      <c r="B63" s="4" t="s">
        <v>150</v>
      </c>
      <c r="C63" s="4" t="s">
        <v>258</v>
      </c>
      <c r="D63" s="4" t="s">
        <v>259</v>
      </c>
      <c r="E63" s="4" t="s">
        <v>314</v>
      </c>
      <c r="F63" s="4">
        <f>COUNTIFS(Positions!$B$2:$B$4694,A63,Positions!$F$2:$F$4694,B63)</f>
        <v>7</v>
      </c>
      <c r="G63" s="4">
        <f>COUNTIFS(Positions!$B$2:$B$4694,A63,Positions!$F$2:$F$4694,B63,Positions!$E$2:$E$4694,"G")</f>
        <v>2</v>
      </c>
      <c r="H63" s="4">
        <f>COUNTIFS(Positions!$B$2:$B$4694,A63,Positions!$F$2:$F$4694,B63,Positions!$E$2:$E$4694,"C")</f>
        <v>2</v>
      </c>
      <c r="I63" s="3">
        <f t="shared" si="0"/>
        <v>4</v>
      </c>
      <c r="J63" s="6">
        <f t="shared" si="1"/>
        <v>0.5714285714285714</v>
      </c>
    </row>
    <row r="64" spans="1:10">
      <c r="A64" s="4" t="s">
        <v>49</v>
      </c>
      <c r="B64" s="4" t="s">
        <v>163</v>
      </c>
      <c r="C64" s="4" t="s">
        <v>261</v>
      </c>
      <c r="D64" s="4" t="s">
        <v>262</v>
      </c>
      <c r="E64" s="4" t="s">
        <v>315</v>
      </c>
      <c r="F64" s="4">
        <f>COUNTIFS(Positions!$B$2:$B$4694,A64,Positions!$F$2:$F$4694,B64)</f>
        <v>5</v>
      </c>
      <c r="G64" s="4">
        <f>COUNTIFS(Positions!$B$2:$B$4694,A64,Positions!$F$2:$F$4694,B64,Positions!$E$2:$E$4694,"G")</f>
        <v>0</v>
      </c>
      <c r="H64" s="4">
        <f>COUNTIFS(Positions!$B$2:$B$4694,A64,Positions!$F$2:$F$4694,B64,Positions!$E$2:$E$4694,"C")</f>
        <v>2</v>
      </c>
      <c r="I64" s="3">
        <f t="shared" si="0"/>
        <v>2</v>
      </c>
      <c r="J64" s="6">
        <f t="shared" si="1"/>
        <v>0.4</v>
      </c>
    </row>
    <row r="65" spans="1:10">
      <c r="A65" s="4" t="s">
        <v>49</v>
      </c>
      <c r="B65" s="4" t="s">
        <v>175</v>
      </c>
      <c r="C65" s="4" t="s">
        <v>264</v>
      </c>
      <c r="D65" s="4" t="s">
        <v>265</v>
      </c>
      <c r="E65" s="4" t="s">
        <v>275</v>
      </c>
      <c r="F65" s="4">
        <f>COUNTIFS(Positions!$B$2:$B$4694,A65,Positions!$F$2:$F$4694,B65)</f>
        <v>7</v>
      </c>
      <c r="G65" s="4">
        <f>COUNTIFS(Positions!$B$2:$B$4694,A65,Positions!$F$2:$F$4694,B65,Positions!$E$2:$E$4694,"G")</f>
        <v>1</v>
      </c>
      <c r="H65" s="4">
        <f>COUNTIFS(Positions!$B$2:$B$4694,A65,Positions!$F$2:$F$4694,B65,Positions!$E$2:$E$4694,"C")</f>
        <v>1</v>
      </c>
      <c r="I65" s="3">
        <f t="shared" si="0"/>
        <v>2</v>
      </c>
      <c r="J65" s="6">
        <f t="shared" si="1"/>
        <v>0.2857142857142857</v>
      </c>
    </row>
    <row r="66" spans="1:10">
      <c r="A66" s="7" t="s">
        <v>49</v>
      </c>
      <c r="B66" s="7" t="s">
        <v>267</v>
      </c>
      <c r="C66" s="7" t="s">
        <v>268</v>
      </c>
      <c r="D66" s="7" t="s">
        <v>269</v>
      </c>
      <c r="E66" s="7" t="s">
        <v>316</v>
      </c>
      <c r="F66" s="7">
        <f>COUNTIFS(Positions!$B$2:$B$4694,A66,Positions!$F$2:$F$4694,"Position 8")+COUNTIFS(Positions!$B$2:$B$4694,A66,Positions!$F$2:$F$4694,"Position 9")+COUNTIFS(Positions!$B$2:$B$4694,A66,Positions!$F$2:$F$4694,"Position 26")</f>
        <v>3</v>
      </c>
      <c r="G66" s="7">
        <f>COUNTIFS(Positions!$B$2:$B$4694,A66,Positions!$F$2:$F$4694,"Position 8",Positions!$E$2:$E$4694,"G")+COUNTIFS(Positions!$B$2:$B$4694,A66,Positions!$F$2:$F$4694,"Position 9",Positions!$E$2:$E$4694,"G")+COUNTIFS(Positions!$B$2:$B$4694,A66,Positions!$F$2:$F$4694,"Position 26",Positions!$E$2:$E$4694,"G")</f>
        <v>1</v>
      </c>
      <c r="H66" s="7">
        <f>COUNTIFS(Positions!$B$2:$B$4694,A66,Positions!$F$2:$F$4694,"Position 8",Positions!$E$2:$E$4694,"C")+COUNTIFS(Positions!$B$2:$B$4694,A66,Positions!$F$2:$F$4694,"Position 9",Positions!$E$2:$E$4694,"C")+COUNTIFS(Positions!$B$2:$B$4694,A66,Positions!$F$2:$F$4694,"Position 26",Positions!$E$2:$E$4694,"C")</f>
        <v>0</v>
      </c>
      <c r="I66" s="8">
        <f t="shared" ref="I66:I129" si="2">G66+H66</f>
        <v>1</v>
      </c>
      <c r="J66" s="25">
        <f t="shared" ref="J66:J129" si="3">IF(F66=0,0,I66/F66)</f>
        <v>0.33333333333333331</v>
      </c>
    </row>
    <row r="67" spans="1:10">
      <c r="A67" s="4" t="s">
        <v>50</v>
      </c>
      <c r="B67" s="4" t="s">
        <v>130</v>
      </c>
      <c r="C67" s="4" t="s">
        <v>255</v>
      </c>
      <c r="D67" s="4" t="s">
        <v>256</v>
      </c>
      <c r="E67" s="4" t="s">
        <v>317</v>
      </c>
      <c r="F67" s="4">
        <f>COUNTIFS(Positions!$B$2:$B$4694,A67,Positions!$F$2:$F$4694,B67)</f>
        <v>7</v>
      </c>
      <c r="G67" s="4">
        <f>COUNTIFS(Positions!$B$2:$B$4694,A67,Positions!$F$2:$F$4694,B67,Positions!$E$2:$E$4694,"G")</f>
        <v>3</v>
      </c>
      <c r="H67" s="4">
        <f>COUNTIFS(Positions!$B$2:$B$4694,A67,Positions!$F$2:$F$4694,B67,Positions!$E$2:$E$4694,"C")</f>
        <v>1</v>
      </c>
      <c r="I67" s="3">
        <f t="shared" si="2"/>
        <v>4</v>
      </c>
      <c r="J67" s="6">
        <f t="shared" si="3"/>
        <v>0.5714285714285714</v>
      </c>
    </row>
    <row r="68" spans="1:10">
      <c r="A68" s="4" t="s">
        <v>50</v>
      </c>
      <c r="B68" s="4" t="s">
        <v>150</v>
      </c>
      <c r="C68" s="4" t="s">
        <v>258</v>
      </c>
      <c r="D68" s="4" t="s">
        <v>259</v>
      </c>
      <c r="E68" s="4" t="s">
        <v>318</v>
      </c>
      <c r="F68" s="4">
        <f>COUNTIFS(Positions!$B$2:$B$4694,A68,Positions!$F$2:$F$4694,B68)</f>
        <v>7</v>
      </c>
      <c r="G68" s="4">
        <f>COUNTIFS(Positions!$B$2:$B$4694,A68,Positions!$F$2:$F$4694,B68,Positions!$E$2:$E$4694,"G")</f>
        <v>2</v>
      </c>
      <c r="H68" s="4">
        <f>COUNTIFS(Positions!$B$2:$B$4694,A68,Positions!$F$2:$F$4694,B68,Positions!$E$2:$E$4694,"C")</f>
        <v>2</v>
      </c>
      <c r="I68" s="3">
        <f t="shared" si="2"/>
        <v>4</v>
      </c>
      <c r="J68" s="6">
        <f t="shared" si="3"/>
        <v>0.5714285714285714</v>
      </c>
    </row>
    <row r="69" spans="1:10">
      <c r="A69" s="4" t="s">
        <v>50</v>
      </c>
      <c r="B69" s="4" t="s">
        <v>163</v>
      </c>
      <c r="C69" s="4" t="s">
        <v>261</v>
      </c>
      <c r="D69" s="4" t="s">
        <v>262</v>
      </c>
      <c r="E69" s="4" t="s">
        <v>319</v>
      </c>
      <c r="F69" s="4">
        <f>COUNTIFS(Positions!$B$2:$B$4694,A69,Positions!$F$2:$F$4694,B69)</f>
        <v>5</v>
      </c>
      <c r="G69" s="4">
        <f>COUNTIFS(Positions!$B$2:$B$4694,A69,Positions!$F$2:$F$4694,B69,Positions!$E$2:$E$4694,"G")</f>
        <v>0</v>
      </c>
      <c r="H69" s="4">
        <f>COUNTIFS(Positions!$B$2:$B$4694,A69,Positions!$F$2:$F$4694,B69,Positions!$E$2:$E$4694,"C")</f>
        <v>2</v>
      </c>
      <c r="I69" s="3">
        <f t="shared" si="2"/>
        <v>2</v>
      </c>
      <c r="J69" s="6">
        <f t="shared" si="3"/>
        <v>0.4</v>
      </c>
    </row>
    <row r="70" spans="1:10">
      <c r="A70" s="4" t="s">
        <v>50</v>
      </c>
      <c r="B70" s="4" t="s">
        <v>175</v>
      </c>
      <c r="C70" s="4" t="s">
        <v>264</v>
      </c>
      <c r="D70" s="4" t="s">
        <v>265</v>
      </c>
      <c r="E70" s="4" t="s">
        <v>266</v>
      </c>
      <c r="F70" s="4">
        <f>COUNTIFS(Positions!$B$2:$B$4694,A70,Positions!$F$2:$F$4694,B70)</f>
        <v>7</v>
      </c>
      <c r="G70" s="4">
        <f>COUNTIFS(Positions!$B$2:$B$4694,A70,Positions!$F$2:$F$4694,B70,Positions!$E$2:$E$4694,"G")</f>
        <v>0</v>
      </c>
      <c r="H70" s="4">
        <f>COUNTIFS(Positions!$B$2:$B$4694,A70,Positions!$F$2:$F$4694,B70,Positions!$E$2:$E$4694,"C")</f>
        <v>1</v>
      </c>
      <c r="I70" s="3">
        <f t="shared" si="2"/>
        <v>1</v>
      </c>
      <c r="J70" s="6">
        <f t="shared" si="3"/>
        <v>0.14285714285714285</v>
      </c>
    </row>
    <row r="71" spans="1:10">
      <c r="A71" s="7" t="s">
        <v>50</v>
      </c>
      <c r="B71" s="7" t="s">
        <v>267</v>
      </c>
      <c r="C71" s="7" t="s">
        <v>268</v>
      </c>
      <c r="D71" s="7" t="s">
        <v>269</v>
      </c>
      <c r="E71" s="7" t="s">
        <v>316</v>
      </c>
      <c r="F71" s="7">
        <f>COUNTIFS(Positions!$B$2:$B$4694,A71,Positions!$F$2:$F$4694,"Position 8")+COUNTIFS(Positions!$B$2:$B$4694,A71,Positions!$F$2:$F$4694,"Position 9")+COUNTIFS(Positions!$B$2:$B$4694,A71,Positions!$F$2:$F$4694,"Position 26")</f>
        <v>3</v>
      </c>
      <c r="G71" s="7">
        <f>COUNTIFS(Positions!$B$2:$B$4694,A71,Positions!$F$2:$F$4694,"Position 8",Positions!$E$2:$E$4694,"G")+COUNTIFS(Positions!$B$2:$B$4694,A71,Positions!$F$2:$F$4694,"Position 9",Positions!$E$2:$E$4694,"G")+COUNTIFS(Positions!$B$2:$B$4694,A71,Positions!$F$2:$F$4694,"Position 26",Positions!$E$2:$E$4694,"G")</f>
        <v>1</v>
      </c>
      <c r="H71" s="7">
        <f>COUNTIFS(Positions!$B$2:$B$4694,A71,Positions!$F$2:$F$4694,"Position 8",Positions!$E$2:$E$4694,"C")+COUNTIFS(Positions!$B$2:$B$4694,A71,Positions!$F$2:$F$4694,"Position 9",Positions!$E$2:$E$4694,"C")+COUNTIFS(Positions!$B$2:$B$4694,A71,Positions!$F$2:$F$4694,"Position 26",Positions!$E$2:$E$4694,"C")</f>
        <v>0</v>
      </c>
      <c r="I71" s="8">
        <f t="shared" si="2"/>
        <v>1</v>
      </c>
      <c r="J71" s="25">
        <f t="shared" si="3"/>
        <v>0.33333333333333331</v>
      </c>
    </row>
    <row r="72" spans="1:10">
      <c r="A72" s="4" t="s">
        <v>51</v>
      </c>
      <c r="B72" s="4" t="s">
        <v>130</v>
      </c>
      <c r="C72" s="4" t="s">
        <v>255</v>
      </c>
      <c r="D72" s="4" t="s">
        <v>256</v>
      </c>
      <c r="E72" s="4" t="s">
        <v>320</v>
      </c>
      <c r="F72" s="4">
        <f>COUNTIFS(Positions!$B$2:$B$4694,A72,Positions!$F$2:$F$4694,B72)</f>
        <v>7</v>
      </c>
      <c r="G72" s="4">
        <f>COUNTIFS(Positions!$B$2:$B$4694,A72,Positions!$F$2:$F$4694,B72,Positions!$E$2:$E$4694,"G")</f>
        <v>4</v>
      </c>
      <c r="H72" s="4">
        <f>COUNTIFS(Positions!$B$2:$B$4694,A72,Positions!$F$2:$F$4694,B72,Positions!$E$2:$E$4694,"C")</f>
        <v>0</v>
      </c>
      <c r="I72" s="3">
        <f t="shared" si="2"/>
        <v>4</v>
      </c>
      <c r="J72" s="6">
        <f t="shared" si="3"/>
        <v>0.5714285714285714</v>
      </c>
    </row>
    <row r="73" spans="1:10">
      <c r="A73" s="4" t="s">
        <v>51</v>
      </c>
      <c r="B73" s="4" t="s">
        <v>150</v>
      </c>
      <c r="C73" s="4" t="s">
        <v>258</v>
      </c>
      <c r="D73" s="4" t="s">
        <v>259</v>
      </c>
      <c r="E73" s="4" t="s">
        <v>321</v>
      </c>
      <c r="F73" s="4">
        <f>COUNTIFS(Positions!$B$2:$B$4694,A73,Positions!$F$2:$F$4694,B73)</f>
        <v>7</v>
      </c>
      <c r="G73" s="4">
        <f>COUNTIFS(Positions!$B$2:$B$4694,A73,Positions!$F$2:$F$4694,B73,Positions!$E$2:$E$4694,"G")</f>
        <v>1</v>
      </c>
      <c r="H73" s="4">
        <f>COUNTIFS(Positions!$B$2:$B$4694,A73,Positions!$F$2:$F$4694,B73,Positions!$E$2:$E$4694,"C")</f>
        <v>3</v>
      </c>
      <c r="I73" s="3">
        <f t="shared" si="2"/>
        <v>4</v>
      </c>
      <c r="J73" s="6">
        <f t="shared" si="3"/>
        <v>0.5714285714285714</v>
      </c>
    </row>
    <row r="74" spans="1:10">
      <c r="A74" s="4" t="s">
        <v>51</v>
      </c>
      <c r="B74" s="4" t="s">
        <v>163</v>
      </c>
      <c r="C74" s="4" t="s">
        <v>261</v>
      </c>
      <c r="D74" s="4" t="s">
        <v>262</v>
      </c>
      <c r="E74" s="4" t="s">
        <v>322</v>
      </c>
      <c r="F74" s="4">
        <f>COUNTIFS(Positions!$B$2:$B$4694,A74,Positions!$F$2:$F$4694,B74)</f>
        <v>5</v>
      </c>
      <c r="G74" s="4">
        <f>COUNTIFS(Positions!$B$2:$B$4694,A74,Positions!$F$2:$F$4694,B74,Positions!$E$2:$E$4694,"G")</f>
        <v>0</v>
      </c>
      <c r="H74" s="4">
        <f>COUNTIFS(Positions!$B$2:$B$4694,A74,Positions!$F$2:$F$4694,B74,Positions!$E$2:$E$4694,"C")</f>
        <v>0</v>
      </c>
      <c r="I74" s="3">
        <f t="shared" si="2"/>
        <v>0</v>
      </c>
      <c r="J74" s="6">
        <f t="shared" si="3"/>
        <v>0</v>
      </c>
    </row>
    <row r="75" spans="1:10">
      <c r="A75" s="4" t="s">
        <v>51</v>
      </c>
      <c r="B75" s="4" t="s">
        <v>175</v>
      </c>
      <c r="C75" s="4" t="s">
        <v>264</v>
      </c>
      <c r="D75" s="4" t="s">
        <v>265</v>
      </c>
      <c r="E75" s="4" t="s">
        <v>280</v>
      </c>
      <c r="F75" s="4">
        <f>COUNTIFS(Positions!$B$2:$B$4694,A75,Positions!$F$2:$F$4694,B75)</f>
        <v>7</v>
      </c>
      <c r="G75" s="4">
        <f>COUNTIFS(Positions!$B$2:$B$4694,A75,Positions!$F$2:$F$4694,B75,Positions!$E$2:$E$4694,"G")</f>
        <v>1</v>
      </c>
      <c r="H75" s="4">
        <f>COUNTIFS(Positions!$B$2:$B$4694,A75,Positions!$F$2:$F$4694,B75,Positions!$E$2:$E$4694,"C")</f>
        <v>1</v>
      </c>
      <c r="I75" s="3">
        <f t="shared" si="2"/>
        <v>2</v>
      </c>
      <c r="J75" s="6">
        <f t="shared" si="3"/>
        <v>0.2857142857142857</v>
      </c>
    </row>
    <row r="76" spans="1:10">
      <c r="A76" s="7" t="s">
        <v>51</v>
      </c>
      <c r="B76" s="7" t="s">
        <v>267</v>
      </c>
      <c r="C76" s="7" t="s">
        <v>268</v>
      </c>
      <c r="D76" s="7" t="s">
        <v>269</v>
      </c>
      <c r="E76" s="7" t="s">
        <v>323</v>
      </c>
      <c r="F76" s="7">
        <f>COUNTIFS(Positions!$B$2:$B$4694,A76,Positions!$F$2:$F$4694,"Position 8")+COUNTIFS(Positions!$B$2:$B$4694,A76,Positions!$F$2:$F$4694,"Position 9")+COUNTIFS(Positions!$B$2:$B$4694,A76,Positions!$F$2:$F$4694,"Position 26")</f>
        <v>3</v>
      </c>
      <c r="G76" s="7">
        <f>COUNTIFS(Positions!$B$2:$B$4694,A76,Positions!$F$2:$F$4694,"Position 8",Positions!$E$2:$E$4694,"G")+COUNTIFS(Positions!$B$2:$B$4694,A76,Positions!$F$2:$F$4694,"Position 9",Positions!$E$2:$E$4694,"G")+COUNTIFS(Positions!$B$2:$B$4694,A76,Positions!$F$2:$F$4694,"Position 26",Positions!$E$2:$E$4694,"G")</f>
        <v>1</v>
      </c>
      <c r="H76" s="7">
        <f>COUNTIFS(Positions!$B$2:$B$4694,A76,Positions!$F$2:$F$4694,"Position 8",Positions!$E$2:$E$4694,"C")+COUNTIFS(Positions!$B$2:$B$4694,A76,Positions!$F$2:$F$4694,"Position 9",Positions!$E$2:$E$4694,"C")+COUNTIFS(Positions!$B$2:$B$4694,A76,Positions!$F$2:$F$4694,"Position 26",Positions!$E$2:$E$4694,"C")</f>
        <v>0</v>
      </c>
      <c r="I76" s="8">
        <f t="shared" si="2"/>
        <v>1</v>
      </c>
      <c r="J76" s="25">
        <f t="shared" si="3"/>
        <v>0.33333333333333331</v>
      </c>
    </row>
    <row r="77" spans="1:10">
      <c r="A77" s="4" t="s">
        <v>52</v>
      </c>
      <c r="B77" s="4" t="s">
        <v>130</v>
      </c>
      <c r="C77" s="4" t="s">
        <v>255</v>
      </c>
      <c r="D77" s="4" t="s">
        <v>306</v>
      </c>
      <c r="E77" s="4" t="s">
        <v>324</v>
      </c>
      <c r="F77" s="4">
        <f>COUNTIFS(Positions!$B$2:$B$4694,A77,Positions!$F$2:$F$4694,B77)</f>
        <v>9</v>
      </c>
      <c r="G77" s="4">
        <f>COUNTIFS(Positions!$B$2:$B$4694,A77,Positions!$F$2:$F$4694,B77,Positions!$E$2:$E$4694,"G")</f>
        <v>3</v>
      </c>
      <c r="H77" s="4">
        <f>COUNTIFS(Positions!$B$2:$B$4694,A77,Positions!$F$2:$F$4694,B77,Positions!$E$2:$E$4694,"C")</f>
        <v>1</v>
      </c>
      <c r="I77" s="3">
        <f t="shared" si="2"/>
        <v>4</v>
      </c>
      <c r="J77" s="6">
        <f t="shared" si="3"/>
        <v>0.44444444444444442</v>
      </c>
    </row>
    <row r="78" spans="1:10">
      <c r="A78" s="4" t="s">
        <v>52</v>
      </c>
      <c r="B78" s="4" t="s">
        <v>150</v>
      </c>
      <c r="C78" s="4" t="s">
        <v>258</v>
      </c>
      <c r="D78" s="4" t="s">
        <v>308</v>
      </c>
      <c r="E78" s="4" t="s">
        <v>325</v>
      </c>
      <c r="F78" s="4">
        <f>COUNTIFS(Positions!$B$2:$B$4694,A78,Positions!$F$2:$F$4694,B78)</f>
        <v>7</v>
      </c>
      <c r="G78" s="4">
        <f>COUNTIFS(Positions!$B$2:$B$4694,A78,Positions!$F$2:$F$4694,B78,Positions!$E$2:$E$4694,"G")</f>
        <v>2</v>
      </c>
      <c r="H78" s="4">
        <f>COUNTIFS(Positions!$B$2:$B$4694,A78,Positions!$F$2:$F$4694,B78,Positions!$E$2:$E$4694,"C")</f>
        <v>2</v>
      </c>
      <c r="I78" s="3">
        <f t="shared" si="2"/>
        <v>4</v>
      </c>
      <c r="J78" s="6">
        <f t="shared" si="3"/>
        <v>0.5714285714285714</v>
      </c>
    </row>
    <row r="79" spans="1:10">
      <c r="A79" s="4" t="s">
        <v>52</v>
      </c>
      <c r="B79" s="4" t="s">
        <v>163</v>
      </c>
      <c r="C79" s="4" t="s">
        <v>261</v>
      </c>
      <c r="D79" s="4" t="s">
        <v>310</v>
      </c>
      <c r="E79" s="4" t="s">
        <v>326</v>
      </c>
      <c r="F79" s="4">
        <f>COUNTIFS(Positions!$B$2:$B$4694,A79,Positions!$F$2:$F$4694,B79)</f>
        <v>4</v>
      </c>
      <c r="G79" s="4">
        <f>COUNTIFS(Positions!$B$2:$B$4694,A79,Positions!$F$2:$F$4694,B79,Positions!$E$2:$E$4694,"G")</f>
        <v>0</v>
      </c>
      <c r="H79" s="4">
        <f>COUNTIFS(Positions!$B$2:$B$4694,A79,Positions!$F$2:$F$4694,B79,Positions!$E$2:$E$4694,"C")</f>
        <v>2</v>
      </c>
      <c r="I79" s="3">
        <f t="shared" si="2"/>
        <v>2</v>
      </c>
      <c r="J79" s="6">
        <f t="shared" si="3"/>
        <v>0.5</v>
      </c>
    </row>
    <row r="80" spans="1:10">
      <c r="A80" s="4" t="s">
        <v>52</v>
      </c>
      <c r="B80" s="4" t="s">
        <v>175</v>
      </c>
      <c r="C80" s="4" t="s">
        <v>264</v>
      </c>
      <c r="D80" s="4" t="s">
        <v>264</v>
      </c>
      <c r="E80" s="4" t="s">
        <v>275</v>
      </c>
      <c r="F80" s="4">
        <f>COUNTIFS(Positions!$B$2:$B$4694,A80,Positions!$F$2:$F$4694,B80)</f>
        <v>7</v>
      </c>
      <c r="G80" s="4">
        <f>COUNTIFS(Positions!$B$2:$B$4694,A80,Positions!$F$2:$F$4694,B80,Positions!$E$2:$E$4694,"G")</f>
        <v>1</v>
      </c>
      <c r="H80" s="4">
        <f>COUNTIFS(Positions!$B$2:$B$4694,A80,Positions!$F$2:$F$4694,B80,Positions!$E$2:$E$4694,"C")</f>
        <v>1</v>
      </c>
      <c r="I80" s="3">
        <f t="shared" si="2"/>
        <v>2</v>
      </c>
      <c r="J80" s="6">
        <f t="shared" si="3"/>
        <v>0.2857142857142857</v>
      </c>
    </row>
    <row r="81" spans="1:10">
      <c r="A81" s="7" t="s">
        <v>52</v>
      </c>
      <c r="B81" s="7" t="s">
        <v>267</v>
      </c>
      <c r="C81" s="7" t="s">
        <v>268</v>
      </c>
      <c r="D81" s="7" t="s">
        <v>312</v>
      </c>
      <c r="E81" s="7" t="s">
        <v>270</v>
      </c>
      <c r="F81" s="7">
        <f>COUNTIFS(Positions!$B$2:$B$4694,A81,Positions!$F$2:$F$4694,"Position 8")+COUNTIFS(Positions!$B$2:$B$4694,A81,Positions!$F$2:$F$4694,"Position 9")+COUNTIFS(Positions!$B$2:$B$4694,A81,Positions!$F$2:$F$4694,"Position 26")</f>
        <v>3</v>
      </c>
      <c r="G81" s="7">
        <f>COUNTIFS(Positions!$B$2:$B$4694,A81,Positions!$F$2:$F$4694,"Position 8",Positions!$E$2:$E$4694,"G")+COUNTIFS(Positions!$B$2:$B$4694,A81,Positions!$F$2:$F$4694,"Position 9",Positions!$E$2:$E$4694,"G")+COUNTIFS(Positions!$B$2:$B$4694,A81,Positions!$F$2:$F$4694,"Position 26",Positions!$E$2:$E$4694,"G")</f>
        <v>1</v>
      </c>
      <c r="H81" s="7">
        <f>COUNTIFS(Positions!$B$2:$B$4694,A81,Positions!$F$2:$F$4694,"Position 8",Positions!$E$2:$E$4694,"C")+COUNTIFS(Positions!$B$2:$B$4694,A81,Positions!$F$2:$F$4694,"Position 9",Positions!$E$2:$E$4694,"C")+COUNTIFS(Positions!$B$2:$B$4694,A81,Positions!$F$2:$F$4694,"Position 26",Positions!$E$2:$E$4694,"C")</f>
        <v>0</v>
      </c>
      <c r="I81" s="8">
        <f t="shared" si="2"/>
        <v>1</v>
      </c>
      <c r="J81" s="25">
        <f t="shared" si="3"/>
        <v>0.33333333333333331</v>
      </c>
    </row>
    <row r="82" spans="1:10">
      <c r="A82" s="4" t="s">
        <v>53</v>
      </c>
      <c r="B82" s="4" t="s">
        <v>130</v>
      </c>
      <c r="C82" s="4" t="s">
        <v>255</v>
      </c>
      <c r="D82" s="4" t="s">
        <v>306</v>
      </c>
      <c r="E82" s="4" t="s">
        <v>324</v>
      </c>
      <c r="F82" s="4">
        <f>COUNTIFS(Positions!$B$2:$B$4694,A82,Positions!$F$2:$F$4694,B82)</f>
        <v>9</v>
      </c>
      <c r="G82" s="4">
        <f>COUNTIFS(Positions!$B$2:$B$4694,A82,Positions!$F$2:$F$4694,B82,Positions!$E$2:$E$4694,"G")</f>
        <v>3</v>
      </c>
      <c r="H82" s="4">
        <f>COUNTIFS(Positions!$B$2:$B$4694,A82,Positions!$F$2:$F$4694,B82,Positions!$E$2:$E$4694,"C")</f>
        <v>1</v>
      </c>
      <c r="I82" s="3">
        <f t="shared" si="2"/>
        <v>4</v>
      </c>
      <c r="J82" s="6">
        <f t="shared" si="3"/>
        <v>0.44444444444444442</v>
      </c>
    </row>
    <row r="83" spans="1:10">
      <c r="A83" s="4" t="s">
        <v>53</v>
      </c>
      <c r="B83" s="4" t="s">
        <v>150</v>
      </c>
      <c r="C83" s="4" t="s">
        <v>258</v>
      </c>
      <c r="D83" s="4" t="s">
        <v>308</v>
      </c>
      <c r="E83" s="4" t="s">
        <v>327</v>
      </c>
      <c r="F83" s="4">
        <f>COUNTIFS(Positions!$B$2:$B$4694,A83,Positions!$F$2:$F$4694,B83)</f>
        <v>7</v>
      </c>
      <c r="G83" s="4">
        <f>COUNTIFS(Positions!$B$2:$B$4694,A83,Positions!$F$2:$F$4694,B83,Positions!$E$2:$E$4694,"G")</f>
        <v>2</v>
      </c>
      <c r="H83" s="4">
        <f>COUNTIFS(Positions!$B$2:$B$4694,A83,Positions!$F$2:$F$4694,B83,Positions!$E$2:$E$4694,"C")</f>
        <v>1</v>
      </c>
      <c r="I83" s="3">
        <f t="shared" si="2"/>
        <v>3</v>
      </c>
      <c r="J83" s="6">
        <f t="shared" si="3"/>
        <v>0.42857142857142855</v>
      </c>
    </row>
    <row r="84" spans="1:10">
      <c r="A84" s="4" t="s">
        <v>53</v>
      </c>
      <c r="B84" s="4" t="s">
        <v>163</v>
      </c>
      <c r="C84" s="4" t="s">
        <v>261</v>
      </c>
      <c r="D84" s="4" t="s">
        <v>310</v>
      </c>
      <c r="E84" s="4" t="s">
        <v>328</v>
      </c>
      <c r="F84" s="4">
        <f>COUNTIFS(Positions!$B$2:$B$4694,A84,Positions!$F$2:$F$4694,B84)</f>
        <v>4</v>
      </c>
      <c r="G84" s="4">
        <f>COUNTIFS(Positions!$B$2:$B$4694,A84,Positions!$F$2:$F$4694,B84,Positions!$E$2:$E$4694,"G")</f>
        <v>2</v>
      </c>
      <c r="H84" s="4">
        <f>COUNTIFS(Positions!$B$2:$B$4694,A84,Positions!$F$2:$F$4694,B84,Positions!$E$2:$E$4694,"C")</f>
        <v>1</v>
      </c>
      <c r="I84" s="3">
        <f t="shared" si="2"/>
        <v>3</v>
      </c>
      <c r="J84" s="6">
        <f t="shared" si="3"/>
        <v>0.75</v>
      </c>
    </row>
    <row r="85" spans="1:10">
      <c r="A85" s="4" t="s">
        <v>53</v>
      </c>
      <c r="B85" s="4" t="s">
        <v>175</v>
      </c>
      <c r="C85" s="4" t="s">
        <v>264</v>
      </c>
      <c r="D85" s="4" t="s">
        <v>264</v>
      </c>
      <c r="E85" s="4" t="s">
        <v>275</v>
      </c>
      <c r="F85" s="4">
        <f>COUNTIFS(Positions!$B$2:$B$4694,A85,Positions!$F$2:$F$4694,B85)</f>
        <v>7</v>
      </c>
      <c r="G85" s="4">
        <f>COUNTIFS(Positions!$B$2:$B$4694,A85,Positions!$F$2:$F$4694,B85,Positions!$E$2:$E$4694,"G")</f>
        <v>1</v>
      </c>
      <c r="H85" s="4">
        <f>COUNTIFS(Positions!$B$2:$B$4694,A85,Positions!$F$2:$F$4694,B85,Positions!$E$2:$E$4694,"C")</f>
        <v>1</v>
      </c>
      <c r="I85" s="3">
        <f t="shared" si="2"/>
        <v>2</v>
      </c>
      <c r="J85" s="6">
        <f t="shared" si="3"/>
        <v>0.2857142857142857</v>
      </c>
    </row>
    <row r="86" spans="1:10">
      <c r="A86" s="7" t="s">
        <v>53</v>
      </c>
      <c r="B86" s="7" t="s">
        <v>267</v>
      </c>
      <c r="C86" s="7" t="s">
        <v>268</v>
      </c>
      <c r="D86" s="7" t="s">
        <v>312</v>
      </c>
      <c r="E86" s="7" t="s">
        <v>281</v>
      </c>
      <c r="F86" s="7">
        <f>COUNTIFS(Positions!$B$2:$B$4694,A86,Positions!$F$2:$F$4694,"Position 8")+COUNTIFS(Positions!$B$2:$B$4694,A86,Positions!$F$2:$F$4694,"Position 9")+COUNTIFS(Positions!$B$2:$B$4694,A86,Positions!$F$2:$F$4694,"Position 26")</f>
        <v>3</v>
      </c>
      <c r="G86" s="7">
        <f>COUNTIFS(Positions!$B$2:$B$4694,A86,Positions!$F$2:$F$4694,"Position 8",Positions!$E$2:$E$4694,"G")+COUNTIFS(Positions!$B$2:$B$4694,A86,Positions!$F$2:$F$4694,"Position 9",Positions!$E$2:$E$4694,"G")+COUNTIFS(Positions!$B$2:$B$4694,A86,Positions!$F$2:$F$4694,"Position 26",Positions!$E$2:$E$4694,"G")</f>
        <v>0</v>
      </c>
      <c r="H86" s="7">
        <f>COUNTIFS(Positions!$B$2:$B$4694,A86,Positions!$F$2:$F$4694,"Position 8",Positions!$E$2:$E$4694,"C")+COUNTIFS(Positions!$B$2:$B$4694,A86,Positions!$F$2:$F$4694,"Position 9",Positions!$E$2:$E$4694,"C")+COUNTIFS(Positions!$B$2:$B$4694,A86,Positions!$F$2:$F$4694,"Position 26",Positions!$E$2:$E$4694,"C")</f>
        <v>0</v>
      </c>
      <c r="I86" s="8">
        <f t="shared" si="2"/>
        <v>0</v>
      </c>
      <c r="J86" s="25">
        <f t="shared" si="3"/>
        <v>0</v>
      </c>
    </row>
    <row r="87" spans="1:10">
      <c r="A87" s="4" t="s">
        <v>54</v>
      </c>
      <c r="B87" s="4" t="s">
        <v>130</v>
      </c>
      <c r="C87" s="4" t="s">
        <v>255</v>
      </c>
      <c r="D87" s="4" t="s">
        <v>329</v>
      </c>
      <c r="E87" s="4" t="s">
        <v>330</v>
      </c>
      <c r="F87" s="4">
        <f>COUNTIFS(Positions!$B$2:$B$4694,A87,Positions!$F$2:$F$4694,B87)</f>
        <v>11</v>
      </c>
      <c r="G87" s="4">
        <f>COUNTIFS(Positions!$B$2:$B$4694,A87,Positions!$F$2:$F$4694,B87,Positions!$E$2:$E$4694,"G")</f>
        <v>3</v>
      </c>
      <c r="H87" s="4">
        <f>COUNTIFS(Positions!$B$2:$B$4694,A87,Positions!$F$2:$F$4694,B87,Positions!$E$2:$E$4694,"C")</f>
        <v>4</v>
      </c>
      <c r="I87" s="3">
        <f t="shared" si="2"/>
        <v>7</v>
      </c>
      <c r="J87" s="6">
        <f t="shared" si="3"/>
        <v>0.63636363636363635</v>
      </c>
    </row>
    <row r="88" spans="1:10">
      <c r="A88" s="4" t="s">
        <v>54</v>
      </c>
      <c r="B88" s="4" t="s">
        <v>150</v>
      </c>
      <c r="C88" s="4" t="s">
        <v>258</v>
      </c>
      <c r="D88" s="4" t="s">
        <v>331</v>
      </c>
      <c r="E88" s="4" t="s">
        <v>332</v>
      </c>
      <c r="F88" s="4">
        <f>COUNTIFS(Positions!$B$2:$B$4694,A88,Positions!$F$2:$F$4694,B88)</f>
        <v>7</v>
      </c>
      <c r="G88" s="4">
        <f>COUNTIFS(Positions!$B$2:$B$4694,A88,Positions!$F$2:$F$4694,B88,Positions!$E$2:$E$4694,"G")</f>
        <v>0</v>
      </c>
      <c r="H88" s="4">
        <f>COUNTIFS(Positions!$B$2:$B$4694,A88,Positions!$F$2:$F$4694,B88,Positions!$E$2:$E$4694,"C")</f>
        <v>4</v>
      </c>
      <c r="I88" s="3">
        <f t="shared" si="2"/>
        <v>4</v>
      </c>
      <c r="J88" s="6">
        <f t="shared" si="3"/>
        <v>0.5714285714285714</v>
      </c>
    </row>
    <row r="89" spans="1:10">
      <c r="A89" s="4" t="s">
        <v>54</v>
      </c>
      <c r="B89" s="4" t="s">
        <v>163</v>
      </c>
      <c r="C89" s="4" t="s">
        <v>261</v>
      </c>
      <c r="D89" s="4" t="s">
        <v>333</v>
      </c>
      <c r="E89" s="4" t="s">
        <v>311</v>
      </c>
      <c r="F89" s="4">
        <f>COUNTIFS(Positions!$B$2:$B$4694,A89,Positions!$F$2:$F$4694,B89)</f>
        <v>4</v>
      </c>
      <c r="G89" s="4">
        <f>COUNTIFS(Positions!$B$2:$B$4694,A89,Positions!$F$2:$F$4694,B89,Positions!$E$2:$E$4694,"G")</f>
        <v>1</v>
      </c>
      <c r="H89" s="4">
        <f>COUNTIFS(Positions!$B$2:$B$4694,A89,Positions!$F$2:$F$4694,B89,Positions!$E$2:$E$4694,"C")</f>
        <v>2</v>
      </c>
      <c r="I89" s="3">
        <f t="shared" si="2"/>
        <v>3</v>
      </c>
      <c r="J89" s="6">
        <f t="shared" si="3"/>
        <v>0.75</v>
      </c>
    </row>
    <row r="90" spans="1:10">
      <c r="A90" s="4" t="s">
        <v>54</v>
      </c>
      <c r="B90" s="4" t="s">
        <v>175</v>
      </c>
      <c r="C90" s="4" t="s">
        <v>264</v>
      </c>
      <c r="D90" s="4" t="s">
        <v>288</v>
      </c>
      <c r="E90" s="4" t="s">
        <v>266</v>
      </c>
      <c r="F90" s="4">
        <f>COUNTIFS(Positions!$B$2:$B$4694,A90,Positions!$F$2:$F$4694,B90)</f>
        <v>7</v>
      </c>
      <c r="G90" s="4">
        <f>COUNTIFS(Positions!$B$2:$B$4694,A90,Positions!$F$2:$F$4694,B90,Positions!$E$2:$E$4694,"G")</f>
        <v>0</v>
      </c>
      <c r="H90" s="4">
        <f>COUNTIFS(Positions!$B$2:$B$4694,A90,Positions!$F$2:$F$4694,B90,Positions!$E$2:$E$4694,"C")</f>
        <v>1</v>
      </c>
      <c r="I90" s="3">
        <f t="shared" si="2"/>
        <v>1</v>
      </c>
      <c r="J90" s="6">
        <f t="shared" si="3"/>
        <v>0.14285714285714285</v>
      </c>
    </row>
    <row r="91" spans="1:10">
      <c r="A91" s="7" t="s">
        <v>54</v>
      </c>
      <c r="B91" s="7" t="s">
        <v>267</v>
      </c>
      <c r="C91" s="7" t="s">
        <v>268</v>
      </c>
      <c r="D91" s="7" t="s">
        <v>334</v>
      </c>
      <c r="E91" s="7" t="s">
        <v>281</v>
      </c>
      <c r="F91" s="7">
        <f>COUNTIFS(Positions!$B$2:$B$4694,A91,Positions!$F$2:$F$4694,"Position 8")+COUNTIFS(Positions!$B$2:$B$4694,A91,Positions!$F$2:$F$4694,"Position 9")+COUNTIFS(Positions!$B$2:$B$4694,A91,Positions!$F$2:$F$4694,"Position 26")</f>
        <v>3</v>
      </c>
      <c r="G91" s="7">
        <f>COUNTIFS(Positions!$B$2:$B$4694,A91,Positions!$F$2:$F$4694,"Position 8",Positions!$E$2:$E$4694,"G")+COUNTIFS(Positions!$B$2:$B$4694,A91,Positions!$F$2:$F$4694,"Position 9",Positions!$E$2:$E$4694,"G")+COUNTIFS(Positions!$B$2:$B$4694,A91,Positions!$F$2:$F$4694,"Position 26",Positions!$E$2:$E$4694,"G")</f>
        <v>0</v>
      </c>
      <c r="H91" s="7">
        <f>COUNTIFS(Positions!$B$2:$B$4694,A91,Positions!$F$2:$F$4694,"Position 8",Positions!$E$2:$E$4694,"C")+COUNTIFS(Positions!$B$2:$B$4694,A91,Positions!$F$2:$F$4694,"Position 9",Positions!$E$2:$E$4694,"C")+COUNTIFS(Positions!$B$2:$B$4694,A91,Positions!$F$2:$F$4694,"Position 26",Positions!$E$2:$E$4694,"C")</f>
        <v>0</v>
      </c>
      <c r="I91" s="8">
        <f t="shared" si="2"/>
        <v>0</v>
      </c>
      <c r="J91" s="25">
        <f t="shared" si="3"/>
        <v>0</v>
      </c>
    </row>
    <row r="92" spans="1:10">
      <c r="A92" s="4" t="s">
        <v>55</v>
      </c>
      <c r="B92" s="4" t="s">
        <v>130</v>
      </c>
      <c r="C92" s="4" t="s">
        <v>255</v>
      </c>
      <c r="D92" s="4" t="s">
        <v>329</v>
      </c>
      <c r="E92" s="4" t="s">
        <v>335</v>
      </c>
      <c r="F92" s="4">
        <f>COUNTIFS(Positions!$B$2:$B$4694,A92,Positions!$F$2:$F$4694,B92)</f>
        <v>11</v>
      </c>
      <c r="G92" s="4">
        <f>COUNTIFS(Positions!$B$2:$B$4694,A92,Positions!$F$2:$F$4694,B92,Positions!$E$2:$E$4694,"G")</f>
        <v>3</v>
      </c>
      <c r="H92" s="4">
        <f>COUNTIFS(Positions!$B$2:$B$4694,A92,Positions!$F$2:$F$4694,B92,Positions!$E$2:$E$4694,"C")</f>
        <v>4</v>
      </c>
      <c r="I92" s="3">
        <f t="shared" si="2"/>
        <v>7</v>
      </c>
      <c r="J92" s="6">
        <f t="shared" si="3"/>
        <v>0.63636363636363635</v>
      </c>
    </row>
    <row r="93" spans="1:10">
      <c r="A93" s="4" t="s">
        <v>55</v>
      </c>
      <c r="B93" s="4" t="s">
        <v>150</v>
      </c>
      <c r="C93" s="4" t="s">
        <v>258</v>
      </c>
      <c r="D93" s="4" t="s">
        <v>331</v>
      </c>
      <c r="E93" s="4" t="s">
        <v>336</v>
      </c>
      <c r="F93" s="4">
        <f>COUNTIFS(Positions!$B$2:$B$4694,A93,Positions!$F$2:$F$4694,B93)</f>
        <v>7</v>
      </c>
      <c r="G93" s="4">
        <f>COUNTIFS(Positions!$B$2:$B$4694,A93,Positions!$F$2:$F$4694,B93,Positions!$E$2:$E$4694,"G")</f>
        <v>1</v>
      </c>
      <c r="H93" s="4">
        <f>COUNTIFS(Positions!$B$2:$B$4694,A93,Positions!$F$2:$F$4694,B93,Positions!$E$2:$E$4694,"C")</f>
        <v>2</v>
      </c>
      <c r="I93" s="3">
        <f t="shared" si="2"/>
        <v>3</v>
      </c>
      <c r="J93" s="6">
        <f t="shared" si="3"/>
        <v>0.42857142857142855</v>
      </c>
    </row>
    <row r="94" spans="1:10">
      <c r="A94" s="4" t="s">
        <v>55</v>
      </c>
      <c r="B94" s="4" t="s">
        <v>163</v>
      </c>
      <c r="C94" s="4" t="s">
        <v>261</v>
      </c>
      <c r="D94" s="4" t="s">
        <v>333</v>
      </c>
      <c r="E94" s="4" t="s">
        <v>293</v>
      </c>
      <c r="F94" s="4">
        <f>COUNTIFS(Positions!$B$2:$B$4694,A94,Positions!$F$2:$F$4694,B94)</f>
        <v>4</v>
      </c>
      <c r="G94" s="4">
        <f>COUNTIFS(Positions!$B$2:$B$4694,A94,Positions!$F$2:$F$4694,B94,Positions!$E$2:$E$4694,"G")</f>
        <v>1</v>
      </c>
      <c r="H94" s="4">
        <f>COUNTIFS(Positions!$B$2:$B$4694,A94,Positions!$F$2:$F$4694,B94,Positions!$E$2:$E$4694,"C")</f>
        <v>1</v>
      </c>
      <c r="I94" s="3">
        <f t="shared" si="2"/>
        <v>2</v>
      </c>
      <c r="J94" s="6">
        <f t="shared" si="3"/>
        <v>0.5</v>
      </c>
    </row>
    <row r="95" spans="1:10">
      <c r="A95" s="4" t="s">
        <v>55</v>
      </c>
      <c r="B95" s="4" t="s">
        <v>175</v>
      </c>
      <c r="C95" s="4" t="s">
        <v>264</v>
      </c>
      <c r="D95" s="4" t="s">
        <v>288</v>
      </c>
      <c r="E95" s="4" t="s">
        <v>275</v>
      </c>
      <c r="F95" s="4">
        <f>COUNTIFS(Positions!$B$2:$B$4694,A95,Positions!$F$2:$F$4694,B95)</f>
        <v>7</v>
      </c>
      <c r="G95" s="4">
        <f>COUNTIFS(Positions!$B$2:$B$4694,A95,Positions!$F$2:$F$4694,B95,Positions!$E$2:$E$4694,"G")</f>
        <v>1</v>
      </c>
      <c r="H95" s="4">
        <f>COUNTIFS(Positions!$B$2:$B$4694,A95,Positions!$F$2:$F$4694,B95,Positions!$E$2:$E$4694,"C")</f>
        <v>1</v>
      </c>
      <c r="I95" s="3">
        <f t="shared" si="2"/>
        <v>2</v>
      </c>
      <c r="J95" s="6">
        <f t="shared" si="3"/>
        <v>0.2857142857142857</v>
      </c>
    </row>
    <row r="96" spans="1:10">
      <c r="A96" s="7" t="s">
        <v>55</v>
      </c>
      <c r="B96" s="7" t="s">
        <v>267</v>
      </c>
      <c r="C96" s="7" t="s">
        <v>268</v>
      </c>
      <c r="D96" s="7" t="s">
        <v>334</v>
      </c>
      <c r="E96" s="7" t="s">
        <v>281</v>
      </c>
      <c r="F96" s="7">
        <f>COUNTIFS(Positions!$B$2:$B$4694,A96,Positions!$F$2:$F$4694,"Position 8")+COUNTIFS(Positions!$B$2:$B$4694,A96,Positions!$F$2:$F$4694,"Position 9")+COUNTIFS(Positions!$B$2:$B$4694,A96,Positions!$F$2:$F$4694,"Position 26")</f>
        <v>3</v>
      </c>
      <c r="G96" s="7">
        <f>COUNTIFS(Positions!$B$2:$B$4694,A96,Positions!$F$2:$F$4694,"Position 8",Positions!$E$2:$E$4694,"G")+COUNTIFS(Positions!$B$2:$B$4694,A96,Positions!$F$2:$F$4694,"Position 9",Positions!$E$2:$E$4694,"G")+COUNTIFS(Positions!$B$2:$B$4694,A96,Positions!$F$2:$F$4694,"Position 26",Positions!$E$2:$E$4694,"G")</f>
        <v>0</v>
      </c>
      <c r="H96" s="7">
        <f>COUNTIFS(Positions!$B$2:$B$4694,A96,Positions!$F$2:$F$4694,"Position 8",Positions!$E$2:$E$4694,"C")+COUNTIFS(Positions!$B$2:$B$4694,A96,Positions!$F$2:$F$4694,"Position 9",Positions!$E$2:$E$4694,"C")+COUNTIFS(Positions!$B$2:$B$4694,A96,Positions!$F$2:$F$4694,"Position 26",Positions!$E$2:$E$4694,"C")</f>
        <v>0</v>
      </c>
      <c r="I96" s="8">
        <f t="shared" si="2"/>
        <v>0</v>
      </c>
      <c r="J96" s="25">
        <f t="shared" si="3"/>
        <v>0</v>
      </c>
    </row>
    <row r="97" spans="1:10">
      <c r="A97" s="4" t="s">
        <v>56</v>
      </c>
      <c r="B97" s="4" t="s">
        <v>130</v>
      </c>
      <c r="C97" s="4" t="s">
        <v>255</v>
      </c>
      <c r="D97" s="4" t="s">
        <v>329</v>
      </c>
      <c r="E97" s="4" t="s">
        <v>335</v>
      </c>
      <c r="F97" s="4">
        <f>COUNTIFS(Positions!$B$2:$B$4694,A97,Positions!$F$2:$F$4694,B97)</f>
        <v>11</v>
      </c>
      <c r="G97" s="4">
        <f>COUNTIFS(Positions!$B$2:$B$4694,A97,Positions!$F$2:$F$4694,B97,Positions!$E$2:$E$4694,"G")</f>
        <v>3</v>
      </c>
      <c r="H97" s="4">
        <f>COUNTIFS(Positions!$B$2:$B$4694,A97,Positions!$F$2:$F$4694,B97,Positions!$E$2:$E$4694,"C")</f>
        <v>4</v>
      </c>
      <c r="I97" s="3">
        <f t="shared" si="2"/>
        <v>7</v>
      </c>
      <c r="J97" s="6">
        <f t="shared" si="3"/>
        <v>0.63636363636363635</v>
      </c>
    </row>
    <row r="98" spans="1:10">
      <c r="A98" s="4" t="s">
        <v>56</v>
      </c>
      <c r="B98" s="4" t="s">
        <v>150</v>
      </c>
      <c r="C98" s="4" t="s">
        <v>258</v>
      </c>
      <c r="D98" s="4" t="s">
        <v>331</v>
      </c>
      <c r="E98" s="4" t="s">
        <v>336</v>
      </c>
      <c r="F98" s="4">
        <f>COUNTIFS(Positions!$B$2:$B$4694,A98,Positions!$F$2:$F$4694,B98)</f>
        <v>7</v>
      </c>
      <c r="G98" s="4">
        <f>COUNTIFS(Positions!$B$2:$B$4694,A98,Positions!$F$2:$F$4694,B98,Positions!$E$2:$E$4694,"G")</f>
        <v>1</v>
      </c>
      <c r="H98" s="4">
        <f>COUNTIFS(Positions!$B$2:$B$4694,A98,Positions!$F$2:$F$4694,B98,Positions!$E$2:$E$4694,"C")</f>
        <v>2</v>
      </c>
      <c r="I98" s="3">
        <f t="shared" si="2"/>
        <v>3</v>
      </c>
      <c r="J98" s="6">
        <f t="shared" si="3"/>
        <v>0.42857142857142855</v>
      </c>
    </row>
    <row r="99" spans="1:10">
      <c r="A99" s="4" t="s">
        <v>56</v>
      </c>
      <c r="B99" s="4" t="s">
        <v>163</v>
      </c>
      <c r="C99" s="4" t="s">
        <v>261</v>
      </c>
      <c r="D99" s="4" t="s">
        <v>333</v>
      </c>
      <c r="E99" s="4" t="s">
        <v>293</v>
      </c>
      <c r="F99" s="4">
        <f>COUNTIFS(Positions!$B$2:$B$4694,A99,Positions!$F$2:$F$4694,B99)</f>
        <v>4</v>
      </c>
      <c r="G99" s="4">
        <f>COUNTIFS(Positions!$B$2:$B$4694,A99,Positions!$F$2:$F$4694,B99,Positions!$E$2:$E$4694,"G")</f>
        <v>1</v>
      </c>
      <c r="H99" s="4">
        <f>COUNTIFS(Positions!$B$2:$B$4694,A99,Positions!$F$2:$F$4694,B99,Positions!$E$2:$E$4694,"C")</f>
        <v>1</v>
      </c>
      <c r="I99" s="3">
        <f t="shared" si="2"/>
        <v>2</v>
      </c>
      <c r="J99" s="6">
        <f t="shared" si="3"/>
        <v>0.5</v>
      </c>
    </row>
    <row r="100" spans="1:10">
      <c r="A100" s="4" t="s">
        <v>56</v>
      </c>
      <c r="B100" s="4" t="s">
        <v>175</v>
      </c>
      <c r="C100" s="4" t="s">
        <v>264</v>
      </c>
      <c r="D100" s="4" t="s">
        <v>288</v>
      </c>
      <c r="E100" s="4" t="s">
        <v>275</v>
      </c>
      <c r="F100" s="4">
        <f>COUNTIFS(Positions!$B$2:$B$4694,A100,Positions!$F$2:$F$4694,B100)</f>
        <v>7</v>
      </c>
      <c r="G100" s="4">
        <f>COUNTIFS(Positions!$B$2:$B$4694,A100,Positions!$F$2:$F$4694,B100,Positions!$E$2:$E$4694,"G")</f>
        <v>1</v>
      </c>
      <c r="H100" s="4">
        <f>COUNTIFS(Positions!$B$2:$B$4694,A100,Positions!$F$2:$F$4694,B100,Positions!$E$2:$E$4694,"C")</f>
        <v>1</v>
      </c>
      <c r="I100" s="3">
        <f t="shared" si="2"/>
        <v>2</v>
      </c>
      <c r="J100" s="6">
        <f t="shared" si="3"/>
        <v>0.2857142857142857</v>
      </c>
    </row>
    <row r="101" spans="1:10">
      <c r="A101" s="7" t="s">
        <v>56</v>
      </c>
      <c r="B101" s="7" t="s">
        <v>267</v>
      </c>
      <c r="C101" s="7" t="s">
        <v>268</v>
      </c>
      <c r="D101" s="7" t="s">
        <v>334</v>
      </c>
      <c r="E101" s="7" t="s">
        <v>281</v>
      </c>
      <c r="F101" s="7">
        <f>COUNTIFS(Positions!$B$2:$B$4694,A101,Positions!$F$2:$F$4694,"Position 8")+COUNTIFS(Positions!$B$2:$B$4694,A101,Positions!$F$2:$F$4694,"Position 9")+COUNTIFS(Positions!$B$2:$B$4694,A101,Positions!$F$2:$F$4694,"Position 26")</f>
        <v>3</v>
      </c>
      <c r="G101" s="7">
        <f>COUNTIFS(Positions!$B$2:$B$4694,A101,Positions!$F$2:$F$4694,"Position 8",Positions!$E$2:$E$4694,"G")+COUNTIFS(Positions!$B$2:$B$4694,A101,Positions!$F$2:$F$4694,"Position 9",Positions!$E$2:$E$4694,"G")+COUNTIFS(Positions!$B$2:$B$4694,A101,Positions!$F$2:$F$4694,"Position 26",Positions!$E$2:$E$4694,"G")</f>
        <v>0</v>
      </c>
      <c r="H101" s="7">
        <f>COUNTIFS(Positions!$B$2:$B$4694,A101,Positions!$F$2:$F$4694,"Position 8",Positions!$E$2:$E$4694,"C")+COUNTIFS(Positions!$B$2:$B$4694,A101,Positions!$F$2:$F$4694,"Position 9",Positions!$E$2:$E$4694,"C")+COUNTIFS(Positions!$B$2:$B$4694,A101,Positions!$F$2:$F$4694,"Position 26",Positions!$E$2:$E$4694,"C")</f>
        <v>0</v>
      </c>
      <c r="I101" s="8">
        <f t="shared" si="2"/>
        <v>0</v>
      </c>
      <c r="J101" s="25">
        <f t="shared" si="3"/>
        <v>0</v>
      </c>
    </row>
    <row r="102" spans="1:10">
      <c r="A102" s="4" t="s">
        <v>57</v>
      </c>
      <c r="B102" s="4" t="s">
        <v>130</v>
      </c>
      <c r="C102" s="4" t="s">
        <v>255</v>
      </c>
      <c r="D102" s="4" t="s">
        <v>255</v>
      </c>
      <c r="E102" s="4" t="s">
        <v>337</v>
      </c>
      <c r="F102" s="4">
        <f>COUNTIFS(Positions!$B$2:$B$4694,A102,Positions!$F$2:$F$4694,B102)</f>
        <v>8</v>
      </c>
      <c r="G102" s="4">
        <f>COUNTIFS(Positions!$B$2:$B$4694,A102,Positions!$F$2:$F$4694,B102,Positions!$E$2:$E$4694,"G")</f>
        <v>3</v>
      </c>
      <c r="H102" s="4">
        <f>COUNTIFS(Positions!$B$2:$B$4694,A102,Positions!$F$2:$F$4694,B102,Positions!$E$2:$E$4694,"C")</f>
        <v>2</v>
      </c>
      <c r="I102" s="3">
        <f t="shared" si="2"/>
        <v>5</v>
      </c>
      <c r="J102" s="6">
        <f t="shared" si="3"/>
        <v>0.625</v>
      </c>
    </row>
    <row r="103" spans="1:10">
      <c r="A103" s="4" t="s">
        <v>57</v>
      </c>
      <c r="B103" s="4" t="s">
        <v>150</v>
      </c>
      <c r="C103" s="4" t="s">
        <v>258</v>
      </c>
      <c r="D103" s="4" t="s">
        <v>258</v>
      </c>
      <c r="E103" s="4" t="s">
        <v>338</v>
      </c>
      <c r="F103" s="4">
        <f>COUNTIFS(Positions!$B$2:$B$4694,A103,Positions!$F$2:$F$4694,B103)</f>
        <v>7</v>
      </c>
      <c r="G103" s="4">
        <f>COUNTIFS(Positions!$B$2:$B$4694,A103,Positions!$F$2:$F$4694,B103,Positions!$E$2:$E$4694,"G")</f>
        <v>0</v>
      </c>
      <c r="H103" s="4">
        <f>COUNTIFS(Positions!$B$2:$B$4694,A103,Positions!$F$2:$F$4694,B103,Positions!$E$2:$E$4694,"C")</f>
        <v>3</v>
      </c>
      <c r="I103" s="3">
        <f t="shared" si="2"/>
        <v>3</v>
      </c>
      <c r="J103" s="6">
        <f t="shared" si="3"/>
        <v>0.42857142857142855</v>
      </c>
    </row>
    <row r="104" spans="1:10">
      <c r="A104" s="4" t="s">
        <v>57</v>
      </c>
      <c r="B104" s="4" t="s">
        <v>163</v>
      </c>
      <c r="C104" s="4" t="s">
        <v>261</v>
      </c>
      <c r="D104" s="4" t="s">
        <v>278</v>
      </c>
      <c r="E104" s="4" t="s">
        <v>279</v>
      </c>
      <c r="F104" s="4">
        <f>COUNTIFS(Positions!$B$2:$B$4694,A104,Positions!$F$2:$F$4694,B104)</f>
        <v>4</v>
      </c>
      <c r="G104" s="4">
        <f>COUNTIFS(Positions!$B$2:$B$4694,A104,Positions!$F$2:$F$4694,B104,Positions!$E$2:$E$4694,"G")</f>
        <v>1</v>
      </c>
      <c r="H104" s="4">
        <f>COUNTIFS(Positions!$B$2:$B$4694,A104,Positions!$F$2:$F$4694,B104,Positions!$E$2:$E$4694,"C")</f>
        <v>1</v>
      </c>
      <c r="I104" s="3">
        <f t="shared" si="2"/>
        <v>2</v>
      </c>
      <c r="J104" s="6">
        <f t="shared" si="3"/>
        <v>0.5</v>
      </c>
    </row>
    <row r="105" spans="1:10">
      <c r="A105" s="4" t="s">
        <v>57</v>
      </c>
      <c r="B105" s="4" t="s">
        <v>175</v>
      </c>
      <c r="C105" s="4" t="s">
        <v>264</v>
      </c>
      <c r="D105" s="4" t="s">
        <v>265</v>
      </c>
      <c r="E105" s="4" t="s">
        <v>275</v>
      </c>
      <c r="F105" s="4">
        <f>COUNTIFS(Positions!$B$2:$B$4694,A105,Positions!$F$2:$F$4694,B105)</f>
        <v>7</v>
      </c>
      <c r="G105" s="4">
        <f>COUNTIFS(Positions!$B$2:$B$4694,A105,Positions!$F$2:$F$4694,B105,Positions!$E$2:$E$4694,"G")</f>
        <v>1</v>
      </c>
      <c r="H105" s="4">
        <f>COUNTIFS(Positions!$B$2:$B$4694,A105,Positions!$F$2:$F$4694,B105,Positions!$E$2:$E$4694,"C")</f>
        <v>1</v>
      </c>
      <c r="I105" s="3">
        <f t="shared" si="2"/>
        <v>2</v>
      </c>
      <c r="J105" s="6">
        <f t="shared" si="3"/>
        <v>0.2857142857142857</v>
      </c>
    </row>
    <row r="106" spans="1:10">
      <c r="A106" s="7" t="s">
        <v>57</v>
      </c>
      <c r="B106" s="7" t="s">
        <v>267</v>
      </c>
      <c r="C106" s="7" t="s">
        <v>268</v>
      </c>
      <c r="D106" s="7" t="s">
        <v>268</v>
      </c>
      <c r="E106" s="7" t="s">
        <v>339</v>
      </c>
      <c r="F106" s="7">
        <f>COUNTIFS(Positions!$B$2:$B$4694,A106,Positions!$F$2:$F$4694,"Position 8")+COUNTIFS(Positions!$B$2:$B$4694,A106,Positions!$F$2:$F$4694,"Position 9")+COUNTIFS(Positions!$B$2:$B$4694,A106,Positions!$F$2:$F$4694,"Position 26")</f>
        <v>3</v>
      </c>
      <c r="G106" s="7">
        <f>COUNTIFS(Positions!$B$2:$B$4694,A106,Positions!$F$2:$F$4694,"Position 8",Positions!$E$2:$E$4694,"G")+COUNTIFS(Positions!$B$2:$B$4694,A106,Positions!$F$2:$F$4694,"Position 9",Positions!$E$2:$E$4694,"G")+COUNTIFS(Positions!$B$2:$B$4694,A106,Positions!$F$2:$F$4694,"Position 26",Positions!$E$2:$E$4694,"G")</f>
        <v>1</v>
      </c>
      <c r="H106" s="7">
        <f>COUNTIFS(Positions!$B$2:$B$4694,A106,Positions!$F$2:$F$4694,"Position 8",Positions!$E$2:$E$4694,"C")+COUNTIFS(Positions!$B$2:$B$4694,A106,Positions!$F$2:$F$4694,"Position 9",Positions!$E$2:$E$4694,"C")+COUNTIFS(Positions!$B$2:$B$4694,A106,Positions!$F$2:$F$4694,"Position 26",Positions!$E$2:$E$4694,"C")</f>
        <v>1</v>
      </c>
      <c r="I106" s="8">
        <f t="shared" si="2"/>
        <v>2</v>
      </c>
      <c r="J106" s="25">
        <f t="shared" si="3"/>
        <v>0.66666666666666663</v>
      </c>
    </row>
    <row r="107" spans="1:10">
      <c r="A107" s="4" t="s">
        <v>58</v>
      </c>
      <c r="B107" s="4" t="s">
        <v>130</v>
      </c>
      <c r="C107" s="4" t="s">
        <v>255</v>
      </c>
      <c r="D107" s="4" t="s">
        <v>255</v>
      </c>
      <c r="E107" s="4" t="s">
        <v>340</v>
      </c>
      <c r="F107" s="4">
        <f>COUNTIFS(Positions!$B$2:$B$4694,A107,Positions!$F$2:$F$4694,B107)</f>
        <v>8</v>
      </c>
      <c r="G107" s="4">
        <f>COUNTIFS(Positions!$B$2:$B$4694,A107,Positions!$F$2:$F$4694,B107,Positions!$E$2:$E$4694,"G")</f>
        <v>3</v>
      </c>
      <c r="H107" s="4">
        <f>COUNTIFS(Positions!$B$2:$B$4694,A107,Positions!$F$2:$F$4694,B107,Positions!$E$2:$E$4694,"C")</f>
        <v>2</v>
      </c>
      <c r="I107" s="3">
        <f t="shared" si="2"/>
        <v>5</v>
      </c>
      <c r="J107" s="6">
        <f t="shared" si="3"/>
        <v>0.625</v>
      </c>
    </row>
    <row r="108" spans="1:10">
      <c r="A108" s="4" t="s">
        <v>58</v>
      </c>
      <c r="B108" s="4" t="s">
        <v>150</v>
      </c>
      <c r="C108" s="4" t="s">
        <v>258</v>
      </c>
      <c r="D108" s="4" t="s">
        <v>258</v>
      </c>
      <c r="E108" s="4" t="s">
        <v>341</v>
      </c>
      <c r="F108" s="4">
        <f>COUNTIFS(Positions!$B$2:$B$4694,A108,Positions!$F$2:$F$4694,B108)</f>
        <v>7</v>
      </c>
      <c r="G108" s="4">
        <f>COUNTIFS(Positions!$B$2:$B$4694,A108,Positions!$F$2:$F$4694,B108,Positions!$E$2:$E$4694,"G")</f>
        <v>1</v>
      </c>
      <c r="H108" s="4">
        <f>COUNTIFS(Positions!$B$2:$B$4694,A108,Positions!$F$2:$F$4694,B108,Positions!$E$2:$E$4694,"C")</f>
        <v>2</v>
      </c>
      <c r="I108" s="3">
        <f t="shared" si="2"/>
        <v>3</v>
      </c>
      <c r="J108" s="6">
        <f t="shared" si="3"/>
        <v>0.42857142857142855</v>
      </c>
    </row>
    <row r="109" spans="1:10">
      <c r="A109" s="4" t="s">
        <v>58</v>
      </c>
      <c r="B109" s="4" t="s">
        <v>163</v>
      </c>
      <c r="C109" s="4" t="s">
        <v>261</v>
      </c>
      <c r="D109" s="4" t="s">
        <v>278</v>
      </c>
      <c r="E109" s="4" t="s">
        <v>279</v>
      </c>
      <c r="F109" s="4">
        <f>COUNTIFS(Positions!$B$2:$B$4694,A109,Positions!$F$2:$F$4694,B109)</f>
        <v>4</v>
      </c>
      <c r="G109" s="4">
        <f>COUNTIFS(Positions!$B$2:$B$4694,A109,Positions!$F$2:$F$4694,B109,Positions!$E$2:$E$4694,"G")</f>
        <v>1</v>
      </c>
      <c r="H109" s="4">
        <f>COUNTIFS(Positions!$B$2:$B$4694,A109,Positions!$F$2:$F$4694,B109,Positions!$E$2:$E$4694,"C")</f>
        <v>1</v>
      </c>
      <c r="I109" s="3">
        <f t="shared" si="2"/>
        <v>2</v>
      </c>
      <c r="J109" s="6">
        <f t="shared" si="3"/>
        <v>0.5</v>
      </c>
    </row>
    <row r="110" spans="1:10">
      <c r="A110" s="4" t="s">
        <v>58</v>
      </c>
      <c r="B110" s="4" t="s">
        <v>175</v>
      </c>
      <c r="C110" s="4" t="s">
        <v>264</v>
      </c>
      <c r="D110" s="4" t="s">
        <v>265</v>
      </c>
      <c r="E110" s="4" t="s">
        <v>275</v>
      </c>
      <c r="F110" s="4">
        <f>COUNTIFS(Positions!$B$2:$B$4694,A110,Positions!$F$2:$F$4694,B110)</f>
        <v>7</v>
      </c>
      <c r="G110" s="4">
        <f>COUNTIFS(Positions!$B$2:$B$4694,A110,Positions!$F$2:$F$4694,B110,Positions!$E$2:$E$4694,"G")</f>
        <v>1</v>
      </c>
      <c r="H110" s="4">
        <f>COUNTIFS(Positions!$B$2:$B$4694,A110,Positions!$F$2:$F$4694,B110,Positions!$E$2:$E$4694,"C")</f>
        <v>1</v>
      </c>
      <c r="I110" s="3">
        <f t="shared" si="2"/>
        <v>2</v>
      </c>
      <c r="J110" s="6">
        <f t="shared" si="3"/>
        <v>0.2857142857142857</v>
      </c>
    </row>
    <row r="111" spans="1:10">
      <c r="A111" s="7" t="s">
        <v>58</v>
      </c>
      <c r="B111" s="7" t="s">
        <v>267</v>
      </c>
      <c r="C111" s="7" t="s">
        <v>268</v>
      </c>
      <c r="D111" s="7" t="s">
        <v>268</v>
      </c>
      <c r="E111" s="7" t="s">
        <v>342</v>
      </c>
      <c r="F111" s="7">
        <f>COUNTIFS(Positions!$B$2:$B$4694,A111,Positions!$F$2:$F$4694,"Position 8")+COUNTIFS(Positions!$B$2:$B$4694,A111,Positions!$F$2:$F$4694,"Position 9")+COUNTIFS(Positions!$B$2:$B$4694,A111,Positions!$F$2:$F$4694,"Position 26")</f>
        <v>3</v>
      </c>
      <c r="G111" s="7">
        <f>COUNTIFS(Positions!$B$2:$B$4694,A111,Positions!$F$2:$F$4694,"Position 8",Positions!$E$2:$E$4694,"G")+COUNTIFS(Positions!$B$2:$B$4694,A111,Positions!$F$2:$F$4694,"Position 9",Positions!$E$2:$E$4694,"G")+COUNTIFS(Positions!$B$2:$B$4694,A111,Positions!$F$2:$F$4694,"Position 26",Positions!$E$2:$E$4694,"G")</f>
        <v>0</v>
      </c>
      <c r="H111" s="7">
        <f>COUNTIFS(Positions!$B$2:$B$4694,A111,Positions!$F$2:$F$4694,"Position 8",Positions!$E$2:$E$4694,"C")+COUNTIFS(Positions!$B$2:$B$4694,A111,Positions!$F$2:$F$4694,"Position 9",Positions!$E$2:$E$4694,"C")+COUNTIFS(Positions!$B$2:$B$4694,A111,Positions!$F$2:$F$4694,"Position 26",Positions!$E$2:$E$4694,"C")</f>
        <v>1</v>
      </c>
      <c r="I111" s="8">
        <f t="shared" si="2"/>
        <v>1</v>
      </c>
      <c r="J111" s="25">
        <f t="shared" si="3"/>
        <v>0.33333333333333331</v>
      </c>
    </row>
    <row r="112" spans="1:10">
      <c r="A112" s="4" t="s">
        <v>59</v>
      </c>
      <c r="B112" s="4" t="s">
        <v>130</v>
      </c>
      <c r="C112" s="4" t="s">
        <v>255</v>
      </c>
      <c r="D112" s="4" t="s">
        <v>255</v>
      </c>
      <c r="E112" s="4" t="s">
        <v>340</v>
      </c>
      <c r="F112" s="4">
        <f>COUNTIFS(Positions!$B$2:$B$4694,A112,Positions!$F$2:$F$4694,B112)</f>
        <v>8</v>
      </c>
      <c r="G112" s="4">
        <f>COUNTIFS(Positions!$B$2:$B$4694,A112,Positions!$F$2:$F$4694,B112,Positions!$E$2:$E$4694,"G")</f>
        <v>3</v>
      </c>
      <c r="H112" s="4">
        <f>COUNTIFS(Positions!$B$2:$B$4694,A112,Positions!$F$2:$F$4694,B112,Positions!$E$2:$E$4694,"C")</f>
        <v>2</v>
      </c>
      <c r="I112" s="3">
        <f t="shared" si="2"/>
        <v>5</v>
      </c>
      <c r="J112" s="6">
        <f t="shared" si="3"/>
        <v>0.625</v>
      </c>
    </row>
    <row r="113" spans="1:10">
      <c r="A113" s="4" t="s">
        <v>59</v>
      </c>
      <c r="B113" s="4" t="s">
        <v>150</v>
      </c>
      <c r="C113" s="4" t="s">
        <v>258</v>
      </c>
      <c r="D113" s="4" t="s">
        <v>258</v>
      </c>
      <c r="E113" s="4" t="s">
        <v>341</v>
      </c>
      <c r="F113" s="4">
        <f>COUNTIFS(Positions!$B$2:$B$4694,A113,Positions!$F$2:$F$4694,B113)</f>
        <v>7</v>
      </c>
      <c r="G113" s="4">
        <f>COUNTIFS(Positions!$B$2:$B$4694,A113,Positions!$F$2:$F$4694,B113,Positions!$E$2:$E$4694,"G")</f>
        <v>1</v>
      </c>
      <c r="H113" s="4">
        <f>COUNTIFS(Positions!$B$2:$B$4694,A113,Positions!$F$2:$F$4694,B113,Positions!$E$2:$E$4694,"C")</f>
        <v>2</v>
      </c>
      <c r="I113" s="3">
        <f t="shared" si="2"/>
        <v>3</v>
      </c>
      <c r="J113" s="6">
        <f t="shared" si="3"/>
        <v>0.42857142857142855</v>
      </c>
    </row>
    <row r="114" spans="1:10">
      <c r="A114" s="4" t="s">
        <v>59</v>
      </c>
      <c r="B114" s="4" t="s">
        <v>163</v>
      </c>
      <c r="C114" s="4" t="s">
        <v>261</v>
      </c>
      <c r="D114" s="4" t="s">
        <v>278</v>
      </c>
      <c r="E114" s="4" t="s">
        <v>279</v>
      </c>
      <c r="F114" s="4">
        <f>COUNTIFS(Positions!$B$2:$B$4694,A114,Positions!$F$2:$F$4694,B114)</f>
        <v>4</v>
      </c>
      <c r="G114" s="4">
        <f>COUNTIFS(Positions!$B$2:$B$4694,A114,Positions!$F$2:$F$4694,B114,Positions!$E$2:$E$4694,"G")</f>
        <v>1</v>
      </c>
      <c r="H114" s="4">
        <f>COUNTIFS(Positions!$B$2:$B$4694,A114,Positions!$F$2:$F$4694,B114,Positions!$E$2:$E$4694,"C")</f>
        <v>1</v>
      </c>
      <c r="I114" s="3">
        <f t="shared" si="2"/>
        <v>2</v>
      </c>
      <c r="J114" s="6">
        <f t="shared" si="3"/>
        <v>0.5</v>
      </c>
    </row>
    <row r="115" spans="1:10">
      <c r="A115" s="4" t="s">
        <v>59</v>
      </c>
      <c r="B115" s="4" t="s">
        <v>175</v>
      </c>
      <c r="C115" s="4" t="s">
        <v>264</v>
      </c>
      <c r="D115" s="4" t="s">
        <v>265</v>
      </c>
      <c r="E115" s="4" t="s">
        <v>275</v>
      </c>
      <c r="F115" s="4">
        <f>COUNTIFS(Positions!$B$2:$B$4694,A115,Positions!$F$2:$F$4694,B115)</f>
        <v>7</v>
      </c>
      <c r="G115" s="4">
        <f>COUNTIFS(Positions!$B$2:$B$4694,A115,Positions!$F$2:$F$4694,B115,Positions!$E$2:$E$4694,"G")</f>
        <v>1</v>
      </c>
      <c r="H115" s="4">
        <f>COUNTIFS(Positions!$B$2:$B$4694,A115,Positions!$F$2:$F$4694,B115,Positions!$E$2:$E$4694,"C")</f>
        <v>1</v>
      </c>
      <c r="I115" s="3">
        <f t="shared" si="2"/>
        <v>2</v>
      </c>
      <c r="J115" s="6">
        <f t="shared" si="3"/>
        <v>0.2857142857142857</v>
      </c>
    </row>
    <row r="116" spans="1:10">
      <c r="A116" s="7" t="s">
        <v>59</v>
      </c>
      <c r="B116" s="7" t="s">
        <v>267</v>
      </c>
      <c r="C116" s="7" t="s">
        <v>268</v>
      </c>
      <c r="D116" s="7" t="s">
        <v>268</v>
      </c>
      <c r="E116" s="7" t="s">
        <v>342</v>
      </c>
      <c r="F116" s="7">
        <f>COUNTIFS(Positions!$B$2:$B$4694,A116,Positions!$F$2:$F$4694,"Position 8")+COUNTIFS(Positions!$B$2:$B$4694,A116,Positions!$F$2:$F$4694,"Position 9")+COUNTIFS(Positions!$B$2:$B$4694,A116,Positions!$F$2:$F$4694,"Position 26")</f>
        <v>3</v>
      </c>
      <c r="G116" s="7">
        <f>COUNTIFS(Positions!$B$2:$B$4694,A116,Positions!$F$2:$F$4694,"Position 8",Positions!$E$2:$E$4694,"G")+COUNTIFS(Positions!$B$2:$B$4694,A116,Positions!$F$2:$F$4694,"Position 9",Positions!$E$2:$E$4694,"G")+COUNTIFS(Positions!$B$2:$B$4694,A116,Positions!$F$2:$F$4694,"Position 26",Positions!$E$2:$E$4694,"G")</f>
        <v>0</v>
      </c>
      <c r="H116" s="7">
        <f>COUNTIFS(Positions!$B$2:$B$4694,A116,Positions!$F$2:$F$4694,"Position 8",Positions!$E$2:$E$4694,"C")+COUNTIFS(Positions!$B$2:$B$4694,A116,Positions!$F$2:$F$4694,"Position 9",Positions!$E$2:$E$4694,"C")+COUNTIFS(Positions!$B$2:$B$4694,A116,Positions!$F$2:$F$4694,"Position 26",Positions!$E$2:$E$4694,"C")</f>
        <v>1</v>
      </c>
      <c r="I116" s="8">
        <f t="shared" si="2"/>
        <v>1</v>
      </c>
      <c r="J116" s="25">
        <f t="shared" si="3"/>
        <v>0.33333333333333331</v>
      </c>
    </row>
    <row r="117" spans="1:10">
      <c r="A117" s="4" t="s">
        <v>60</v>
      </c>
      <c r="B117" s="4" t="s">
        <v>130</v>
      </c>
      <c r="C117" s="4" t="s">
        <v>255</v>
      </c>
      <c r="D117" s="4" t="s">
        <v>255</v>
      </c>
      <c r="E117" s="4" t="s">
        <v>340</v>
      </c>
      <c r="F117" s="4">
        <f>COUNTIFS(Positions!$B$2:$B$4694,A117,Positions!$F$2:$F$4694,B117)</f>
        <v>8</v>
      </c>
      <c r="G117" s="4">
        <f>COUNTIFS(Positions!$B$2:$B$4694,A117,Positions!$F$2:$F$4694,B117,Positions!$E$2:$E$4694,"G")</f>
        <v>3</v>
      </c>
      <c r="H117" s="4">
        <f>COUNTIFS(Positions!$B$2:$B$4694,A117,Positions!$F$2:$F$4694,B117,Positions!$E$2:$E$4694,"C")</f>
        <v>2</v>
      </c>
      <c r="I117" s="3">
        <f t="shared" si="2"/>
        <v>5</v>
      </c>
      <c r="J117" s="6">
        <f t="shared" si="3"/>
        <v>0.625</v>
      </c>
    </row>
    <row r="118" spans="1:10">
      <c r="A118" s="4" t="s">
        <v>60</v>
      </c>
      <c r="B118" s="4" t="s">
        <v>150</v>
      </c>
      <c r="C118" s="4" t="s">
        <v>258</v>
      </c>
      <c r="D118" s="4" t="s">
        <v>258</v>
      </c>
      <c r="E118" s="4" t="s">
        <v>341</v>
      </c>
      <c r="F118" s="4">
        <f>COUNTIFS(Positions!$B$2:$B$4694,A118,Positions!$F$2:$F$4694,B118)</f>
        <v>7</v>
      </c>
      <c r="G118" s="4">
        <f>COUNTIFS(Positions!$B$2:$B$4694,A118,Positions!$F$2:$F$4694,B118,Positions!$E$2:$E$4694,"G")</f>
        <v>1</v>
      </c>
      <c r="H118" s="4">
        <f>COUNTIFS(Positions!$B$2:$B$4694,A118,Positions!$F$2:$F$4694,B118,Positions!$E$2:$E$4694,"C")</f>
        <v>2</v>
      </c>
      <c r="I118" s="3">
        <f t="shared" si="2"/>
        <v>3</v>
      </c>
      <c r="J118" s="6">
        <f t="shared" si="3"/>
        <v>0.42857142857142855</v>
      </c>
    </row>
    <row r="119" spans="1:10">
      <c r="A119" s="4" t="s">
        <v>60</v>
      </c>
      <c r="B119" s="4" t="s">
        <v>163</v>
      </c>
      <c r="C119" s="4" t="s">
        <v>261</v>
      </c>
      <c r="D119" s="4" t="s">
        <v>278</v>
      </c>
      <c r="E119" s="4" t="s">
        <v>279</v>
      </c>
      <c r="F119" s="4">
        <f>COUNTIFS(Positions!$B$2:$B$4694,A119,Positions!$F$2:$F$4694,B119)</f>
        <v>4</v>
      </c>
      <c r="G119" s="4">
        <f>COUNTIFS(Positions!$B$2:$B$4694,A119,Positions!$F$2:$F$4694,B119,Positions!$E$2:$E$4694,"G")</f>
        <v>1</v>
      </c>
      <c r="H119" s="4">
        <f>COUNTIFS(Positions!$B$2:$B$4694,A119,Positions!$F$2:$F$4694,B119,Positions!$E$2:$E$4694,"C")</f>
        <v>1</v>
      </c>
      <c r="I119" s="3">
        <f t="shared" si="2"/>
        <v>2</v>
      </c>
      <c r="J119" s="6">
        <f t="shared" si="3"/>
        <v>0.5</v>
      </c>
    </row>
    <row r="120" spans="1:10">
      <c r="A120" s="4" t="s">
        <v>60</v>
      </c>
      <c r="B120" s="4" t="s">
        <v>175</v>
      </c>
      <c r="C120" s="4" t="s">
        <v>264</v>
      </c>
      <c r="D120" s="4" t="s">
        <v>265</v>
      </c>
      <c r="E120" s="4" t="s">
        <v>275</v>
      </c>
      <c r="F120" s="4">
        <f>COUNTIFS(Positions!$B$2:$B$4694,A120,Positions!$F$2:$F$4694,B120)</f>
        <v>7</v>
      </c>
      <c r="G120" s="4">
        <f>COUNTIFS(Positions!$B$2:$B$4694,A120,Positions!$F$2:$F$4694,B120,Positions!$E$2:$E$4694,"G")</f>
        <v>1</v>
      </c>
      <c r="H120" s="4">
        <f>COUNTIFS(Positions!$B$2:$B$4694,A120,Positions!$F$2:$F$4694,B120,Positions!$E$2:$E$4694,"C")</f>
        <v>1</v>
      </c>
      <c r="I120" s="3">
        <f t="shared" si="2"/>
        <v>2</v>
      </c>
      <c r="J120" s="6">
        <f t="shared" si="3"/>
        <v>0.2857142857142857</v>
      </c>
    </row>
    <row r="121" spans="1:10">
      <c r="A121" s="7" t="s">
        <v>60</v>
      </c>
      <c r="B121" s="7" t="s">
        <v>267</v>
      </c>
      <c r="C121" s="7" t="s">
        <v>268</v>
      </c>
      <c r="D121" s="7" t="s">
        <v>268</v>
      </c>
      <c r="E121" s="7" t="s">
        <v>342</v>
      </c>
      <c r="F121" s="7">
        <f>COUNTIFS(Positions!$B$2:$B$4694,A121,Positions!$F$2:$F$4694,"Position 8")+COUNTIFS(Positions!$B$2:$B$4694,A121,Positions!$F$2:$F$4694,"Position 9")+COUNTIFS(Positions!$B$2:$B$4694,A121,Positions!$F$2:$F$4694,"Position 26")</f>
        <v>3</v>
      </c>
      <c r="G121" s="7">
        <f>COUNTIFS(Positions!$B$2:$B$4694,A121,Positions!$F$2:$F$4694,"Position 8",Positions!$E$2:$E$4694,"G")+COUNTIFS(Positions!$B$2:$B$4694,A121,Positions!$F$2:$F$4694,"Position 9",Positions!$E$2:$E$4694,"G")+COUNTIFS(Positions!$B$2:$B$4694,A121,Positions!$F$2:$F$4694,"Position 26",Positions!$E$2:$E$4694,"G")</f>
        <v>0</v>
      </c>
      <c r="H121" s="7">
        <f>COUNTIFS(Positions!$B$2:$B$4694,A121,Positions!$F$2:$F$4694,"Position 8",Positions!$E$2:$E$4694,"C")+COUNTIFS(Positions!$B$2:$B$4694,A121,Positions!$F$2:$F$4694,"Position 9",Positions!$E$2:$E$4694,"C")+COUNTIFS(Positions!$B$2:$B$4694,A121,Positions!$F$2:$F$4694,"Position 26",Positions!$E$2:$E$4694,"C")</f>
        <v>1</v>
      </c>
      <c r="I121" s="8">
        <f t="shared" si="2"/>
        <v>1</v>
      </c>
      <c r="J121" s="25">
        <f t="shared" si="3"/>
        <v>0.33333333333333331</v>
      </c>
    </row>
    <row r="122" spans="1:10">
      <c r="A122" s="4" t="s">
        <v>61</v>
      </c>
      <c r="B122" s="4" t="s">
        <v>130</v>
      </c>
      <c r="C122" s="4" t="s">
        <v>255</v>
      </c>
      <c r="D122" s="4" t="s">
        <v>255</v>
      </c>
      <c r="E122" s="4" t="s">
        <v>337</v>
      </c>
      <c r="F122" s="4">
        <f>COUNTIFS(Positions!$B$2:$B$4694,A122,Positions!$F$2:$F$4694,B122)</f>
        <v>8</v>
      </c>
      <c r="G122" s="4">
        <f>COUNTIFS(Positions!$B$2:$B$4694,A122,Positions!$F$2:$F$4694,B122,Positions!$E$2:$E$4694,"G")</f>
        <v>3</v>
      </c>
      <c r="H122" s="4">
        <f>COUNTIFS(Positions!$B$2:$B$4694,A122,Positions!$F$2:$F$4694,B122,Positions!$E$2:$E$4694,"C")</f>
        <v>2</v>
      </c>
      <c r="I122" s="3">
        <f t="shared" si="2"/>
        <v>5</v>
      </c>
      <c r="J122" s="6">
        <f t="shared" si="3"/>
        <v>0.625</v>
      </c>
    </row>
    <row r="123" spans="1:10">
      <c r="A123" s="4" t="s">
        <v>61</v>
      </c>
      <c r="B123" s="4" t="s">
        <v>150</v>
      </c>
      <c r="C123" s="4" t="s">
        <v>258</v>
      </c>
      <c r="D123" s="4" t="s">
        <v>258</v>
      </c>
      <c r="E123" s="4" t="s">
        <v>343</v>
      </c>
      <c r="F123" s="4">
        <f>COUNTIFS(Positions!$B$2:$B$4694,A123,Positions!$F$2:$F$4694,B123)</f>
        <v>7</v>
      </c>
      <c r="G123" s="4">
        <f>COUNTIFS(Positions!$B$2:$B$4694,A123,Positions!$F$2:$F$4694,B123,Positions!$E$2:$E$4694,"G")</f>
        <v>0</v>
      </c>
      <c r="H123" s="4">
        <f>COUNTIFS(Positions!$B$2:$B$4694,A123,Positions!$F$2:$F$4694,B123,Positions!$E$2:$E$4694,"C")</f>
        <v>3</v>
      </c>
      <c r="I123" s="3">
        <f t="shared" si="2"/>
        <v>3</v>
      </c>
      <c r="J123" s="6">
        <f t="shared" si="3"/>
        <v>0.42857142857142855</v>
      </c>
    </row>
    <row r="124" spans="1:10">
      <c r="A124" s="4" t="s">
        <v>61</v>
      </c>
      <c r="B124" s="4" t="s">
        <v>163</v>
      </c>
      <c r="C124" s="4" t="s">
        <v>261</v>
      </c>
      <c r="D124" s="4" t="s">
        <v>278</v>
      </c>
      <c r="E124" s="4" t="s">
        <v>344</v>
      </c>
      <c r="F124" s="4">
        <f>COUNTIFS(Positions!$B$2:$B$4694,A124,Positions!$F$2:$F$4694,B124)</f>
        <v>4</v>
      </c>
      <c r="G124" s="4">
        <f>COUNTIFS(Positions!$B$2:$B$4694,A124,Positions!$F$2:$F$4694,B124,Positions!$E$2:$E$4694,"G")</f>
        <v>0</v>
      </c>
      <c r="H124" s="4">
        <f>COUNTIFS(Positions!$B$2:$B$4694,A124,Positions!$F$2:$F$4694,B124,Positions!$E$2:$E$4694,"C")</f>
        <v>1</v>
      </c>
      <c r="I124" s="3">
        <f t="shared" si="2"/>
        <v>1</v>
      </c>
      <c r="J124" s="6">
        <f t="shared" si="3"/>
        <v>0.25</v>
      </c>
    </row>
    <row r="125" spans="1:10">
      <c r="A125" s="4" t="s">
        <v>61</v>
      </c>
      <c r="B125" s="4" t="s">
        <v>175</v>
      </c>
      <c r="C125" s="4" t="s">
        <v>264</v>
      </c>
      <c r="D125" s="4" t="s">
        <v>265</v>
      </c>
      <c r="E125" s="4" t="s">
        <v>266</v>
      </c>
      <c r="F125" s="4">
        <f>COUNTIFS(Positions!$B$2:$B$4694,A125,Positions!$F$2:$F$4694,B125)</f>
        <v>7</v>
      </c>
      <c r="G125" s="4">
        <f>COUNTIFS(Positions!$B$2:$B$4694,A125,Positions!$F$2:$F$4694,B125,Positions!$E$2:$E$4694,"G")</f>
        <v>0</v>
      </c>
      <c r="H125" s="4">
        <f>COUNTIFS(Positions!$B$2:$B$4694,A125,Positions!$F$2:$F$4694,B125,Positions!$E$2:$E$4694,"C")</f>
        <v>1</v>
      </c>
      <c r="I125" s="3">
        <f t="shared" si="2"/>
        <v>1</v>
      </c>
      <c r="J125" s="6">
        <f t="shared" si="3"/>
        <v>0.14285714285714285</v>
      </c>
    </row>
    <row r="126" spans="1:10">
      <c r="A126" s="7" t="s">
        <v>61</v>
      </c>
      <c r="B126" s="7" t="s">
        <v>267</v>
      </c>
      <c r="C126" s="7" t="s">
        <v>268</v>
      </c>
      <c r="D126" s="7" t="s">
        <v>268</v>
      </c>
      <c r="E126" s="7" t="s">
        <v>323</v>
      </c>
      <c r="F126" s="7">
        <f>COUNTIFS(Positions!$B$2:$B$4694,A126,Positions!$F$2:$F$4694,"Position 8")+COUNTIFS(Positions!$B$2:$B$4694,A126,Positions!$F$2:$F$4694,"Position 9")+COUNTIFS(Positions!$B$2:$B$4694,A126,Positions!$F$2:$F$4694,"Position 26")</f>
        <v>3</v>
      </c>
      <c r="G126" s="7">
        <f>COUNTIFS(Positions!$B$2:$B$4694,A126,Positions!$F$2:$F$4694,"Position 8",Positions!$E$2:$E$4694,"G")+COUNTIFS(Positions!$B$2:$B$4694,A126,Positions!$F$2:$F$4694,"Position 9",Positions!$E$2:$E$4694,"G")+COUNTIFS(Positions!$B$2:$B$4694,A126,Positions!$F$2:$F$4694,"Position 26",Positions!$E$2:$E$4694,"G")</f>
        <v>1</v>
      </c>
      <c r="H126" s="7">
        <f>COUNTIFS(Positions!$B$2:$B$4694,A126,Positions!$F$2:$F$4694,"Position 8",Positions!$E$2:$E$4694,"C")+COUNTIFS(Positions!$B$2:$B$4694,A126,Positions!$F$2:$F$4694,"Position 9",Positions!$E$2:$E$4694,"C")+COUNTIFS(Positions!$B$2:$B$4694,A126,Positions!$F$2:$F$4694,"Position 26",Positions!$E$2:$E$4694,"C")</f>
        <v>0</v>
      </c>
      <c r="I126" s="8">
        <f t="shared" si="2"/>
        <v>1</v>
      </c>
      <c r="J126" s="25">
        <f t="shared" si="3"/>
        <v>0.33333333333333331</v>
      </c>
    </row>
    <row r="127" spans="1:10">
      <c r="A127" s="4" t="s">
        <v>62</v>
      </c>
      <c r="B127" s="4" t="s">
        <v>130</v>
      </c>
      <c r="C127" s="4" t="s">
        <v>255</v>
      </c>
      <c r="D127" s="4" t="s">
        <v>255</v>
      </c>
      <c r="E127" s="4" t="s">
        <v>345</v>
      </c>
      <c r="F127" s="4">
        <f>COUNTIFS(Positions!$B$2:$B$4694,A127,Positions!$F$2:$F$4694,B127)</f>
        <v>8</v>
      </c>
      <c r="G127" s="4">
        <f>COUNTIFS(Positions!$B$2:$B$4694,A127,Positions!$F$2:$F$4694,B127,Positions!$E$2:$E$4694,"G")</f>
        <v>3</v>
      </c>
      <c r="H127" s="4">
        <f>COUNTIFS(Positions!$B$2:$B$4694,A127,Positions!$F$2:$F$4694,B127,Positions!$E$2:$E$4694,"C")</f>
        <v>2</v>
      </c>
      <c r="I127" s="3">
        <f t="shared" si="2"/>
        <v>5</v>
      </c>
      <c r="J127" s="6">
        <f t="shared" si="3"/>
        <v>0.625</v>
      </c>
    </row>
    <row r="128" spans="1:10">
      <c r="A128" s="4" t="s">
        <v>62</v>
      </c>
      <c r="B128" s="4" t="s">
        <v>150</v>
      </c>
      <c r="C128" s="4" t="s">
        <v>258</v>
      </c>
      <c r="D128" s="4" t="s">
        <v>258</v>
      </c>
      <c r="E128" s="4" t="s">
        <v>346</v>
      </c>
      <c r="F128" s="4">
        <f>COUNTIFS(Positions!$B$2:$B$4694,A128,Positions!$F$2:$F$4694,B128)</f>
        <v>7</v>
      </c>
      <c r="G128" s="4">
        <f>COUNTIFS(Positions!$B$2:$B$4694,A128,Positions!$F$2:$F$4694,B128,Positions!$E$2:$E$4694,"G")</f>
        <v>3</v>
      </c>
      <c r="H128" s="4">
        <f>COUNTIFS(Positions!$B$2:$B$4694,A128,Positions!$F$2:$F$4694,B128,Positions!$E$2:$E$4694,"C")</f>
        <v>1</v>
      </c>
      <c r="I128" s="3">
        <f t="shared" si="2"/>
        <v>4</v>
      </c>
      <c r="J128" s="6">
        <f t="shared" si="3"/>
        <v>0.5714285714285714</v>
      </c>
    </row>
    <row r="129" spans="1:10">
      <c r="A129" s="4" t="s">
        <v>62</v>
      </c>
      <c r="B129" s="4" t="s">
        <v>163</v>
      </c>
      <c r="C129" s="4" t="s">
        <v>261</v>
      </c>
      <c r="D129" s="4" t="s">
        <v>278</v>
      </c>
      <c r="E129" s="4" t="s">
        <v>311</v>
      </c>
      <c r="F129" s="4">
        <f>COUNTIFS(Positions!$B$2:$B$4694,A129,Positions!$F$2:$F$4694,B129)</f>
        <v>4</v>
      </c>
      <c r="G129" s="4">
        <f>COUNTIFS(Positions!$B$2:$B$4694,A129,Positions!$F$2:$F$4694,B129,Positions!$E$2:$E$4694,"G")</f>
        <v>1</v>
      </c>
      <c r="H129" s="4">
        <f>COUNTIFS(Positions!$B$2:$B$4694,A129,Positions!$F$2:$F$4694,B129,Positions!$E$2:$E$4694,"C")</f>
        <v>2</v>
      </c>
      <c r="I129" s="3">
        <f t="shared" si="2"/>
        <v>3</v>
      </c>
      <c r="J129" s="6">
        <f t="shared" si="3"/>
        <v>0.75</v>
      </c>
    </row>
    <row r="130" spans="1:10">
      <c r="A130" s="4" t="s">
        <v>62</v>
      </c>
      <c r="B130" s="4" t="s">
        <v>175</v>
      </c>
      <c r="C130" s="4" t="s">
        <v>264</v>
      </c>
      <c r="D130" s="4" t="s">
        <v>265</v>
      </c>
      <c r="E130" s="4" t="s">
        <v>280</v>
      </c>
      <c r="F130" s="4">
        <f>COUNTIFS(Positions!$B$2:$B$4694,A130,Positions!$F$2:$F$4694,B130)</f>
        <v>7</v>
      </c>
      <c r="G130" s="4">
        <f>COUNTIFS(Positions!$B$2:$B$4694,A130,Positions!$F$2:$F$4694,B130,Positions!$E$2:$E$4694,"G")</f>
        <v>1</v>
      </c>
      <c r="H130" s="4">
        <f>COUNTIFS(Positions!$B$2:$B$4694,A130,Positions!$F$2:$F$4694,B130,Positions!$E$2:$E$4694,"C")</f>
        <v>1</v>
      </c>
      <c r="I130" s="3">
        <f t="shared" ref="I130:I193" si="4">G130+H130</f>
        <v>2</v>
      </c>
      <c r="J130" s="6">
        <f t="shared" ref="J130:J193" si="5">IF(F130=0,0,I130/F130)</f>
        <v>0.2857142857142857</v>
      </c>
    </row>
    <row r="131" spans="1:10">
      <c r="A131" s="7" t="s">
        <v>62</v>
      </c>
      <c r="B131" s="7" t="s">
        <v>267</v>
      </c>
      <c r="C131" s="7" t="s">
        <v>268</v>
      </c>
      <c r="D131" s="7" t="s">
        <v>268</v>
      </c>
      <c r="E131" s="7" t="s">
        <v>270</v>
      </c>
      <c r="F131" s="7">
        <f>COUNTIFS(Positions!$B$2:$B$4694,A131,Positions!$F$2:$F$4694,"Position 8")+COUNTIFS(Positions!$B$2:$B$4694,A131,Positions!$F$2:$F$4694,"Position 9")+COUNTIFS(Positions!$B$2:$B$4694,A131,Positions!$F$2:$F$4694,"Position 26")</f>
        <v>3</v>
      </c>
      <c r="G131" s="7">
        <f>COUNTIFS(Positions!$B$2:$B$4694,A131,Positions!$F$2:$F$4694,"Position 8",Positions!$E$2:$E$4694,"G")+COUNTIFS(Positions!$B$2:$B$4694,A131,Positions!$F$2:$F$4694,"Position 9",Positions!$E$2:$E$4694,"G")+COUNTIFS(Positions!$B$2:$B$4694,A131,Positions!$F$2:$F$4694,"Position 26",Positions!$E$2:$E$4694,"G")</f>
        <v>1</v>
      </c>
      <c r="H131" s="7">
        <f>COUNTIFS(Positions!$B$2:$B$4694,A131,Positions!$F$2:$F$4694,"Position 8",Positions!$E$2:$E$4694,"C")+COUNTIFS(Positions!$B$2:$B$4694,A131,Positions!$F$2:$F$4694,"Position 9",Positions!$E$2:$E$4694,"C")+COUNTIFS(Positions!$B$2:$B$4694,A131,Positions!$F$2:$F$4694,"Position 26",Positions!$E$2:$E$4694,"C")</f>
        <v>0</v>
      </c>
      <c r="I131" s="8">
        <f t="shared" si="4"/>
        <v>1</v>
      </c>
      <c r="J131" s="25">
        <f t="shared" si="5"/>
        <v>0.33333333333333331</v>
      </c>
    </row>
    <row r="132" spans="1:10">
      <c r="A132" s="4" t="s">
        <v>63</v>
      </c>
      <c r="B132" s="4" t="s">
        <v>130</v>
      </c>
      <c r="C132" s="4" t="s">
        <v>255</v>
      </c>
      <c r="D132" s="4" t="s">
        <v>306</v>
      </c>
      <c r="E132" s="4" t="s">
        <v>347</v>
      </c>
      <c r="F132" s="4">
        <f>COUNTIFS(Positions!$B$2:$B$4694,A132,Positions!$F$2:$F$4694,B132)</f>
        <v>9</v>
      </c>
      <c r="G132" s="4">
        <f>COUNTIFS(Positions!$B$2:$B$4694,A132,Positions!$F$2:$F$4694,B132,Positions!$E$2:$E$4694,"G")</f>
        <v>4</v>
      </c>
      <c r="H132" s="4">
        <f>COUNTIFS(Positions!$B$2:$B$4694,A132,Positions!$F$2:$F$4694,B132,Positions!$E$2:$E$4694,"C")</f>
        <v>1</v>
      </c>
      <c r="I132" s="3">
        <f t="shared" si="4"/>
        <v>5</v>
      </c>
      <c r="J132" s="6">
        <f t="shared" si="5"/>
        <v>0.55555555555555558</v>
      </c>
    </row>
    <row r="133" spans="1:10">
      <c r="A133" s="4" t="s">
        <v>63</v>
      </c>
      <c r="B133" s="4" t="s">
        <v>150</v>
      </c>
      <c r="C133" s="4" t="s">
        <v>258</v>
      </c>
      <c r="D133" s="4" t="s">
        <v>308</v>
      </c>
      <c r="E133" s="4" t="s">
        <v>348</v>
      </c>
      <c r="F133" s="4">
        <f>COUNTIFS(Positions!$B$2:$B$4694,A133,Positions!$F$2:$F$4694,B133)</f>
        <v>7</v>
      </c>
      <c r="G133" s="4">
        <f>COUNTIFS(Positions!$B$2:$B$4694,A133,Positions!$F$2:$F$4694,B133,Positions!$E$2:$E$4694,"G")</f>
        <v>1</v>
      </c>
      <c r="H133" s="4">
        <f>COUNTIFS(Positions!$B$2:$B$4694,A133,Positions!$F$2:$F$4694,B133,Positions!$E$2:$E$4694,"C")</f>
        <v>1</v>
      </c>
      <c r="I133" s="3">
        <f t="shared" si="4"/>
        <v>2</v>
      </c>
      <c r="J133" s="6">
        <f t="shared" si="5"/>
        <v>0.2857142857142857</v>
      </c>
    </row>
    <row r="134" spans="1:10">
      <c r="A134" s="4" t="s">
        <v>63</v>
      </c>
      <c r="B134" s="4" t="s">
        <v>163</v>
      </c>
      <c r="C134" s="4" t="s">
        <v>261</v>
      </c>
      <c r="D134" s="4" t="s">
        <v>349</v>
      </c>
      <c r="E134" s="4" t="s">
        <v>350</v>
      </c>
      <c r="F134" s="4">
        <f>COUNTIFS(Positions!$B$2:$B$4694,A134,Positions!$F$2:$F$4694,B134)</f>
        <v>5</v>
      </c>
      <c r="G134" s="4">
        <f>COUNTIFS(Positions!$B$2:$B$4694,A134,Positions!$F$2:$F$4694,B134,Positions!$E$2:$E$4694,"G")</f>
        <v>2</v>
      </c>
      <c r="H134" s="4">
        <f>COUNTIFS(Positions!$B$2:$B$4694,A134,Positions!$F$2:$F$4694,B134,Positions!$E$2:$E$4694,"C")</f>
        <v>1</v>
      </c>
      <c r="I134" s="3">
        <f t="shared" si="4"/>
        <v>3</v>
      </c>
      <c r="J134" s="6">
        <f t="shared" si="5"/>
        <v>0.6</v>
      </c>
    </row>
    <row r="135" spans="1:10">
      <c r="A135" s="4" t="s">
        <v>63</v>
      </c>
      <c r="B135" s="4" t="s">
        <v>175</v>
      </c>
      <c r="C135" s="4" t="s">
        <v>264</v>
      </c>
      <c r="D135" s="4" t="s">
        <v>298</v>
      </c>
      <c r="E135" s="4" t="s">
        <v>275</v>
      </c>
      <c r="F135" s="4">
        <f>COUNTIFS(Positions!$B$2:$B$4694,A135,Positions!$F$2:$F$4694,B135)</f>
        <v>7</v>
      </c>
      <c r="G135" s="4">
        <f>COUNTIFS(Positions!$B$2:$B$4694,A135,Positions!$F$2:$F$4694,B135,Positions!$E$2:$E$4694,"G")</f>
        <v>1</v>
      </c>
      <c r="H135" s="4">
        <f>COUNTIFS(Positions!$B$2:$B$4694,A135,Positions!$F$2:$F$4694,B135,Positions!$E$2:$E$4694,"C")</f>
        <v>1</v>
      </c>
      <c r="I135" s="3">
        <f t="shared" si="4"/>
        <v>2</v>
      </c>
      <c r="J135" s="6">
        <f t="shared" si="5"/>
        <v>0.2857142857142857</v>
      </c>
    </row>
    <row r="136" spans="1:10">
      <c r="A136" s="7" t="s">
        <v>63</v>
      </c>
      <c r="B136" s="7" t="s">
        <v>267</v>
      </c>
      <c r="C136" s="7" t="s">
        <v>268</v>
      </c>
      <c r="D136" s="7" t="s">
        <v>312</v>
      </c>
      <c r="E136" s="7" t="s">
        <v>270</v>
      </c>
      <c r="F136" s="7">
        <f>COUNTIFS(Positions!$B$2:$B$4694,A136,Positions!$F$2:$F$4694,"Position 8")+COUNTIFS(Positions!$B$2:$B$4694,A136,Positions!$F$2:$F$4694,"Position 9")+COUNTIFS(Positions!$B$2:$B$4694,A136,Positions!$F$2:$F$4694,"Position 26")</f>
        <v>3</v>
      </c>
      <c r="G136" s="7">
        <f>COUNTIFS(Positions!$B$2:$B$4694,A136,Positions!$F$2:$F$4694,"Position 8",Positions!$E$2:$E$4694,"G")+COUNTIFS(Positions!$B$2:$B$4694,A136,Positions!$F$2:$F$4694,"Position 9",Positions!$E$2:$E$4694,"G")+COUNTIFS(Positions!$B$2:$B$4694,A136,Positions!$F$2:$F$4694,"Position 26",Positions!$E$2:$E$4694,"G")</f>
        <v>1</v>
      </c>
      <c r="H136" s="7">
        <f>COUNTIFS(Positions!$B$2:$B$4694,A136,Positions!$F$2:$F$4694,"Position 8",Positions!$E$2:$E$4694,"C")+COUNTIFS(Positions!$B$2:$B$4694,A136,Positions!$F$2:$F$4694,"Position 9",Positions!$E$2:$E$4694,"C")+COUNTIFS(Positions!$B$2:$B$4694,A136,Positions!$F$2:$F$4694,"Position 26",Positions!$E$2:$E$4694,"C")</f>
        <v>0</v>
      </c>
      <c r="I136" s="8">
        <f t="shared" si="4"/>
        <v>1</v>
      </c>
      <c r="J136" s="25">
        <f t="shared" si="5"/>
        <v>0.33333333333333331</v>
      </c>
    </row>
    <row r="137" spans="1:10">
      <c r="A137" s="4" t="s">
        <v>64</v>
      </c>
      <c r="B137" s="4" t="s">
        <v>130</v>
      </c>
      <c r="C137" s="4" t="s">
        <v>255</v>
      </c>
      <c r="D137" s="4" t="s">
        <v>306</v>
      </c>
      <c r="E137" s="4" t="s">
        <v>347</v>
      </c>
      <c r="F137" s="4">
        <f>COUNTIFS(Positions!$B$2:$B$4694,A137,Positions!$F$2:$F$4694,B137)</f>
        <v>9</v>
      </c>
      <c r="G137" s="4">
        <f>COUNTIFS(Positions!$B$2:$B$4694,A137,Positions!$F$2:$F$4694,B137,Positions!$E$2:$E$4694,"G")</f>
        <v>4</v>
      </c>
      <c r="H137" s="4">
        <f>COUNTIFS(Positions!$B$2:$B$4694,A137,Positions!$F$2:$F$4694,B137,Positions!$E$2:$E$4694,"C")</f>
        <v>1</v>
      </c>
      <c r="I137" s="3">
        <f t="shared" si="4"/>
        <v>5</v>
      </c>
      <c r="J137" s="6">
        <f t="shared" si="5"/>
        <v>0.55555555555555558</v>
      </c>
    </row>
    <row r="138" spans="1:10">
      <c r="A138" s="4" t="s">
        <v>64</v>
      </c>
      <c r="B138" s="4" t="s">
        <v>150</v>
      </c>
      <c r="C138" s="4" t="s">
        <v>258</v>
      </c>
      <c r="D138" s="4" t="s">
        <v>308</v>
      </c>
      <c r="E138" s="4" t="s">
        <v>348</v>
      </c>
      <c r="F138" s="4">
        <f>COUNTIFS(Positions!$B$2:$B$4694,A138,Positions!$F$2:$F$4694,B138)</f>
        <v>7</v>
      </c>
      <c r="G138" s="4">
        <f>COUNTIFS(Positions!$B$2:$B$4694,A138,Positions!$F$2:$F$4694,B138,Positions!$E$2:$E$4694,"G")</f>
        <v>1</v>
      </c>
      <c r="H138" s="4">
        <f>COUNTIFS(Positions!$B$2:$B$4694,A138,Positions!$F$2:$F$4694,B138,Positions!$E$2:$E$4694,"C")</f>
        <v>1</v>
      </c>
      <c r="I138" s="3">
        <f t="shared" si="4"/>
        <v>2</v>
      </c>
      <c r="J138" s="6">
        <f t="shared" si="5"/>
        <v>0.2857142857142857</v>
      </c>
    </row>
    <row r="139" spans="1:10">
      <c r="A139" s="4" t="s">
        <v>64</v>
      </c>
      <c r="B139" s="4" t="s">
        <v>163</v>
      </c>
      <c r="C139" s="4" t="s">
        <v>261</v>
      </c>
      <c r="D139" s="4" t="s">
        <v>349</v>
      </c>
      <c r="E139" s="4" t="s">
        <v>350</v>
      </c>
      <c r="F139" s="4">
        <f>COUNTIFS(Positions!$B$2:$B$4694,A139,Positions!$F$2:$F$4694,B139)</f>
        <v>5</v>
      </c>
      <c r="G139" s="4">
        <f>COUNTIFS(Positions!$B$2:$B$4694,A139,Positions!$F$2:$F$4694,B139,Positions!$E$2:$E$4694,"G")</f>
        <v>2</v>
      </c>
      <c r="H139" s="4">
        <f>COUNTIFS(Positions!$B$2:$B$4694,A139,Positions!$F$2:$F$4694,B139,Positions!$E$2:$E$4694,"C")</f>
        <v>1</v>
      </c>
      <c r="I139" s="3">
        <f t="shared" si="4"/>
        <v>3</v>
      </c>
      <c r="J139" s="6">
        <f t="shared" si="5"/>
        <v>0.6</v>
      </c>
    </row>
    <row r="140" spans="1:10">
      <c r="A140" s="4" t="s">
        <v>64</v>
      </c>
      <c r="B140" s="4" t="s">
        <v>175</v>
      </c>
      <c r="C140" s="4" t="s">
        <v>264</v>
      </c>
      <c r="D140" s="4" t="s">
        <v>298</v>
      </c>
      <c r="E140" s="4" t="s">
        <v>275</v>
      </c>
      <c r="F140" s="4">
        <f>COUNTIFS(Positions!$B$2:$B$4694,A140,Positions!$F$2:$F$4694,B140)</f>
        <v>7</v>
      </c>
      <c r="G140" s="4">
        <f>COUNTIFS(Positions!$B$2:$B$4694,A140,Positions!$F$2:$F$4694,B140,Positions!$E$2:$E$4694,"G")</f>
        <v>1</v>
      </c>
      <c r="H140" s="4">
        <f>COUNTIFS(Positions!$B$2:$B$4694,A140,Positions!$F$2:$F$4694,B140,Positions!$E$2:$E$4694,"C")</f>
        <v>1</v>
      </c>
      <c r="I140" s="3">
        <f t="shared" si="4"/>
        <v>2</v>
      </c>
      <c r="J140" s="6">
        <f t="shared" si="5"/>
        <v>0.2857142857142857</v>
      </c>
    </row>
    <row r="141" spans="1:10">
      <c r="A141" s="7" t="s">
        <v>64</v>
      </c>
      <c r="B141" s="7" t="s">
        <v>267</v>
      </c>
      <c r="C141" s="7" t="s">
        <v>268</v>
      </c>
      <c r="D141" s="7" t="s">
        <v>312</v>
      </c>
      <c r="E141" s="7" t="s">
        <v>270</v>
      </c>
      <c r="F141" s="7">
        <f>COUNTIFS(Positions!$B$2:$B$4694,A141,Positions!$F$2:$F$4694,"Position 8")+COUNTIFS(Positions!$B$2:$B$4694,A141,Positions!$F$2:$F$4694,"Position 9")+COUNTIFS(Positions!$B$2:$B$4694,A141,Positions!$F$2:$F$4694,"Position 26")</f>
        <v>3</v>
      </c>
      <c r="G141" s="7">
        <f>COUNTIFS(Positions!$B$2:$B$4694,A141,Positions!$F$2:$F$4694,"Position 8",Positions!$E$2:$E$4694,"G")+COUNTIFS(Positions!$B$2:$B$4694,A141,Positions!$F$2:$F$4694,"Position 9",Positions!$E$2:$E$4694,"G")+COUNTIFS(Positions!$B$2:$B$4694,A141,Positions!$F$2:$F$4694,"Position 26",Positions!$E$2:$E$4694,"G")</f>
        <v>1</v>
      </c>
      <c r="H141" s="7">
        <f>COUNTIFS(Positions!$B$2:$B$4694,A141,Positions!$F$2:$F$4694,"Position 8",Positions!$E$2:$E$4694,"C")+COUNTIFS(Positions!$B$2:$B$4694,A141,Positions!$F$2:$F$4694,"Position 9",Positions!$E$2:$E$4694,"C")+COUNTIFS(Positions!$B$2:$B$4694,A141,Positions!$F$2:$F$4694,"Position 26",Positions!$E$2:$E$4694,"C")</f>
        <v>0</v>
      </c>
      <c r="I141" s="8">
        <f t="shared" si="4"/>
        <v>1</v>
      </c>
      <c r="J141" s="25">
        <f t="shared" si="5"/>
        <v>0.33333333333333331</v>
      </c>
    </row>
    <row r="142" spans="1:10">
      <c r="A142" s="4" t="s">
        <v>65</v>
      </c>
      <c r="B142" s="4" t="s">
        <v>130</v>
      </c>
      <c r="C142" s="4" t="s">
        <v>255</v>
      </c>
      <c r="D142" s="4" t="s">
        <v>282</v>
      </c>
      <c r="E142" s="4" t="s">
        <v>351</v>
      </c>
      <c r="F142" s="4">
        <f>COUNTIFS(Positions!$B$2:$B$4694,A142,Positions!$F$2:$F$4694,B142)</f>
        <v>10</v>
      </c>
      <c r="G142" s="4">
        <f>COUNTIFS(Positions!$B$2:$B$4694,A142,Positions!$F$2:$F$4694,B142,Positions!$E$2:$E$4694,"G")</f>
        <v>3</v>
      </c>
      <c r="H142" s="4">
        <f>COUNTIFS(Positions!$B$2:$B$4694,A142,Positions!$F$2:$F$4694,B142,Positions!$E$2:$E$4694,"C")</f>
        <v>1</v>
      </c>
      <c r="I142" s="3">
        <f t="shared" si="4"/>
        <v>4</v>
      </c>
      <c r="J142" s="6">
        <f t="shared" si="5"/>
        <v>0.4</v>
      </c>
    </row>
    <row r="143" spans="1:10">
      <c r="A143" s="4" t="s">
        <v>65</v>
      </c>
      <c r="B143" s="4" t="s">
        <v>150</v>
      </c>
      <c r="C143" s="4" t="s">
        <v>258</v>
      </c>
      <c r="D143" s="4" t="s">
        <v>284</v>
      </c>
      <c r="E143" s="4" t="s">
        <v>352</v>
      </c>
      <c r="F143" s="4">
        <f>COUNTIFS(Positions!$B$2:$B$4694,A143,Positions!$F$2:$F$4694,B143)</f>
        <v>7</v>
      </c>
      <c r="G143" s="4">
        <f>COUNTIFS(Positions!$B$2:$B$4694,A143,Positions!$F$2:$F$4694,B143,Positions!$E$2:$E$4694,"G")</f>
        <v>0</v>
      </c>
      <c r="H143" s="4">
        <f>COUNTIFS(Positions!$B$2:$B$4694,A143,Positions!$F$2:$F$4694,B143,Positions!$E$2:$E$4694,"C")</f>
        <v>2</v>
      </c>
      <c r="I143" s="3">
        <f t="shared" si="4"/>
        <v>2</v>
      </c>
      <c r="J143" s="6">
        <f t="shared" si="5"/>
        <v>0.2857142857142857</v>
      </c>
    </row>
    <row r="144" spans="1:10">
      <c r="A144" s="4" t="s">
        <v>65</v>
      </c>
      <c r="B144" s="4" t="s">
        <v>163</v>
      </c>
      <c r="C144" s="4" t="s">
        <v>261</v>
      </c>
      <c r="D144" s="4" t="s">
        <v>286</v>
      </c>
      <c r="E144" s="4" t="s">
        <v>353</v>
      </c>
      <c r="F144" s="4">
        <f>COUNTIFS(Positions!$B$2:$B$4694,A144,Positions!$F$2:$F$4694,B144)</f>
        <v>5</v>
      </c>
      <c r="G144" s="4">
        <f>COUNTIFS(Positions!$B$2:$B$4694,A144,Positions!$F$2:$F$4694,B144,Positions!$E$2:$E$4694,"G")</f>
        <v>2</v>
      </c>
      <c r="H144" s="4">
        <f>COUNTIFS(Positions!$B$2:$B$4694,A144,Positions!$F$2:$F$4694,B144,Positions!$E$2:$E$4694,"C")</f>
        <v>2</v>
      </c>
      <c r="I144" s="3">
        <f t="shared" si="4"/>
        <v>4</v>
      </c>
      <c r="J144" s="6">
        <f t="shared" si="5"/>
        <v>0.8</v>
      </c>
    </row>
    <row r="145" spans="1:10">
      <c r="A145" s="4" t="s">
        <v>65</v>
      </c>
      <c r="B145" s="4" t="s">
        <v>175</v>
      </c>
      <c r="C145" s="4" t="s">
        <v>264</v>
      </c>
      <c r="D145" s="4" t="s">
        <v>288</v>
      </c>
      <c r="E145" s="4" t="s">
        <v>266</v>
      </c>
      <c r="F145" s="4">
        <f>COUNTIFS(Positions!$B$2:$B$4694,A145,Positions!$F$2:$F$4694,B145)</f>
        <v>7</v>
      </c>
      <c r="G145" s="4">
        <f>COUNTIFS(Positions!$B$2:$B$4694,A145,Positions!$F$2:$F$4694,B145,Positions!$E$2:$E$4694,"G")</f>
        <v>0</v>
      </c>
      <c r="H145" s="4">
        <f>COUNTIFS(Positions!$B$2:$B$4694,A145,Positions!$F$2:$F$4694,B145,Positions!$E$2:$E$4694,"C")</f>
        <v>1</v>
      </c>
      <c r="I145" s="3">
        <f t="shared" si="4"/>
        <v>1</v>
      </c>
      <c r="J145" s="6">
        <f t="shared" si="5"/>
        <v>0.14285714285714285</v>
      </c>
    </row>
    <row r="146" spans="1:10">
      <c r="A146" s="7" t="s">
        <v>65</v>
      </c>
      <c r="B146" s="7" t="s">
        <v>267</v>
      </c>
      <c r="C146" s="7" t="s">
        <v>268</v>
      </c>
      <c r="D146" s="7" t="s">
        <v>289</v>
      </c>
      <c r="E146" s="7" t="s">
        <v>270</v>
      </c>
      <c r="F146" s="7">
        <f>COUNTIFS(Positions!$B$2:$B$4694,A146,Positions!$F$2:$F$4694,"Position 8")+COUNTIFS(Positions!$B$2:$B$4694,A146,Positions!$F$2:$F$4694,"Position 9")+COUNTIFS(Positions!$B$2:$B$4694,A146,Positions!$F$2:$F$4694,"Position 26")</f>
        <v>3</v>
      </c>
      <c r="G146" s="7">
        <f>COUNTIFS(Positions!$B$2:$B$4694,A146,Positions!$F$2:$F$4694,"Position 8",Positions!$E$2:$E$4694,"G")+COUNTIFS(Positions!$B$2:$B$4694,A146,Positions!$F$2:$F$4694,"Position 9",Positions!$E$2:$E$4694,"G")+COUNTIFS(Positions!$B$2:$B$4694,A146,Positions!$F$2:$F$4694,"Position 26",Positions!$E$2:$E$4694,"G")</f>
        <v>1</v>
      </c>
      <c r="H146" s="7">
        <f>COUNTIFS(Positions!$B$2:$B$4694,A146,Positions!$F$2:$F$4694,"Position 8",Positions!$E$2:$E$4694,"C")+COUNTIFS(Positions!$B$2:$B$4694,A146,Positions!$F$2:$F$4694,"Position 9",Positions!$E$2:$E$4694,"C")+COUNTIFS(Positions!$B$2:$B$4694,A146,Positions!$F$2:$F$4694,"Position 26",Positions!$E$2:$E$4694,"C")</f>
        <v>0</v>
      </c>
      <c r="I146" s="8">
        <f t="shared" si="4"/>
        <v>1</v>
      </c>
      <c r="J146" s="25">
        <f t="shared" si="5"/>
        <v>0.33333333333333331</v>
      </c>
    </row>
    <row r="147" spans="1:10">
      <c r="A147" s="4" t="s">
        <v>66</v>
      </c>
      <c r="B147" s="4" t="s">
        <v>130</v>
      </c>
      <c r="C147" s="4" t="s">
        <v>255</v>
      </c>
      <c r="D147" s="4" t="s">
        <v>282</v>
      </c>
      <c r="E147" s="4" t="s">
        <v>354</v>
      </c>
      <c r="F147" s="4">
        <f>COUNTIFS(Positions!$B$2:$B$4694,A147,Positions!$F$2:$F$4694,B147)</f>
        <v>10</v>
      </c>
      <c r="G147" s="4">
        <f>COUNTIFS(Positions!$B$2:$B$4694,A147,Positions!$F$2:$F$4694,B147,Positions!$E$2:$E$4694,"G")</f>
        <v>4</v>
      </c>
      <c r="H147" s="4">
        <f>COUNTIFS(Positions!$B$2:$B$4694,A147,Positions!$F$2:$F$4694,B147,Positions!$E$2:$E$4694,"C")</f>
        <v>2</v>
      </c>
      <c r="I147" s="3">
        <f t="shared" si="4"/>
        <v>6</v>
      </c>
      <c r="J147" s="6">
        <f t="shared" si="5"/>
        <v>0.6</v>
      </c>
    </row>
    <row r="148" spans="1:10">
      <c r="A148" s="4" t="s">
        <v>66</v>
      </c>
      <c r="B148" s="4" t="s">
        <v>150</v>
      </c>
      <c r="C148" s="4" t="s">
        <v>258</v>
      </c>
      <c r="D148" s="4" t="s">
        <v>284</v>
      </c>
      <c r="E148" s="4" t="s">
        <v>352</v>
      </c>
      <c r="F148" s="4">
        <f>COUNTIFS(Positions!$B$2:$B$4694,A148,Positions!$F$2:$F$4694,B148)</f>
        <v>7</v>
      </c>
      <c r="G148" s="4">
        <f>COUNTIFS(Positions!$B$2:$B$4694,A148,Positions!$F$2:$F$4694,B148,Positions!$E$2:$E$4694,"G")</f>
        <v>0</v>
      </c>
      <c r="H148" s="4">
        <f>COUNTIFS(Positions!$B$2:$B$4694,A148,Positions!$F$2:$F$4694,B148,Positions!$E$2:$E$4694,"C")</f>
        <v>2</v>
      </c>
      <c r="I148" s="3">
        <f t="shared" si="4"/>
        <v>2</v>
      </c>
      <c r="J148" s="6">
        <f t="shared" si="5"/>
        <v>0.2857142857142857</v>
      </c>
    </row>
    <row r="149" spans="1:10">
      <c r="A149" s="4" t="s">
        <v>66</v>
      </c>
      <c r="B149" s="4" t="s">
        <v>163</v>
      </c>
      <c r="C149" s="4" t="s">
        <v>261</v>
      </c>
      <c r="D149" s="4" t="s">
        <v>286</v>
      </c>
      <c r="E149" s="4" t="s">
        <v>355</v>
      </c>
      <c r="F149" s="4">
        <f>COUNTIFS(Positions!$B$2:$B$4694,A149,Positions!$F$2:$F$4694,B149)</f>
        <v>5</v>
      </c>
      <c r="G149" s="4">
        <f>COUNTIFS(Positions!$B$2:$B$4694,A149,Positions!$F$2:$F$4694,B149,Positions!$E$2:$E$4694,"G")</f>
        <v>1</v>
      </c>
      <c r="H149" s="4">
        <f>COUNTIFS(Positions!$B$2:$B$4694,A149,Positions!$F$2:$F$4694,B149,Positions!$E$2:$E$4694,"C")</f>
        <v>2</v>
      </c>
      <c r="I149" s="3">
        <f t="shared" si="4"/>
        <v>3</v>
      </c>
      <c r="J149" s="6">
        <f t="shared" si="5"/>
        <v>0.6</v>
      </c>
    </row>
    <row r="150" spans="1:10">
      <c r="A150" s="4" t="s">
        <v>66</v>
      </c>
      <c r="B150" s="4" t="s">
        <v>175</v>
      </c>
      <c r="C150" s="4" t="s">
        <v>264</v>
      </c>
      <c r="D150" s="4" t="s">
        <v>288</v>
      </c>
      <c r="E150" s="4" t="s">
        <v>275</v>
      </c>
      <c r="F150" s="4">
        <f>COUNTIFS(Positions!$B$2:$B$4694,A150,Positions!$F$2:$F$4694,B150)</f>
        <v>7</v>
      </c>
      <c r="G150" s="4">
        <f>COUNTIFS(Positions!$B$2:$B$4694,A150,Positions!$F$2:$F$4694,B150,Positions!$E$2:$E$4694,"G")</f>
        <v>1</v>
      </c>
      <c r="H150" s="4">
        <f>COUNTIFS(Positions!$B$2:$B$4694,A150,Positions!$F$2:$F$4694,B150,Positions!$E$2:$E$4694,"C")</f>
        <v>1</v>
      </c>
      <c r="I150" s="3">
        <f t="shared" si="4"/>
        <v>2</v>
      </c>
      <c r="J150" s="6">
        <f t="shared" si="5"/>
        <v>0.2857142857142857</v>
      </c>
    </row>
    <row r="151" spans="1:10">
      <c r="A151" s="7" t="s">
        <v>66</v>
      </c>
      <c r="B151" s="7" t="s">
        <v>267</v>
      </c>
      <c r="C151" s="7" t="s">
        <v>268</v>
      </c>
      <c r="D151" s="7" t="s">
        <v>289</v>
      </c>
      <c r="E151" s="7" t="s">
        <v>290</v>
      </c>
      <c r="F151" s="7">
        <f>COUNTIFS(Positions!$B$2:$B$4694,A151,Positions!$F$2:$F$4694,"Position 8")+COUNTIFS(Positions!$B$2:$B$4694,A151,Positions!$F$2:$F$4694,"Position 9")+COUNTIFS(Positions!$B$2:$B$4694,A151,Positions!$F$2:$F$4694,"Position 26")</f>
        <v>3</v>
      </c>
      <c r="G151" s="7">
        <f>COUNTIFS(Positions!$B$2:$B$4694,A151,Positions!$F$2:$F$4694,"Position 8",Positions!$E$2:$E$4694,"G")+COUNTIFS(Positions!$B$2:$B$4694,A151,Positions!$F$2:$F$4694,"Position 9",Positions!$E$2:$E$4694,"G")+COUNTIFS(Positions!$B$2:$B$4694,A151,Positions!$F$2:$F$4694,"Position 26",Positions!$E$2:$E$4694,"G")</f>
        <v>2</v>
      </c>
      <c r="H151" s="7">
        <f>COUNTIFS(Positions!$B$2:$B$4694,A151,Positions!$F$2:$F$4694,"Position 8",Positions!$E$2:$E$4694,"C")+COUNTIFS(Positions!$B$2:$B$4694,A151,Positions!$F$2:$F$4694,"Position 9",Positions!$E$2:$E$4694,"C")+COUNTIFS(Positions!$B$2:$B$4694,A151,Positions!$F$2:$F$4694,"Position 26",Positions!$E$2:$E$4694,"C")</f>
        <v>0</v>
      </c>
      <c r="I151" s="8">
        <f t="shared" si="4"/>
        <v>2</v>
      </c>
      <c r="J151" s="25">
        <f t="shared" si="5"/>
        <v>0.66666666666666663</v>
      </c>
    </row>
    <row r="152" spans="1:10">
      <c r="A152" s="4" t="s">
        <v>67</v>
      </c>
      <c r="B152" s="4" t="s">
        <v>130</v>
      </c>
      <c r="C152" s="4" t="s">
        <v>255</v>
      </c>
      <c r="D152" s="4" t="s">
        <v>282</v>
      </c>
      <c r="E152" s="4" t="s">
        <v>354</v>
      </c>
      <c r="F152" s="4">
        <f>COUNTIFS(Positions!$B$2:$B$4694,A152,Positions!$F$2:$F$4694,B152)</f>
        <v>10</v>
      </c>
      <c r="G152" s="4">
        <f>COUNTIFS(Positions!$B$2:$B$4694,A152,Positions!$F$2:$F$4694,B152,Positions!$E$2:$E$4694,"G")</f>
        <v>4</v>
      </c>
      <c r="H152" s="4">
        <f>COUNTIFS(Positions!$B$2:$B$4694,A152,Positions!$F$2:$F$4694,B152,Positions!$E$2:$E$4694,"C")</f>
        <v>2</v>
      </c>
      <c r="I152" s="3">
        <f t="shared" si="4"/>
        <v>6</v>
      </c>
      <c r="J152" s="6">
        <f t="shared" si="5"/>
        <v>0.6</v>
      </c>
    </row>
    <row r="153" spans="1:10">
      <c r="A153" s="4" t="s">
        <v>67</v>
      </c>
      <c r="B153" s="4" t="s">
        <v>150</v>
      </c>
      <c r="C153" s="4" t="s">
        <v>258</v>
      </c>
      <c r="D153" s="4" t="s">
        <v>284</v>
      </c>
      <c r="E153" s="4" t="s">
        <v>352</v>
      </c>
      <c r="F153" s="4">
        <f>COUNTIFS(Positions!$B$2:$B$4694,A153,Positions!$F$2:$F$4694,B153)</f>
        <v>7</v>
      </c>
      <c r="G153" s="4">
        <f>COUNTIFS(Positions!$B$2:$B$4694,A153,Positions!$F$2:$F$4694,B153,Positions!$E$2:$E$4694,"G")</f>
        <v>0</v>
      </c>
      <c r="H153" s="4">
        <f>COUNTIFS(Positions!$B$2:$B$4694,A153,Positions!$F$2:$F$4694,B153,Positions!$E$2:$E$4694,"C")</f>
        <v>2</v>
      </c>
      <c r="I153" s="3">
        <f t="shared" si="4"/>
        <v>2</v>
      </c>
      <c r="J153" s="6">
        <f t="shared" si="5"/>
        <v>0.2857142857142857</v>
      </c>
    </row>
    <row r="154" spans="1:10">
      <c r="A154" s="4" t="s">
        <v>67</v>
      </c>
      <c r="B154" s="4" t="s">
        <v>163</v>
      </c>
      <c r="C154" s="4" t="s">
        <v>261</v>
      </c>
      <c r="D154" s="4" t="s">
        <v>286</v>
      </c>
      <c r="E154" s="4" t="s">
        <v>355</v>
      </c>
      <c r="F154" s="4">
        <f>COUNTIFS(Positions!$B$2:$B$4694,A154,Positions!$F$2:$F$4694,B154)</f>
        <v>5</v>
      </c>
      <c r="G154" s="4">
        <f>COUNTIFS(Positions!$B$2:$B$4694,A154,Positions!$F$2:$F$4694,B154,Positions!$E$2:$E$4694,"G")</f>
        <v>1</v>
      </c>
      <c r="H154" s="4">
        <f>COUNTIFS(Positions!$B$2:$B$4694,A154,Positions!$F$2:$F$4694,B154,Positions!$E$2:$E$4694,"C")</f>
        <v>2</v>
      </c>
      <c r="I154" s="3">
        <f t="shared" si="4"/>
        <v>3</v>
      </c>
      <c r="J154" s="6">
        <f t="shared" si="5"/>
        <v>0.6</v>
      </c>
    </row>
    <row r="155" spans="1:10">
      <c r="A155" s="4" t="s">
        <v>67</v>
      </c>
      <c r="B155" s="4" t="s">
        <v>175</v>
      </c>
      <c r="C155" s="4" t="s">
        <v>264</v>
      </c>
      <c r="D155" s="4" t="s">
        <v>288</v>
      </c>
      <c r="E155" s="4" t="s">
        <v>275</v>
      </c>
      <c r="F155" s="4">
        <f>COUNTIFS(Positions!$B$2:$B$4694,A155,Positions!$F$2:$F$4694,B155)</f>
        <v>7</v>
      </c>
      <c r="G155" s="4">
        <f>COUNTIFS(Positions!$B$2:$B$4694,A155,Positions!$F$2:$F$4694,B155,Positions!$E$2:$E$4694,"G")</f>
        <v>1</v>
      </c>
      <c r="H155" s="4">
        <f>COUNTIFS(Positions!$B$2:$B$4694,A155,Positions!$F$2:$F$4694,B155,Positions!$E$2:$E$4694,"C")</f>
        <v>1</v>
      </c>
      <c r="I155" s="3">
        <f t="shared" si="4"/>
        <v>2</v>
      </c>
      <c r="J155" s="6">
        <f t="shared" si="5"/>
        <v>0.2857142857142857</v>
      </c>
    </row>
    <row r="156" spans="1:10">
      <c r="A156" s="7" t="s">
        <v>67</v>
      </c>
      <c r="B156" s="7" t="s">
        <v>267</v>
      </c>
      <c r="C156" s="7" t="s">
        <v>268</v>
      </c>
      <c r="D156" s="7" t="s">
        <v>289</v>
      </c>
      <c r="E156" s="7" t="s">
        <v>290</v>
      </c>
      <c r="F156" s="7">
        <f>COUNTIFS(Positions!$B$2:$B$4694,A156,Positions!$F$2:$F$4694,"Position 8")+COUNTIFS(Positions!$B$2:$B$4694,A156,Positions!$F$2:$F$4694,"Position 9")+COUNTIFS(Positions!$B$2:$B$4694,A156,Positions!$F$2:$F$4694,"Position 26")</f>
        <v>3</v>
      </c>
      <c r="G156" s="7">
        <f>COUNTIFS(Positions!$B$2:$B$4694,A156,Positions!$F$2:$F$4694,"Position 8",Positions!$E$2:$E$4694,"G")+COUNTIFS(Positions!$B$2:$B$4694,A156,Positions!$F$2:$F$4694,"Position 9",Positions!$E$2:$E$4694,"G")+COUNTIFS(Positions!$B$2:$B$4694,A156,Positions!$F$2:$F$4694,"Position 26",Positions!$E$2:$E$4694,"G")</f>
        <v>2</v>
      </c>
      <c r="H156" s="7">
        <f>COUNTIFS(Positions!$B$2:$B$4694,A156,Positions!$F$2:$F$4694,"Position 8",Positions!$E$2:$E$4694,"C")+COUNTIFS(Positions!$B$2:$B$4694,A156,Positions!$F$2:$F$4694,"Position 9",Positions!$E$2:$E$4694,"C")+COUNTIFS(Positions!$B$2:$B$4694,A156,Positions!$F$2:$F$4694,"Position 26",Positions!$E$2:$E$4694,"C")</f>
        <v>0</v>
      </c>
      <c r="I156" s="8">
        <f t="shared" si="4"/>
        <v>2</v>
      </c>
      <c r="J156" s="25">
        <f t="shared" si="5"/>
        <v>0.66666666666666663</v>
      </c>
    </row>
    <row r="157" spans="1:10">
      <c r="A157" s="4" t="s">
        <v>68</v>
      </c>
      <c r="B157" s="4" t="s">
        <v>130</v>
      </c>
      <c r="C157" s="4" t="s">
        <v>255</v>
      </c>
      <c r="D157" s="4" t="s">
        <v>282</v>
      </c>
      <c r="E157" s="4" t="s">
        <v>354</v>
      </c>
      <c r="F157" s="4">
        <f>COUNTIFS(Positions!$B$2:$B$4694,A157,Positions!$F$2:$F$4694,B157)</f>
        <v>10</v>
      </c>
      <c r="G157" s="4">
        <f>COUNTIFS(Positions!$B$2:$B$4694,A157,Positions!$F$2:$F$4694,B157,Positions!$E$2:$E$4694,"G")</f>
        <v>4</v>
      </c>
      <c r="H157" s="4">
        <f>COUNTIFS(Positions!$B$2:$B$4694,A157,Positions!$F$2:$F$4694,B157,Positions!$E$2:$E$4694,"C")</f>
        <v>2</v>
      </c>
      <c r="I157" s="3">
        <f t="shared" si="4"/>
        <v>6</v>
      </c>
      <c r="J157" s="6">
        <f t="shared" si="5"/>
        <v>0.6</v>
      </c>
    </row>
    <row r="158" spans="1:10">
      <c r="A158" s="4" t="s">
        <v>68</v>
      </c>
      <c r="B158" s="4" t="s">
        <v>150</v>
      </c>
      <c r="C158" s="4" t="s">
        <v>258</v>
      </c>
      <c r="D158" s="4" t="s">
        <v>284</v>
      </c>
      <c r="E158" s="4" t="s">
        <v>352</v>
      </c>
      <c r="F158" s="4">
        <f>COUNTIFS(Positions!$B$2:$B$4694,A158,Positions!$F$2:$F$4694,B158)</f>
        <v>7</v>
      </c>
      <c r="G158" s="4">
        <f>COUNTIFS(Positions!$B$2:$B$4694,A158,Positions!$F$2:$F$4694,B158,Positions!$E$2:$E$4694,"G")</f>
        <v>0</v>
      </c>
      <c r="H158" s="4">
        <f>COUNTIFS(Positions!$B$2:$B$4694,A158,Positions!$F$2:$F$4694,B158,Positions!$E$2:$E$4694,"C")</f>
        <v>2</v>
      </c>
      <c r="I158" s="3">
        <f t="shared" si="4"/>
        <v>2</v>
      </c>
      <c r="J158" s="6">
        <f t="shared" si="5"/>
        <v>0.2857142857142857</v>
      </c>
    </row>
    <row r="159" spans="1:10">
      <c r="A159" s="4" t="s">
        <v>68</v>
      </c>
      <c r="B159" s="4" t="s">
        <v>163</v>
      </c>
      <c r="C159" s="4" t="s">
        <v>261</v>
      </c>
      <c r="D159" s="4" t="s">
        <v>286</v>
      </c>
      <c r="E159" s="4" t="s">
        <v>355</v>
      </c>
      <c r="F159" s="4">
        <f>COUNTIFS(Positions!$B$2:$B$4694,A159,Positions!$F$2:$F$4694,B159)</f>
        <v>5</v>
      </c>
      <c r="G159" s="4">
        <f>COUNTIFS(Positions!$B$2:$B$4694,A159,Positions!$F$2:$F$4694,B159,Positions!$E$2:$E$4694,"G")</f>
        <v>1</v>
      </c>
      <c r="H159" s="4">
        <f>COUNTIFS(Positions!$B$2:$B$4694,A159,Positions!$F$2:$F$4694,B159,Positions!$E$2:$E$4694,"C")</f>
        <v>2</v>
      </c>
      <c r="I159" s="3">
        <f t="shared" si="4"/>
        <v>3</v>
      </c>
      <c r="J159" s="6">
        <f t="shared" si="5"/>
        <v>0.6</v>
      </c>
    </row>
    <row r="160" spans="1:10">
      <c r="A160" s="4" t="s">
        <v>68</v>
      </c>
      <c r="B160" s="4" t="s">
        <v>175</v>
      </c>
      <c r="C160" s="4" t="s">
        <v>264</v>
      </c>
      <c r="D160" s="4" t="s">
        <v>288</v>
      </c>
      <c r="E160" s="4" t="s">
        <v>275</v>
      </c>
      <c r="F160" s="4">
        <f>COUNTIFS(Positions!$B$2:$B$4694,A160,Positions!$F$2:$F$4694,B160)</f>
        <v>7</v>
      </c>
      <c r="G160" s="4">
        <f>COUNTIFS(Positions!$B$2:$B$4694,A160,Positions!$F$2:$F$4694,B160,Positions!$E$2:$E$4694,"G")</f>
        <v>1</v>
      </c>
      <c r="H160" s="4">
        <f>COUNTIFS(Positions!$B$2:$B$4694,A160,Positions!$F$2:$F$4694,B160,Positions!$E$2:$E$4694,"C")</f>
        <v>1</v>
      </c>
      <c r="I160" s="3">
        <f t="shared" si="4"/>
        <v>2</v>
      </c>
      <c r="J160" s="6">
        <f t="shared" si="5"/>
        <v>0.2857142857142857</v>
      </c>
    </row>
    <row r="161" spans="1:10">
      <c r="A161" s="7" t="s">
        <v>68</v>
      </c>
      <c r="B161" s="7" t="s">
        <v>267</v>
      </c>
      <c r="C161" s="7" t="s">
        <v>268</v>
      </c>
      <c r="D161" s="7" t="s">
        <v>289</v>
      </c>
      <c r="E161" s="7" t="s">
        <v>290</v>
      </c>
      <c r="F161" s="7">
        <f>COUNTIFS(Positions!$B$2:$B$4694,A161,Positions!$F$2:$F$4694,"Position 8")+COUNTIFS(Positions!$B$2:$B$4694,A161,Positions!$F$2:$F$4694,"Position 9")+COUNTIFS(Positions!$B$2:$B$4694,A161,Positions!$F$2:$F$4694,"Position 26")</f>
        <v>3</v>
      </c>
      <c r="G161" s="7">
        <f>COUNTIFS(Positions!$B$2:$B$4694,A161,Positions!$F$2:$F$4694,"Position 8",Positions!$E$2:$E$4694,"G")+COUNTIFS(Positions!$B$2:$B$4694,A161,Positions!$F$2:$F$4694,"Position 9",Positions!$E$2:$E$4694,"G")+COUNTIFS(Positions!$B$2:$B$4694,A161,Positions!$F$2:$F$4694,"Position 26",Positions!$E$2:$E$4694,"G")</f>
        <v>2</v>
      </c>
      <c r="H161" s="7">
        <f>COUNTIFS(Positions!$B$2:$B$4694,A161,Positions!$F$2:$F$4694,"Position 8",Positions!$E$2:$E$4694,"C")+COUNTIFS(Positions!$B$2:$B$4694,A161,Positions!$F$2:$F$4694,"Position 9",Positions!$E$2:$E$4694,"C")+COUNTIFS(Positions!$B$2:$B$4694,A161,Positions!$F$2:$F$4694,"Position 26",Positions!$E$2:$E$4694,"C")</f>
        <v>0</v>
      </c>
      <c r="I161" s="8">
        <f t="shared" si="4"/>
        <v>2</v>
      </c>
      <c r="J161" s="25">
        <f t="shared" si="5"/>
        <v>0.66666666666666663</v>
      </c>
    </row>
    <row r="162" spans="1:10">
      <c r="A162" s="4" t="s">
        <v>69</v>
      </c>
      <c r="B162" s="4" t="s">
        <v>130</v>
      </c>
      <c r="C162" s="4" t="s">
        <v>255</v>
      </c>
      <c r="D162" s="4" t="s">
        <v>306</v>
      </c>
      <c r="E162" s="4" t="s">
        <v>356</v>
      </c>
      <c r="F162" s="4">
        <f>COUNTIFS(Positions!$B$2:$B$4694,A162,Positions!$F$2:$F$4694,B162)</f>
        <v>9</v>
      </c>
      <c r="G162" s="4">
        <f>COUNTIFS(Positions!$B$2:$B$4694,A162,Positions!$F$2:$F$4694,B162,Positions!$E$2:$E$4694,"G")</f>
        <v>3</v>
      </c>
      <c r="H162" s="4">
        <f>COUNTIFS(Positions!$B$2:$B$4694,A162,Positions!$F$2:$F$4694,B162,Positions!$E$2:$E$4694,"C")</f>
        <v>2</v>
      </c>
      <c r="I162" s="3">
        <f t="shared" si="4"/>
        <v>5</v>
      </c>
      <c r="J162" s="6">
        <f t="shared" si="5"/>
        <v>0.55555555555555558</v>
      </c>
    </row>
    <row r="163" spans="1:10">
      <c r="A163" s="4" t="s">
        <v>69</v>
      </c>
      <c r="B163" s="4" t="s">
        <v>150</v>
      </c>
      <c r="C163" s="4" t="s">
        <v>258</v>
      </c>
      <c r="D163" s="4" t="s">
        <v>308</v>
      </c>
      <c r="E163" s="4" t="s">
        <v>357</v>
      </c>
      <c r="F163" s="4">
        <f>COUNTIFS(Positions!$B$2:$B$4694,A163,Positions!$F$2:$F$4694,B163)</f>
        <v>7</v>
      </c>
      <c r="G163" s="4">
        <f>COUNTIFS(Positions!$B$2:$B$4694,A163,Positions!$F$2:$F$4694,B163,Positions!$E$2:$E$4694,"G")</f>
        <v>1</v>
      </c>
      <c r="H163" s="4">
        <f>COUNTIFS(Positions!$B$2:$B$4694,A163,Positions!$F$2:$F$4694,B163,Positions!$E$2:$E$4694,"C")</f>
        <v>2</v>
      </c>
      <c r="I163" s="3">
        <f t="shared" si="4"/>
        <v>3</v>
      </c>
      <c r="J163" s="6">
        <f t="shared" si="5"/>
        <v>0.42857142857142855</v>
      </c>
    </row>
    <row r="164" spans="1:10">
      <c r="A164" s="4" t="s">
        <v>69</v>
      </c>
      <c r="B164" s="4" t="s">
        <v>163</v>
      </c>
      <c r="C164" s="4" t="s">
        <v>261</v>
      </c>
      <c r="D164" s="4" t="s">
        <v>358</v>
      </c>
      <c r="E164" s="4" t="s">
        <v>359</v>
      </c>
      <c r="F164" s="4">
        <f>COUNTIFS(Positions!$B$2:$B$4694,A164,Positions!$F$2:$F$4694,B164)</f>
        <v>14</v>
      </c>
      <c r="G164" s="4">
        <f>COUNTIFS(Positions!$B$2:$B$4694,A164,Positions!$F$2:$F$4694,B164,Positions!$E$2:$E$4694,"G")</f>
        <v>4</v>
      </c>
      <c r="H164" s="4">
        <f>COUNTIFS(Positions!$B$2:$B$4694,A164,Positions!$F$2:$F$4694,B164,Positions!$E$2:$E$4694,"C")</f>
        <v>4</v>
      </c>
      <c r="I164" s="3">
        <f t="shared" si="4"/>
        <v>8</v>
      </c>
      <c r="J164" s="6">
        <f t="shared" si="5"/>
        <v>0.5714285714285714</v>
      </c>
    </row>
    <row r="165" spans="1:10">
      <c r="A165" s="4" t="s">
        <v>69</v>
      </c>
      <c r="B165" s="4" t="s">
        <v>175</v>
      </c>
      <c r="C165" s="4" t="s">
        <v>264</v>
      </c>
      <c r="D165" s="4" t="s">
        <v>360</v>
      </c>
      <c r="E165" s="4" t="s">
        <v>275</v>
      </c>
      <c r="F165" s="4">
        <f>COUNTIFS(Positions!$B$2:$B$4694,A165,Positions!$F$2:$F$4694,B165)</f>
        <v>7</v>
      </c>
      <c r="G165" s="4">
        <f>COUNTIFS(Positions!$B$2:$B$4694,A165,Positions!$F$2:$F$4694,B165,Positions!$E$2:$E$4694,"G")</f>
        <v>1</v>
      </c>
      <c r="H165" s="4">
        <f>COUNTIFS(Positions!$B$2:$B$4694,A165,Positions!$F$2:$F$4694,B165,Positions!$E$2:$E$4694,"C")</f>
        <v>1</v>
      </c>
      <c r="I165" s="3">
        <f t="shared" si="4"/>
        <v>2</v>
      </c>
      <c r="J165" s="6">
        <f t="shared" si="5"/>
        <v>0.2857142857142857</v>
      </c>
    </row>
    <row r="166" spans="1:10">
      <c r="A166" s="7" t="s">
        <v>69</v>
      </c>
      <c r="B166" s="7" t="s">
        <v>267</v>
      </c>
      <c r="C166" s="7" t="s">
        <v>268</v>
      </c>
      <c r="D166" s="7" t="s">
        <v>312</v>
      </c>
      <c r="E166" s="7" t="s">
        <v>270</v>
      </c>
      <c r="F166" s="7">
        <f>COUNTIFS(Positions!$B$2:$B$4694,A166,Positions!$F$2:$F$4694,"Position 8")+COUNTIFS(Positions!$B$2:$B$4694,A166,Positions!$F$2:$F$4694,"Position 9")+COUNTIFS(Positions!$B$2:$B$4694,A166,Positions!$F$2:$F$4694,"Position 26")</f>
        <v>3</v>
      </c>
      <c r="G166" s="7">
        <f>COUNTIFS(Positions!$B$2:$B$4694,A166,Positions!$F$2:$F$4694,"Position 8",Positions!$E$2:$E$4694,"G")+COUNTIFS(Positions!$B$2:$B$4694,A166,Positions!$F$2:$F$4694,"Position 9",Positions!$E$2:$E$4694,"G")+COUNTIFS(Positions!$B$2:$B$4694,A166,Positions!$F$2:$F$4694,"Position 26",Positions!$E$2:$E$4694,"G")</f>
        <v>1</v>
      </c>
      <c r="H166" s="7">
        <f>COUNTIFS(Positions!$B$2:$B$4694,A166,Positions!$F$2:$F$4694,"Position 8",Positions!$E$2:$E$4694,"C")+COUNTIFS(Positions!$B$2:$B$4694,A166,Positions!$F$2:$F$4694,"Position 9",Positions!$E$2:$E$4694,"C")+COUNTIFS(Positions!$B$2:$B$4694,A166,Positions!$F$2:$F$4694,"Position 26",Positions!$E$2:$E$4694,"C")</f>
        <v>0</v>
      </c>
      <c r="I166" s="8">
        <f t="shared" si="4"/>
        <v>1</v>
      </c>
      <c r="J166" s="25">
        <f t="shared" si="5"/>
        <v>0.33333333333333331</v>
      </c>
    </row>
    <row r="167" spans="1:10">
      <c r="A167" s="4" t="s">
        <v>70</v>
      </c>
      <c r="B167" s="4" t="s">
        <v>130</v>
      </c>
      <c r="C167" s="4" t="s">
        <v>255</v>
      </c>
      <c r="D167" s="4" t="s">
        <v>329</v>
      </c>
      <c r="E167" s="4" t="s">
        <v>361</v>
      </c>
      <c r="F167" s="4">
        <f>COUNTIFS(Positions!$B$2:$B$4694,A167,Positions!$F$2:$F$4694,B167)</f>
        <v>11</v>
      </c>
      <c r="G167" s="4">
        <f>COUNTIFS(Positions!$B$2:$B$4694,A167,Positions!$F$2:$F$4694,B167,Positions!$E$2:$E$4694,"G")</f>
        <v>3</v>
      </c>
      <c r="H167" s="4">
        <f>COUNTIFS(Positions!$B$2:$B$4694,A167,Positions!$F$2:$F$4694,B167,Positions!$E$2:$E$4694,"C")</f>
        <v>3</v>
      </c>
      <c r="I167" s="3">
        <f t="shared" si="4"/>
        <v>6</v>
      </c>
      <c r="J167" s="6">
        <f t="shared" si="5"/>
        <v>0.54545454545454541</v>
      </c>
    </row>
    <row r="168" spans="1:10">
      <c r="A168" s="4" t="s">
        <v>70</v>
      </c>
      <c r="B168" s="4" t="s">
        <v>150</v>
      </c>
      <c r="C168" s="4" t="s">
        <v>258</v>
      </c>
      <c r="D168" s="4" t="s">
        <v>331</v>
      </c>
      <c r="E168" s="4" t="s">
        <v>362</v>
      </c>
      <c r="F168" s="4">
        <f>COUNTIFS(Positions!$B$2:$B$4694,A168,Positions!$F$2:$F$4694,B168)</f>
        <v>7</v>
      </c>
      <c r="G168" s="4">
        <f>COUNTIFS(Positions!$B$2:$B$4694,A168,Positions!$F$2:$F$4694,B168,Positions!$E$2:$E$4694,"G")</f>
        <v>2</v>
      </c>
      <c r="H168" s="4">
        <f>COUNTIFS(Positions!$B$2:$B$4694,A168,Positions!$F$2:$F$4694,B168,Positions!$E$2:$E$4694,"C")</f>
        <v>1</v>
      </c>
      <c r="I168" s="3">
        <f t="shared" si="4"/>
        <v>3</v>
      </c>
      <c r="J168" s="6">
        <f t="shared" si="5"/>
        <v>0.42857142857142855</v>
      </c>
    </row>
    <row r="169" spans="1:10">
      <c r="A169" s="4" t="s">
        <v>70</v>
      </c>
      <c r="B169" s="4" t="s">
        <v>163</v>
      </c>
      <c r="C169" s="4" t="s">
        <v>261</v>
      </c>
      <c r="D169" s="4" t="s">
        <v>363</v>
      </c>
      <c r="E169" s="4" t="s">
        <v>364</v>
      </c>
      <c r="F169" s="4">
        <f>COUNTIFS(Positions!$B$2:$B$4694,A169,Positions!$F$2:$F$4694,B169)</f>
        <v>14</v>
      </c>
      <c r="G169" s="4">
        <f>COUNTIFS(Positions!$B$2:$B$4694,A169,Positions!$F$2:$F$4694,B169,Positions!$E$2:$E$4694,"G")</f>
        <v>3</v>
      </c>
      <c r="H169" s="4">
        <f>COUNTIFS(Positions!$B$2:$B$4694,A169,Positions!$F$2:$F$4694,B169,Positions!$E$2:$E$4694,"C")</f>
        <v>2</v>
      </c>
      <c r="I169" s="3">
        <f t="shared" si="4"/>
        <v>5</v>
      </c>
      <c r="J169" s="6">
        <f t="shared" si="5"/>
        <v>0.35714285714285715</v>
      </c>
    </row>
    <row r="170" spans="1:10">
      <c r="A170" s="4" t="s">
        <v>70</v>
      </c>
      <c r="B170" s="4" t="s">
        <v>175</v>
      </c>
      <c r="C170" s="4" t="s">
        <v>264</v>
      </c>
      <c r="D170" s="4" t="s">
        <v>365</v>
      </c>
      <c r="E170" s="4" t="s">
        <v>275</v>
      </c>
      <c r="F170" s="4">
        <f>COUNTIFS(Positions!$B$2:$B$4694,A170,Positions!$F$2:$F$4694,B170)</f>
        <v>7</v>
      </c>
      <c r="G170" s="4">
        <f>COUNTIFS(Positions!$B$2:$B$4694,A170,Positions!$F$2:$F$4694,B170,Positions!$E$2:$E$4694,"G")</f>
        <v>1</v>
      </c>
      <c r="H170" s="4">
        <f>COUNTIFS(Positions!$B$2:$B$4694,A170,Positions!$F$2:$F$4694,B170,Positions!$E$2:$E$4694,"C")</f>
        <v>1</v>
      </c>
      <c r="I170" s="3">
        <f t="shared" si="4"/>
        <v>2</v>
      </c>
      <c r="J170" s="6">
        <f t="shared" si="5"/>
        <v>0.2857142857142857</v>
      </c>
    </row>
    <row r="171" spans="1:10">
      <c r="A171" s="7" t="s">
        <v>70</v>
      </c>
      <c r="B171" s="7" t="s">
        <v>267</v>
      </c>
      <c r="C171" s="7" t="s">
        <v>268</v>
      </c>
      <c r="D171" s="7" t="s">
        <v>334</v>
      </c>
      <c r="E171" s="7" t="s">
        <v>366</v>
      </c>
      <c r="F171" s="7">
        <f>COUNTIFS(Positions!$B$2:$B$4694,A171,Positions!$F$2:$F$4694,"Position 8")+COUNTIFS(Positions!$B$2:$B$4694,A171,Positions!$F$2:$F$4694,"Position 9")+COUNTIFS(Positions!$B$2:$B$4694,A171,Positions!$F$2:$F$4694,"Position 26")</f>
        <v>3</v>
      </c>
      <c r="G171" s="7">
        <f>COUNTIFS(Positions!$B$2:$B$4694,A171,Positions!$F$2:$F$4694,"Position 8",Positions!$E$2:$E$4694,"G")+COUNTIFS(Positions!$B$2:$B$4694,A171,Positions!$F$2:$F$4694,"Position 9",Positions!$E$2:$E$4694,"G")+COUNTIFS(Positions!$B$2:$B$4694,A171,Positions!$F$2:$F$4694,"Position 26",Positions!$E$2:$E$4694,"G")</f>
        <v>1</v>
      </c>
      <c r="H171" s="7">
        <f>COUNTIFS(Positions!$B$2:$B$4694,A171,Positions!$F$2:$F$4694,"Position 8",Positions!$E$2:$E$4694,"C")+COUNTIFS(Positions!$B$2:$B$4694,A171,Positions!$F$2:$F$4694,"Position 9",Positions!$E$2:$E$4694,"C")+COUNTIFS(Positions!$B$2:$B$4694,A171,Positions!$F$2:$F$4694,"Position 26",Positions!$E$2:$E$4694,"C")</f>
        <v>0</v>
      </c>
      <c r="I171" s="8">
        <f t="shared" si="4"/>
        <v>1</v>
      </c>
      <c r="J171" s="25">
        <f t="shared" si="5"/>
        <v>0.33333333333333331</v>
      </c>
    </row>
    <row r="172" spans="1:10">
      <c r="A172" s="4" t="s">
        <v>71</v>
      </c>
      <c r="B172" s="4" t="s">
        <v>130</v>
      </c>
      <c r="C172" s="4" t="s">
        <v>255</v>
      </c>
      <c r="D172" s="4" t="s">
        <v>329</v>
      </c>
      <c r="E172" s="4" t="s">
        <v>361</v>
      </c>
      <c r="F172" s="4">
        <f>COUNTIFS(Positions!$B$2:$B$4694,A172,Positions!$F$2:$F$4694,B172)</f>
        <v>11</v>
      </c>
      <c r="G172" s="4">
        <f>COUNTIFS(Positions!$B$2:$B$4694,A172,Positions!$F$2:$F$4694,B172,Positions!$E$2:$E$4694,"G")</f>
        <v>3</v>
      </c>
      <c r="H172" s="4">
        <f>COUNTIFS(Positions!$B$2:$B$4694,A172,Positions!$F$2:$F$4694,B172,Positions!$E$2:$E$4694,"C")</f>
        <v>3</v>
      </c>
      <c r="I172" s="3">
        <f t="shared" si="4"/>
        <v>6</v>
      </c>
      <c r="J172" s="6">
        <f t="shared" si="5"/>
        <v>0.54545454545454541</v>
      </c>
    </row>
    <row r="173" spans="1:10">
      <c r="A173" s="4" t="s">
        <v>71</v>
      </c>
      <c r="B173" s="4" t="s">
        <v>150</v>
      </c>
      <c r="C173" s="4" t="s">
        <v>258</v>
      </c>
      <c r="D173" s="4" t="s">
        <v>331</v>
      </c>
      <c r="E173" s="4" t="s">
        <v>367</v>
      </c>
      <c r="F173" s="4">
        <f>COUNTIFS(Positions!$B$2:$B$4694,A173,Positions!$F$2:$F$4694,B173)</f>
        <v>7</v>
      </c>
      <c r="G173" s="4">
        <f>COUNTIFS(Positions!$B$2:$B$4694,A173,Positions!$F$2:$F$4694,B173,Positions!$E$2:$E$4694,"G")</f>
        <v>4</v>
      </c>
      <c r="H173" s="4">
        <f>COUNTIFS(Positions!$B$2:$B$4694,A173,Positions!$F$2:$F$4694,B173,Positions!$E$2:$E$4694,"C")</f>
        <v>0</v>
      </c>
      <c r="I173" s="3">
        <f t="shared" si="4"/>
        <v>4</v>
      </c>
      <c r="J173" s="6">
        <f t="shared" si="5"/>
        <v>0.5714285714285714</v>
      </c>
    </row>
    <row r="174" spans="1:10">
      <c r="A174" s="4" t="s">
        <v>71</v>
      </c>
      <c r="B174" s="4" t="s">
        <v>163</v>
      </c>
      <c r="C174" s="4" t="s">
        <v>261</v>
      </c>
      <c r="D174" s="4" t="s">
        <v>363</v>
      </c>
      <c r="E174" s="4" t="s">
        <v>364</v>
      </c>
      <c r="F174" s="4">
        <f>COUNTIFS(Positions!$B$2:$B$4694,A174,Positions!$F$2:$F$4694,B174)</f>
        <v>14</v>
      </c>
      <c r="G174" s="4">
        <f>COUNTIFS(Positions!$B$2:$B$4694,A174,Positions!$F$2:$F$4694,B174,Positions!$E$2:$E$4694,"G")</f>
        <v>3</v>
      </c>
      <c r="H174" s="4">
        <f>COUNTIFS(Positions!$B$2:$B$4694,A174,Positions!$F$2:$F$4694,B174,Positions!$E$2:$E$4694,"C")</f>
        <v>2</v>
      </c>
      <c r="I174" s="3">
        <f t="shared" si="4"/>
        <v>5</v>
      </c>
      <c r="J174" s="6">
        <f t="shared" si="5"/>
        <v>0.35714285714285715</v>
      </c>
    </row>
    <row r="175" spans="1:10">
      <c r="A175" s="4" t="s">
        <v>71</v>
      </c>
      <c r="B175" s="4" t="s">
        <v>175</v>
      </c>
      <c r="C175" s="4" t="s">
        <v>264</v>
      </c>
      <c r="D175" s="4" t="s">
        <v>365</v>
      </c>
      <c r="E175" s="4" t="s">
        <v>275</v>
      </c>
      <c r="F175" s="4">
        <f>COUNTIFS(Positions!$B$2:$B$4694,A175,Positions!$F$2:$F$4694,B175)</f>
        <v>7</v>
      </c>
      <c r="G175" s="4">
        <f>COUNTIFS(Positions!$B$2:$B$4694,A175,Positions!$F$2:$F$4694,B175,Positions!$E$2:$E$4694,"G")</f>
        <v>1</v>
      </c>
      <c r="H175" s="4">
        <f>COUNTIFS(Positions!$B$2:$B$4694,A175,Positions!$F$2:$F$4694,B175,Positions!$E$2:$E$4694,"C")</f>
        <v>1</v>
      </c>
      <c r="I175" s="3">
        <f t="shared" si="4"/>
        <v>2</v>
      </c>
      <c r="J175" s="6">
        <f t="shared" si="5"/>
        <v>0.2857142857142857</v>
      </c>
    </row>
    <row r="176" spans="1:10">
      <c r="A176" s="7" t="s">
        <v>71</v>
      </c>
      <c r="B176" s="7" t="s">
        <v>267</v>
      </c>
      <c r="C176" s="7" t="s">
        <v>268</v>
      </c>
      <c r="D176" s="7" t="s">
        <v>334</v>
      </c>
      <c r="E176" s="7" t="s">
        <v>366</v>
      </c>
      <c r="F176" s="7">
        <f>COUNTIFS(Positions!$B$2:$B$4694,A176,Positions!$F$2:$F$4694,"Position 8")+COUNTIFS(Positions!$B$2:$B$4694,A176,Positions!$F$2:$F$4694,"Position 9")+COUNTIFS(Positions!$B$2:$B$4694,A176,Positions!$F$2:$F$4694,"Position 26")</f>
        <v>3</v>
      </c>
      <c r="G176" s="7">
        <f>COUNTIFS(Positions!$B$2:$B$4694,A176,Positions!$F$2:$F$4694,"Position 8",Positions!$E$2:$E$4694,"G")+COUNTIFS(Positions!$B$2:$B$4694,A176,Positions!$F$2:$F$4694,"Position 9",Positions!$E$2:$E$4694,"G")+COUNTIFS(Positions!$B$2:$B$4694,A176,Positions!$F$2:$F$4694,"Position 26",Positions!$E$2:$E$4694,"G")</f>
        <v>1</v>
      </c>
      <c r="H176" s="7">
        <f>COUNTIFS(Positions!$B$2:$B$4694,A176,Positions!$F$2:$F$4694,"Position 8",Positions!$E$2:$E$4694,"C")+COUNTIFS(Positions!$B$2:$B$4694,A176,Positions!$F$2:$F$4694,"Position 9",Positions!$E$2:$E$4694,"C")+COUNTIFS(Positions!$B$2:$B$4694,A176,Positions!$F$2:$F$4694,"Position 26",Positions!$E$2:$E$4694,"C")</f>
        <v>0</v>
      </c>
      <c r="I176" s="8">
        <f t="shared" si="4"/>
        <v>1</v>
      </c>
      <c r="J176" s="25">
        <f t="shared" si="5"/>
        <v>0.33333333333333331</v>
      </c>
    </row>
    <row r="177" spans="1:10">
      <c r="A177" s="4" t="s">
        <v>72</v>
      </c>
      <c r="B177" s="4" t="s">
        <v>130</v>
      </c>
      <c r="C177" s="4" t="s">
        <v>255</v>
      </c>
      <c r="D177" s="4" t="s">
        <v>329</v>
      </c>
      <c r="E177" s="4" t="s">
        <v>361</v>
      </c>
      <c r="F177" s="4">
        <f>COUNTIFS(Positions!$B$2:$B$4694,A177,Positions!$F$2:$F$4694,B177)</f>
        <v>11</v>
      </c>
      <c r="G177" s="4">
        <f>COUNTIFS(Positions!$B$2:$B$4694,A177,Positions!$F$2:$F$4694,B177,Positions!$E$2:$E$4694,"G")</f>
        <v>3</v>
      </c>
      <c r="H177" s="4">
        <f>COUNTIFS(Positions!$B$2:$B$4694,A177,Positions!$F$2:$F$4694,B177,Positions!$E$2:$E$4694,"C")</f>
        <v>3</v>
      </c>
      <c r="I177" s="3">
        <f t="shared" si="4"/>
        <v>6</v>
      </c>
      <c r="J177" s="6">
        <f t="shared" si="5"/>
        <v>0.54545454545454541</v>
      </c>
    </row>
    <row r="178" spans="1:10">
      <c r="A178" s="4" t="s">
        <v>72</v>
      </c>
      <c r="B178" s="4" t="s">
        <v>150</v>
      </c>
      <c r="C178" s="4" t="s">
        <v>258</v>
      </c>
      <c r="D178" s="4" t="s">
        <v>331</v>
      </c>
      <c r="E178" s="4" t="s">
        <v>367</v>
      </c>
      <c r="F178" s="4">
        <f>COUNTIFS(Positions!$B$2:$B$4694,A178,Positions!$F$2:$F$4694,B178)</f>
        <v>7</v>
      </c>
      <c r="G178" s="4">
        <f>COUNTIFS(Positions!$B$2:$B$4694,A178,Positions!$F$2:$F$4694,B178,Positions!$E$2:$E$4694,"G")</f>
        <v>4</v>
      </c>
      <c r="H178" s="4">
        <f>COUNTIFS(Positions!$B$2:$B$4694,A178,Positions!$F$2:$F$4694,B178,Positions!$E$2:$E$4694,"C")</f>
        <v>0</v>
      </c>
      <c r="I178" s="3">
        <f t="shared" si="4"/>
        <v>4</v>
      </c>
      <c r="J178" s="6">
        <f t="shared" si="5"/>
        <v>0.5714285714285714</v>
      </c>
    </row>
    <row r="179" spans="1:10">
      <c r="A179" s="4" t="s">
        <v>72</v>
      </c>
      <c r="B179" s="4" t="s">
        <v>163</v>
      </c>
      <c r="C179" s="4" t="s">
        <v>261</v>
      </c>
      <c r="D179" s="4" t="s">
        <v>363</v>
      </c>
      <c r="E179" s="4" t="s">
        <v>364</v>
      </c>
      <c r="F179" s="4">
        <f>COUNTIFS(Positions!$B$2:$B$4694,A179,Positions!$F$2:$F$4694,B179)</f>
        <v>14</v>
      </c>
      <c r="G179" s="4">
        <f>COUNTIFS(Positions!$B$2:$B$4694,A179,Positions!$F$2:$F$4694,B179,Positions!$E$2:$E$4694,"G")</f>
        <v>3</v>
      </c>
      <c r="H179" s="4">
        <f>COUNTIFS(Positions!$B$2:$B$4694,A179,Positions!$F$2:$F$4694,B179,Positions!$E$2:$E$4694,"C")</f>
        <v>2</v>
      </c>
      <c r="I179" s="3">
        <f t="shared" si="4"/>
        <v>5</v>
      </c>
      <c r="J179" s="6">
        <f t="shared" si="5"/>
        <v>0.35714285714285715</v>
      </c>
    </row>
    <row r="180" spans="1:10">
      <c r="A180" s="4" t="s">
        <v>72</v>
      </c>
      <c r="B180" s="4" t="s">
        <v>175</v>
      </c>
      <c r="C180" s="4" t="s">
        <v>264</v>
      </c>
      <c r="D180" s="4" t="s">
        <v>365</v>
      </c>
      <c r="E180" s="4" t="s">
        <v>275</v>
      </c>
      <c r="F180" s="4">
        <f>COUNTIFS(Positions!$B$2:$B$4694,A180,Positions!$F$2:$F$4694,B180)</f>
        <v>7</v>
      </c>
      <c r="G180" s="4">
        <f>COUNTIFS(Positions!$B$2:$B$4694,A180,Positions!$F$2:$F$4694,B180,Positions!$E$2:$E$4694,"G")</f>
        <v>1</v>
      </c>
      <c r="H180" s="4">
        <f>COUNTIFS(Positions!$B$2:$B$4694,A180,Positions!$F$2:$F$4694,B180,Positions!$E$2:$E$4694,"C")</f>
        <v>1</v>
      </c>
      <c r="I180" s="3">
        <f t="shared" si="4"/>
        <v>2</v>
      </c>
      <c r="J180" s="6">
        <f t="shared" si="5"/>
        <v>0.2857142857142857</v>
      </c>
    </row>
    <row r="181" spans="1:10">
      <c r="A181" s="7" t="s">
        <v>72</v>
      </c>
      <c r="B181" s="7" t="s">
        <v>267</v>
      </c>
      <c r="C181" s="7" t="s">
        <v>268</v>
      </c>
      <c r="D181" s="7" t="s">
        <v>334</v>
      </c>
      <c r="E181" s="7" t="s">
        <v>366</v>
      </c>
      <c r="F181" s="7">
        <f>COUNTIFS(Positions!$B$2:$B$4694,A181,Positions!$F$2:$F$4694,"Position 8")+COUNTIFS(Positions!$B$2:$B$4694,A181,Positions!$F$2:$F$4694,"Position 9")+COUNTIFS(Positions!$B$2:$B$4694,A181,Positions!$F$2:$F$4694,"Position 26")</f>
        <v>3</v>
      </c>
      <c r="G181" s="7">
        <f>COUNTIFS(Positions!$B$2:$B$4694,A181,Positions!$F$2:$F$4694,"Position 8",Positions!$E$2:$E$4694,"G")+COUNTIFS(Positions!$B$2:$B$4694,A181,Positions!$F$2:$F$4694,"Position 9",Positions!$E$2:$E$4694,"G")+COUNTIFS(Positions!$B$2:$B$4694,A181,Positions!$F$2:$F$4694,"Position 26",Positions!$E$2:$E$4694,"G")</f>
        <v>1</v>
      </c>
      <c r="H181" s="7">
        <f>COUNTIFS(Positions!$B$2:$B$4694,A181,Positions!$F$2:$F$4694,"Position 8",Positions!$E$2:$E$4694,"C")+COUNTIFS(Positions!$B$2:$B$4694,A181,Positions!$F$2:$F$4694,"Position 9",Positions!$E$2:$E$4694,"C")+COUNTIFS(Positions!$B$2:$B$4694,A181,Positions!$F$2:$F$4694,"Position 26",Positions!$E$2:$E$4694,"C")</f>
        <v>0</v>
      </c>
      <c r="I181" s="8">
        <f t="shared" si="4"/>
        <v>1</v>
      </c>
      <c r="J181" s="25">
        <f t="shared" si="5"/>
        <v>0.33333333333333331</v>
      </c>
    </row>
    <row r="182" spans="1:10">
      <c r="A182" s="4" t="s">
        <v>73</v>
      </c>
      <c r="B182" s="4" t="s">
        <v>130</v>
      </c>
      <c r="C182" s="4" t="s">
        <v>255</v>
      </c>
      <c r="D182" s="4" t="s">
        <v>329</v>
      </c>
      <c r="E182" s="4" t="s">
        <v>368</v>
      </c>
      <c r="F182" s="4">
        <f>COUNTIFS(Positions!$B$2:$B$4694,A182,Positions!$F$2:$F$4694,B182)</f>
        <v>11</v>
      </c>
      <c r="G182" s="4">
        <f>COUNTIFS(Positions!$B$2:$B$4694,A182,Positions!$F$2:$F$4694,B182,Positions!$E$2:$E$4694,"G")</f>
        <v>3</v>
      </c>
      <c r="H182" s="4">
        <f>COUNTIFS(Positions!$B$2:$B$4694,A182,Positions!$F$2:$F$4694,B182,Positions!$E$2:$E$4694,"C")</f>
        <v>3</v>
      </c>
      <c r="I182" s="3">
        <f t="shared" si="4"/>
        <v>6</v>
      </c>
      <c r="J182" s="6">
        <f t="shared" si="5"/>
        <v>0.54545454545454541</v>
      </c>
    </row>
    <row r="183" spans="1:10">
      <c r="A183" s="4" t="s">
        <v>73</v>
      </c>
      <c r="B183" s="4" t="s">
        <v>150</v>
      </c>
      <c r="C183" s="4" t="s">
        <v>258</v>
      </c>
      <c r="D183" s="4" t="s">
        <v>331</v>
      </c>
      <c r="E183" s="4" t="s">
        <v>369</v>
      </c>
      <c r="F183" s="4">
        <f>COUNTIFS(Positions!$B$2:$B$4694,A183,Positions!$F$2:$F$4694,B183)</f>
        <v>7</v>
      </c>
      <c r="G183" s="4">
        <f>COUNTIFS(Positions!$B$2:$B$4694,A183,Positions!$F$2:$F$4694,B183,Positions!$E$2:$E$4694,"G")</f>
        <v>1</v>
      </c>
      <c r="H183" s="4">
        <f>COUNTIFS(Positions!$B$2:$B$4694,A183,Positions!$F$2:$F$4694,B183,Positions!$E$2:$E$4694,"C")</f>
        <v>1</v>
      </c>
      <c r="I183" s="3">
        <f t="shared" si="4"/>
        <v>2</v>
      </c>
      <c r="J183" s="6">
        <f t="shared" si="5"/>
        <v>0.2857142857142857</v>
      </c>
    </row>
    <row r="184" spans="1:10">
      <c r="A184" s="4" t="s">
        <v>73</v>
      </c>
      <c r="B184" s="4" t="s">
        <v>163</v>
      </c>
      <c r="C184" s="4" t="s">
        <v>261</v>
      </c>
      <c r="D184" s="4" t="s">
        <v>363</v>
      </c>
      <c r="E184" s="4" t="s">
        <v>370</v>
      </c>
      <c r="F184" s="4">
        <f>COUNTIFS(Positions!$B$2:$B$4694,A184,Positions!$F$2:$F$4694,B184)</f>
        <v>14</v>
      </c>
      <c r="G184" s="4">
        <f>COUNTIFS(Positions!$B$2:$B$4694,A184,Positions!$F$2:$F$4694,B184,Positions!$E$2:$E$4694,"G")</f>
        <v>3</v>
      </c>
      <c r="H184" s="4">
        <f>COUNTIFS(Positions!$B$2:$B$4694,A184,Positions!$F$2:$F$4694,B184,Positions!$E$2:$E$4694,"C")</f>
        <v>2</v>
      </c>
      <c r="I184" s="3">
        <f t="shared" si="4"/>
        <v>5</v>
      </c>
      <c r="J184" s="6">
        <f t="shared" si="5"/>
        <v>0.35714285714285715</v>
      </c>
    </row>
    <row r="185" spans="1:10">
      <c r="A185" s="4" t="s">
        <v>73</v>
      </c>
      <c r="B185" s="4" t="s">
        <v>175</v>
      </c>
      <c r="C185" s="4" t="s">
        <v>264</v>
      </c>
      <c r="D185" s="4" t="s">
        <v>365</v>
      </c>
      <c r="E185" s="4" t="s">
        <v>275</v>
      </c>
      <c r="F185" s="4">
        <f>COUNTIFS(Positions!$B$2:$B$4694,A185,Positions!$F$2:$F$4694,B185)</f>
        <v>7</v>
      </c>
      <c r="G185" s="4">
        <f>COUNTIFS(Positions!$B$2:$B$4694,A185,Positions!$F$2:$F$4694,B185,Positions!$E$2:$E$4694,"G")</f>
        <v>1</v>
      </c>
      <c r="H185" s="4">
        <f>COUNTIFS(Positions!$B$2:$B$4694,A185,Positions!$F$2:$F$4694,B185,Positions!$E$2:$E$4694,"C")</f>
        <v>1</v>
      </c>
      <c r="I185" s="3">
        <f t="shared" si="4"/>
        <v>2</v>
      </c>
      <c r="J185" s="6">
        <f t="shared" si="5"/>
        <v>0.2857142857142857</v>
      </c>
    </row>
    <row r="186" spans="1:10">
      <c r="A186" s="7" t="s">
        <v>73</v>
      </c>
      <c r="B186" s="7" t="s">
        <v>267</v>
      </c>
      <c r="C186" s="7" t="s">
        <v>268</v>
      </c>
      <c r="D186" s="7" t="s">
        <v>334</v>
      </c>
      <c r="E186" s="7" t="s">
        <v>366</v>
      </c>
      <c r="F186" s="7">
        <f>COUNTIFS(Positions!$B$2:$B$4694,A186,Positions!$F$2:$F$4694,"Position 8")+COUNTIFS(Positions!$B$2:$B$4694,A186,Positions!$F$2:$F$4694,"Position 9")+COUNTIFS(Positions!$B$2:$B$4694,A186,Positions!$F$2:$F$4694,"Position 26")</f>
        <v>3</v>
      </c>
      <c r="G186" s="7">
        <f>COUNTIFS(Positions!$B$2:$B$4694,A186,Positions!$F$2:$F$4694,"Position 8",Positions!$E$2:$E$4694,"G")+COUNTIFS(Positions!$B$2:$B$4694,A186,Positions!$F$2:$F$4694,"Position 9",Positions!$E$2:$E$4694,"G")+COUNTIFS(Positions!$B$2:$B$4694,A186,Positions!$F$2:$F$4694,"Position 26",Positions!$E$2:$E$4694,"G")</f>
        <v>1</v>
      </c>
      <c r="H186" s="7">
        <f>COUNTIFS(Positions!$B$2:$B$4694,A186,Positions!$F$2:$F$4694,"Position 8",Positions!$E$2:$E$4694,"C")+COUNTIFS(Positions!$B$2:$B$4694,A186,Positions!$F$2:$F$4694,"Position 9",Positions!$E$2:$E$4694,"C")+COUNTIFS(Positions!$B$2:$B$4694,A186,Positions!$F$2:$F$4694,"Position 26",Positions!$E$2:$E$4694,"C")</f>
        <v>0</v>
      </c>
      <c r="I186" s="8">
        <f t="shared" si="4"/>
        <v>1</v>
      </c>
      <c r="J186" s="25">
        <f t="shared" si="5"/>
        <v>0.33333333333333331</v>
      </c>
    </row>
    <row r="187" spans="1:10">
      <c r="A187" s="4" t="s">
        <v>74</v>
      </c>
      <c r="B187" s="4" t="s">
        <v>130</v>
      </c>
      <c r="C187" s="4" t="s">
        <v>255</v>
      </c>
      <c r="D187" s="4" t="s">
        <v>329</v>
      </c>
      <c r="E187" s="4" t="s">
        <v>371</v>
      </c>
      <c r="F187" s="4">
        <f>COUNTIFS(Positions!$B$2:$B$4694,A187,Positions!$F$2:$F$4694,B187)</f>
        <v>11</v>
      </c>
      <c r="G187" s="4">
        <f>COUNTIFS(Positions!$B$2:$B$4694,A187,Positions!$F$2:$F$4694,B187,Positions!$E$2:$E$4694,"G")</f>
        <v>3</v>
      </c>
      <c r="H187" s="4">
        <f>COUNTIFS(Positions!$B$2:$B$4694,A187,Positions!$F$2:$F$4694,B187,Positions!$E$2:$E$4694,"C")</f>
        <v>4</v>
      </c>
      <c r="I187" s="3">
        <f t="shared" si="4"/>
        <v>7</v>
      </c>
      <c r="J187" s="6">
        <f t="shared" si="5"/>
        <v>0.63636363636363635</v>
      </c>
    </row>
    <row r="188" spans="1:10">
      <c r="A188" s="4" t="s">
        <v>74</v>
      </c>
      <c r="B188" s="4" t="s">
        <v>150</v>
      </c>
      <c r="C188" s="4" t="s">
        <v>258</v>
      </c>
      <c r="D188" s="4" t="s">
        <v>331</v>
      </c>
      <c r="E188" s="4" t="s">
        <v>369</v>
      </c>
      <c r="F188" s="4">
        <f>COUNTIFS(Positions!$B$2:$B$4694,A188,Positions!$F$2:$F$4694,B188)</f>
        <v>7</v>
      </c>
      <c r="G188" s="4">
        <f>COUNTIFS(Positions!$B$2:$B$4694,A188,Positions!$F$2:$F$4694,B188,Positions!$E$2:$E$4694,"G")</f>
        <v>1</v>
      </c>
      <c r="H188" s="4">
        <f>COUNTIFS(Positions!$B$2:$B$4694,A188,Positions!$F$2:$F$4694,B188,Positions!$E$2:$E$4694,"C")</f>
        <v>1</v>
      </c>
      <c r="I188" s="3">
        <f t="shared" si="4"/>
        <v>2</v>
      </c>
      <c r="J188" s="6">
        <f t="shared" si="5"/>
        <v>0.2857142857142857</v>
      </c>
    </row>
    <row r="189" spans="1:10">
      <c r="A189" s="4" t="s">
        <v>74</v>
      </c>
      <c r="B189" s="4" t="s">
        <v>163</v>
      </c>
      <c r="C189" s="4" t="s">
        <v>261</v>
      </c>
      <c r="D189" s="4" t="s">
        <v>363</v>
      </c>
      <c r="E189" s="4" t="s">
        <v>370</v>
      </c>
      <c r="F189" s="4">
        <f>COUNTIFS(Positions!$B$2:$B$4694,A189,Positions!$F$2:$F$4694,B189)</f>
        <v>14</v>
      </c>
      <c r="G189" s="4">
        <f>COUNTIFS(Positions!$B$2:$B$4694,A189,Positions!$F$2:$F$4694,B189,Positions!$E$2:$E$4694,"G")</f>
        <v>3</v>
      </c>
      <c r="H189" s="4">
        <f>COUNTIFS(Positions!$B$2:$B$4694,A189,Positions!$F$2:$F$4694,B189,Positions!$E$2:$E$4694,"C")</f>
        <v>2</v>
      </c>
      <c r="I189" s="3">
        <f t="shared" si="4"/>
        <v>5</v>
      </c>
      <c r="J189" s="6">
        <f t="shared" si="5"/>
        <v>0.35714285714285715</v>
      </c>
    </row>
    <row r="190" spans="1:10">
      <c r="A190" s="4" t="s">
        <v>74</v>
      </c>
      <c r="B190" s="4" t="s">
        <v>175</v>
      </c>
      <c r="C190" s="4" t="s">
        <v>264</v>
      </c>
      <c r="D190" s="4" t="s">
        <v>365</v>
      </c>
      <c r="E190" s="4" t="s">
        <v>275</v>
      </c>
      <c r="F190" s="4">
        <f>COUNTIFS(Positions!$B$2:$B$4694,A190,Positions!$F$2:$F$4694,B190)</f>
        <v>7</v>
      </c>
      <c r="G190" s="4">
        <f>COUNTIFS(Positions!$B$2:$B$4694,A190,Positions!$F$2:$F$4694,B190,Positions!$E$2:$E$4694,"G")</f>
        <v>1</v>
      </c>
      <c r="H190" s="4">
        <f>COUNTIFS(Positions!$B$2:$B$4694,A190,Positions!$F$2:$F$4694,B190,Positions!$E$2:$E$4694,"C")</f>
        <v>1</v>
      </c>
      <c r="I190" s="3">
        <f t="shared" si="4"/>
        <v>2</v>
      </c>
      <c r="J190" s="6">
        <f t="shared" si="5"/>
        <v>0.2857142857142857</v>
      </c>
    </row>
    <row r="191" spans="1:10">
      <c r="A191" s="7" t="s">
        <v>74</v>
      </c>
      <c r="B191" s="7" t="s">
        <v>267</v>
      </c>
      <c r="C191" s="7" t="s">
        <v>268</v>
      </c>
      <c r="D191" s="7" t="s">
        <v>334</v>
      </c>
      <c r="E191" s="7" t="s">
        <v>366</v>
      </c>
      <c r="F191" s="7">
        <f>COUNTIFS(Positions!$B$2:$B$4694,A191,Positions!$F$2:$F$4694,"Position 8")+COUNTIFS(Positions!$B$2:$B$4694,A191,Positions!$F$2:$F$4694,"Position 9")+COUNTIFS(Positions!$B$2:$B$4694,A191,Positions!$F$2:$F$4694,"Position 26")</f>
        <v>3</v>
      </c>
      <c r="G191" s="7">
        <f>COUNTIFS(Positions!$B$2:$B$4694,A191,Positions!$F$2:$F$4694,"Position 8",Positions!$E$2:$E$4694,"G")+COUNTIFS(Positions!$B$2:$B$4694,A191,Positions!$F$2:$F$4694,"Position 9",Positions!$E$2:$E$4694,"G")+COUNTIFS(Positions!$B$2:$B$4694,A191,Positions!$F$2:$F$4694,"Position 26",Positions!$E$2:$E$4694,"G")</f>
        <v>1</v>
      </c>
      <c r="H191" s="7">
        <f>COUNTIFS(Positions!$B$2:$B$4694,A191,Positions!$F$2:$F$4694,"Position 8",Positions!$E$2:$E$4694,"C")+COUNTIFS(Positions!$B$2:$B$4694,A191,Positions!$F$2:$F$4694,"Position 9",Positions!$E$2:$E$4694,"C")+COUNTIFS(Positions!$B$2:$B$4694,A191,Positions!$F$2:$F$4694,"Position 26",Positions!$E$2:$E$4694,"C")</f>
        <v>0</v>
      </c>
      <c r="I191" s="8">
        <f t="shared" si="4"/>
        <v>1</v>
      </c>
      <c r="J191" s="25">
        <f t="shared" si="5"/>
        <v>0.33333333333333331</v>
      </c>
    </row>
    <row r="192" spans="1:10">
      <c r="A192" s="4" t="s">
        <v>75</v>
      </c>
      <c r="B192" s="4" t="s">
        <v>130</v>
      </c>
      <c r="C192" s="4" t="s">
        <v>255</v>
      </c>
      <c r="D192" s="4" t="s">
        <v>329</v>
      </c>
      <c r="E192" s="4" t="s">
        <v>372</v>
      </c>
      <c r="F192" s="4">
        <f>COUNTIFS(Positions!$B$2:$B$4694,A192,Positions!$F$2:$F$4694,B192)</f>
        <v>11</v>
      </c>
      <c r="G192" s="4">
        <f>COUNTIFS(Positions!$B$2:$B$4694,A192,Positions!$F$2:$F$4694,B192,Positions!$E$2:$E$4694,"G")</f>
        <v>3</v>
      </c>
      <c r="H192" s="4">
        <f>COUNTIFS(Positions!$B$2:$B$4694,A192,Positions!$F$2:$F$4694,B192,Positions!$E$2:$E$4694,"C")</f>
        <v>4</v>
      </c>
      <c r="I192" s="3">
        <f t="shared" si="4"/>
        <v>7</v>
      </c>
      <c r="J192" s="6">
        <f t="shared" si="5"/>
        <v>0.63636363636363635</v>
      </c>
    </row>
    <row r="193" spans="1:10">
      <c r="A193" s="4" t="s">
        <v>75</v>
      </c>
      <c r="B193" s="4" t="s">
        <v>150</v>
      </c>
      <c r="C193" s="4" t="s">
        <v>258</v>
      </c>
      <c r="D193" s="4" t="s">
        <v>331</v>
      </c>
      <c r="E193" s="4" t="s">
        <v>369</v>
      </c>
      <c r="F193" s="4">
        <f>COUNTIFS(Positions!$B$2:$B$4694,A193,Positions!$F$2:$F$4694,B193)</f>
        <v>7</v>
      </c>
      <c r="G193" s="4">
        <f>COUNTIFS(Positions!$B$2:$B$4694,A193,Positions!$F$2:$F$4694,B193,Positions!$E$2:$E$4694,"G")</f>
        <v>1</v>
      </c>
      <c r="H193" s="4">
        <f>COUNTIFS(Positions!$B$2:$B$4694,A193,Positions!$F$2:$F$4694,B193,Positions!$E$2:$E$4694,"C")</f>
        <v>1</v>
      </c>
      <c r="I193" s="3">
        <f t="shared" si="4"/>
        <v>2</v>
      </c>
      <c r="J193" s="6">
        <f t="shared" si="5"/>
        <v>0.2857142857142857</v>
      </c>
    </row>
    <row r="194" spans="1:10">
      <c r="A194" s="4" t="s">
        <v>75</v>
      </c>
      <c r="B194" s="4" t="s">
        <v>163</v>
      </c>
      <c r="C194" s="4" t="s">
        <v>261</v>
      </c>
      <c r="D194" s="4" t="s">
        <v>363</v>
      </c>
      <c r="E194" s="4" t="s">
        <v>370</v>
      </c>
      <c r="F194" s="4">
        <f>COUNTIFS(Positions!$B$2:$B$4694,A194,Positions!$F$2:$F$4694,B194)</f>
        <v>14</v>
      </c>
      <c r="G194" s="4">
        <f>COUNTIFS(Positions!$B$2:$B$4694,A194,Positions!$F$2:$F$4694,B194,Positions!$E$2:$E$4694,"G")</f>
        <v>3</v>
      </c>
      <c r="H194" s="4">
        <f>COUNTIFS(Positions!$B$2:$B$4694,A194,Positions!$F$2:$F$4694,B194,Positions!$E$2:$E$4694,"C")</f>
        <v>2</v>
      </c>
      <c r="I194" s="3">
        <f t="shared" ref="I194:I257" si="6">G194+H194</f>
        <v>5</v>
      </c>
      <c r="J194" s="6">
        <f t="shared" ref="J194:J257" si="7">IF(F194=0,0,I194/F194)</f>
        <v>0.35714285714285715</v>
      </c>
    </row>
    <row r="195" spans="1:10">
      <c r="A195" s="4" t="s">
        <v>75</v>
      </c>
      <c r="B195" s="4" t="s">
        <v>175</v>
      </c>
      <c r="C195" s="4" t="s">
        <v>264</v>
      </c>
      <c r="D195" s="4" t="s">
        <v>365</v>
      </c>
      <c r="E195" s="4" t="s">
        <v>275</v>
      </c>
      <c r="F195" s="4">
        <f>COUNTIFS(Positions!$B$2:$B$4694,A195,Positions!$F$2:$F$4694,B195)</f>
        <v>7</v>
      </c>
      <c r="G195" s="4">
        <f>COUNTIFS(Positions!$B$2:$B$4694,A195,Positions!$F$2:$F$4694,B195,Positions!$E$2:$E$4694,"G")</f>
        <v>1</v>
      </c>
      <c r="H195" s="4">
        <f>COUNTIFS(Positions!$B$2:$B$4694,A195,Positions!$F$2:$F$4694,B195,Positions!$E$2:$E$4694,"C")</f>
        <v>1</v>
      </c>
      <c r="I195" s="3">
        <f t="shared" si="6"/>
        <v>2</v>
      </c>
      <c r="J195" s="6">
        <f t="shared" si="7"/>
        <v>0.2857142857142857</v>
      </c>
    </row>
    <row r="196" spans="1:10">
      <c r="A196" s="7" t="s">
        <v>75</v>
      </c>
      <c r="B196" s="7" t="s">
        <v>267</v>
      </c>
      <c r="C196" s="7" t="s">
        <v>268</v>
      </c>
      <c r="D196" s="7" t="s">
        <v>334</v>
      </c>
      <c r="E196" s="7" t="s">
        <v>366</v>
      </c>
      <c r="F196" s="7">
        <f>COUNTIFS(Positions!$B$2:$B$4694,A196,Positions!$F$2:$F$4694,"Position 8")+COUNTIFS(Positions!$B$2:$B$4694,A196,Positions!$F$2:$F$4694,"Position 9")+COUNTIFS(Positions!$B$2:$B$4694,A196,Positions!$F$2:$F$4694,"Position 26")</f>
        <v>3</v>
      </c>
      <c r="G196" s="7">
        <f>COUNTIFS(Positions!$B$2:$B$4694,A196,Positions!$F$2:$F$4694,"Position 8",Positions!$E$2:$E$4694,"G")+COUNTIFS(Positions!$B$2:$B$4694,A196,Positions!$F$2:$F$4694,"Position 9",Positions!$E$2:$E$4694,"G")+COUNTIFS(Positions!$B$2:$B$4694,A196,Positions!$F$2:$F$4694,"Position 26",Positions!$E$2:$E$4694,"G")</f>
        <v>1</v>
      </c>
      <c r="H196" s="7">
        <f>COUNTIFS(Positions!$B$2:$B$4694,A196,Positions!$F$2:$F$4694,"Position 8",Positions!$E$2:$E$4694,"C")+COUNTIFS(Positions!$B$2:$B$4694,A196,Positions!$F$2:$F$4694,"Position 9",Positions!$E$2:$E$4694,"C")+COUNTIFS(Positions!$B$2:$B$4694,A196,Positions!$F$2:$F$4694,"Position 26",Positions!$E$2:$E$4694,"C")</f>
        <v>0</v>
      </c>
      <c r="I196" s="8">
        <f t="shared" si="6"/>
        <v>1</v>
      </c>
      <c r="J196" s="25">
        <f t="shared" si="7"/>
        <v>0.33333333333333331</v>
      </c>
    </row>
    <row r="197" spans="1:10">
      <c r="A197" s="4" t="s">
        <v>76</v>
      </c>
      <c r="B197" s="4" t="s">
        <v>130</v>
      </c>
      <c r="C197" s="4" t="s">
        <v>255</v>
      </c>
      <c r="D197" s="4" t="s">
        <v>329</v>
      </c>
      <c r="E197" s="4" t="s">
        <v>373</v>
      </c>
      <c r="F197" s="4">
        <f>COUNTIFS(Positions!$B$2:$B$4694,A197,Positions!$F$2:$F$4694,B197)</f>
        <v>11</v>
      </c>
      <c r="G197" s="4">
        <f>COUNTIFS(Positions!$B$2:$B$4694,A197,Positions!$F$2:$F$4694,B197,Positions!$E$2:$E$4694,"G")</f>
        <v>3</v>
      </c>
      <c r="H197" s="4">
        <f>COUNTIFS(Positions!$B$2:$B$4694,A197,Positions!$F$2:$F$4694,B197,Positions!$E$2:$E$4694,"C")</f>
        <v>2</v>
      </c>
      <c r="I197" s="3">
        <f t="shared" si="6"/>
        <v>5</v>
      </c>
      <c r="J197" s="6">
        <f t="shared" si="7"/>
        <v>0.45454545454545453</v>
      </c>
    </row>
    <row r="198" spans="1:10">
      <c r="A198" s="4" t="s">
        <v>76</v>
      </c>
      <c r="B198" s="4" t="s">
        <v>150</v>
      </c>
      <c r="C198" s="4" t="s">
        <v>258</v>
      </c>
      <c r="D198" s="4" t="s">
        <v>331</v>
      </c>
      <c r="E198" s="4" t="s">
        <v>374</v>
      </c>
      <c r="F198" s="4">
        <f>COUNTIFS(Positions!$B$2:$B$4694,A198,Positions!$F$2:$F$4694,B198)</f>
        <v>7</v>
      </c>
      <c r="G198" s="4">
        <f>COUNTIFS(Positions!$B$2:$B$4694,A198,Positions!$F$2:$F$4694,B198,Positions!$E$2:$E$4694,"G")</f>
        <v>2</v>
      </c>
      <c r="H198" s="4">
        <f>COUNTIFS(Positions!$B$2:$B$4694,A198,Positions!$F$2:$F$4694,B198,Positions!$E$2:$E$4694,"C")</f>
        <v>1</v>
      </c>
      <c r="I198" s="3">
        <f t="shared" si="6"/>
        <v>3</v>
      </c>
      <c r="J198" s="6">
        <f t="shared" si="7"/>
        <v>0.42857142857142855</v>
      </c>
    </row>
    <row r="199" spans="1:10">
      <c r="A199" s="4" t="s">
        <v>76</v>
      </c>
      <c r="B199" s="4" t="s">
        <v>163</v>
      </c>
      <c r="C199" s="4" t="s">
        <v>261</v>
      </c>
      <c r="D199" s="4" t="s">
        <v>363</v>
      </c>
      <c r="E199" s="4" t="s">
        <v>364</v>
      </c>
      <c r="F199" s="4">
        <f>COUNTIFS(Positions!$B$2:$B$4694,A199,Positions!$F$2:$F$4694,B199)</f>
        <v>14</v>
      </c>
      <c r="G199" s="4">
        <f>COUNTIFS(Positions!$B$2:$B$4694,A199,Positions!$F$2:$F$4694,B199,Positions!$E$2:$E$4694,"G")</f>
        <v>3</v>
      </c>
      <c r="H199" s="4">
        <f>COUNTIFS(Positions!$B$2:$B$4694,A199,Positions!$F$2:$F$4694,B199,Positions!$E$2:$E$4694,"C")</f>
        <v>2</v>
      </c>
      <c r="I199" s="3">
        <f t="shared" si="6"/>
        <v>5</v>
      </c>
      <c r="J199" s="6">
        <f t="shared" si="7"/>
        <v>0.35714285714285715</v>
      </c>
    </row>
    <row r="200" spans="1:10">
      <c r="A200" s="4" t="s">
        <v>76</v>
      </c>
      <c r="B200" s="4" t="s">
        <v>175</v>
      </c>
      <c r="C200" s="4" t="s">
        <v>264</v>
      </c>
      <c r="D200" s="4" t="s">
        <v>365</v>
      </c>
      <c r="E200" s="4" t="s">
        <v>275</v>
      </c>
      <c r="F200" s="4">
        <f>COUNTIFS(Positions!$B$2:$B$4694,A200,Positions!$F$2:$F$4694,B200)</f>
        <v>7</v>
      </c>
      <c r="G200" s="4">
        <f>COUNTIFS(Positions!$B$2:$B$4694,A200,Positions!$F$2:$F$4694,B200,Positions!$E$2:$E$4694,"G")</f>
        <v>1</v>
      </c>
      <c r="H200" s="4">
        <f>COUNTIFS(Positions!$B$2:$B$4694,A200,Positions!$F$2:$F$4694,B200,Positions!$E$2:$E$4694,"C")</f>
        <v>1</v>
      </c>
      <c r="I200" s="3">
        <f t="shared" si="6"/>
        <v>2</v>
      </c>
      <c r="J200" s="6">
        <f t="shared" si="7"/>
        <v>0.2857142857142857</v>
      </c>
    </row>
    <row r="201" spans="1:10">
      <c r="A201" s="7" t="s">
        <v>76</v>
      </c>
      <c r="B201" s="7" t="s">
        <v>267</v>
      </c>
      <c r="C201" s="7" t="s">
        <v>268</v>
      </c>
      <c r="D201" s="7" t="s">
        <v>334</v>
      </c>
      <c r="E201" s="7" t="s">
        <v>366</v>
      </c>
      <c r="F201" s="7">
        <f>COUNTIFS(Positions!$B$2:$B$4694,A201,Positions!$F$2:$F$4694,"Position 8")+COUNTIFS(Positions!$B$2:$B$4694,A201,Positions!$F$2:$F$4694,"Position 9")+COUNTIFS(Positions!$B$2:$B$4694,A201,Positions!$F$2:$F$4694,"Position 26")</f>
        <v>3</v>
      </c>
      <c r="G201" s="7">
        <f>COUNTIFS(Positions!$B$2:$B$4694,A201,Positions!$F$2:$F$4694,"Position 8",Positions!$E$2:$E$4694,"G")+COUNTIFS(Positions!$B$2:$B$4694,A201,Positions!$F$2:$F$4694,"Position 9",Positions!$E$2:$E$4694,"G")+COUNTIFS(Positions!$B$2:$B$4694,A201,Positions!$F$2:$F$4694,"Position 26",Positions!$E$2:$E$4694,"G")</f>
        <v>1</v>
      </c>
      <c r="H201" s="7">
        <f>COUNTIFS(Positions!$B$2:$B$4694,A201,Positions!$F$2:$F$4694,"Position 8",Positions!$E$2:$E$4694,"C")+COUNTIFS(Positions!$B$2:$B$4694,A201,Positions!$F$2:$F$4694,"Position 9",Positions!$E$2:$E$4694,"C")+COUNTIFS(Positions!$B$2:$B$4694,A201,Positions!$F$2:$F$4694,"Position 26",Positions!$E$2:$E$4694,"C")</f>
        <v>0</v>
      </c>
      <c r="I201" s="8">
        <f t="shared" si="6"/>
        <v>1</v>
      </c>
      <c r="J201" s="25">
        <f t="shared" si="7"/>
        <v>0.33333333333333331</v>
      </c>
    </row>
    <row r="202" spans="1:10">
      <c r="A202" s="4" t="s">
        <v>77</v>
      </c>
      <c r="B202" s="4" t="s">
        <v>130</v>
      </c>
      <c r="C202" s="4" t="s">
        <v>255</v>
      </c>
      <c r="D202" s="4" t="s">
        <v>306</v>
      </c>
      <c r="E202" s="4" t="s">
        <v>375</v>
      </c>
      <c r="F202" s="4">
        <f>COUNTIFS(Positions!$B$2:$B$4694,A202,Positions!$F$2:$F$4694,B202)</f>
        <v>9</v>
      </c>
      <c r="G202" s="4">
        <f>COUNTIFS(Positions!$B$2:$B$4694,A202,Positions!$F$2:$F$4694,B202,Positions!$E$2:$E$4694,"G")</f>
        <v>3</v>
      </c>
      <c r="H202" s="4">
        <f>COUNTIFS(Positions!$B$2:$B$4694,A202,Positions!$F$2:$F$4694,B202,Positions!$E$2:$E$4694,"C")</f>
        <v>2</v>
      </c>
      <c r="I202" s="3">
        <f t="shared" si="6"/>
        <v>5</v>
      </c>
      <c r="J202" s="6">
        <f t="shared" si="7"/>
        <v>0.55555555555555558</v>
      </c>
    </row>
    <row r="203" spans="1:10">
      <c r="A203" s="4" t="s">
        <v>77</v>
      </c>
      <c r="B203" s="4" t="s">
        <v>150</v>
      </c>
      <c r="C203" s="4" t="s">
        <v>258</v>
      </c>
      <c r="D203" s="4" t="s">
        <v>308</v>
      </c>
      <c r="E203" s="4" t="s">
        <v>376</v>
      </c>
      <c r="F203" s="4">
        <f>COUNTIFS(Positions!$B$2:$B$4694,A203,Positions!$F$2:$F$4694,B203)</f>
        <v>7</v>
      </c>
      <c r="G203" s="4">
        <f>COUNTIFS(Positions!$B$2:$B$4694,A203,Positions!$F$2:$F$4694,B203,Positions!$E$2:$E$4694,"G")</f>
        <v>0</v>
      </c>
      <c r="H203" s="4">
        <f>COUNTIFS(Positions!$B$2:$B$4694,A203,Positions!$F$2:$F$4694,B203,Positions!$E$2:$E$4694,"C")</f>
        <v>2</v>
      </c>
      <c r="I203" s="3">
        <f t="shared" si="6"/>
        <v>2</v>
      </c>
      <c r="J203" s="6">
        <f t="shared" si="7"/>
        <v>0.2857142857142857</v>
      </c>
    </row>
    <row r="204" spans="1:10">
      <c r="A204" s="4" t="s">
        <v>77</v>
      </c>
      <c r="B204" s="4" t="s">
        <v>163</v>
      </c>
      <c r="C204" s="4" t="s">
        <v>261</v>
      </c>
      <c r="D204" s="4" t="s">
        <v>349</v>
      </c>
      <c r="E204" s="4" t="s">
        <v>263</v>
      </c>
      <c r="F204" s="4">
        <f>COUNTIFS(Positions!$B$2:$B$4694,A204,Positions!$F$2:$F$4694,B204)</f>
        <v>5</v>
      </c>
      <c r="G204" s="4">
        <f>COUNTIFS(Positions!$B$2:$B$4694,A204,Positions!$F$2:$F$4694,B204,Positions!$E$2:$E$4694,"G")</f>
        <v>2</v>
      </c>
      <c r="H204" s="4">
        <f>COUNTIFS(Positions!$B$2:$B$4694,A204,Positions!$F$2:$F$4694,B204,Positions!$E$2:$E$4694,"C")</f>
        <v>2</v>
      </c>
      <c r="I204" s="3">
        <f t="shared" si="6"/>
        <v>4</v>
      </c>
      <c r="J204" s="6">
        <f t="shared" si="7"/>
        <v>0.8</v>
      </c>
    </row>
    <row r="205" spans="1:10">
      <c r="A205" s="4" t="s">
        <v>77</v>
      </c>
      <c r="B205" s="4" t="s">
        <v>175</v>
      </c>
      <c r="C205" s="4" t="s">
        <v>264</v>
      </c>
      <c r="D205" s="4" t="s">
        <v>298</v>
      </c>
      <c r="E205" s="4" t="s">
        <v>266</v>
      </c>
      <c r="F205" s="4">
        <f>COUNTIFS(Positions!$B$2:$B$4694,A205,Positions!$F$2:$F$4694,B205)</f>
        <v>7</v>
      </c>
      <c r="G205" s="4">
        <f>COUNTIFS(Positions!$B$2:$B$4694,A205,Positions!$F$2:$F$4694,B205,Positions!$E$2:$E$4694,"G")</f>
        <v>0</v>
      </c>
      <c r="H205" s="4">
        <f>COUNTIFS(Positions!$B$2:$B$4694,A205,Positions!$F$2:$F$4694,B205,Positions!$E$2:$E$4694,"C")</f>
        <v>1</v>
      </c>
      <c r="I205" s="3">
        <f t="shared" si="6"/>
        <v>1</v>
      </c>
      <c r="J205" s="6">
        <f t="shared" si="7"/>
        <v>0.14285714285714285</v>
      </c>
    </row>
    <row r="206" spans="1:10">
      <c r="A206" s="7" t="s">
        <v>77</v>
      </c>
      <c r="B206" s="7" t="s">
        <v>267</v>
      </c>
      <c r="C206" s="7" t="s">
        <v>268</v>
      </c>
      <c r="D206" s="7" t="s">
        <v>312</v>
      </c>
      <c r="E206" s="7" t="s">
        <v>270</v>
      </c>
      <c r="F206" s="7">
        <f>COUNTIFS(Positions!$B$2:$B$4694,A206,Positions!$F$2:$F$4694,"Position 8")+COUNTIFS(Positions!$B$2:$B$4694,A206,Positions!$F$2:$F$4694,"Position 9")+COUNTIFS(Positions!$B$2:$B$4694,A206,Positions!$F$2:$F$4694,"Position 26")</f>
        <v>3</v>
      </c>
      <c r="G206" s="7">
        <f>COUNTIFS(Positions!$B$2:$B$4694,A206,Positions!$F$2:$F$4694,"Position 8",Positions!$E$2:$E$4694,"G")+COUNTIFS(Positions!$B$2:$B$4694,A206,Positions!$F$2:$F$4694,"Position 9",Positions!$E$2:$E$4694,"G")+COUNTIFS(Positions!$B$2:$B$4694,A206,Positions!$F$2:$F$4694,"Position 26",Positions!$E$2:$E$4694,"G")</f>
        <v>1</v>
      </c>
      <c r="H206" s="7">
        <f>COUNTIFS(Positions!$B$2:$B$4694,A206,Positions!$F$2:$F$4694,"Position 8",Positions!$E$2:$E$4694,"C")+COUNTIFS(Positions!$B$2:$B$4694,A206,Positions!$F$2:$F$4694,"Position 9",Positions!$E$2:$E$4694,"C")+COUNTIFS(Positions!$B$2:$B$4694,A206,Positions!$F$2:$F$4694,"Position 26",Positions!$E$2:$E$4694,"C")</f>
        <v>0</v>
      </c>
      <c r="I206" s="8">
        <f t="shared" si="6"/>
        <v>1</v>
      </c>
      <c r="J206" s="25">
        <f t="shared" si="7"/>
        <v>0.33333333333333331</v>
      </c>
    </row>
    <row r="207" spans="1:10">
      <c r="A207" s="4" t="s">
        <v>78</v>
      </c>
      <c r="B207" s="4" t="s">
        <v>130</v>
      </c>
      <c r="C207" s="4" t="s">
        <v>255</v>
      </c>
      <c r="D207" s="4" t="s">
        <v>306</v>
      </c>
      <c r="E207" s="4" t="s">
        <v>375</v>
      </c>
      <c r="F207" s="4">
        <f>COUNTIFS(Positions!$B$2:$B$4694,A207,Positions!$F$2:$F$4694,B207)</f>
        <v>9</v>
      </c>
      <c r="G207" s="4">
        <f>COUNTIFS(Positions!$B$2:$B$4694,A207,Positions!$F$2:$F$4694,B207,Positions!$E$2:$E$4694,"G")</f>
        <v>3</v>
      </c>
      <c r="H207" s="4">
        <f>COUNTIFS(Positions!$B$2:$B$4694,A207,Positions!$F$2:$F$4694,B207,Positions!$E$2:$E$4694,"C")</f>
        <v>2</v>
      </c>
      <c r="I207" s="3">
        <f t="shared" si="6"/>
        <v>5</v>
      </c>
      <c r="J207" s="6">
        <f t="shared" si="7"/>
        <v>0.55555555555555558</v>
      </c>
    </row>
    <row r="208" spans="1:10">
      <c r="A208" s="4" t="s">
        <v>78</v>
      </c>
      <c r="B208" s="4" t="s">
        <v>150</v>
      </c>
      <c r="C208" s="4" t="s">
        <v>258</v>
      </c>
      <c r="D208" s="4" t="s">
        <v>308</v>
      </c>
      <c r="E208" s="4" t="s">
        <v>377</v>
      </c>
      <c r="F208" s="4">
        <f>COUNTIFS(Positions!$B$2:$B$4694,A208,Positions!$F$2:$F$4694,B208)</f>
        <v>7</v>
      </c>
      <c r="G208" s="4">
        <f>COUNTIFS(Positions!$B$2:$B$4694,A208,Positions!$F$2:$F$4694,B208,Positions!$E$2:$E$4694,"G")</f>
        <v>0</v>
      </c>
      <c r="H208" s="4">
        <f>COUNTIFS(Positions!$B$2:$B$4694,A208,Positions!$F$2:$F$4694,B208,Positions!$E$2:$E$4694,"C")</f>
        <v>1</v>
      </c>
      <c r="I208" s="3">
        <f t="shared" si="6"/>
        <v>1</v>
      </c>
      <c r="J208" s="6">
        <f t="shared" si="7"/>
        <v>0.14285714285714285</v>
      </c>
    </row>
    <row r="209" spans="1:10">
      <c r="A209" s="4" t="s">
        <v>78</v>
      </c>
      <c r="B209" s="4" t="s">
        <v>163</v>
      </c>
      <c r="C209" s="4" t="s">
        <v>261</v>
      </c>
      <c r="D209" s="4" t="s">
        <v>349</v>
      </c>
      <c r="E209" s="4" t="s">
        <v>378</v>
      </c>
      <c r="F209" s="4">
        <f>COUNTIFS(Positions!$B$2:$B$4694,A209,Positions!$F$2:$F$4694,B209)</f>
        <v>5</v>
      </c>
      <c r="G209" s="4">
        <f>COUNTIFS(Positions!$B$2:$B$4694,A209,Positions!$F$2:$F$4694,B209,Positions!$E$2:$E$4694,"G")</f>
        <v>2</v>
      </c>
      <c r="H209" s="4">
        <f>COUNTIFS(Positions!$B$2:$B$4694,A209,Positions!$F$2:$F$4694,B209,Positions!$E$2:$E$4694,"C")</f>
        <v>3</v>
      </c>
      <c r="I209" s="3">
        <f t="shared" si="6"/>
        <v>5</v>
      </c>
      <c r="J209" s="6">
        <f t="shared" si="7"/>
        <v>1</v>
      </c>
    </row>
    <row r="210" spans="1:10">
      <c r="A210" s="4" t="s">
        <v>78</v>
      </c>
      <c r="B210" s="4" t="s">
        <v>175</v>
      </c>
      <c r="C210" s="4" t="s">
        <v>264</v>
      </c>
      <c r="D210" s="4" t="s">
        <v>298</v>
      </c>
      <c r="E210" s="4" t="s">
        <v>266</v>
      </c>
      <c r="F210" s="4">
        <f>COUNTIFS(Positions!$B$2:$B$4694,A210,Positions!$F$2:$F$4694,B210)</f>
        <v>7</v>
      </c>
      <c r="G210" s="4">
        <f>COUNTIFS(Positions!$B$2:$B$4694,A210,Positions!$F$2:$F$4694,B210,Positions!$E$2:$E$4694,"G")</f>
        <v>0</v>
      </c>
      <c r="H210" s="4">
        <f>COUNTIFS(Positions!$B$2:$B$4694,A210,Positions!$F$2:$F$4694,B210,Positions!$E$2:$E$4694,"C")</f>
        <v>1</v>
      </c>
      <c r="I210" s="3">
        <f t="shared" si="6"/>
        <v>1</v>
      </c>
      <c r="J210" s="6">
        <f t="shared" si="7"/>
        <v>0.14285714285714285</v>
      </c>
    </row>
    <row r="211" spans="1:10">
      <c r="A211" s="7" t="s">
        <v>78</v>
      </c>
      <c r="B211" s="7" t="s">
        <v>267</v>
      </c>
      <c r="C211" s="7" t="s">
        <v>268</v>
      </c>
      <c r="D211" s="7" t="s">
        <v>312</v>
      </c>
      <c r="E211" s="7" t="s">
        <v>270</v>
      </c>
      <c r="F211" s="7">
        <f>COUNTIFS(Positions!$B$2:$B$4694,A211,Positions!$F$2:$F$4694,"Position 8")+COUNTIFS(Positions!$B$2:$B$4694,A211,Positions!$F$2:$F$4694,"Position 9")+COUNTIFS(Positions!$B$2:$B$4694,A211,Positions!$F$2:$F$4694,"Position 26")</f>
        <v>3</v>
      </c>
      <c r="G211" s="7">
        <f>COUNTIFS(Positions!$B$2:$B$4694,A211,Positions!$F$2:$F$4694,"Position 8",Positions!$E$2:$E$4694,"G")+COUNTIFS(Positions!$B$2:$B$4694,A211,Positions!$F$2:$F$4694,"Position 9",Positions!$E$2:$E$4694,"G")+COUNTIFS(Positions!$B$2:$B$4694,A211,Positions!$F$2:$F$4694,"Position 26",Positions!$E$2:$E$4694,"G")</f>
        <v>1</v>
      </c>
      <c r="H211" s="7">
        <f>COUNTIFS(Positions!$B$2:$B$4694,A211,Positions!$F$2:$F$4694,"Position 8",Positions!$E$2:$E$4694,"C")+COUNTIFS(Positions!$B$2:$B$4694,A211,Positions!$F$2:$F$4694,"Position 9",Positions!$E$2:$E$4694,"C")+COUNTIFS(Positions!$B$2:$B$4694,A211,Positions!$F$2:$F$4694,"Position 26",Positions!$E$2:$E$4694,"C")</f>
        <v>0</v>
      </c>
      <c r="I211" s="8">
        <f t="shared" si="6"/>
        <v>1</v>
      </c>
      <c r="J211" s="25">
        <f t="shared" si="7"/>
        <v>0.33333333333333331</v>
      </c>
    </row>
    <row r="212" spans="1:10">
      <c r="A212" s="4" t="s">
        <v>79</v>
      </c>
      <c r="B212" s="4" t="s">
        <v>130</v>
      </c>
      <c r="C212" s="4" t="s">
        <v>255</v>
      </c>
      <c r="D212" s="4" t="s">
        <v>306</v>
      </c>
      <c r="E212" s="4" t="s">
        <v>379</v>
      </c>
      <c r="F212" s="4">
        <f>COUNTIFS(Positions!$B$2:$B$4694,A212,Positions!$F$2:$F$4694,B212)</f>
        <v>9</v>
      </c>
      <c r="G212" s="4">
        <f>COUNTIFS(Positions!$B$2:$B$4694,A212,Positions!$F$2:$F$4694,B212,Positions!$E$2:$E$4694,"G")</f>
        <v>4</v>
      </c>
      <c r="H212" s="4">
        <f>COUNTIFS(Positions!$B$2:$B$4694,A212,Positions!$F$2:$F$4694,B212,Positions!$E$2:$E$4694,"C")</f>
        <v>0</v>
      </c>
      <c r="I212" s="3">
        <f t="shared" si="6"/>
        <v>4</v>
      </c>
      <c r="J212" s="6">
        <f t="shared" si="7"/>
        <v>0.44444444444444442</v>
      </c>
    </row>
    <row r="213" spans="1:10">
      <c r="A213" s="4" t="s">
        <v>79</v>
      </c>
      <c r="B213" s="4" t="s">
        <v>150</v>
      </c>
      <c r="C213" s="4" t="s">
        <v>258</v>
      </c>
      <c r="D213" s="4" t="s">
        <v>308</v>
      </c>
      <c r="E213" s="4" t="s">
        <v>352</v>
      </c>
      <c r="F213" s="4">
        <f>COUNTIFS(Positions!$B$2:$B$4694,A213,Positions!$F$2:$F$4694,B213)</f>
        <v>7</v>
      </c>
      <c r="G213" s="4">
        <f>COUNTIFS(Positions!$B$2:$B$4694,A213,Positions!$F$2:$F$4694,B213,Positions!$E$2:$E$4694,"G")</f>
        <v>0</v>
      </c>
      <c r="H213" s="4">
        <f>COUNTIFS(Positions!$B$2:$B$4694,A213,Positions!$F$2:$F$4694,B213,Positions!$E$2:$E$4694,"C")</f>
        <v>2</v>
      </c>
      <c r="I213" s="3">
        <f t="shared" si="6"/>
        <v>2</v>
      </c>
      <c r="J213" s="6">
        <f t="shared" si="7"/>
        <v>0.2857142857142857</v>
      </c>
    </row>
    <row r="214" spans="1:10">
      <c r="A214" s="4" t="s">
        <v>79</v>
      </c>
      <c r="B214" s="4" t="s">
        <v>163</v>
      </c>
      <c r="C214" s="4" t="s">
        <v>261</v>
      </c>
      <c r="D214" s="4" t="s">
        <v>349</v>
      </c>
      <c r="E214" s="4" t="s">
        <v>350</v>
      </c>
      <c r="F214" s="4">
        <f>COUNTIFS(Positions!$B$2:$B$4694,A214,Positions!$F$2:$F$4694,B214)</f>
        <v>5</v>
      </c>
      <c r="G214" s="4">
        <f>COUNTIFS(Positions!$B$2:$B$4694,A214,Positions!$F$2:$F$4694,B214,Positions!$E$2:$E$4694,"G")</f>
        <v>2</v>
      </c>
      <c r="H214" s="4">
        <f>COUNTIFS(Positions!$B$2:$B$4694,A214,Positions!$F$2:$F$4694,B214,Positions!$E$2:$E$4694,"C")</f>
        <v>1</v>
      </c>
      <c r="I214" s="3">
        <f t="shared" si="6"/>
        <v>3</v>
      </c>
      <c r="J214" s="6">
        <f t="shared" si="7"/>
        <v>0.6</v>
      </c>
    </row>
    <row r="215" spans="1:10">
      <c r="A215" s="4" t="s">
        <v>79</v>
      </c>
      <c r="B215" s="4" t="s">
        <v>175</v>
      </c>
      <c r="C215" s="4" t="s">
        <v>264</v>
      </c>
      <c r="D215" s="4" t="s">
        <v>298</v>
      </c>
      <c r="E215" s="4" t="s">
        <v>380</v>
      </c>
      <c r="F215" s="4">
        <f>COUNTIFS(Positions!$B$2:$B$4694,A215,Positions!$F$2:$F$4694,B215)</f>
        <v>7</v>
      </c>
      <c r="G215" s="4">
        <f>COUNTIFS(Positions!$B$2:$B$4694,A215,Positions!$F$2:$F$4694,B215,Positions!$E$2:$E$4694,"G")</f>
        <v>2</v>
      </c>
      <c r="H215" s="4">
        <f>COUNTIFS(Positions!$B$2:$B$4694,A215,Positions!$F$2:$F$4694,B215,Positions!$E$2:$E$4694,"C")</f>
        <v>1</v>
      </c>
      <c r="I215" s="3">
        <f t="shared" si="6"/>
        <v>3</v>
      </c>
      <c r="J215" s="6">
        <f t="shared" si="7"/>
        <v>0.42857142857142855</v>
      </c>
    </row>
    <row r="216" spans="1:10">
      <c r="A216" s="7" t="s">
        <v>79</v>
      </c>
      <c r="B216" s="7" t="s">
        <v>267</v>
      </c>
      <c r="C216" s="7" t="s">
        <v>268</v>
      </c>
      <c r="D216" s="7" t="s">
        <v>312</v>
      </c>
      <c r="E216" s="7" t="s">
        <v>270</v>
      </c>
      <c r="F216" s="7">
        <f>COUNTIFS(Positions!$B$2:$B$4694,A216,Positions!$F$2:$F$4694,"Position 8")+COUNTIFS(Positions!$B$2:$B$4694,A216,Positions!$F$2:$F$4694,"Position 9")+COUNTIFS(Positions!$B$2:$B$4694,A216,Positions!$F$2:$F$4694,"Position 26")</f>
        <v>3</v>
      </c>
      <c r="G216" s="7">
        <f>COUNTIFS(Positions!$B$2:$B$4694,A216,Positions!$F$2:$F$4694,"Position 8",Positions!$E$2:$E$4694,"G")+COUNTIFS(Positions!$B$2:$B$4694,A216,Positions!$F$2:$F$4694,"Position 9",Positions!$E$2:$E$4694,"G")+COUNTIFS(Positions!$B$2:$B$4694,A216,Positions!$F$2:$F$4694,"Position 26",Positions!$E$2:$E$4694,"G")</f>
        <v>1</v>
      </c>
      <c r="H216" s="7">
        <f>COUNTIFS(Positions!$B$2:$B$4694,A216,Positions!$F$2:$F$4694,"Position 8",Positions!$E$2:$E$4694,"C")+COUNTIFS(Positions!$B$2:$B$4694,A216,Positions!$F$2:$F$4694,"Position 9",Positions!$E$2:$E$4694,"C")+COUNTIFS(Positions!$B$2:$B$4694,A216,Positions!$F$2:$F$4694,"Position 26",Positions!$E$2:$E$4694,"C")</f>
        <v>0</v>
      </c>
      <c r="I216" s="8">
        <f t="shared" si="6"/>
        <v>1</v>
      </c>
      <c r="J216" s="25">
        <f t="shared" si="7"/>
        <v>0.33333333333333331</v>
      </c>
    </row>
    <row r="217" spans="1:10">
      <c r="A217" s="4" t="s">
        <v>80</v>
      </c>
      <c r="B217" s="4" t="s">
        <v>130</v>
      </c>
      <c r="C217" s="4" t="s">
        <v>255</v>
      </c>
      <c r="D217" s="4" t="s">
        <v>256</v>
      </c>
      <c r="E217" s="4" t="s">
        <v>381</v>
      </c>
      <c r="F217" s="4">
        <f>COUNTIFS(Positions!$B$2:$B$4694,A217,Positions!$F$2:$F$4694,B217)</f>
        <v>7</v>
      </c>
      <c r="G217" s="4">
        <f>COUNTIFS(Positions!$B$2:$B$4694,A217,Positions!$F$2:$F$4694,B217,Positions!$E$2:$E$4694,"G")</f>
        <v>4</v>
      </c>
      <c r="H217" s="4">
        <f>COUNTIFS(Positions!$B$2:$B$4694,A217,Positions!$F$2:$F$4694,B217,Positions!$E$2:$E$4694,"C")</f>
        <v>0</v>
      </c>
      <c r="I217" s="3">
        <f t="shared" si="6"/>
        <v>4</v>
      </c>
      <c r="J217" s="6">
        <f t="shared" si="7"/>
        <v>0.5714285714285714</v>
      </c>
    </row>
    <row r="218" spans="1:10">
      <c r="A218" s="4" t="s">
        <v>80</v>
      </c>
      <c r="B218" s="4" t="s">
        <v>150</v>
      </c>
      <c r="C218" s="4" t="s">
        <v>258</v>
      </c>
      <c r="D218" s="4" t="s">
        <v>259</v>
      </c>
      <c r="E218" s="4" t="s">
        <v>382</v>
      </c>
      <c r="F218" s="4">
        <f>COUNTIFS(Positions!$B$2:$B$4694,A218,Positions!$F$2:$F$4694,B218)</f>
        <v>7</v>
      </c>
      <c r="G218" s="4">
        <f>COUNTIFS(Positions!$B$2:$B$4694,A218,Positions!$F$2:$F$4694,B218,Positions!$E$2:$E$4694,"G")</f>
        <v>2</v>
      </c>
      <c r="H218" s="4">
        <f>COUNTIFS(Positions!$B$2:$B$4694,A218,Positions!$F$2:$F$4694,B218,Positions!$E$2:$E$4694,"C")</f>
        <v>1</v>
      </c>
      <c r="I218" s="3">
        <f t="shared" si="6"/>
        <v>3</v>
      </c>
      <c r="J218" s="6">
        <f t="shared" si="7"/>
        <v>0.42857142857142855</v>
      </c>
    </row>
    <row r="219" spans="1:10">
      <c r="A219" s="4" t="s">
        <v>80</v>
      </c>
      <c r="B219" s="4" t="s">
        <v>163</v>
      </c>
      <c r="C219" s="4" t="s">
        <v>261</v>
      </c>
      <c r="D219" s="4" t="s">
        <v>262</v>
      </c>
      <c r="E219" s="4" t="s">
        <v>383</v>
      </c>
      <c r="F219" s="4">
        <f>COUNTIFS(Positions!$B$2:$B$4694,A219,Positions!$F$2:$F$4694,B219)</f>
        <v>5</v>
      </c>
      <c r="G219" s="4">
        <f>COUNTIFS(Positions!$B$2:$B$4694,A219,Positions!$F$2:$F$4694,B219,Positions!$E$2:$E$4694,"G")</f>
        <v>1</v>
      </c>
      <c r="H219" s="4">
        <f>COUNTIFS(Positions!$B$2:$B$4694,A219,Positions!$F$2:$F$4694,B219,Positions!$E$2:$E$4694,"C")</f>
        <v>1</v>
      </c>
      <c r="I219" s="3">
        <f t="shared" si="6"/>
        <v>2</v>
      </c>
      <c r="J219" s="6">
        <f t="shared" si="7"/>
        <v>0.4</v>
      </c>
    </row>
    <row r="220" spans="1:10">
      <c r="A220" s="4" t="s">
        <v>80</v>
      </c>
      <c r="B220" s="4" t="s">
        <v>175</v>
      </c>
      <c r="C220" s="4" t="s">
        <v>264</v>
      </c>
      <c r="D220" s="4" t="s">
        <v>265</v>
      </c>
      <c r="E220" s="4" t="s">
        <v>275</v>
      </c>
      <c r="F220" s="4">
        <f>COUNTIFS(Positions!$B$2:$B$4694,A220,Positions!$F$2:$F$4694,B220)</f>
        <v>7</v>
      </c>
      <c r="G220" s="4">
        <f>COUNTIFS(Positions!$B$2:$B$4694,A220,Positions!$F$2:$F$4694,B220,Positions!$E$2:$E$4694,"G")</f>
        <v>1</v>
      </c>
      <c r="H220" s="4">
        <f>COUNTIFS(Positions!$B$2:$B$4694,A220,Positions!$F$2:$F$4694,B220,Positions!$E$2:$E$4694,"C")</f>
        <v>1</v>
      </c>
      <c r="I220" s="3">
        <f t="shared" si="6"/>
        <v>2</v>
      </c>
      <c r="J220" s="6">
        <f t="shared" si="7"/>
        <v>0.2857142857142857</v>
      </c>
    </row>
    <row r="221" spans="1:10">
      <c r="A221" s="7" t="s">
        <v>80</v>
      </c>
      <c r="B221" s="7" t="s">
        <v>267</v>
      </c>
      <c r="C221" s="7" t="s">
        <v>268</v>
      </c>
      <c r="D221" s="7" t="s">
        <v>269</v>
      </c>
      <c r="E221" s="7" t="s">
        <v>270</v>
      </c>
      <c r="F221" s="7">
        <f>COUNTIFS(Positions!$B$2:$B$4694,A221,Positions!$F$2:$F$4694,"Position 8")+COUNTIFS(Positions!$B$2:$B$4694,A221,Positions!$F$2:$F$4694,"Position 9")+COUNTIFS(Positions!$B$2:$B$4694,A221,Positions!$F$2:$F$4694,"Position 26")</f>
        <v>3</v>
      </c>
      <c r="G221" s="7">
        <f>COUNTIFS(Positions!$B$2:$B$4694,A221,Positions!$F$2:$F$4694,"Position 8",Positions!$E$2:$E$4694,"G")+COUNTIFS(Positions!$B$2:$B$4694,A221,Positions!$F$2:$F$4694,"Position 9",Positions!$E$2:$E$4694,"G")+COUNTIFS(Positions!$B$2:$B$4694,A221,Positions!$F$2:$F$4694,"Position 26",Positions!$E$2:$E$4694,"G")</f>
        <v>1</v>
      </c>
      <c r="H221" s="7">
        <f>COUNTIFS(Positions!$B$2:$B$4694,A221,Positions!$F$2:$F$4694,"Position 8",Positions!$E$2:$E$4694,"C")+COUNTIFS(Positions!$B$2:$B$4694,A221,Positions!$F$2:$F$4694,"Position 9",Positions!$E$2:$E$4694,"C")+COUNTIFS(Positions!$B$2:$B$4694,A221,Positions!$F$2:$F$4694,"Position 26",Positions!$E$2:$E$4694,"C")</f>
        <v>0</v>
      </c>
      <c r="I221" s="8">
        <f t="shared" si="6"/>
        <v>1</v>
      </c>
      <c r="J221" s="25">
        <f t="shared" si="7"/>
        <v>0.33333333333333331</v>
      </c>
    </row>
    <row r="222" spans="1:10">
      <c r="A222" s="4" t="s">
        <v>81</v>
      </c>
      <c r="B222" s="4" t="s">
        <v>130</v>
      </c>
      <c r="C222" s="4" t="s">
        <v>255</v>
      </c>
      <c r="D222" s="4" t="s">
        <v>256</v>
      </c>
      <c r="E222" s="4" t="s">
        <v>381</v>
      </c>
      <c r="F222" s="4">
        <f>COUNTIFS(Positions!$B$2:$B$4694,A222,Positions!$F$2:$F$4694,B222)</f>
        <v>7</v>
      </c>
      <c r="G222" s="4">
        <f>COUNTIFS(Positions!$B$2:$B$4694,A222,Positions!$F$2:$F$4694,B222,Positions!$E$2:$E$4694,"G")</f>
        <v>4</v>
      </c>
      <c r="H222" s="4">
        <f>COUNTIFS(Positions!$B$2:$B$4694,A222,Positions!$F$2:$F$4694,B222,Positions!$E$2:$E$4694,"C")</f>
        <v>0</v>
      </c>
      <c r="I222" s="3">
        <f t="shared" si="6"/>
        <v>4</v>
      </c>
      <c r="J222" s="6">
        <f t="shared" si="7"/>
        <v>0.5714285714285714</v>
      </c>
    </row>
    <row r="223" spans="1:10">
      <c r="A223" s="4" t="s">
        <v>81</v>
      </c>
      <c r="B223" s="4" t="s">
        <v>150</v>
      </c>
      <c r="C223" s="4" t="s">
        <v>258</v>
      </c>
      <c r="D223" s="4" t="s">
        <v>259</v>
      </c>
      <c r="E223" s="4" t="s">
        <v>382</v>
      </c>
      <c r="F223" s="4">
        <f>COUNTIFS(Positions!$B$2:$B$4694,A223,Positions!$F$2:$F$4694,B223)</f>
        <v>7</v>
      </c>
      <c r="G223" s="4">
        <f>COUNTIFS(Positions!$B$2:$B$4694,A223,Positions!$F$2:$F$4694,B223,Positions!$E$2:$E$4694,"G")</f>
        <v>2</v>
      </c>
      <c r="H223" s="4">
        <f>COUNTIFS(Positions!$B$2:$B$4694,A223,Positions!$F$2:$F$4694,B223,Positions!$E$2:$E$4694,"C")</f>
        <v>1</v>
      </c>
      <c r="I223" s="3">
        <f t="shared" si="6"/>
        <v>3</v>
      </c>
      <c r="J223" s="6">
        <f t="shared" si="7"/>
        <v>0.42857142857142855</v>
      </c>
    </row>
    <row r="224" spans="1:10">
      <c r="A224" s="4" t="s">
        <v>81</v>
      </c>
      <c r="B224" s="4" t="s">
        <v>163</v>
      </c>
      <c r="C224" s="4" t="s">
        <v>261</v>
      </c>
      <c r="D224" s="4" t="s">
        <v>262</v>
      </c>
      <c r="E224" s="4" t="s">
        <v>383</v>
      </c>
      <c r="F224" s="4">
        <f>COUNTIFS(Positions!$B$2:$B$4694,A224,Positions!$F$2:$F$4694,B224)</f>
        <v>5</v>
      </c>
      <c r="G224" s="4">
        <f>COUNTIFS(Positions!$B$2:$B$4694,A224,Positions!$F$2:$F$4694,B224,Positions!$E$2:$E$4694,"G")</f>
        <v>1</v>
      </c>
      <c r="H224" s="4">
        <f>COUNTIFS(Positions!$B$2:$B$4694,A224,Positions!$F$2:$F$4694,B224,Positions!$E$2:$E$4694,"C")</f>
        <v>1</v>
      </c>
      <c r="I224" s="3">
        <f t="shared" si="6"/>
        <v>2</v>
      </c>
      <c r="J224" s="6">
        <f t="shared" si="7"/>
        <v>0.4</v>
      </c>
    </row>
    <row r="225" spans="1:10">
      <c r="A225" s="4" t="s">
        <v>81</v>
      </c>
      <c r="B225" s="4" t="s">
        <v>175</v>
      </c>
      <c r="C225" s="4" t="s">
        <v>264</v>
      </c>
      <c r="D225" s="4" t="s">
        <v>265</v>
      </c>
      <c r="E225" s="4" t="s">
        <v>275</v>
      </c>
      <c r="F225" s="4">
        <f>COUNTIFS(Positions!$B$2:$B$4694,A225,Positions!$F$2:$F$4694,B225)</f>
        <v>7</v>
      </c>
      <c r="G225" s="4">
        <f>COUNTIFS(Positions!$B$2:$B$4694,A225,Positions!$F$2:$F$4694,B225,Positions!$E$2:$E$4694,"G")</f>
        <v>1</v>
      </c>
      <c r="H225" s="4">
        <f>COUNTIFS(Positions!$B$2:$B$4694,A225,Positions!$F$2:$F$4694,B225,Positions!$E$2:$E$4694,"C")</f>
        <v>1</v>
      </c>
      <c r="I225" s="3">
        <f t="shared" si="6"/>
        <v>2</v>
      </c>
      <c r="J225" s="6">
        <f t="shared" si="7"/>
        <v>0.2857142857142857</v>
      </c>
    </row>
    <row r="226" spans="1:10">
      <c r="A226" s="7" t="s">
        <v>81</v>
      </c>
      <c r="B226" s="7" t="s">
        <v>267</v>
      </c>
      <c r="C226" s="7" t="s">
        <v>268</v>
      </c>
      <c r="D226" s="7" t="s">
        <v>269</v>
      </c>
      <c r="E226" s="7" t="s">
        <v>270</v>
      </c>
      <c r="F226" s="7">
        <f>COUNTIFS(Positions!$B$2:$B$4694,A226,Positions!$F$2:$F$4694,"Position 8")+COUNTIFS(Positions!$B$2:$B$4694,A226,Positions!$F$2:$F$4694,"Position 9")+COUNTIFS(Positions!$B$2:$B$4694,A226,Positions!$F$2:$F$4694,"Position 26")</f>
        <v>3</v>
      </c>
      <c r="G226" s="7">
        <f>COUNTIFS(Positions!$B$2:$B$4694,A226,Positions!$F$2:$F$4694,"Position 8",Positions!$E$2:$E$4694,"G")+COUNTIFS(Positions!$B$2:$B$4694,A226,Positions!$F$2:$F$4694,"Position 9",Positions!$E$2:$E$4694,"G")+COUNTIFS(Positions!$B$2:$B$4694,A226,Positions!$F$2:$F$4694,"Position 26",Positions!$E$2:$E$4694,"G")</f>
        <v>1</v>
      </c>
      <c r="H226" s="7">
        <f>COUNTIFS(Positions!$B$2:$B$4694,A226,Positions!$F$2:$F$4694,"Position 8",Positions!$E$2:$E$4694,"C")+COUNTIFS(Positions!$B$2:$B$4694,A226,Positions!$F$2:$F$4694,"Position 9",Positions!$E$2:$E$4694,"C")+COUNTIFS(Positions!$B$2:$B$4694,A226,Positions!$F$2:$F$4694,"Position 26",Positions!$E$2:$E$4694,"C")</f>
        <v>0</v>
      </c>
      <c r="I226" s="8">
        <f t="shared" si="6"/>
        <v>1</v>
      </c>
      <c r="J226" s="25">
        <f t="shared" si="7"/>
        <v>0.33333333333333331</v>
      </c>
    </row>
    <row r="227" spans="1:10">
      <c r="A227" s="4" t="s">
        <v>82</v>
      </c>
      <c r="B227" s="4" t="s">
        <v>130</v>
      </c>
      <c r="C227" s="4" t="s">
        <v>255</v>
      </c>
      <c r="D227" s="4" t="s">
        <v>329</v>
      </c>
      <c r="E227" s="4" t="s">
        <v>384</v>
      </c>
      <c r="F227" s="4">
        <f>COUNTIFS(Positions!$B$2:$B$4694,A227,Positions!$F$2:$F$4694,B227)</f>
        <v>11</v>
      </c>
      <c r="G227" s="4">
        <f>COUNTIFS(Positions!$B$2:$B$4694,A227,Positions!$F$2:$F$4694,B227,Positions!$E$2:$E$4694,"G")</f>
        <v>3</v>
      </c>
      <c r="H227" s="4">
        <f>COUNTIFS(Positions!$B$2:$B$4694,A227,Positions!$F$2:$F$4694,B227,Positions!$E$2:$E$4694,"C")</f>
        <v>3</v>
      </c>
      <c r="I227" s="3">
        <f t="shared" si="6"/>
        <v>6</v>
      </c>
      <c r="J227" s="6">
        <f t="shared" si="7"/>
        <v>0.54545454545454541</v>
      </c>
    </row>
    <row r="228" spans="1:10">
      <c r="A228" s="4" t="s">
        <v>82</v>
      </c>
      <c r="B228" s="4" t="s">
        <v>150</v>
      </c>
      <c r="C228" s="4" t="s">
        <v>258</v>
      </c>
      <c r="D228" s="4" t="s">
        <v>331</v>
      </c>
      <c r="E228" s="4" t="s">
        <v>385</v>
      </c>
      <c r="F228" s="4">
        <f>COUNTIFS(Positions!$B$2:$B$4694,A228,Positions!$F$2:$F$4694,B228)</f>
        <v>7</v>
      </c>
      <c r="G228" s="4">
        <f>COUNTIFS(Positions!$B$2:$B$4694,A228,Positions!$F$2:$F$4694,B228,Positions!$E$2:$E$4694,"G")</f>
        <v>3</v>
      </c>
      <c r="H228" s="4">
        <f>COUNTIFS(Positions!$B$2:$B$4694,A228,Positions!$F$2:$F$4694,B228,Positions!$E$2:$E$4694,"C")</f>
        <v>1</v>
      </c>
      <c r="I228" s="3">
        <f t="shared" si="6"/>
        <v>4</v>
      </c>
      <c r="J228" s="6">
        <f t="shared" si="7"/>
        <v>0.5714285714285714</v>
      </c>
    </row>
    <row r="229" spans="1:10">
      <c r="A229" s="4" t="s">
        <v>82</v>
      </c>
      <c r="B229" s="4" t="s">
        <v>163</v>
      </c>
      <c r="C229" s="4" t="s">
        <v>261</v>
      </c>
      <c r="D229" s="4" t="s">
        <v>333</v>
      </c>
      <c r="E229" s="4" t="s">
        <v>279</v>
      </c>
      <c r="F229" s="4">
        <f>COUNTIFS(Positions!$B$2:$B$4694,A229,Positions!$F$2:$F$4694,B229)</f>
        <v>4</v>
      </c>
      <c r="G229" s="4">
        <f>COUNTIFS(Positions!$B$2:$B$4694,A229,Positions!$F$2:$F$4694,B229,Positions!$E$2:$E$4694,"G")</f>
        <v>1</v>
      </c>
      <c r="H229" s="4">
        <f>COUNTIFS(Positions!$B$2:$B$4694,A229,Positions!$F$2:$F$4694,B229,Positions!$E$2:$E$4694,"C")</f>
        <v>1</v>
      </c>
      <c r="I229" s="3">
        <f t="shared" si="6"/>
        <v>2</v>
      </c>
      <c r="J229" s="6">
        <f t="shared" si="7"/>
        <v>0.5</v>
      </c>
    </row>
    <row r="230" spans="1:10">
      <c r="A230" s="4" t="s">
        <v>82</v>
      </c>
      <c r="B230" s="4" t="s">
        <v>175</v>
      </c>
      <c r="C230" s="4" t="s">
        <v>264</v>
      </c>
      <c r="D230" s="4" t="s">
        <v>288</v>
      </c>
      <c r="E230" s="4" t="s">
        <v>275</v>
      </c>
      <c r="F230" s="4">
        <f>COUNTIFS(Positions!$B$2:$B$4694,A230,Positions!$F$2:$F$4694,B230)</f>
        <v>7</v>
      </c>
      <c r="G230" s="4">
        <f>COUNTIFS(Positions!$B$2:$B$4694,A230,Positions!$F$2:$F$4694,B230,Positions!$E$2:$E$4694,"G")</f>
        <v>1</v>
      </c>
      <c r="H230" s="4">
        <f>COUNTIFS(Positions!$B$2:$B$4694,A230,Positions!$F$2:$F$4694,B230,Positions!$E$2:$E$4694,"C")</f>
        <v>1</v>
      </c>
      <c r="I230" s="3">
        <f t="shared" si="6"/>
        <v>2</v>
      </c>
      <c r="J230" s="6">
        <f t="shared" si="7"/>
        <v>0.2857142857142857</v>
      </c>
    </row>
    <row r="231" spans="1:10">
      <c r="A231" s="7" t="s">
        <v>82</v>
      </c>
      <c r="B231" s="7" t="s">
        <v>267</v>
      </c>
      <c r="C231" s="7" t="s">
        <v>268</v>
      </c>
      <c r="D231" s="7" t="s">
        <v>334</v>
      </c>
      <c r="E231" s="7" t="s">
        <v>281</v>
      </c>
      <c r="F231" s="7">
        <f>COUNTIFS(Positions!$B$2:$B$4694,A231,Positions!$F$2:$F$4694,"Position 8")+COUNTIFS(Positions!$B$2:$B$4694,A231,Positions!$F$2:$F$4694,"Position 9")+COUNTIFS(Positions!$B$2:$B$4694,A231,Positions!$F$2:$F$4694,"Position 26")</f>
        <v>3</v>
      </c>
      <c r="G231" s="7">
        <f>COUNTIFS(Positions!$B$2:$B$4694,A231,Positions!$F$2:$F$4694,"Position 8",Positions!$E$2:$E$4694,"G")+COUNTIFS(Positions!$B$2:$B$4694,A231,Positions!$F$2:$F$4694,"Position 9",Positions!$E$2:$E$4694,"G")+COUNTIFS(Positions!$B$2:$B$4694,A231,Positions!$F$2:$F$4694,"Position 26",Positions!$E$2:$E$4694,"G")</f>
        <v>0</v>
      </c>
      <c r="H231" s="7">
        <f>COUNTIFS(Positions!$B$2:$B$4694,A231,Positions!$F$2:$F$4694,"Position 8",Positions!$E$2:$E$4694,"C")+COUNTIFS(Positions!$B$2:$B$4694,A231,Positions!$F$2:$F$4694,"Position 9",Positions!$E$2:$E$4694,"C")+COUNTIFS(Positions!$B$2:$B$4694,A231,Positions!$F$2:$F$4694,"Position 26",Positions!$E$2:$E$4694,"C")</f>
        <v>0</v>
      </c>
      <c r="I231" s="8">
        <f t="shared" si="6"/>
        <v>0</v>
      </c>
      <c r="J231" s="25">
        <f t="shared" si="7"/>
        <v>0</v>
      </c>
    </row>
    <row r="232" spans="1:10">
      <c r="A232" s="4" t="s">
        <v>83</v>
      </c>
      <c r="B232" s="4" t="s">
        <v>130</v>
      </c>
      <c r="C232" s="4" t="s">
        <v>255</v>
      </c>
      <c r="D232" s="4" t="s">
        <v>329</v>
      </c>
      <c r="E232" s="4" t="s">
        <v>386</v>
      </c>
      <c r="F232" s="4">
        <f>COUNTIFS(Positions!$B$2:$B$4694,A232,Positions!$F$2:$F$4694,B232)</f>
        <v>11</v>
      </c>
      <c r="G232" s="4">
        <f>COUNTIFS(Positions!$B$2:$B$4694,A232,Positions!$F$2:$F$4694,B232,Positions!$E$2:$E$4694,"G")</f>
        <v>3</v>
      </c>
      <c r="H232" s="4">
        <f>COUNTIFS(Positions!$B$2:$B$4694,A232,Positions!$F$2:$F$4694,B232,Positions!$E$2:$E$4694,"C")</f>
        <v>4</v>
      </c>
      <c r="I232" s="3">
        <f t="shared" si="6"/>
        <v>7</v>
      </c>
      <c r="J232" s="6">
        <f t="shared" si="7"/>
        <v>0.63636363636363635</v>
      </c>
    </row>
    <row r="233" spans="1:10">
      <c r="A233" s="4" t="s">
        <v>83</v>
      </c>
      <c r="B233" s="4" t="s">
        <v>150</v>
      </c>
      <c r="C233" s="4" t="s">
        <v>258</v>
      </c>
      <c r="D233" s="4" t="s">
        <v>331</v>
      </c>
      <c r="E233" s="4" t="s">
        <v>387</v>
      </c>
      <c r="F233" s="4">
        <f>COUNTIFS(Positions!$B$2:$B$4694,A233,Positions!$F$2:$F$4694,B233)</f>
        <v>7</v>
      </c>
      <c r="G233" s="4">
        <f>COUNTIFS(Positions!$B$2:$B$4694,A233,Positions!$F$2:$F$4694,B233,Positions!$E$2:$E$4694,"G")</f>
        <v>5</v>
      </c>
      <c r="H233" s="4">
        <f>COUNTIFS(Positions!$B$2:$B$4694,A233,Positions!$F$2:$F$4694,B233,Positions!$E$2:$E$4694,"C")</f>
        <v>1</v>
      </c>
      <c r="I233" s="3">
        <f t="shared" si="6"/>
        <v>6</v>
      </c>
      <c r="J233" s="6">
        <f t="shared" si="7"/>
        <v>0.8571428571428571</v>
      </c>
    </row>
    <row r="234" spans="1:10">
      <c r="A234" s="4" t="s">
        <v>83</v>
      </c>
      <c r="B234" s="4" t="s">
        <v>163</v>
      </c>
      <c r="C234" s="4" t="s">
        <v>261</v>
      </c>
      <c r="D234" s="4" t="s">
        <v>333</v>
      </c>
      <c r="E234" s="4" t="s">
        <v>311</v>
      </c>
      <c r="F234" s="4">
        <f>COUNTIFS(Positions!$B$2:$B$4694,A234,Positions!$F$2:$F$4694,B234)</f>
        <v>4</v>
      </c>
      <c r="G234" s="4">
        <f>COUNTIFS(Positions!$B$2:$B$4694,A234,Positions!$F$2:$F$4694,B234,Positions!$E$2:$E$4694,"G")</f>
        <v>1</v>
      </c>
      <c r="H234" s="4">
        <f>COUNTIFS(Positions!$B$2:$B$4694,A234,Positions!$F$2:$F$4694,B234,Positions!$E$2:$E$4694,"C")</f>
        <v>2</v>
      </c>
      <c r="I234" s="3">
        <f t="shared" si="6"/>
        <v>3</v>
      </c>
      <c r="J234" s="6">
        <f t="shared" si="7"/>
        <v>0.75</v>
      </c>
    </row>
    <row r="235" spans="1:10">
      <c r="A235" s="4" t="s">
        <v>83</v>
      </c>
      <c r="B235" s="4" t="s">
        <v>175</v>
      </c>
      <c r="C235" s="4" t="s">
        <v>264</v>
      </c>
      <c r="D235" s="4" t="s">
        <v>288</v>
      </c>
      <c r="E235" s="4" t="s">
        <v>388</v>
      </c>
      <c r="F235" s="4">
        <f>COUNTIFS(Positions!$B$2:$B$4694,A235,Positions!$F$2:$F$4694,B235)</f>
        <v>7</v>
      </c>
      <c r="G235" s="4">
        <f>COUNTIFS(Positions!$B$2:$B$4694,A235,Positions!$F$2:$F$4694,B235,Positions!$E$2:$E$4694,"G")</f>
        <v>0</v>
      </c>
      <c r="H235" s="4">
        <f>COUNTIFS(Positions!$B$2:$B$4694,A235,Positions!$F$2:$F$4694,B235,Positions!$E$2:$E$4694,"C")</f>
        <v>2</v>
      </c>
      <c r="I235" s="3">
        <f t="shared" si="6"/>
        <v>2</v>
      </c>
      <c r="J235" s="6">
        <f t="shared" si="7"/>
        <v>0.2857142857142857</v>
      </c>
    </row>
    <row r="236" spans="1:10">
      <c r="A236" s="7" t="s">
        <v>83</v>
      </c>
      <c r="B236" s="7" t="s">
        <v>267</v>
      </c>
      <c r="C236" s="7" t="s">
        <v>268</v>
      </c>
      <c r="D236" s="7" t="s">
        <v>334</v>
      </c>
      <c r="E236" s="7" t="s">
        <v>270</v>
      </c>
      <c r="F236" s="7">
        <f>COUNTIFS(Positions!$B$2:$B$4694,A236,Positions!$F$2:$F$4694,"Position 8")+COUNTIFS(Positions!$B$2:$B$4694,A236,Positions!$F$2:$F$4694,"Position 9")+COUNTIFS(Positions!$B$2:$B$4694,A236,Positions!$F$2:$F$4694,"Position 26")</f>
        <v>3</v>
      </c>
      <c r="G236" s="7">
        <f>COUNTIFS(Positions!$B$2:$B$4694,A236,Positions!$F$2:$F$4694,"Position 8",Positions!$E$2:$E$4694,"G")+COUNTIFS(Positions!$B$2:$B$4694,A236,Positions!$F$2:$F$4694,"Position 9",Positions!$E$2:$E$4694,"G")+COUNTIFS(Positions!$B$2:$B$4694,A236,Positions!$F$2:$F$4694,"Position 26",Positions!$E$2:$E$4694,"G")</f>
        <v>1</v>
      </c>
      <c r="H236" s="7">
        <f>COUNTIFS(Positions!$B$2:$B$4694,A236,Positions!$F$2:$F$4694,"Position 8",Positions!$E$2:$E$4694,"C")+COUNTIFS(Positions!$B$2:$B$4694,A236,Positions!$F$2:$F$4694,"Position 9",Positions!$E$2:$E$4694,"C")+COUNTIFS(Positions!$B$2:$B$4694,A236,Positions!$F$2:$F$4694,"Position 26",Positions!$E$2:$E$4694,"C")</f>
        <v>0</v>
      </c>
      <c r="I236" s="8">
        <f t="shared" si="6"/>
        <v>1</v>
      </c>
      <c r="J236" s="25">
        <f t="shared" si="7"/>
        <v>0.33333333333333331</v>
      </c>
    </row>
    <row r="237" spans="1:10">
      <c r="A237" s="4" t="s">
        <v>84</v>
      </c>
      <c r="B237" s="4" t="s">
        <v>130</v>
      </c>
      <c r="C237" s="4" t="s">
        <v>255</v>
      </c>
      <c r="D237" s="4" t="s">
        <v>329</v>
      </c>
      <c r="E237" s="4" t="s">
        <v>384</v>
      </c>
      <c r="F237" s="4">
        <f>COUNTIFS(Positions!$B$2:$B$4694,A237,Positions!$F$2:$F$4694,B237)</f>
        <v>11</v>
      </c>
      <c r="G237" s="4">
        <f>COUNTIFS(Positions!$B$2:$B$4694,A237,Positions!$F$2:$F$4694,B237,Positions!$E$2:$E$4694,"G")</f>
        <v>3</v>
      </c>
      <c r="H237" s="4">
        <f>COUNTIFS(Positions!$B$2:$B$4694,A237,Positions!$F$2:$F$4694,B237,Positions!$E$2:$E$4694,"C")</f>
        <v>3</v>
      </c>
      <c r="I237" s="3">
        <f t="shared" si="6"/>
        <v>6</v>
      </c>
      <c r="J237" s="6">
        <f t="shared" si="7"/>
        <v>0.54545454545454541</v>
      </c>
    </row>
    <row r="238" spans="1:10">
      <c r="A238" s="4" t="s">
        <v>84</v>
      </c>
      <c r="B238" s="4" t="s">
        <v>150</v>
      </c>
      <c r="C238" s="4" t="s">
        <v>258</v>
      </c>
      <c r="D238" s="4" t="s">
        <v>331</v>
      </c>
      <c r="E238" s="4" t="s">
        <v>389</v>
      </c>
      <c r="F238" s="4">
        <f>COUNTIFS(Positions!$B$2:$B$4694,A238,Positions!$F$2:$F$4694,B238)</f>
        <v>7</v>
      </c>
      <c r="G238" s="4">
        <f>COUNTIFS(Positions!$B$2:$B$4694,A238,Positions!$F$2:$F$4694,B238,Positions!$E$2:$E$4694,"G")</f>
        <v>3</v>
      </c>
      <c r="H238" s="4">
        <f>COUNTIFS(Positions!$B$2:$B$4694,A238,Positions!$F$2:$F$4694,B238,Positions!$E$2:$E$4694,"C")</f>
        <v>0</v>
      </c>
      <c r="I238" s="3">
        <f t="shared" si="6"/>
        <v>3</v>
      </c>
      <c r="J238" s="6">
        <f t="shared" si="7"/>
        <v>0.42857142857142855</v>
      </c>
    </row>
    <row r="239" spans="1:10">
      <c r="A239" s="4" t="s">
        <v>84</v>
      </c>
      <c r="B239" s="4" t="s">
        <v>163</v>
      </c>
      <c r="C239" s="4" t="s">
        <v>261</v>
      </c>
      <c r="D239" s="4" t="s">
        <v>333</v>
      </c>
      <c r="E239" s="4" t="s">
        <v>328</v>
      </c>
      <c r="F239" s="4">
        <f>COUNTIFS(Positions!$B$2:$B$4694,A239,Positions!$F$2:$F$4694,B239)</f>
        <v>4</v>
      </c>
      <c r="G239" s="4">
        <f>COUNTIFS(Positions!$B$2:$B$4694,A239,Positions!$F$2:$F$4694,B239,Positions!$E$2:$E$4694,"G")</f>
        <v>2</v>
      </c>
      <c r="H239" s="4">
        <f>COUNTIFS(Positions!$B$2:$B$4694,A239,Positions!$F$2:$F$4694,B239,Positions!$E$2:$E$4694,"C")</f>
        <v>1</v>
      </c>
      <c r="I239" s="3">
        <f t="shared" si="6"/>
        <v>3</v>
      </c>
      <c r="J239" s="6">
        <f t="shared" si="7"/>
        <v>0.75</v>
      </c>
    </row>
    <row r="240" spans="1:10">
      <c r="A240" s="4" t="s">
        <v>84</v>
      </c>
      <c r="B240" s="4" t="s">
        <v>175</v>
      </c>
      <c r="C240" s="4" t="s">
        <v>264</v>
      </c>
      <c r="D240" s="4" t="s">
        <v>288</v>
      </c>
      <c r="E240" s="4" t="s">
        <v>266</v>
      </c>
      <c r="F240" s="4">
        <f>COUNTIFS(Positions!$B$2:$B$4694,A240,Positions!$F$2:$F$4694,B240)</f>
        <v>7</v>
      </c>
      <c r="G240" s="4">
        <f>COUNTIFS(Positions!$B$2:$B$4694,A240,Positions!$F$2:$F$4694,B240,Positions!$E$2:$E$4694,"G")</f>
        <v>0</v>
      </c>
      <c r="H240" s="4">
        <f>COUNTIFS(Positions!$B$2:$B$4694,A240,Positions!$F$2:$F$4694,B240,Positions!$E$2:$E$4694,"C")</f>
        <v>1</v>
      </c>
      <c r="I240" s="3">
        <f t="shared" si="6"/>
        <v>1</v>
      </c>
      <c r="J240" s="6">
        <f t="shared" si="7"/>
        <v>0.14285714285714285</v>
      </c>
    </row>
    <row r="241" spans="1:10">
      <c r="A241" s="7" t="s">
        <v>84</v>
      </c>
      <c r="B241" s="7" t="s">
        <v>267</v>
      </c>
      <c r="C241" s="7" t="s">
        <v>268</v>
      </c>
      <c r="D241" s="7" t="s">
        <v>334</v>
      </c>
      <c r="E241" s="7" t="s">
        <v>342</v>
      </c>
      <c r="F241" s="7">
        <f>COUNTIFS(Positions!$B$2:$B$4694,A241,Positions!$F$2:$F$4694,"Position 8")+COUNTIFS(Positions!$B$2:$B$4694,A241,Positions!$F$2:$F$4694,"Position 9")+COUNTIFS(Positions!$B$2:$B$4694,A241,Positions!$F$2:$F$4694,"Position 26")</f>
        <v>3</v>
      </c>
      <c r="G241" s="7">
        <f>COUNTIFS(Positions!$B$2:$B$4694,A241,Positions!$F$2:$F$4694,"Position 8",Positions!$E$2:$E$4694,"G")+COUNTIFS(Positions!$B$2:$B$4694,A241,Positions!$F$2:$F$4694,"Position 9",Positions!$E$2:$E$4694,"G")+COUNTIFS(Positions!$B$2:$B$4694,A241,Positions!$F$2:$F$4694,"Position 26",Positions!$E$2:$E$4694,"G")</f>
        <v>0</v>
      </c>
      <c r="H241" s="7">
        <f>COUNTIFS(Positions!$B$2:$B$4694,A241,Positions!$F$2:$F$4694,"Position 8",Positions!$E$2:$E$4694,"C")+COUNTIFS(Positions!$B$2:$B$4694,A241,Positions!$F$2:$F$4694,"Position 9",Positions!$E$2:$E$4694,"C")+COUNTIFS(Positions!$B$2:$B$4694,A241,Positions!$F$2:$F$4694,"Position 26",Positions!$E$2:$E$4694,"C")</f>
        <v>1</v>
      </c>
      <c r="I241" s="8">
        <f t="shared" si="6"/>
        <v>1</v>
      </c>
      <c r="J241" s="25">
        <f t="shared" si="7"/>
        <v>0.33333333333333331</v>
      </c>
    </row>
    <row r="242" spans="1:10">
      <c r="A242" s="4" t="s">
        <v>85</v>
      </c>
      <c r="B242" s="4" t="s">
        <v>130</v>
      </c>
      <c r="C242" s="4" t="s">
        <v>255</v>
      </c>
      <c r="D242" s="4" t="s">
        <v>256</v>
      </c>
      <c r="E242" s="4" t="s">
        <v>390</v>
      </c>
      <c r="F242" s="4">
        <f>COUNTIFS(Positions!$B$2:$B$4694,A242,Positions!$F$2:$F$4694,B242)</f>
        <v>7</v>
      </c>
      <c r="G242" s="4">
        <f>COUNTIFS(Positions!$B$2:$B$4694,A242,Positions!$F$2:$F$4694,B242,Positions!$E$2:$E$4694,"G")</f>
        <v>3</v>
      </c>
      <c r="H242" s="4">
        <f>COUNTIFS(Positions!$B$2:$B$4694,A242,Positions!$F$2:$F$4694,B242,Positions!$E$2:$E$4694,"C")</f>
        <v>0</v>
      </c>
      <c r="I242" s="3">
        <f t="shared" si="6"/>
        <v>3</v>
      </c>
      <c r="J242" s="6">
        <f t="shared" si="7"/>
        <v>0.42857142857142855</v>
      </c>
    </row>
    <row r="243" spans="1:10">
      <c r="A243" s="4" t="s">
        <v>85</v>
      </c>
      <c r="B243" s="4" t="s">
        <v>150</v>
      </c>
      <c r="C243" s="4" t="s">
        <v>258</v>
      </c>
      <c r="D243" s="4" t="s">
        <v>259</v>
      </c>
      <c r="E243" s="4" t="s">
        <v>391</v>
      </c>
      <c r="F243" s="4">
        <f>COUNTIFS(Positions!$B$2:$B$4694,A243,Positions!$F$2:$F$4694,B243)</f>
        <v>7</v>
      </c>
      <c r="G243" s="4">
        <f>COUNTIFS(Positions!$B$2:$B$4694,A243,Positions!$F$2:$F$4694,B243,Positions!$E$2:$E$4694,"G")</f>
        <v>1</v>
      </c>
      <c r="H243" s="4">
        <f>COUNTIFS(Positions!$B$2:$B$4694,A243,Positions!$F$2:$F$4694,B243,Positions!$E$2:$E$4694,"C")</f>
        <v>2</v>
      </c>
      <c r="I243" s="3">
        <f t="shared" si="6"/>
        <v>3</v>
      </c>
      <c r="J243" s="6">
        <f t="shared" si="7"/>
        <v>0.42857142857142855</v>
      </c>
    </row>
    <row r="244" spans="1:10">
      <c r="A244" s="4" t="s">
        <v>85</v>
      </c>
      <c r="B244" s="4" t="s">
        <v>163</v>
      </c>
      <c r="C244" s="4" t="s">
        <v>261</v>
      </c>
      <c r="D244" s="4" t="s">
        <v>392</v>
      </c>
      <c r="E244" s="4" t="s">
        <v>393</v>
      </c>
      <c r="F244" s="4">
        <f>COUNTIFS(Positions!$B$2:$B$4694,A244,Positions!$F$2:$F$4694,B244)</f>
        <v>17</v>
      </c>
      <c r="G244" s="4">
        <f>COUNTIFS(Positions!$B$2:$B$4694,A244,Positions!$F$2:$F$4694,B244,Positions!$E$2:$E$4694,"G")</f>
        <v>5</v>
      </c>
      <c r="H244" s="4">
        <f>COUNTIFS(Positions!$B$2:$B$4694,A244,Positions!$F$2:$F$4694,B244,Positions!$E$2:$E$4694,"C")</f>
        <v>3</v>
      </c>
      <c r="I244" s="3">
        <f t="shared" si="6"/>
        <v>8</v>
      </c>
      <c r="J244" s="6">
        <f t="shared" si="7"/>
        <v>0.47058823529411764</v>
      </c>
    </row>
    <row r="245" spans="1:10">
      <c r="A245" s="4" t="s">
        <v>85</v>
      </c>
      <c r="B245" s="4" t="s">
        <v>175</v>
      </c>
      <c r="C245" s="4" t="s">
        <v>264</v>
      </c>
      <c r="D245" s="4" t="s">
        <v>394</v>
      </c>
      <c r="E245" s="4" t="s">
        <v>266</v>
      </c>
      <c r="F245" s="4">
        <f>COUNTIFS(Positions!$B$2:$B$4694,A245,Positions!$F$2:$F$4694,B245)</f>
        <v>7</v>
      </c>
      <c r="G245" s="4">
        <f>COUNTIFS(Positions!$B$2:$B$4694,A245,Positions!$F$2:$F$4694,B245,Positions!$E$2:$E$4694,"G")</f>
        <v>0</v>
      </c>
      <c r="H245" s="4">
        <f>COUNTIFS(Positions!$B$2:$B$4694,A245,Positions!$F$2:$F$4694,B245,Positions!$E$2:$E$4694,"C")</f>
        <v>1</v>
      </c>
      <c r="I245" s="3">
        <f t="shared" si="6"/>
        <v>1</v>
      </c>
      <c r="J245" s="6">
        <f t="shared" si="7"/>
        <v>0.14285714285714285</v>
      </c>
    </row>
    <row r="246" spans="1:10">
      <c r="A246" s="7" t="s">
        <v>85</v>
      </c>
      <c r="B246" s="7" t="s">
        <v>267</v>
      </c>
      <c r="C246" s="7" t="s">
        <v>268</v>
      </c>
      <c r="D246" s="7" t="s">
        <v>269</v>
      </c>
      <c r="E246" s="7" t="s">
        <v>270</v>
      </c>
      <c r="F246" s="7">
        <f>COUNTIFS(Positions!$B$2:$B$4694,A246,Positions!$F$2:$F$4694,"Position 8")+COUNTIFS(Positions!$B$2:$B$4694,A246,Positions!$F$2:$F$4694,"Position 9")+COUNTIFS(Positions!$B$2:$B$4694,A246,Positions!$F$2:$F$4694,"Position 26")</f>
        <v>3</v>
      </c>
      <c r="G246" s="7">
        <f>COUNTIFS(Positions!$B$2:$B$4694,A246,Positions!$F$2:$F$4694,"Position 8",Positions!$E$2:$E$4694,"G")+COUNTIFS(Positions!$B$2:$B$4694,A246,Positions!$F$2:$F$4694,"Position 9",Positions!$E$2:$E$4694,"G")+COUNTIFS(Positions!$B$2:$B$4694,A246,Positions!$F$2:$F$4694,"Position 26",Positions!$E$2:$E$4694,"G")</f>
        <v>1</v>
      </c>
      <c r="H246" s="7">
        <f>COUNTIFS(Positions!$B$2:$B$4694,A246,Positions!$F$2:$F$4694,"Position 8",Positions!$E$2:$E$4694,"C")+COUNTIFS(Positions!$B$2:$B$4694,A246,Positions!$F$2:$F$4694,"Position 9",Positions!$E$2:$E$4694,"C")+COUNTIFS(Positions!$B$2:$B$4694,A246,Positions!$F$2:$F$4694,"Position 26",Positions!$E$2:$E$4694,"C")</f>
        <v>0</v>
      </c>
      <c r="I246" s="8">
        <f t="shared" si="6"/>
        <v>1</v>
      </c>
      <c r="J246" s="25">
        <f t="shared" si="7"/>
        <v>0.33333333333333331</v>
      </c>
    </row>
    <row r="247" spans="1:10">
      <c r="A247" s="4" t="s">
        <v>86</v>
      </c>
      <c r="B247" s="4" t="s">
        <v>130</v>
      </c>
      <c r="C247" s="4" t="s">
        <v>255</v>
      </c>
      <c r="D247" s="4" t="s">
        <v>306</v>
      </c>
      <c r="E247" s="4" t="s">
        <v>395</v>
      </c>
      <c r="F247" s="4">
        <f>COUNTIFS(Positions!$B$2:$B$4694,A247,Positions!$F$2:$F$4694,B247)</f>
        <v>9</v>
      </c>
      <c r="G247" s="4">
        <f>COUNTIFS(Positions!$B$2:$B$4694,A247,Positions!$F$2:$F$4694,B247,Positions!$E$2:$E$4694,"G")</f>
        <v>3</v>
      </c>
      <c r="H247" s="4">
        <f>COUNTIFS(Positions!$B$2:$B$4694,A247,Positions!$F$2:$F$4694,B247,Positions!$E$2:$E$4694,"C")</f>
        <v>3</v>
      </c>
      <c r="I247" s="3">
        <f t="shared" si="6"/>
        <v>6</v>
      </c>
      <c r="J247" s="6">
        <f t="shared" si="7"/>
        <v>0.66666666666666663</v>
      </c>
    </row>
    <row r="248" spans="1:10">
      <c r="A248" s="4" t="s">
        <v>86</v>
      </c>
      <c r="B248" s="4" t="s">
        <v>150</v>
      </c>
      <c r="C248" s="4" t="s">
        <v>258</v>
      </c>
      <c r="D248" s="4" t="s">
        <v>308</v>
      </c>
      <c r="E248" s="4" t="s">
        <v>396</v>
      </c>
      <c r="F248" s="4">
        <f>COUNTIFS(Positions!$B$2:$B$4694,A248,Positions!$F$2:$F$4694,B248)</f>
        <v>7</v>
      </c>
      <c r="G248" s="4">
        <f>COUNTIFS(Positions!$B$2:$B$4694,A248,Positions!$F$2:$F$4694,B248,Positions!$E$2:$E$4694,"G")</f>
        <v>1</v>
      </c>
      <c r="H248" s="4">
        <f>COUNTIFS(Positions!$B$2:$B$4694,A248,Positions!$F$2:$F$4694,B248,Positions!$E$2:$E$4694,"C")</f>
        <v>1</v>
      </c>
      <c r="I248" s="3">
        <f t="shared" si="6"/>
        <v>2</v>
      </c>
      <c r="J248" s="6">
        <f t="shared" si="7"/>
        <v>0.2857142857142857</v>
      </c>
    </row>
    <row r="249" spans="1:10">
      <c r="A249" s="4" t="s">
        <v>86</v>
      </c>
      <c r="B249" s="4" t="s">
        <v>163</v>
      </c>
      <c r="C249" s="4" t="s">
        <v>261</v>
      </c>
      <c r="D249" s="4" t="s">
        <v>397</v>
      </c>
      <c r="E249" s="4" t="s">
        <v>398</v>
      </c>
      <c r="F249" s="4">
        <f>COUNTIFS(Positions!$B$2:$B$4694,A249,Positions!$F$2:$F$4694,B249)</f>
        <v>16</v>
      </c>
      <c r="G249" s="4">
        <f>COUNTIFS(Positions!$B$2:$B$4694,A249,Positions!$F$2:$F$4694,B249,Positions!$E$2:$E$4694,"G")</f>
        <v>4</v>
      </c>
      <c r="H249" s="4">
        <f>COUNTIFS(Positions!$B$2:$B$4694,A249,Positions!$F$2:$F$4694,B249,Positions!$E$2:$E$4694,"C")</f>
        <v>6</v>
      </c>
      <c r="I249" s="3">
        <f t="shared" si="6"/>
        <v>10</v>
      </c>
      <c r="J249" s="6">
        <f t="shared" si="7"/>
        <v>0.625</v>
      </c>
    </row>
    <row r="250" spans="1:10">
      <c r="A250" s="4" t="s">
        <v>86</v>
      </c>
      <c r="B250" s="4" t="s">
        <v>175</v>
      </c>
      <c r="C250" s="4" t="s">
        <v>264</v>
      </c>
      <c r="D250" s="4" t="s">
        <v>365</v>
      </c>
      <c r="E250" s="4" t="s">
        <v>380</v>
      </c>
      <c r="F250" s="4">
        <f>COUNTIFS(Positions!$B$2:$B$4694,A250,Positions!$F$2:$F$4694,B250)</f>
        <v>7</v>
      </c>
      <c r="G250" s="4">
        <f>COUNTIFS(Positions!$B$2:$B$4694,A250,Positions!$F$2:$F$4694,B250,Positions!$E$2:$E$4694,"G")</f>
        <v>2</v>
      </c>
      <c r="H250" s="4">
        <f>COUNTIFS(Positions!$B$2:$B$4694,A250,Positions!$F$2:$F$4694,B250,Positions!$E$2:$E$4694,"C")</f>
        <v>1</v>
      </c>
      <c r="I250" s="3">
        <f t="shared" si="6"/>
        <v>3</v>
      </c>
      <c r="J250" s="6">
        <f t="shared" si="7"/>
        <v>0.42857142857142855</v>
      </c>
    </row>
    <row r="251" spans="1:10">
      <c r="A251" s="7" t="s">
        <v>86</v>
      </c>
      <c r="B251" s="7" t="s">
        <v>267</v>
      </c>
      <c r="C251" s="7" t="s">
        <v>268</v>
      </c>
      <c r="D251" s="7" t="s">
        <v>312</v>
      </c>
      <c r="E251" s="7" t="s">
        <v>270</v>
      </c>
      <c r="F251" s="7">
        <f>COUNTIFS(Positions!$B$2:$B$4694,A251,Positions!$F$2:$F$4694,"Position 8")+COUNTIFS(Positions!$B$2:$B$4694,A251,Positions!$F$2:$F$4694,"Position 9")+COUNTIFS(Positions!$B$2:$B$4694,A251,Positions!$F$2:$F$4694,"Position 26")</f>
        <v>3</v>
      </c>
      <c r="G251" s="7">
        <f>COUNTIFS(Positions!$B$2:$B$4694,A251,Positions!$F$2:$F$4694,"Position 8",Positions!$E$2:$E$4694,"G")+COUNTIFS(Positions!$B$2:$B$4694,A251,Positions!$F$2:$F$4694,"Position 9",Positions!$E$2:$E$4694,"G")+COUNTIFS(Positions!$B$2:$B$4694,A251,Positions!$F$2:$F$4694,"Position 26",Positions!$E$2:$E$4694,"G")</f>
        <v>1</v>
      </c>
      <c r="H251" s="7">
        <f>COUNTIFS(Positions!$B$2:$B$4694,A251,Positions!$F$2:$F$4694,"Position 8",Positions!$E$2:$E$4694,"C")+COUNTIFS(Positions!$B$2:$B$4694,A251,Positions!$F$2:$F$4694,"Position 9",Positions!$E$2:$E$4694,"C")+COUNTIFS(Positions!$B$2:$B$4694,A251,Positions!$F$2:$F$4694,"Position 26",Positions!$E$2:$E$4694,"C")</f>
        <v>0</v>
      </c>
      <c r="I251" s="8">
        <f t="shared" si="6"/>
        <v>1</v>
      </c>
      <c r="J251" s="25">
        <f t="shared" si="7"/>
        <v>0.33333333333333331</v>
      </c>
    </row>
    <row r="252" spans="1:10">
      <c r="A252" s="4" t="s">
        <v>87</v>
      </c>
      <c r="B252" s="4" t="s">
        <v>130</v>
      </c>
      <c r="C252" s="4" t="s">
        <v>255</v>
      </c>
      <c r="D252" s="4" t="s">
        <v>256</v>
      </c>
      <c r="E252" s="4" t="s">
        <v>390</v>
      </c>
      <c r="F252" s="4">
        <f>COUNTIFS(Positions!$B$2:$B$4694,A252,Positions!$F$2:$F$4694,B252)</f>
        <v>7</v>
      </c>
      <c r="G252" s="4">
        <f>COUNTIFS(Positions!$B$2:$B$4694,A252,Positions!$F$2:$F$4694,B252,Positions!$E$2:$E$4694,"G")</f>
        <v>3</v>
      </c>
      <c r="H252" s="4">
        <f>COUNTIFS(Positions!$B$2:$B$4694,A252,Positions!$F$2:$F$4694,B252,Positions!$E$2:$E$4694,"C")</f>
        <v>0</v>
      </c>
      <c r="I252" s="3">
        <f t="shared" si="6"/>
        <v>3</v>
      </c>
      <c r="J252" s="6">
        <f t="shared" si="7"/>
        <v>0.42857142857142855</v>
      </c>
    </row>
    <row r="253" spans="1:10">
      <c r="A253" s="4" t="s">
        <v>87</v>
      </c>
      <c r="B253" s="4" t="s">
        <v>150</v>
      </c>
      <c r="C253" s="4" t="s">
        <v>258</v>
      </c>
      <c r="D253" s="4" t="s">
        <v>259</v>
      </c>
      <c r="E253" s="4" t="s">
        <v>399</v>
      </c>
      <c r="F253" s="4">
        <f>COUNTIFS(Positions!$B$2:$B$4694,A253,Positions!$F$2:$F$4694,B253)</f>
        <v>7</v>
      </c>
      <c r="G253" s="4">
        <f>COUNTIFS(Positions!$B$2:$B$4694,A253,Positions!$F$2:$F$4694,B253,Positions!$E$2:$E$4694,"G")</f>
        <v>2</v>
      </c>
      <c r="H253" s="4">
        <f>COUNTIFS(Positions!$B$2:$B$4694,A253,Positions!$F$2:$F$4694,B253,Positions!$E$2:$E$4694,"C")</f>
        <v>1</v>
      </c>
      <c r="I253" s="3">
        <f t="shared" si="6"/>
        <v>3</v>
      </c>
      <c r="J253" s="6">
        <f t="shared" si="7"/>
        <v>0.42857142857142855</v>
      </c>
    </row>
    <row r="254" spans="1:10">
      <c r="A254" s="4" t="s">
        <v>87</v>
      </c>
      <c r="B254" s="4" t="s">
        <v>163</v>
      </c>
      <c r="C254" s="4" t="s">
        <v>261</v>
      </c>
      <c r="D254" s="4" t="s">
        <v>400</v>
      </c>
      <c r="E254" s="4" t="s">
        <v>401</v>
      </c>
      <c r="F254" s="4">
        <f>COUNTIFS(Positions!$B$2:$B$4694,A254,Positions!$F$2:$F$4694,B254)</f>
        <v>16</v>
      </c>
      <c r="G254" s="4">
        <f>COUNTIFS(Positions!$B$2:$B$4694,A254,Positions!$F$2:$F$4694,B254,Positions!$E$2:$E$4694,"G")</f>
        <v>5</v>
      </c>
      <c r="H254" s="4">
        <f>COUNTIFS(Positions!$B$2:$B$4694,A254,Positions!$F$2:$F$4694,B254,Positions!$E$2:$E$4694,"C")</f>
        <v>7</v>
      </c>
      <c r="I254" s="3">
        <f t="shared" si="6"/>
        <v>12</v>
      </c>
      <c r="J254" s="6">
        <f t="shared" si="7"/>
        <v>0.75</v>
      </c>
    </row>
    <row r="255" spans="1:10">
      <c r="A255" s="4" t="s">
        <v>87</v>
      </c>
      <c r="B255" s="4" t="s">
        <v>175</v>
      </c>
      <c r="C255" s="4" t="s">
        <v>264</v>
      </c>
      <c r="D255" s="4" t="s">
        <v>360</v>
      </c>
      <c r="E255" s="4" t="s">
        <v>275</v>
      </c>
      <c r="F255" s="4">
        <f>COUNTIFS(Positions!$B$2:$B$4694,A255,Positions!$F$2:$F$4694,B255)</f>
        <v>7</v>
      </c>
      <c r="G255" s="4">
        <f>COUNTIFS(Positions!$B$2:$B$4694,A255,Positions!$F$2:$F$4694,B255,Positions!$E$2:$E$4694,"G")</f>
        <v>1</v>
      </c>
      <c r="H255" s="4">
        <f>COUNTIFS(Positions!$B$2:$B$4694,A255,Positions!$F$2:$F$4694,B255,Positions!$E$2:$E$4694,"C")</f>
        <v>1</v>
      </c>
      <c r="I255" s="3">
        <f t="shared" si="6"/>
        <v>2</v>
      </c>
      <c r="J255" s="6">
        <f t="shared" si="7"/>
        <v>0.2857142857142857</v>
      </c>
    </row>
    <row r="256" spans="1:10">
      <c r="A256" s="7" t="s">
        <v>87</v>
      </c>
      <c r="B256" s="7" t="s">
        <v>267</v>
      </c>
      <c r="C256" s="7" t="s">
        <v>268</v>
      </c>
      <c r="D256" s="7" t="s">
        <v>269</v>
      </c>
      <c r="E256" s="7" t="s">
        <v>270</v>
      </c>
      <c r="F256" s="7">
        <f>COUNTIFS(Positions!$B$2:$B$4694,A256,Positions!$F$2:$F$4694,"Position 8")+COUNTIFS(Positions!$B$2:$B$4694,A256,Positions!$F$2:$F$4694,"Position 9")+COUNTIFS(Positions!$B$2:$B$4694,A256,Positions!$F$2:$F$4694,"Position 26")</f>
        <v>3</v>
      </c>
      <c r="G256" s="7">
        <f>COUNTIFS(Positions!$B$2:$B$4694,A256,Positions!$F$2:$F$4694,"Position 8",Positions!$E$2:$E$4694,"G")+COUNTIFS(Positions!$B$2:$B$4694,A256,Positions!$F$2:$F$4694,"Position 9",Positions!$E$2:$E$4694,"G")+COUNTIFS(Positions!$B$2:$B$4694,A256,Positions!$F$2:$F$4694,"Position 26",Positions!$E$2:$E$4694,"G")</f>
        <v>1</v>
      </c>
      <c r="H256" s="7">
        <f>COUNTIFS(Positions!$B$2:$B$4694,A256,Positions!$F$2:$F$4694,"Position 8",Positions!$E$2:$E$4694,"C")+COUNTIFS(Positions!$B$2:$B$4694,A256,Positions!$F$2:$F$4694,"Position 9",Positions!$E$2:$E$4694,"C")+COUNTIFS(Positions!$B$2:$B$4694,A256,Positions!$F$2:$F$4694,"Position 26",Positions!$E$2:$E$4694,"C")</f>
        <v>0</v>
      </c>
      <c r="I256" s="8">
        <f t="shared" si="6"/>
        <v>1</v>
      </c>
      <c r="J256" s="25">
        <f t="shared" si="7"/>
        <v>0.33333333333333331</v>
      </c>
    </row>
    <row r="257" spans="1:10">
      <c r="A257" s="4" t="s">
        <v>88</v>
      </c>
      <c r="B257" s="4" t="s">
        <v>130</v>
      </c>
      <c r="C257" s="4" t="s">
        <v>255</v>
      </c>
      <c r="D257" s="4" t="s">
        <v>306</v>
      </c>
      <c r="E257" s="4" t="s">
        <v>402</v>
      </c>
      <c r="F257" s="4">
        <f>COUNTIFS(Positions!$B$2:$B$4694,A257,Positions!$F$2:$F$4694,B257)</f>
        <v>9</v>
      </c>
      <c r="G257" s="4">
        <f>COUNTIFS(Positions!$B$2:$B$4694,A257,Positions!$F$2:$F$4694,B257,Positions!$E$2:$E$4694,"G")</f>
        <v>3</v>
      </c>
      <c r="H257" s="4">
        <f>COUNTIFS(Positions!$B$2:$B$4694,A257,Positions!$F$2:$F$4694,B257,Positions!$E$2:$E$4694,"C")</f>
        <v>2</v>
      </c>
      <c r="I257" s="3">
        <f t="shared" si="6"/>
        <v>5</v>
      </c>
      <c r="J257" s="6">
        <f t="shared" si="7"/>
        <v>0.55555555555555558</v>
      </c>
    </row>
    <row r="258" spans="1:10">
      <c r="A258" s="4" t="s">
        <v>88</v>
      </c>
      <c r="B258" s="4" t="s">
        <v>150</v>
      </c>
      <c r="C258" s="4" t="s">
        <v>258</v>
      </c>
      <c r="D258" s="4" t="s">
        <v>308</v>
      </c>
      <c r="E258" s="4" t="s">
        <v>403</v>
      </c>
      <c r="F258" s="4">
        <f>COUNTIFS(Positions!$B$2:$B$4694,A258,Positions!$F$2:$F$4694,B258)</f>
        <v>7</v>
      </c>
      <c r="G258" s="4">
        <f>COUNTIFS(Positions!$B$2:$B$4694,A258,Positions!$F$2:$F$4694,B258,Positions!$E$2:$E$4694,"G")</f>
        <v>1</v>
      </c>
      <c r="H258" s="4">
        <f>COUNTIFS(Positions!$B$2:$B$4694,A258,Positions!$F$2:$F$4694,B258,Positions!$E$2:$E$4694,"C")</f>
        <v>1</v>
      </c>
      <c r="I258" s="3">
        <f t="shared" ref="I258:I321" si="8">G258+H258</f>
        <v>2</v>
      </c>
      <c r="J258" s="6">
        <f t="shared" ref="J258:J321" si="9">IF(F258=0,0,I258/F258)</f>
        <v>0.2857142857142857</v>
      </c>
    </row>
    <row r="259" spans="1:10">
      <c r="A259" s="4" t="s">
        <v>88</v>
      </c>
      <c r="B259" s="4" t="s">
        <v>163</v>
      </c>
      <c r="C259" s="4" t="s">
        <v>261</v>
      </c>
      <c r="D259" s="4" t="s">
        <v>397</v>
      </c>
      <c r="E259" s="4" t="s">
        <v>404</v>
      </c>
      <c r="F259" s="4">
        <f>COUNTIFS(Positions!$B$2:$B$4694,A259,Positions!$F$2:$F$4694,B259)</f>
        <v>16</v>
      </c>
      <c r="G259" s="4">
        <f>COUNTIFS(Positions!$B$2:$B$4694,A259,Positions!$F$2:$F$4694,B259,Positions!$E$2:$E$4694,"G")</f>
        <v>4</v>
      </c>
      <c r="H259" s="4">
        <f>COUNTIFS(Positions!$B$2:$B$4694,A259,Positions!$F$2:$F$4694,B259,Positions!$E$2:$E$4694,"C")</f>
        <v>5</v>
      </c>
      <c r="I259" s="3">
        <f t="shared" si="8"/>
        <v>9</v>
      </c>
      <c r="J259" s="6">
        <f t="shared" si="9"/>
        <v>0.5625</v>
      </c>
    </row>
    <row r="260" spans="1:10">
      <c r="A260" s="4" t="s">
        <v>88</v>
      </c>
      <c r="B260" s="4" t="s">
        <v>175</v>
      </c>
      <c r="C260" s="4" t="s">
        <v>264</v>
      </c>
      <c r="D260" s="4" t="s">
        <v>365</v>
      </c>
      <c r="E260" s="4" t="s">
        <v>275</v>
      </c>
      <c r="F260" s="4">
        <f>COUNTIFS(Positions!$B$2:$B$4694,A260,Positions!$F$2:$F$4694,B260)</f>
        <v>7</v>
      </c>
      <c r="G260" s="4">
        <f>COUNTIFS(Positions!$B$2:$B$4694,A260,Positions!$F$2:$F$4694,B260,Positions!$E$2:$E$4694,"G")</f>
        <v>1</v>
      </c>
      <c r="H260" s="4">
        <f>COUNTIFS(Positions!$B$2:$B$4694,A260,Positions!$F$2:$F$4694,B260,Positions!$E$2:$E$4694,"C")</f>
        <v>1</v>
      </c>
      <c r="I260" s="3">
        <f t="shared" si="8"/>
        <v>2</v>
      </c>
      <c r="J260" s="6">
        <f t="shared" si="9"/>
        <v>0.2857142857142857</v>
      </c>
    </row>
    <row r="261" spans="1:10">
      <c r="A261" s="7" t="s">
        <v>88</v>
      </c>
      <c r="B261" s="7" t="s">
        <v>267</v>
      </c>
      <c r="C261" s="7" t="s">
        <v>268</v>
      </c>
      <c r="D261" s="7" t="s">
        <v>312</v>
      </c>
      <c r="E261" s="7" t="s">
        <v>270</v>
      </c>
      <c r="F261" s="7">
        <f>COUNTIFS(Positions!$B$2:$B$4694,A261,Positions!$F$2:$F$4694,"Position 8")+COUNTIFS(Positions!$B$2:$B$4694,A261,Positions!$F$2:$F$4694,"Position 9")+COUNTIFS(Positions!$B$2:$B$4694,A261,Positions!$F$2:$F$4694,"Position 26")</f>
        <v>3</v>
      </c>
      <c r="G261" s="7">
        <f>COUNTIFS(Positions!$B$2:$B$4694,A261,Positions!$F$2:$F$4694,"Position 8",Positions!$E$2:$E$4694,"G")+COUNTIFS(Positions!$B$2:$B$4694,A261,Positions!$F$2:$F$4694,"Position 9",Positions!$E$2:$E$4694,"G")+COUNTIFS(Positions!$B$2:$B$4694,A261,Positions!$F$2:$F$4694,"Position 26",Positions!$E$2:$E$4694,"G")</f>
        <v>1</v>
      </c>
      <c r="H261" s="7">
        <f>COUNTIFS(Positions!$B$2:$B$4694,A261,Positions!$F$2:$F$4694,"Position 8",Positions!$E$2:$E$4694,"C")+COUNTIFS(Positions!$B$2:$B$4694,A261,Positions!$F$2:$F$4694,"Position 9",Positions!$E$2:$E$4694,"C")+COUNTIFS(Positions!$B$2:$B$4694,A261,Positions!$F$2:$F$4694,"Position 26",Positions!$E$2:$E$4694,"C")</f>
        <v>0</v>
      </c>
      <c r="I261" s="8">
        <f t="shared" si="8"/>
        <v>1</v>
      </c>
      <c r="J261" s="25">
        <f t="shared" si="9"/>
        <v>0.33333333333333331</v>
      </c>
    </row>
    <row r="262" spans="1:10">
      <c r="A262" s="4" t="s">
        <v>89</v>
      </c>
      <c r="B262" s="4" t="s">
        <v>130</v>
      </c>
      <c r="C262" s="4" t="s">
        <v>255</v>
      </c>
      <c r="D262" s="4" t="s">
        <v>256</v>
      </c>
      <c r="E262" s="4" t="s">
        <v>405</v>
      </c>
      <c r="F262" s="4">
        <f>COUNTIFS(Positions!$B$2:$B$4694,A262,Positions!$F$2:$F$4694,B262)</f>
        <v>7</v>
      </c>
      <c r="G262" s="4">
        <f>COUNTIFS(Positions!$B$2:$B$4694,A262,Positions!$F$2:$F$4694,B262,Positions!$E$2:$E$4694,"G")</f>
        <v>3</v>
      </c>
      <c r="H262" s="4">
        <f>COUNTIFS(Positions!$B$2:$B$4694,A262,Positions!$F$2:$F$4694,B262,Positions!$E$2:$E$4694,"C")</f>
        <v>1</v>
      </c>
      <c r="I262" s="3">
        <f t="shared" si="8"/>
        <v>4</v>
      </c>
      <c r="J262" s="6">
        <f t="shared" si="9"/>
        <v>0.5714285714285714</v>
      </c>
    </row>
    <row r="263" spans="1:10">
      <c r="A263" s="4" t="s">
        <v>89</v>
      </c>
      <c r="B263" s="4" t="s">
        <v>150</v>
      </c>
      <c r="C263" s="4" t="s">
        <v>258</v>
      </c>
      <c r="D263" s="4" t="s">
        <v>259</v>
      </c>
      <c r="E263" s="4" t="s">
        <v>406</v>
      </c>
      <c r="F263" s="4">
        <f>COUNTIFS(Positions!$B$2:$B$4694,A263,Positions!$F$2:$F$4694,B263)</f>
        <v>7</v>
      </c>
      <c r="G263" s="4">
        <f>COUNTIFS(Positions!$B$2:$B$4694,A263,Positions!$F$2:$F$4694,B263,Positions!$E$2:$E$4694,"G")</f>
        <v>1</v>
      </c>
      <c r="H263" s="4">
        <f>COUNTIFS(Positions!$B$2:$B$4694,A263,Positions!$F$2:$F$4694,B263,Positions!$E$2:$E$4694,"C")</f>
        <v>1</v>
      </c>
      <c r="I263" s="3">
        <f t="shared" si="8"/>
        <v>2</v>
      </c>
      <c r="J263" s="6">
        <f t="shared" si="9"/>
        <v>0.2857142857142857</v>
      </c>
    </row>
    <row r="264" spans="1:10">
      <c r="A264" s="4" t="s">
        <v>89</v>
      </c>
      <c r="B264" s="4" t="s">
        <v>163</v>
      </c>
      <c r="C264" s="4" t="s">
        <v>261</v>
      </c>
      <c r="D264" s="4" t="s">
        <v>262</v>
      </c>
      <c r="E264" s="4" t="s">
        <v>350</v>
      </c>
      <c r="F264" s="4">
        <f>COUNTIFS(Positions!$B$2:$B$4694,A264,Positions!$F$2:$F$4694,B264)</f>
        <v>5</v>
      </c>
      <c r="G264" s="4">
        <f>COUNTIFS(Positions!$B$2:$B$4694,A264,Positions!$F$2:$F$4694,B264,Positions!$E$2:$E$4694,"G")</f>
        <v>2</v>
      </c>
      <c r="H264" s="4">
        <f>COUNTIFS(Positions!$B$2:$B$4694,A264,Positions!$F$2:$F$4694,B264,Positions!$E$2:$E$4694,"C")</f>
        <v>1</v>
      </c>
      <c r="I264" s="3">
        <f t="shared" si="8"/>
        <v>3</v>
      </c>
      <c r="J264" s="6">
        <f t="shared" si="9"/>
        <v>0.6</v>
      </c>
    </row>
    <row r="265" spans="1:10">
      <c r="A265" s="4" t="s">
        <v>89</v>
      </c>
      <c r="B265" s="4" t="s">
        <v>175</v>
      </c>
      <c r="C265" s="4" t="s">
        <v>264</v>
      </c>
      <c r="D265" s="4" t="s">
        <v>265</v>
      </c>
      <c r="E265" s="4" t="s">
        <v>294</v>
      </c>
      <c r="F265" s="4">
        <f>COUNTIFS(Positions!$B$2:$B$4694,A265,Positions!$F$2:$F$4694,B265)</f>
        <v>7</v>
      </c>
      <c r="G265" s="4">
        <f>COUNTIFS(Positions!$B$2:$B$4694,A265,Positions!$F$2:$F$4694,B265,Positions!$E$2:$E$4694,"G")</f>
        <v>1</v>
      </c>
      <c r="H265" s="4">
        <f>COUNTIFS(Positions!$B$2:$B$4694,A265,Positions!$F$2:$F$4694,B265,Positions!$E$2:$E$4694,"C")</f>
        <v>1</v>
      </c>
      <c r="I265" s="3">
        <f t="shared" si="8"/>
        <v>2</v>
      </c>
      <c r="J265" s="6">
        <f t="shared" si="9"/>
        <v>0.2857142857142857</v>
      </c>
    </row>
    <row r="266" spans="1:10">
      <c r="A266" s="7" t="s">
        <v>89</v>
      </c>
      <c r="B266" s="7" t="s">
        <v>267</v>
      </c>
      <c r="C266" s="7" t="s">
        <v>268</v>
      </c>
      <c r="D266" s="7" t="s">
        <v>269</v>
      </c>
      <c r="E266" s="7" t="s">
        <v>290</v>
      </c>
      <c r="F266" s="7">
        <f>COUNTIFS(Positions!$B$2:$B$4694,A266,Positions!$F$2:$F$4694,"Position 8")+COUNTIFS(Positions!$B$2:$B$4694,A266,Positions!$F$2:$F$4694,"Position 9")+COUNTIFS(Positions!$B$2:$B$4694,A266,Positions!$F$2:$F$4694,"Position 26")</f>
        <v>3</v>
      </c>
      <c r="G266" s="7">
        <f>COUNTIFS(Positions!$B$2:$B$4694,A266,Positions!$F$2:$F$4694,"Position 8",Positions!$E$2:$E$4694,"G")+COUNTIFS(Positions!$B$2:$B$4694,A266,Positions!$F$2:$F$4694,"Position 9",Positions!$E$2:$E$4694,"G")+COUNTIFS(Positions!$B$2:$B$4694,A266,Positions!$F$2:$F$4694,"Position 26",Positions!$E$2:$E$4694,"G")</f>
        <v>2</v>
      </c>
      <c r="H266" s="7">
        <f>COUNTIFS(Positions!$B$2:$B$4694,A266,Positions!$F$2:$F$4694,"Position 8",Positions!$E$2:$E$4694,"C")+COUNTIFS(Positions!$B$2:$B$4694,A266,Positions!$F$2:$F$4694,"Position 9",Positions!$E$2:$E$4694,"C")+COUNTIFS(Positions!$B$2:$B$4694,A266,Positions!$F$2:$F$4694,"Position 26",Positions!$E$2:$E$4694,"C")</f>
        <v>0</v>
      </c>
      <c r="I266" s="8">
        <f t="shared" si="8"/>
        <v>2</v>
      </c>
      <c r="J266" s="25">
        <f t="shared" si="9"/>
        <v>0.66666666666666663</v>
      </c>
    </row>
    <row r="267" spans="1:10">
      <c r="A267" s="4" t="s">
        <v>90</v>
      </c>
      <c r="B267" s="4" t="s">
        <v>130</v>
      </c>
      <c r="C267" s="4" t="s">
        <v>255</v>
      </c>
      <c r="D267" s="4" t="s">
        <v>256</v>
      </c>
      <c r="E267" s="4" t="s">
        <v>407</v>
      </c>
      <c r="F267" s="4">
        <f>COUNTIFS(Positions!$B$2:$B$4694,A267,Positions!$F$2:$F$4694,B267)</f>
        <v>7</v>
      </c>
      <c r="G267" s="4">
        <f>COUNTIFS(Positions!$B$2:$B$4694,A267,Positions!$F$2:$F$4694,B267,Positions!$E$2:$E$4694,"G")</f>
        <v>4</v>
      </c>
      <c r="H267" s="4">
        <f>COUNTIFS(Positions!$B$2:$B$4694,A267,Positions!$F$2:$F$4694,B267,Positions!$E$2:$E$4694,"C")</f>
        <v>0</v>
      </c>
      <c r="I267" s="3">
        <f t="shared" si="8"/>
        <v>4</v>
      </c>
      <c r="J267" s="6">
        <f t="shared" si="9"/>
        <v>0.5714285714285714</v>
      </c>
    </row>
    <row r="268" spans="1:10">
      <c r="A268" s="4" t="s">
        <v>90</v>
      </c>
      <c r="B268" s="4" t="s">
        <v>150</v>
      </c>
      <c r="C268" s="4" t="s">
        <v>258</v>
      </c>
      <c r="D268" s="4" t="s">
        <v>259</v>
      </c>
      <c r="E268" s="4" t="s">
        <v>408</v>
      </c>
      <c r="F268" s="4">
        <f>COUNTIFS(Positions!$B$2:$B$4694,A268,Positions!$F$2:$F$4694,B268)</f>
        <v>7</v>
      </c>
      <c r="G268" s="4">
        <f>COUNTIFS(Positions!$B$2:$B$4694,A268,Positions!$F$2:$F$4694,B268,Positions!$E$2:$E$4694,"G")</f>
        <v>2</v>
      </c>
      <c r="H268" s="4">
        <f>COUNTIFS(Positions!$B$2:$B$4694,A268,Positions!$F$2:$F$4694,B268,Positions!$E$2:$E$4694,"C")</f>
        <v>0</v>
      </c>
      <c r="I268" s="3">
        <f t="shared" si="8"/>
        <v>2</v>
      </c>
      <c r="J268" s="6">
        <f t="shared" si="9"/>
        <v>0.2857142857142857</v>
      </c>
    </row>
    <row r="269" spans="1:10">
      <c r="A269" s="4" t="s">
        <v>90</v>
      </c>
      <c r="B269" s="4" t="s">
        <v>163</v>
      </c>
      <c r="C269" s="4" t="s">
        <v>261</v>
      </c>
      <c r="D269" s="4" t="s">
        <v>262</v>
      </c>
      <c r="E269" s="4" t="s">
        <v>350</v>
      </c>
      <c r="F269" s="4">
        <f>COUNTIFS(Positions!$B$2:$B$4694,A269,Positions!$F$2:$F$4694,B269)</f>
        <v>5</v>
      </c>
      <c r="G269" s="4">
        <f>COUNTIFS(Positions!$B$2:$B$4694,A269,Positions!$F$2:$F$4694,B269,Positions!$E$2:$E$4694,"G")</f>
        <v>2</v>
      </c>
      <c r="H269" s="4">
        <f>COUNTIFS(Positions!$B$2:$B$4694,A269,Positions!$F$2:$F$4694,B269,Positions!$E$2:$E$4694,"C")</f>
        <v>1</v>
      </c>
      <c r="I269" s="3">
        <f t="shared" si="8"/>
        <v>3</v>
      </c>
      <c r="J269" s="6">
        <f t="shared" si="9"/>
        <v>0.6</v>
      </c>
    </row>
    <row r="270" spans="1:10">
      <c r="A270" s="4" t="s">
        <v>90</v>
      </c>
      <c r="B270" s="4" t="s">
        <v>175</v>
      </c>
      <c r="C270" s="4" t="s">
        <v>264</v>
      </c>
      <c r="D270" s="4" t="s">
        <v>265</v>
      </c>
      <c r="E270" s="4" t="s">
        <v>266</v>
      </c>
      <c r="F270" s="4">
        <f>COUNTIFS(Positions!$B$2:$B$4694,A270,Positions!$F$2:$F$4694,B270)</f>
        <v>7</v>
      </c>
      <c r="G270" s="4">
        <f>COUNTIFS(Positions!$B$2:$B$4694,A270,Positions!$F$2:$F$4694,B270,Positions!$E$2:$E$4694,"G")</f>
        <v>0</v>
      </c>
      <c r="H270" s="4">
        <f>COUNTIFS(Positions!$B$2:$B$4694,A270,Positions!$F$2:$F$4694,B270,Positions!$E$2:$E$4694,"C")</f>
        <v>1</v>
      </c>
      <c r="I270" s="3">
        <f t="shared" si="8"/>
        <v>1</v>
      </c>
      <c r="J270" s="6">
        <f t="shared" si="9"/>
        <v>0.14285714285714285</v>
      </c>
    </row>
    <row r="271" spans="1:10">
      <c r="A271" s="7" t="s">
        <v>90</v>
      </c>
      <c r="B271" s="7" t="s">
        <v>267</v>
      </c>
      <c r="C271" s="7" t="s">
        <v>268</v>
      </c>
      <c r="D271" s="7" t="s">
        <v>269</v>
      </c>
      <c r="E271" s="7" t="s">
        <v>290</v>
      </c>
      <c r="F271" s="7">
        <f>COUNTIFS(Positions!$B$2:$B$4694,A271,Positions!$F$2:$F$4694,"Position 8")+COUNTIFS(Positions!$B$2:$B$4694,A271,Positions!$F$2:$F$4694,"Position 9")+COUNTIFS(Positions!$B$2:$B$4694,A271,Positions!$F$2:$F$4694,"Position 26")</f>
        <v>3</v>
      </c>
      <c r="G271" s="7">
        <f>COUNTIFS(Positions!$B$2:$B$4694,A271,Positions!$F$2:$F$4694,"Position 8",Positions!$E$2:$E$4694,"G")+COUNTIFS(Positions!$B$2:$B$4694,A271,Positions!$F$2:$F$4694,"Position 9",Positions!$E$2:$E$4694,"G")+COUNTIFS(Positions!$B$2:$B$4694,A271,Positions!$F$2:$F$4694,"Position 26",Positions!$E$2:$E$4694,"G")</f>
        <v>2</v>
      </c>
      <c r="H271" s="7">
        <f>COUNTIFS(Positions!$B$2:$B$4694,A271,Positions!$F$2:$F$4694,"Position 8",Positions!$E$2:$E$4694,"C")+COUNTIFS(Positions!$B$2:$B$4694,A271,Positions!$F$2:$F$4694,"Position 9",Positions!$E$2:$E$4694,"C")+COUNTIFS(Positions!$B$2:$B$4694,A271,Positions!$F$2:$F$4694,"Position 26",Positions!$E$2:$E$4694,"C")</f>
        <v>0</v>
      </c>
      <c r="I271" s="8">
        <f t="shared" si="8"/>
        <v>2</v>
      </c>
      <c r="J271" s="25">
        <f t="shared" si="9"/>
        <v>0.66666666666666663</v>
      </c>
    </row>
    <row r="272" spans="1:10">
      <c r="A272" s="4" t="s">
        <v>91</v>
      </c>
      <c r="B272" s="4" t="s">
        <v>130</v>
      </c>
      <c r="C272" s="4" t="s">
        <v>255</v>
      </c>
      <c r="D272" s="4" t="s">
        <v>306</v>
      </c>
      <c r="E272" s="4" t="s">
        <v>395</v>
      </c>
      <c r="F272" s="4">
        <f>COUNTIFS(Positions!$B$2:$B$4694,A272,Positions!$F$2:$F$4694,B272)</f>
        <v>9</v>
      </c>
      <c r="G272" s="4">
        <f>COUNTIFS(Positions!$B$2:$B$4694,A272,Positions!$F$2:$F$4694,B272,Positions!$E$2:$E$4694,"G")</f>
        <v>3</v>
      </c>
      <c r="H272" s="4">
        <f>COUNTIFS(Positions!$B$2:$B$4694,A272,Positions!$F$2:$F$4694,B272,Positions!$E$2:$E$4694,"C")</f>
        <v>3</v>
      </c>
      <c r="I272" s="3">
        <f t="shared" si="8"/>
        <v>6</v>
      </c>
      <c r="J272" s="6">
        <f t="shared" si="9"/>
        <v>0.66666666666666663</v>
      </c>
    </row>
    <row r="273" spans="1:10">
      <c r="A273" s="4" t="s">
        <v>91</v>
      </c>
      <c r="B273" s="4" t="s">
        <v>150</v>
      </c>
      <c r="C273" s="4" t="s">
        <v>258</v>
      </c>
      <c r="D273" s="4" t="s">
        <v>308</v>
      </c>
      <c r="E273" s="4" t="s">
        <v>409</v>
      </c>
      <c r="F273" s="4">
        <f>COUNTIFS(Positions!$B$2:$B$4694,A273,Positions!$F$2:$F$4694,B273)</f>
        <v>7</v>
      </c>
      <c r="G273" s="4">
        <f>COUNTIFS(Positions!$B$2:$B$4694,A273,Positions!$F$2:$F$4694,B273,Positions!$E$2:$E$4694,"G")</f>
        <v>1</v>
      </c>
      <c r="H273" s="4">
        <f>COUNTIFS(Positions!$B$2:$B$4694,A273,Positions!$F$2:$F$4694,B273,Positions!$E$2:$E$4694,"C")</f>
        <v>1</v>
      </c>
      <c r="I273" s="3">
        <f t="shared" si="8"/>
        <v>2</v>
      </c>
      <c r="J273" s="6">
        <f t="shared" si="9"/>
        <v>0.2857142857142857</v>
      </c>
    </row>
    <row r="274" spans="1:10">
      <c r="A274" s="4" t="s">
        <v>91</v>
      </c>
      <c r="B274" s="4" t="s">
        <v>163</v>
      </c>
      <c r="C274" s="4" t="s">
        <v>261</v>
      </c>
      <c r="D274" s="4" t="s">
        <v>349</v>
      </c>
      <c r="E274" s="4" t="s">
        <v>350</v>
      </c>
      <c r="F274" s="4">
        <f>COUNTIFS(Positions!$B$2:$B$4694,A274,Positions!$F$2:$F$4694,B274)</f>
        <v>5</v>
      </c>
      <c r="G274" s="4">
        <f>COUNTIFS(Positions!$B$2:$B$4694,A274,Positions!$F$2:$F$4694,B274,Positions!$E$2:$E$4694,"G")</f>
        <v>2</v>
      </c>
      <c r="H274" s="4">
        <f>COUNTIFS(Positions!$B$2:$B$4694,A274,Positions!$F$2:$F$4694,B274,Positions!$E$2:$E$4694,"C")</f>
        <v>1</v>
      </c>
      <c r="I274" s="3">
        <f t="shared" si="8"/>
        <v>3</v>
      </c>
      <c r="J274" s="6">
        <f t="shared" si="9"/>
        <v>0.6</v>
      </c>
    </row>
    <row r="275" spans="1:10">
      <c r="A275" s="4" t="s">
        <v>91</v>
      </c>
      <c r="B275" s="4" t="s">
        <v>175</v>
      </c>
      <c r="C275" s="4" t="s">
        <v>264</v>
      </c>
      <c r="D275" s="4" t="s">
        <v>298</v>
      </c>
      <c r="E275" s="4" t="s">
        <v>266</v>
      </c>
      <c r="F275" s="4">
        <f>COUNTIFS(Positions!$B$2:$B$4694,A275,Positions!$F$2:$F$4694,B275)</f>
        <v>7</v>
      </c>
      <c r="G275" s="4">
        <f>COUNTIFS(Positions!$B$2:$B$4694,A275,Positions!$F$2:$F$4694,B275,Positions!$E$2:$E$4694,"G")</f>
        <v>0</v>
      </c>
      <c r="H275" s="4">
        <f>COUNTIFS(Positions!$B$2:$B$4694,A275,Positions!$F$2:$F$4694,B275,Positions!$E$2:$E$4694,"C")</f>
        <v>1</v>
      </c>
      <c r="I275" s="3">
        <f t="shared" si="8"/>
        <v>1</v>
      </c>
      <c r="J275" s="6">
        <f t="shared" si="9"/>
        <v>0.14285714285714285</v>
      </c>
    </row>
    <row r="276" spans="1:10">
      <c r="A276" s="7" t="s">
        <v>91</v>
      </c>
      <c r="B276" s="7" t="s">
        <v>267</v>
      </c>
      <c r="C276" s="7" t="s">
        <v>268</v>
      </c>
      <c r="D276" s="7" t="s">
        <v>312</v>
      </c>
      <c r="E276" s="7" t="s">
        <v>290</v>
      </c>
      <c r="F276" s="7">
        <f>COUNTIFS(Positions!$B$2:$B$4694,A276,Positions!$F$2:$F$4694,"Position 8")+COUNTIFS(Positions!$B$2:$B$4694,A276,Positions!$F$2:$F$4694,"Position 9")+COUNTIFS(Positions!$B$2:$B$4694,A276,Positions!$F$2:$F$4694,"Position 26")</f>
        <v>3</v>
      </c>
      <c r="G276" s="7">
        <f>COUNTIFS(Positions!$B$2:$B$4694,A276,Positions!$F$2:$F$4694,"Position 8",Positions!$E$2:$E$4694,"G")+COUNTIFS(Positions!$B$2:$B$4694,A276,Positions!$F$2:$F$4694,"Position 9",Positions!$E$2:$E$4694,"G")+COUNTIFS(Positions!$B$2:$B$4694,A276,Positions!$F$2:$F$4694,"Position 26",Positions!$E$2:$E$4694,"G")</f>
        <v>2</v>
      </c>
      <c r="H276" s="7">
        <f>COUNTIFS(Positions!$B$2:$B$4694,A276,Positions!$F$2:$F$4694,"Position 8",Positions!$E$2:$E$4694,"C")+COUNTIFS(Positions!$B$2:$B$4694,A276,Positions!$F$2:$F$4694,"Position 9",Positions!$E$2:$E$4694,"C")+COUNTIFS(Positions!$B$2:$B$4694,A276,Positions!$F$2:$F$4694,"Position 26",Positions!$E$2:$E$4694,"C")</f>
        <v>0</v>
      </c>
      <c r="I276" s="8">
        <f t="shared" si="8"/>
        <v>2</v>
      </c>
      <c r="J276" s="25">
        <f t="shared" si="9"/>
        <v>0.66666666666666663</v>
      </c>
    </row>
    <row r="277" spans="1:10">
      <c r="A277" s="4" t="s">
        <v>92</v>
      </c>
      <c r="B277" s="4" t="s">
        <v>130</v>
      </c>
      <c r="C277" s="4" t="s">
        <v>255</v>
      </c>
      <c r="D277" s="4" t="s">
        <v>306</v>
      </c>
      <c r="E277" s="4" t="s">
        <v>410</v>
      </c>
      <c r="F277" s="4">
        <f>COUNTIFS(Positions!$B$2:$B$4694,A277,Positions!$F$2:$F$4694,B277)</f>
        <v>9</v>
      </c>
      <c r="G277" s="4">
        <f>COUNTIFS(Positions!$B$2:$B$4694,A277,Positions!$F$2:$F$4694,B277,Positions!$E$2:$E$4694,"G")</f>
        <v>2</v>
      </c>
      <c r="H277" s="4">
        <f>COUNTIFS(Positions!$B$2:$B$4694,A277,Positions!$F$2:$F$4694,B277,Positions!$E$2:$E$4694,"C")</f>
        <v>3</v>
      </c>
      <c r="I277" s="3">
        <f t="shared" si="8"/>
        <v>5</v>
      </c>
      <c r="J277" s="6">
        <f t="shared" si="9"/>
        <v>0.55555555555555558</v>
      </c>
    </row>
    <row r="278" spans="1:10">
      <c r="A278" s="4" t="s">
        <v>92</v>
      </c>
      <c r="B278" s="4" t="s">
        <v>150</v>
      </c>
      <c r="C278" s="4" t="s">
        <v>258</v>
      </c>
      <c r="D278" s="4" t="s">
        <v>308</v>
      </c>
      <c r="E278" s="4" t="s">
        <v>411</v>
      </c>
      <c r="F278" s="4">
        <f>COUNTIFS(Positions!$B$2:$B$4694,A278,Positions!$F$2:$F$4694,B278)</f>
        <v>7</v>
      </c>
      <c r="G278" s="4">
        <f>COUNTIFS(Positions!$B$2:$B$4694,A278,Positions!$F$2:$F$4694,B278,Positions!$E$2:$E$4694,"G")</f>
        <v>1</v>
      </c>
      <c r="H278" s="4">
        <f>COUNTIFS(Positions!$B$2:$B$4694,A278,Positions!$F$2:$F$4694,B278,Positions!$E$2:$E$4694,"C")</f>
        <v>0</v>
      </c>
      <c r="I278" s="3">
        <f t="shared" si="8"/>
        <v>1</v>
      </c>
      <c r="J278" s="6">
        <f t="shared" si="9"/>
        <v>0.14285714285714285</v>
      </c>
    </row>
    <row r="279" spans="1:10">
      <c r="A279" s="4" t="s">
        <v>92</v>
      </c>
      <c r="B279" s="4" t="s">
        <v>163</v>
      </c>
      <c r="C279" s="4" t="s">
        <v>261</v>
      </c>
      <c r="D279" s="4" t="s">
        <v>349</v>
      </c>
      <c r="E279" s="4" t="s">
        <v>350</v>
      </c>
      <c r="F279" s="4">
        <f>COUNTIFS(Positions!$B$2:$B$4694,A279,Positions!$F$2:$F$4694,B279)</f>
        <v>5</v>
      </c>
      <c r="G279" s="4">
        <f>COUNTIFS(Positions!$B$2:$B$4694,A279,Positions!$F$2:$F$4694,B279,Positions!$E$2:$E$4694,"G")</f>
        <v>2</v>
      </c>
      <c r="H279" s="4">
        <f>COUNTIFS(Positions!$B$2:$B$4694,A279,Positions!$F$2:$F$4694,B279,Positions!$E$2:$E$4694,"C")</f>
        <v>1</v>
      </c>
      <c r="I279" s="3">
        <f t="shared" si="8"/>
        <v>3</v>
      </c>
      <c r="J279" s="6">
        <f t="shared" si="9"/>
        <v>0.6</v>
      </c>
    </row>
    <row r="280" spans="1:10">
      <c r="A280" s="4" t="s">
        <v>92</v>
      </c>
      <c r="B280" s="4" t="s">
        <v>175</v>
      </c>
      <c r="C280" s="4" t="s">
        <v>264</v>
      </c>
      <c r="D280" s="4" t="s">
        <v>298</v>
      </c>
      <c r="E280" s="4" t="s">
        <v>266</v>
      </c>
      <c r="F280" s="4">
        <f>COUNTIFS(Positions!$B$2:$B$4694,A280,Positions!$F$2:$F$4694,B280)</f>
        <v>7</v>
      </c>
      <c r="G280" s="4">
        <f>COUNTIFS(Positions!$B$2:$B$4694,A280,Positions!$F$2:$F$4694,B280,Positions!$E$2:$E$4694,"G")</f>
        <v>0</v>
      </c>
      <c r="H280" s="4">
        <f>COUNTIFS(Positions!$B$2:$B$4694,A280,Positions!$F$2:$F$4694,B280,Positions!$E$2:$E$4694,"C")</f>
        <v>1</v>
      </c>
      <c r="I280" s="3">
        <f t="shared" si="8"/>
        <v>1</v>
      </c>
      <c r="J280" s="6">
        <f t="shared" si="9"/>
        <v>0.14285714285714285</v>
      </c>
    </row>
    <row r="281" spans="1:10">
      <c r="A281" s="7" t="s">
        <v>92</v>
      </c>
      <c r="B281" s="7" t="s">
        <v>267</v>
      </c>
      <c r="C281" s="7" t="s">
        <v>268</v>
      </c>
      <c r="D281" s="7" t="s">
        <v>312</v>
      </c>
      <c r="E281" s="7" t="s">
        <v>323</v>
      </c>
      <c r="F281" s="7">
        <f>COUNTIFS(Positions!$B$2:$B$4694,A281,Positions!$F$2:$F$4694,"Position 8")+COUNTIFS(Positions!$B$2:$B$4694,A281,Positions!$F$2:$F$4694,"Position 9")+COUNTIFS(Positions!$B$2:$B$4694,A281,Positions!$F$2:$F$4694,"Position 26")</f>
        <v>3</v>
      </c>
      <c r="G281" s="7">
        <f>COUNTIFS(Positions!$B$2:$B$4694,A281,Positions!$F$2:$F$4694,"Position 8",Positions!$E$2:$E$4694,"G")+COUNTIFS(Positions!$B$2:$B$4694,A281,Positions!$F$2:$F$4694,"Position 9",Positions!$E$2:$E$4694,"G")+COUNTIFS(Positions!$B$2:$B$4694,A281,Positions!$F$2:$F$4694,"Position 26",Positions!$E$2:$E$4694,"G")</f>
        <v>1</v>
      </c>
      <c r="H281" s="7">
        <f>COUNTIFS(Positions!$B$2:$B$4694,A281,Positions!$F$2:$F$4694,"Position 8",Positions!$E$2:$E$4694,"C")+COUNTIFS(Positions!$B$2:$B$4694,A281,Positions!$F$2:$F$4694,"Position 9",Positions!$E$2:$E$4694,"C")+COUNTIFS(Positions!$B$2:$B$4694,A281,Positions!$F$2:$F$4694,"Position 26",Positions!$E$2:$E$4694,"C")</f>
        <v>0</v>
      </c>
      <c r="I281" s="8">
        <f t="shared" si="8"/>
        <v>1</v>
      </c>
      <c r="J281" s="25">
        <f t="shared" si="9"/>
        <v>0.33333333333333331</v>
      </c>
    </row>
    <row r="282" spans="1:10">
      <c r="A282" s="4" t="s">
        <v>93</v>
      </c>
      <c r="B282" s="4" t="s">
        <v>130</v>
      </c>
      <c r="C282" s="4" t="s">
        <v>255</v>
      </c>
      <c r="D282" s="4" t="s">
        <v>306</v>
      </c>
      <c r="E282" s="4" t="s">
        <v>412</v>
      </c>
      <c r="F282" s="4">
        <f>COUNTIFS(Positions!$B$2:$B$4694,A282,Positions!$F$2:$F$4694,B282)</f>
        <v>9</v>
      </c>
      <c r="G282" s="4">
        <f>COUNTIFS(Positions!$B$2:$B$4694,A282,Positions!$F$2:$F$4694,B282,Positions!$E$2:$E$4694,"G")</f>
        <v>3</v>
      </c>
      <c r="H282" s="4">
        <f>COUNTIFS(Positions!$B$2:$B$4694,A282,Positions!$F$2:$F$4694,B282,Positions!$E$2:$E$4694,"C")</f>
        <v>4</v>
      </c>
      <c r="I282" s="3">
        <f t="shared" si="8"/>
        <v>7</v>
      </c>
      <c r="J282" s="6">
        <f t="shared" si="9"/>
        <v>0.77777777777777779</v>
      </c>
    </row>
    <row r="283" spans="1:10">
      <c r="A283" s="4" t="s">
        <v>93</v>
      </c>
      <c r="B283" s="4" t="s">
        <v>150</v>
      </c>
      <c r="C283" s="4" t="s">
        <v>258</v>
      </c>
      <c r="D283" s="4" t="s">
        <v>308</v>
      </c>
      <c r="E283" s="4" t="s">
        <v>413</v>
      </c>
      <c r="F283" s="4">
        <f>COUNTIFS(Positions!$B$2:$B$4694,A283,Positions!$F$2:$F$4694,B283)</f>
        <v>7</v>
      </c>
      <c r="G283" s="4">
        <f>COUNTIFS(Positions!$B$2:$B$4694,A283,Positions!$F$2:$F$4694,B283,Positions!$E$2:$E$4694,"G")</f>
        <v>1</v>
      </c>
      <c r="H283" s="4">
        <f>COUNTIFS(Positions!$B$2:$B$4694,A283,Positions!$F$2:$F$4694,B283,Positions!$E$2:$E$4694,"C")</f>
        <v>3</v>
      </c>
      <c r="I283" s="3">
        <f t="shared" si="8"/>
        <v>4</v>
      </c>
      <c r="J283" s="6">
        <f t="shared" si="9"/>
        <v>0.5714285714285714</v>
      </c>
    </row>
    <row r="284" spans="1:10">
      <c r="A284" s="4" t="s">
        <v>93</v>
      </c>
      <c r="B284" s="4" t="s">
        <v>163</v>
      </c>
      <c r="C284" s="4" t="s">
        <v>261</v>
      </c>
      <c r="D284" s="4" t="s">
        <v>349</v>
      </c>
      <c r="E284" s="4" t="s">
        <v>414</v>
      </c>
      <c r="F284" s="4">
        <f>COUNTIFS(Positions!$B$2:$B$4694,A284,Positions!$F$2:$F$4694,B284)</f>
        <v>5</v>
      </c>
      <c r="G284" s="4">
        <f>COUNTIFS(Positions!$B$2:$B$4694,A284,Positions!$F$2:$F$4694,B284,Positions!$E$2:$E$4694,"G")</f>
        <v>1</v>
      </c>
      <c r="H284" s="4">
        <f>COUNTIFS(Positions!$B$2:$B$4694,A284,Positions!$F$2:$F$4694,B284,Positions!$E$2:$E$4694,"C")</f>
        <v>2</v>
      </c>
      <c r="I284" s="3">
        <f t="shared" si="8"/>
        <v>3</v>
      </c>
      <c r="J284" s="6">
        <f t="shared" si="9"/>
        <v>0.6</v>
      </c>
    </row>
    <row r="285" spans="1:10">
      <c r="A285" s="4" t="s">
        <v>93</v>
      </c>
      <c r="B285" s="4" t="s">
        <v>175</v>
      </c>
      <c r="C285" s="4" t="s">
        <v>264</v>
      </c>
      <c r="D285" s="4" t="s">
        <v>298</v>
      </c>
      <c r="E285" s="4" t="s">
        <v>275</v>
      </c>
      <c r="F285" s="4">
        <f>COUNTIFS(Positions!$B$2:$B$4694,A285,Positions!$F$2:$F$4694,B285)</f>
        <v>7</v>
      </c>
      <c r="G285" s="4">
        <f>COUNTIFS(Positions!$B$2:$B$4694,A285,Positions!$F$2:$F$4694,B285,Positions!$E$2:$E$4694,"G")</f>
        <v>1</v>
      </c>
      <c r="H285" s="4">
        <f>COUNTIFS(Positions!$B$2:$B$4694,A285,Positions!$F$2:$F$4694,B285,Positions!$E$2:$E$4694,"C")</f>
        <v>1</v>
      </c>
      <c r="I285" s="3">
        <f t="shared" si="8"/>
        <v>2</v>
      </c>
      <c r="J285" s="6">
        <f t="shared" si="9"/>
        <v>0.2857142857142857</v>
      </c>
    </row>
    <row r="286" spans="1:10">
      <c r="A286" s="7" t="s">
        <v>93</v>
      </c>
      <c r="B286" s="7" t="s">
        <v>267</v>
      </c>
      <c r="C286" s="7" t="s">
        <v>268</v>
      </c>
      <c r="D286" s="7" t="s">
        <v>312</v>
      </c>
      <c r="E286" s="7" t="s">
        <v>290</v>
      </c>
      <c r="F286" s="7">
        <f>COUNTIFS(Positions!$B$2:$B$4694,A286,Positions!$F$2:$F$4694,"Position 8")+COUNTIFS(Positions!$B$2:$B$4694,A286,Positions!$F$2:$F$4694,"Position 9")+COUNTIFS(Positions!$B$2:$B$4694,A286,Positions!$F$2:$F$4694,"Position 26")</f>
        <v>3</v>
      </c>
      <c r="G286" s="7">
        <f>COUNTIFS(Positions!$B$2:$B$4694,A286,Positions!$F$2:$F$4694,"Position 8",Positions!$E$2:$E$4694,"G")+COUNTIFS(Positions!$B$2:$B$4694,A286,Positions!$F$2:$F$4694,"Position 9",Positions!$E$2:$E$4694,"G")+COUNTIFS(Positions!$B$2:$B$4694,A286,Positions!$F$2:$F$4694,"Position 26",Positions!$E$2:$E$4694,"G")</f>
        <v>2</v>
      </c>
      <c r="H286" s="7">
        <f>COUNTIFS(Positions!$B$2:$B$4694,A286,Positions!$F$2:$F$4694,"Position 8",Positions!$E$2:$E$4694,"C")+COUNTIFS(Positions!$B$2:$B$4694,A286,Positions!$F$2:$F$4694,"Position 9",Positions!$E$2:$E$4694,"C")+COUNTIFS(Positions!$B$2:$B$4694,A286,Positions!$F$2:$F$4694,"Position 26",Positions!$E$2:$E$4694,"C")</f>
        <v>0</v>
      </c>
      <c r="I286" s="8">
        <f t="shared" si="8"/>
        <v>2</v>
      </c>
      <c r="J286" s="25">
        <f t="shared" si="9"/>
        <v>0.66666666666666663</v>
      </c>
    </row>
    <row r="287" spans="1:10">
      <c r="A287" s="4" t="s">
        <v>94</v>
      </c>
      <c r="B287" s="4" t="s">
        <v>130</v>
      </c>
      <c r="C287" s="4" t="s">
        <v>255</v>
      </c>
      <c r="D287" s="4" t="s">
        <v>256</v>
      </c>
      <c r="E287" s="4" t="s">
        <v>390</v>
      </c>
      <c r="F287" s="4">
        <f>COUNTIFS(Positions!$B$2:$B$4694,A287,Positions!$F$2:$F$4694,B287)</f>
        <v>7</v>
      </c>
      <c r="G287" s="4">
        <f>COUNTIFS(Positions!$B$2:$B$4694,A287,Positions!$F$2:$F$4694,B287,Positions!$E$2:$E$4694,"G")</f>
        <v>3</v>
      </c>
      <c r="H287" s="4">
        <f>COUNTIFS(Positions!$B$2:$B$4694,A287,Positions!$F$2:$F$4694,B287,Positions!$E$2:$E$4694,"C")</f>
        <v>0</v>
      </c>
      <c r="I287" s="3">
        <f t="shared" si="8"/>
        <v>3</v>
      </c>
      <c r="J287" s="6">
        <f t="shared" si="9"/>
        <v>0.42857142857142855</v>
      </c>
    </row>
    <row r="288" spans="1:10">
      <c r="A288" s="4" t="s">
        <v>94</v>
      </c>
      <c r="B288" s="4" t="s">
        <v>150</v>
      </c>
      <c r="C288" s="4" t="s">
        <v>258</v>
      </c>
      <c r="D288" s="4" t="s">
        <v>259</v>
      </c>
      <c r="E288" s="4" t="s">
        <v>415</v>
      </c>
      <c r="F288" s="4">
        <f>COUNTIFS(Positions!$B$2:$B$4694,A288,Positions!$F$2:$F$4694,B288)</f>
        <v>7</v>
      </c>
      <c r="G288" s="4">
        <f>COUNTIFS(Positions!$B$2:$B$4694,A288,Positions!$F$2:$F$4694,B288,Positions!$E$2:$E$4694,"G")</f>
        <v>2</v>
      </c>
      <c r="H288" s="4">
        <f>COUNTIFS(Positions!$B$2:$B$4694,A288,Positions!$F$2:$F$4694,B288,Positions!$E$2:$E$4694,"C")</f>
        <v>1</v>
      </c>
      <c r="I288" s="3">
        <f t="shared" si="8"/>
        <v>3</v>
      </c>
      <c r="J288" s="6">
        <f t="shared" si="9"/>
        <v>0.42857142857142855</v>
      </c>
    </row>
    <row r="289" spans="1:10">
      <c r="A289" s="4" t="s">
        <v>94</v>
      </c>
      <c r="B289" s="4" t="s">
        <v>163</v>
      </c>
      <c r="C289" s="4" t="s">
        <v>261</v>
      </c>
      <c r="D289" s="4" t="s">
        <v>262</v>
      </c>
      <c r="E289" s="4" t="s">
        <v>304</v>
      </c>
      <c r="F289" s="4">
        <f>COUNTIFS(Positions!$B$2:$B$4694,A289,Positions!$F$2:$F$4694,B289)</f>
        <v>5</v>
      </c>
      <c r="G289" s="4">
        <f>COUNTIFS(Positions!$B$2:$B$4694,A289,Positions!$F$2:$F$4694,B289,Positions!$E$2:$E$4694,"G")</f>
        <v>1</v>
      </c>
      <c r="H289" s="4">
        <f>COUNTIFS(Positions!$B$2:$B$4694,A289,Positions!$F$2:$F$4694,B289,Positions!$E$2:$E$4694,"C")</f>
        <v>1</v>
      </c>
      <c r="I289" s="3">
        <f t="shared" si="8"/>
        <v>2</v>
      </c>
      <c r="J289" s="6">
        <f t="shared" si="9"/>
        <v>0.4</v>
      </c>
    </row>
    <row r="290" spans="1:10">
      <c r="A290" s="4" t="s">
        <v>94</v>
      </c>
      <c r="B290" s="4" t="s">
        <v>175</v>
      </c>
      <c r="C290" s="4" t="s">
        <v>264</v>
      </c>
      <c r="D290" s="4" t="s">
        <v>265</v>
      </c>
      <c r="E290" s="4" t="s">
        <v>380</v>
      </c>
      <c r="F290" s="4">
        <f>COUNTIFS(Positions!$B$2:$B$4694,A290,Positions!$F$2:$F$4694,B290)</f>
        <v>7</v>
      </c>
      <c r="G290" s="4">
        <f>COUNTIFS(Positions!$B$2:$B$4694,A290,Positions!$F$2:$F$4694,B290,Positions!$E$2:$E$4694,"G")</f>
        <v>2</v>
      </c>
      <c r="H290" s="4">
        <f>COUNTIFS(Positions!$B$2:$B$4694,A290,Positions!$F$2:$F$4694,B290,Positions!$E$2:$E$4694,"C")</f>
        <v>1</v>
      </c>
      <c r="I290" s="3">
        <f t="shared" si="8"/>
        <v>3</v>
      </c>
      <c r="J290" s="6">
        <f t="shared" si="9"/>
        <v>0.42857142857142855</v>
      </c>
    </row>
    <row r="291" spans="1:10">
      <c r="A291" s="7" t="s">
        <v>94</v>
      </c>
      <c r="B291" s="7" t="s">
        <v>267</v>
      </c>
      <c r="C291" s="7" t="s">
        <v>268</v>
      </c>
      <c r="D291" s="7" t="s">
        <v>269</v>
      </c>
      <c r="E291" s="7" t="s">
        <v>270</v>
      </c>
      <c r="F291" s="7">
        <f>COUNTIFS(Positions!$B$2:$B$4694,A291,Positions!$F$2:$F$4694,"Position 8")+COUNTIFS(Positions!$B$2:$B$4694,A291,Positions!$F$2:$F$4694,"Position 9")+COUNTIFS(Positions!$B$2:$B$4694,A291,Positions!$F$2:$F$4694,"Position 26")</f>
        <v>3</v>
      </c>
      <c r="G291" s="7">
        <f>COUNTIFS(Positions!$B$2:$B$4694,A291,Positions!$F$2:$F$4694,"Position 8",Positions!$E$2:$E$4694,"G")+COUNTIFS(Positions!$B$2:$B$4694,A291,Positions!$F$2:$F$4694,"Position 9",Positions!$E$2:$E$4694,"G")+COUNTIFS(Positions!$B$2:$B$4694,A291,Positions!$F$2:$F$4694,"Position 26",Positions!$E$2:$E$4694,"G")</f>
        <v>1</v>
      </c>
      <c r="H291" s="7">
        <f>COUNTIFS(Positions!$B$2:$B$4694,A291,Positions!$F$2:$F$4694,"Position 8",Positions!$E$2:$E$4694,"C")+COUNTIFS(Positions!$B$2:$B$4694,A291,Positions!$F$2:$F$4694,"Position 9",Positions!$E$2:$E$4694,"C")+COUNTIFS(Positions!$B$2:$B$4694,A291,Positions!$F$2:$F$4694,"Position 26",Positions!$E$2:$E$4694,"C")</f>
        <v>0</v>
      </c>
      <c r="I291" s="8">
        <f t="shared" si="8"/>
        <v>1</v>
      </c>
      <c r="J291" s="25">
        <f t="shared" si="9"/>
        <v>0.33333333333333331</v>
      </c>
    </row>
    <row r="292" spans="1:10">
      <c r="A292" s="4" t="s">
        <v>95</v>
      </c>
      <c r="B292" s="4" t="s">
        <v>130</v>
      </c>
      <c r="C292" s="4" t="s">
        <v>255</v>
      </c>
      <c r="D292" s="4" t="s">
        <v>306</v>
      </c>
      <c r="E292" s="4" t="s">
        <v>410</v>
      </c>
      <c r="F292" s="4">
        <f>COUNTIFS(Positions!$B$2:$B$4694,A292,Positions!$F$2:$F$4694,B292)</f>
        <v>9</v>
      </c>
      <c r="G292" s="4">
        <f>COUNTIFS(Positions!$B$2:$B$4694,A292,Positions!$F$2:$F$4694,B292,Positions!$E$2:$E$4694,"G")</f>
        <v>2</v>
      </c>
      <c r="H292" s="4">
        <f>COUNTIFS(Positions!$B$2:$B$4694,A292,Positions!$F$2:$F$4694,B292,Positions!$E$2:$E$4694,"C")</f>
        <v>3</v>
      </c>
      <c r="I292" s="3">
        <f t="shared" si="8"/>
        <v>5</v>
      </c>
      <c r="J292" s="6">
        <f t="shared" si="9"/>
        <v>0.55555555555555558</v>
      </c>
    </row>
    <row r="293" spans="1:10">
      <c r="A293" s="4" t="s">
        <v>95</v>
      </c>
      <c r="B293" s="4" t="s">
        <v>150</v>
      </c>
      <c r="C293" s="4" t="s">
        <v>258</v>
      </c>
      <c r="D293" s="4" t="s">
        <v>416</v>
      </c>
      <c r="E293" s="4" t="s">
        <v>417</v>
      </c>
      <c r="F293" s="4">
        <f>COUNTIFS(Positions!$B$2:$B$4694,A293,Positions!$F$2:$F$4694,B293)</f>
        <v>6</v>
      </c>
      <c r="G293" s="4">
        <f>COUNTIFS(Positions!$B$2:$B$4694,A293,Positions!$F$2:$F$4694,B293,Positions!$E$2:$E$4694,"G")</f>
        <v>1</v>
      </c>
      <c r="H293" s="4">
        <f>COUNTIFS(Positions!$B$2:$B$4694,A293,Positions!$F$2:$F$4694,B293,Positions!$E$2:$E$4694,"C")</f>
        <v>1</v>
      </c>
      <c r="I293" s="3">
        <f t="shared" si="8"/>
        <v>2</v>
      </c>
      <c r="J293" s="6">
        <f t="shared" si="9"/>
        <v>0.33333333333333331</v>
      </c>
    </row>
    <row r="294" spans="1:10">
      <c r="A294" s="4" t="s">
        <v>95</v>
      </c>
      <c r="B294" s="4" t="s">
        <v>163</v>
      </c>
      <c r="C294" s="4" t="s">
        <v>261</v>
      </c>
      <c r="D294" s="4" t="s">
        <v>261</v>
      </c>
      <c r="E294" s="4" t="s">
        <v>350</v>
      </c>
      <c r="F294" s="4">
        <f>COUNTIFS(Positions!$B$2:$B$4694,A294,Positions!$F$2:$F$4694,B294)</f>
        <v>5</v>
      </c>
      <c r="G294" s="4">
        <f>COUNTIFS(Positions!$B$2:$B$4694,A294,Positions!$F$2:$F$4694,B294,Positions!$E$2:$E$4694,"G")</f>
        <v>2</v>
      </c>
      <c r="H294" s="4">
        <f>COUNTIFS(Positions!$B$2:$B$4694,A294,Positions!$F$2:$F$4694,B294,Positions!$E$2:$E$4694,"C")</f>
        <v>1</v>
      </c>
      <c r="I294" s="3">
        <f t="shared" si="8"/>
        <v>3</v>
      </c>
      <c r="J294" s="6">
        <f t="shared" si="9"/>
        <v>0.6</v>
      </c>
    </row>
    <row r="295" spans="1:10">
      <c r="A295" s="4" t="s">
        <v>95</v>
      </c>
      <c r="B295" s="4" t="s">
        <v>175</v>
      </c>
      <c r="C295" s="4" t="s">
        <v>264</v>
      </c>
      <c r="D295" s="4" t="s">
        <v>264</v>
      </c>
      <c r="E295" s="4" t="s">
        <v>266</v>
      </c>
      <c r="F295" s="4">
        <f>COUNTIFS(Positions!$B$2:$B$4694,A295,Positions!$F$2:$F$4694,B295)</f>
        <v>7</v>
      </c>
      <c r="G295" s="4">
        <f>COUNTIFS(Positions!$B$2:$B$4694,A295,Positions!$F$2:$F$4694,B295,Positions!$E$2:$E$4694,"G")</f>
        <v>0</v>
      </c>
      <c r="H295" s="4">
        <f>COUNTIFS(Positions!$B$2:$B$4694,A295,Positions!$F$2:$F$4694,B295,Positions!$E$2:$E$4694,"C")</f>
        <v>1</v>
      </c>
      <c r="I295" s="3">
        <f t="shared" si="8"/>
        <v>1</v>
      </c>
      <c r="J295" s="6">
        <f t="shared" si="9"/>
        <v>0.14285714285714285</v>
      </c>
    </row>
    <row r="296" spans="1:10">
      <c r="A296" s="7" t="s">
        <v>95</v>
      </c>
      <c r="B296" s="7" t="s">
        <v>267</v>
      </c>
      <c r="C296" s="7" t="s">
        <v>268</v>
      </c>
      <c r="D296" s="7" t="s">
        <v>312</v>
      </c>
      <c r="E296" s="7" t="s">
        <v>290</v>
      </c>
      <c r="F296" s="7">
        <f>COUNTIFS(Positions!$B$2:$B$4694,A296,Positions!$F$2:$F$4694,"Position 8")+COUNTIFS(Positions!$B$2:$B$4694,A296,Positions!$F$2:$F$4694,"Position 9")+COUNTIFS(Positions!$B$2:$B$4694,A296,Positions!$F$2:$F$4694,"Position 26")</f>
        <v>3</v>
      </c>
      <c r="G296" s="7">
        <f>COUNTIFS(Positions!$B$2:$B$4694,A296,Positions!$F$2:$F$4694,"Position 8",Positions!$E$2:$E$4694,"G")+COUNTIFS(Positions!$B$2:$B$4694,A296,Positions!$F$2:$F$4694,"Position 9",Positions!$E$2:$E$4694,"G")+COUNTIFS(Positions!$B$2:$B$4694,A296,Positions!$F$2:$F$4694,"Position 26",Positions!$E$2:$E$4694,"G")</f>
        <v>2</v>
      </c>
      <c r="H296" s="7">
        <f>COUNTIFS(Positions!$B$2:$B$4694,A296,Positions!$F$2:$F$4694,"Position 8",Positions!$E$2:$E$4694,"C")+COUNTIFS(Positions!$B$2:$B$4694,A296,Positions!$F$2:$F$4694,"Position 9",Positions!$E$2:$E$4694,"C")+COUNTIFS(Positions!$B$2:$B$4694,A296,Positions!$F$2:$F$4694,"Position 26",Positions!$E$2:$E$4694,"C")</f>
        <v>0</v>
      </c>
      <c r="I296" s="8">
        <f t="shared" si="8"/>
        <v>2</v>
      </c>
      <c r="J296" s="25">
        <f t="shared" si="9"/>
        <v>0.66666666666666663</v>
      </c>
    </row>
    <row r="297" spans="1:10">
      <c r="A297" s="4" t="s">
        <v>96</v>
      </c>
      <c r="B297" s="4" t="s">
        <v>130</v>
      </c>
      <c r="C297" s="4" t="s">
        <v>255</v>
      </c>
      <c r="D297" s="4" t="s">
        <v>306</v>
      </c>
      <c r="E297" s="4" t="s">
        <v>418</v>
      </c>
      <c r="F297" s="4">
        <f>COUNTIFS(Positions!$B$2:$B$4694,A297,Positions!$F$2:$F$4694,B297)</f>
        <v>9</v>
      </c>
      <c r="G297" s="4">
        <f>COUNTIFS(Positions!$B$2:$B$4694,A297,Positions!$F$2:$F$4694,B297,Positions!$E$2:$E$4694,"G")</f>
        <v>3</v>
      </c>
      <c r="H297" s="4">
        <f>COUNTIFS(Positions!$B$2:$B$4694,A297,Positions!$F$2:$F$4694,B297,Positions!$E$2:$E$4694,"C")</f>
        <v>1</v>
      </c>
      <c r="I297" s="3">
        <f t="shared" si="8"/>
        <v>4</v>
      </c>
      <c r="J297" s="6">
        <f t="shared" si="9"/>
        <v>0.44444444444444442</v>
      </c>
    </row>
    <row r="298" spans="1:10">
      <c r="A298" s="4" t="s">
        <v>96</v>
      </c>
      <c r="B298" s="4" t="s">
        <v>150</v>
      </c>
      <c r="C298" s="4" t="s">
        <v>258</v>
      </c>
      <c r="D298" s="4" t="s">
        <v>308</v>
      </c>
      <c r="E298" s="4" t="s">
        <v>419</v>
      </c>
      <c r="F298" s="4">
        <f>COUNTIFS(Positions!$B$2:$B$4694,A298,Positions!$F$2:$F$4694,B298)</f>
        <v>7</v>
      </c>
      <c r="G298" s="4">
        <f>COUNTIFS(Positions!$B$2:$B$4694,A298,Positions!$F$2:$F$4694,B298,Positions!$E$2:$E$4694,"G")</f>
        <v>0</v>
      </c>
      <c r="H298" s="4">
        <f>COUNTIFS(Positions!$B$2:$B$4694,A298,Positions!$F$2:$F$4694,B298,Positions!$E$2:$E$4694,"C")</f>
        <v>3</v>
      </c>
      <c r="I298" s="3">
        <f t="shared" si="8"/>
        <v>3</v>
      </c>
      <c r="J298" s="6">
        <f t="shared" si="9"/>
        <v>0.42857142857142855</v>
      </c>
    </row>
    <row r="299" spans="1:10">
      <c r="A299" s="4" t="s">
        <v>96</v>
      </c>
      <c r="B299" s="4" t="s">
        <v>163</v>
      </c>
      <c r="C299" s="4" t="s">
        <v>261</v>
      </c>
      <c r="D299" s="4" t="s">
        <v>349</v>
      </c>
      <c r="E299" s="4" t="s">
        <v>350</v>
      </c>
      <c r="F299" s="4">
        <f>COUNTIFS(Positions!$B$2:$B$4694,A299,Positions!$F$2:$F$4694,B299)</f>
        <v>5</v>
      </c>
      <c r="G299" s="4">
        <f>COUNTIFS(Positions!$B$2:$B$4694,A299,Positions!$F$2:$F$4694,B299,Positions!$E$2:$E$4694,"G")</f>
        <v>2</v>
      </c>
      <c r="H299" s="4">
        <f>COUNTIFS(Positions!$B$2:$B$4694,A299,Positions!$F$2:$F$4694,B299,Positions!$E$2:$E$4694,"C")</f>
        <v>1</v>
      </c>
      <c r="I299" s="3">
        <f t="shared" si="8"/>
        <v>3</v>
      </c>
      <c r="J299" s="6">
        <f t="shared" si="9"/>
        <v>0.6</v>
      </c>
    </row>
    <row r="300" spans="1:10">
      <c r="A300" s="4" t="s">
        <v>96</v>
      </c>
      <c r="B300" s="4" t="s">
        <v>175</v>
      </c>
      <c r="C300" s="4" t="s">
        <v>264</v>
      </c>
      <c r="D300" s="4" t="s">
        <v>298</v>
      </c>
      <c r="E300" s="4" t="s">
        <v>275</v>
      </c>
      <c r="F300" s="4">
        <f>COUNTIFS(Positions!$B$2:$B$4694,A300,Positions!$F$2:$F$4694,B300)</f>
        <v>7</v>
      </c>
      <c r="G300" s="4">
        <f>COUNTIFS(Positions!$B$2:$B$4694,A300,Positions!$F$2:$F$4694,B300,Positions!$E$2:$E$4694,"G")</f>
        <v>1</v>
      </c>
      <c r="H300" s="4">
        <f>COUNTIFS(Positions!$B$2:$B$4694,A300,Positions!$F$2:$F$4694,B300,Positions!$E$2:$E$4694,"C")</f>
        <v>1</v>
      </c>
      <c r="I300" s="3">
        <f t="shared" si="8"/>
        <v>2</v>
      </c>
      <c r="J300" s="6">
        <f t="shared" si="9"/>
        <v>0.2857142857142857</v>
      </c>
    </row>
    <row r="301" spans="1:10">
      <c r="A301" s="7" t="s">
        <v>96</v>
      </c>
      <c r="B301" s="7" t="s">
        <v>267</v>
      </c>
      <c r="C301" s="7" t="s">
        <v>268</v>
      </c>
      <c r="D301" s="7" t="s">
        <v>312</v>
      </c>
      <c r="E301" s="7" t="s">
        <v>290</v>
      </c>
      <c r="F301" s="7">
        <f>COUNTIFS(Positions!$B$2:$B$4694,A301,Positions!$F$2:$F$4694,"Position 8")+COUNTIFS(Positions!$B$2:$B$4694,A301,Positions!$F$2:$F$4694,"Position 9")+COUNTIFS(Positions!$B$2:$B$4694,A301,Positions!$F$2:$F$4694,"Position 26")</f>
        <v>3</v>
      </c>
      <c r="G301" s="7">
        <f>COUNTIFS(Positions!$B$2:$B$4694,A301,Positions!$F$2:$F$4694,"Position 8",Positions!$E$2:$E$4694,"G")+COUNTIFS(Positions!$B$2:$B$4694,A301,Positions!$F$2:$F$4694,"Position 9",Positions!$E$2:$E$4694,"G")+COUNTIFS(Positions!$B$2:$B$4694,A301,Positions!$F$2:$F$4694,"Position 26",Positions!$E$2:$E$4694,"G")</f>
        <v>2</v>
      </c>
      <c r="H301" s="7">
        <f>COUNTIFS(Positions!$B$2:$B$4694,A301,Positions!$F$2:$F$4694,"Position 8",Positions!$E$2:$E$4694,"C")+COUNTIFS(Positions!$B$2:$B$4694,A301,Positions!$F$2:$F$4694,"Position 9",Positions!$E$2:$E$4694,"C")+COUNTIFS(Positions!$B$2:$B$4694,A301,Positions!$F$2:$F$4694,"Position 26",Positions!$E$2:$E$4694,"C")</f>
        <v>0</v>
      </c>
      <c r="I301" s="8">
        <f t="shared" si="8"/>
        <v>2</v>
      </c>
      <c r="J301" s="25">
        <f t="shared" si="9"/>
        <v>0.66666666666666663</v>
      </c>
    </row>
    <row r="302" spans="1:10">
      <c r="A302" s="4" t="s">
        <v>97</v>
      </c>
      <c r="B302" s="4" t="s">
        <v>130</v>
      </c>
      <c r="C302" s="4" t="s">
        <v>255</v>
      </c>
      <c r="D302" s="4" t="s">
        <v>306</v>
      </c>
      <c r="E302" s="4" t="s">
        <v>418</v>
      </c>
      <c r="F302" s="4">
        <f>COUNTIFS(Positions!$B$2:$B$4694,A302,Positions!$F$2:$F$4694,B302)</f>
        <v>9</v>
      </c>
      <c r="G302" s="4">
        <f>COUNTIFS(Positions!$B$2:$B$4694,A302,Positions!$F$2:$F$4694,B302,Positions!$E$2:$E$4694,"G")</f>
        <v>3</v>
      </c>
      <c r="H302" s="4">
        <f>COUNTIFS(Positions!$B$2:$B$4694,A302,Positions!$F$2:$F$4694,B302,Positions!$E$2:$E$4694,"C")</f>
        <v>1</v>
      </c>
      <c r="I302" s="3">
        <f t="shared" si="8"/>
        <v>4</v>
      </c>
      <c r="J302" s="6">
        <f t="shared" si="9"/>
        <v>0.44444444444444442</v>
      </c>
    </row>
    <row r="303" spans="1:10">
      <c r="A303" s="4" t="s">
        <v>97</v>
      </c>
      <c r="B303" s="4" t="s">
        <v>150</v>
      </c>
      <c r="C303" s="4" t="s">
        <v>258</v>
      </c>
      <c r="D303" s="4" t="s">
        <v>308</v>
      </c>
      <c r="E303" s="4" t="s">
        <v>420</v>
      </c>
      <c r="F303" s="4">
        <f>COUNTIFS(Positions!$B$2:$B$4694,A303,Positions!$F$2:$F$4694,B303)</f>
        <v>7</v>
      </c>
      <c r="G303" s="4">
        <f>COUNTIFS(Positions!$B$2:$B$4694,A303,Positions!$F$2:$F$4694,B303,Positions!$E$2:$E$4694,"G")</f>
        <v>1</v>
      </c>
      <c r="H303" s="4">
        <f>COUNTIFS(Positions!$B$2:$B$4694,A303,Positions!$F$2:$F$4694,B303,Positions!$E$2:$E$4694,"C")</f>
        <v>1</v>
      </c>
      <c r="I303" s="3">
        <f t="shared" si="8"/>
        <v>2</v>
      </c>
      <c r="J303" s="6">
        <f t="shared" si="9"/>
        <v>0.2857142857142857</v>
      </c>
    </row>
    <row r="304" spans="1:10">
      <c r="A304" s="4" t="s">
        <v>97</v>
      </c>
      <c r="B304" s="4" t="s">
        <v>163</v>
      </c>
      <c r="C304" s="4" t="s">
        <v>261</v>
      </c>
      <c r="D304" s="4" t="s">
        <v>349</v>
      </c>
      <c r="E304" s="4" t="s">
        <v>350</v>
      </c>
      <c r="F304" s="4">
        <f>COUNTIFS(Positions!$B$2:$B$4694,A304,Positions!$F$2:$F$4694,B304)</f>
        <v>5</v>
      </c>
      <c r="G304" s="4">
        <f>COUNTIFS(Positions!$B$2:$B$4694,A304,Positions!$F$2:$F$4694,B304,Positions!$E$2:$E$4694,"G")</f>
        <v>2</v>
      </c>
      <c r="H304" s="4">
        <f>COUNTIFS(Positions!$B$2:$B$4694,A304,Positions!$F$2:$F$4694,B304,Positions!$E$2:$E$4694,"C")</f>
        <v>1</v>
      </c>
      <c r="I304" s="3">
        <f t="shared" si="8"/>
        <v>3</v>
      </c>
      <c r="J304" s="6">
        <f t="shared" si="9"/>
        <v>0.6</v>
      </c>
    </row>
    <row r="305" spans="1:10">
      <c r="A305" s="4" t="s">
        <v>97</v>
      </c>
      <c r="B305" s="4" t="s">
        <v>175</v>
      </c>
      <c r="C305" s="4" t="s">
        <v>264</v>
      </c>
      <c r="D305" s="4" t="s">
        <v>298</v>
      </c>
      <c r="E305" s="4" t="s">
        <v>275</v>
      </c>
      <c r="F305" s="4">
        <f>COUNTIFS(Positions!$B$2:$B$4694,A305,Positions!$F$2:$F$4694,B305)</f>
        <v>7</v>
      </c>
      <c r="G305" s="4">
        <f>COUNTIFS(Positions!$B$2:$B$4694,A305,Positions!$F$2:$F$4694,B305,Positions!$E$2:$E$4694,"G")</f>
        <v>1</v>
      </c>
      <c r="H305" s="4">
        <f>COUNTIFS(Positions!$B$2:$B$4694,A305,Positions!$F$2:$F$4694,B305,Positions!$E$2:$E$4694,"C")</f>
        <v>1</v>
      </c>
      <c r="I305" s="3">
        <f t="shared" si="8"/>
        <v>2</v>
      </c>
      <c r="J305" s="6">
        <f t="shared" si="9"/>
        <v>0.2857142857142857</v>
      </c>
    </row>
    <row r="306" spans="1:10">
      <c r="A306" s="7" t="s">
        <v>97</v>
      </c>
      <c r="B306" s="7" t="s">
        <v>267</v>
      </c>
      <c r="C306" s="7" t="s">
        <v>268</v>
      </c>
      <c r="D306" s="7" t="s">
        <v>312</v>
      </c>
      <c r="E306" s="7" t="s">
        <v>290</v>
      </c>
      <c r="F306" s="7">
        <f>COUNTIFS(Positions!$B$2:$B$4694,A306,Positions!$F$2:$F$4694,"Position 8")+COUNTIFS(Positions!$B$2:$B$4694,A306,Positions!$F$2:$F$4694,"Position 9")+COUNTIFS(Positions!$B$2:$B$4694,A306,Positions!$F$2:$F$4694,"Position 26")</f>
        <v>3</v>
      </c>
      <c r="G306" s="7">
        <f>COUNTIFS(Positions!$B$2:$B$4694,A306,Positions!$F$2:$F$4694,"Position 8",Positions!$E$2:$E$4694,"G")+COUNTIFS(Positions!$B$2:$B$4694,A306,Positions!$F$2:$F$4694,"Position 9",Positions!$E$2:$E$4694,"G")+COUNTIFS(Positions!$B$2:$B$4694,A306,Positions!$F$2:$F$4694,"Position 26",Positions!$E$2:$E$4694,"G")</f>
        <v>2</v>
      </c>
      <c r="H306" s="7">
        <f>COUNTIFS(Positions!$B$2:$B$4694,A306,Positions!$F$2:$F$4694,"Position 8",Positions!$E$2:$E$4694,"C")+COUNTIFS(Positions!$B$2:$B$4694,A306,Positions!$F$2:$F$4694,"Position 9",Positions!$E$2:$E$4694,"C")+COUNTIFS(Positions!$B$2:$B$4694,A306,Positions!$F$2:$F$4694,"Position 26",Positions!$E$2:$E$4694,"C")</f>
        <v>0</v>
      </c>
      <c r="I306" s="8">
        <f t="shared" si="8"/>
        <v>2</v>
      </c>
      <c r="J306" s="25">
        <f t="shared" si="9"/>
        <v>0.66666666666666663</v>
      </c>
    </row>
    <row r="307" spans="1:10">
      <c r="A307" s="4" t="s">
        <v>98</v>
      </c>
      <c r="B307" s="4" t="s">
        <v>130</v>
      </c>
      <c r="C307" s="4" t="s">
        <v>255</v>
      </c>
      <c r="D307" s="4" t="s">
        <v>306</v>
      </c>
      <c r="E307" s="4" t="s">
        <v>418</v>
      </c>
      <c r="F307" s="4">
        <f>COUNTIFS(Positions!$B$2:$B$4694,A307,Positions!$F$2:$F$4694,B307)</f>
        <v>9</v>
      </c>
      <c r="G307" s="4">
        <f>COUNTIFS(Positions!$B$2:$B$4694,A307,Positions!$F$2:$F$4694,B307,Positions!$E$2:$E$4694,"G")</f>
        <v>3</v>
      </c>
      <c r="H307" s="4">
        <f>COUNTIFS(Positions!$B$2:$B$4694,A307,Positions!$F$2:$F$4694,B307,Positions!$E$2:$E$4694,"C")</f>
        <v>1</v>
      </c>
      <c r="I307" s="3">
        <f t="shared" si="8"/>
        <v>4</v>
      </c>
      <c r="J307" s="6">
        <f t="shared" si="9"/>
        <v>0.44444444444444442</v>
      </c>
    </row>
    <row r="308" spans="1:10">
      <c r="A308" s="4" t="s">
        <v>98</v>
      </c>
      <c r="B308" s="4" t="s">
        <v>150</v>
      </c>
      <c r="C308" s="4" t="s">
        <v>258</v>
      </c>
      <c r="D308" s="4" t="s">
        <v>308</v>
      </c>
      <c r="E308" s="4" t="s">
        <v>420</v>
      </c>
      <c r="F308" s="4">
        <f>COUNTIFS(Positions!$B$2:$B$4694,A308,Positions!$F$2:$F$4694,B308)</f>
        <v>7</v>
      </c>
      <c r="G308" s="4">
        <f>COUNTIFS(Positions!$B$2:$B$4694,A308,Positions!$F$2:$F$4694,B308,Positions!$E$2:$E$4694,"G")</f>
        <v>1</v>
      </c>
      <c r="H308" s="4">
        <f>COUNTIFS(Positions!$B$2:$B$4694,A308,Positions!$F$2:$F$4694,B308,Positions!$E$2:$E$4694,"C")</f>
        <v>1</v>
      </c>
      <c r="I308" s="3">
        <f t="shared" si="8"/>
        <v>2</v>
      </c>
      <c r="J308" s="6">
        <f t="shared" si="9"/>
        <v>0.2857142857142857</v>
      </c>
    </row>
    <row r="309" spans="1:10">
      <c r="A309" s="4" t="s">
        <v>98</v>
      </c>
      <c r="B309" s="4" t="s">
        <v>163</v>
      </c>
      <c r="C309" s="4" t="s">
        <v>261</v>
      </c>
      <c r="D309" s="4" t="s">
        <v>349</v>
      </c>
      <c r="E309" s="4" t="s">
        <v>350</v>
      </c>
      <c r="F309" s="4">
        <f>COUNTIFS(Positions!$B$2:$B$4694,A309,Positions!$F$2:$F$4694,B309)</f>
        <v>5</v>
      </c>
      <c r="G309" s="4">
        <f>COUNTIFS(Positions!$B$2:$B$4694,A309,Positions!$F$2:$F$4694,B309,Positions!$E$2:$E$4694,"G")</f>
        <v>2</v>
      </c>
      <c r="H309" s="4">
        <f>COUNTIFS(Positions!$B$2:$B$4694,A309,Positions!$F$2:$F$4694,B309,Positions!$E$2:$E$4694,"C")</f>
        <v>1</v>
      </c>
      <c r="I309" s="3">
        <f t="shared" si="8"/>
        <v>3</v>
      </c>
      <c r="J309" s="6">
        <f t="shared" si="9"/>
        <v>0.6</v>
      </c>
    </row>
    <row r="310" spans="1:10">
      <c r="A310" s="4" t="s">
        <v>98</v>
      </c>
      <c r="B310" s="4" t="s">
        <v>175</v>
      </c>
      <c r="C310" s="4" t="s">
        <v>264</v>
      </c>
      <c r="D310" s="4" t="s">
        <v>298</v>
      </c>
      <c r="E310" s="4" t="s">
        <v>275</v>
      </c>
      <c r="F310" s="4">
        <f>COUNTIFS(Positions!$B$2:$B$4694,A310,Positions!$F$2:$F$4694,B310)</f>
        <v>7</v>
      </c>
      <c r="G310" s="4">
        <f>COUNTIFS(Positions!$B$2:$B$4694,A310,Positions!$F$2:$F$4694,B310,Positions!$E$2:$E$4694,"G")</f>
        <v>1</v>
      </c>
      <c r="H310" s="4">
        <f>COUNTIFS(Positions!$B$2:$B$4694,A310,Positions!$F$2:$F$4694,B310,Positions!$E$2:$E$4694,"C")</f>
        <v>1</v>
      </c>
      <c r="I310" s="3">
        <f t="shared" si="8"/>
        <v>2</v>
      </c>
      <c r="J310" s="6">
        <f t="shared" si="9"/>
        <v>0.2857142857142857</v>
      </c>
    </row>
    <row r="311" spans="1:10">
      <c r="A311" s="7" t="s">
        <v>98</v>
      </c>
      <c r="B311" s="7" t="s">
        <v>267</v>
      </c>
      <c r="C311" s="7" t="s">
        <v>268</v>
      </c>
      <c r="D311" s="7" t="s">
        <v>312</v>
      </c>
      <c r="E311" s="7" t="s">
        <v>290</v>
      </c>
      <c r="F311" s="7">
        <f>COUNTIFS(Positions!$B$2:$B$4694,A311,Positions!$F$2:$F$4694,"Position 8")+COUNTIFS(Positions!$B$2:$B$4694,A311,Positions!$F$2:$F$4694,"Position 9")+COUNTIFS(Positions!$B$2:$B$4694,A311,Positions!$F$2:$F$4694,"Position 26")</f>
        <v>3</v>
      </c>
      <c r="G311" s="7">
        <f>COUNTIFS(Positions!$B$2:$B$4694,A311,Positions!$F$2:$F$4694,"Position 8",Positions!$E$2:$E$4694,"G")+COUNTIFS(Positions!$B$2:$B$4694,A311,Positions!$F$2:$F$4694,"Position 9",Positions!$E$2:$E$4694,"G")+COUNTIFS(Positions!$B$2:$B$4694,A311,Positions!$F$2:$F$4694,"Position 26",Positions!$E$2:$E$4694,"G")</f>
        <v>2</v>
      </c>
      <c r="H311" s="7">
        <f>COUNTIFS(Positions!$B$2:$B$4694,A311,Positions!$F$2:$F$4694,"Position 8",Positions!$E$2:$E$4694,"C")+COUNTIFS(Positions!$B$2:$B$4694,A311,Positions!$F$2:$F$4694,"Position 9",Positions!$E$2:$E$4694,"C")+COUNTIFS(Positions!$B$2:$B$4694,A311,Positions!$F$2:$F$4694,"Position 26",Positions!$E$2:$E$4694,"C")</f>
        <v>0</v>
      </c>
      <c r="I311" s="8">
        <f t="shared" si="8"/>
        <v>2</v>
      </c>
      <c r="J311" s="25">
        <f t="shared" si="9"/>
        <v>0.66666666666666663</v>
      </c>
    </row>
    <row r="312" spans="1:10">
      <c r="A312" s="4" t="s">
        <v>99</v>
      </c>
      <c r="B312" s="4" t="s">
        <v>130</v>
      </c>
      <c r="C312" s="4" t="s">
        <v>255</v>
      </c>
      <c r="D312" s="4" t="s">
        <v>306</v>
      </c>
      <c r="E312" s="4" t="s">
        <v>421</v>
      </c>
      <c r="F312" s="4">
        <f>COUNTIFS(Positions!$B$2:$B$4694,A312,Positions!$F$2:$F$4694,B312)</f>
        <v>9</v>
      </c>
      <c r="G312" s="4">
        <f>COUNTIFS(Positions!$B$2:$B$4694,A312,Positions!$F$2:$F$4694,B312,Positions!$E$2:$E$4694,"G")</f>
        <v>3</v>
      </c>
      <c r="H312" s="4">
        <f>COUNTIFS(Positions!$B$2:$B$4694,A312,Positions!$F$2:$F$4694,B312,Positions!$E$2:$E$4694,"C")</f>
        <v>1</v>
      </c>
      <c r="I312" s="3">
        <f t="shared" si="8"/>
        <v>4</v>
      </c>
      <c r="J312" s="6">
        <f t="shared" si="9"/>
        <v>0.44444444444444442</v>
      </c>
    </row>
    <row r="313" spans="1:10">
      <c r="A313" s="4" t="s">
        <v>99</v>
      </c>
      <c r="B313" s="4" t="s">
        <v>150</v>
      </c>
      <c r="C313" s="4" t="s">
        <v>258</v>
      </c>
      <c r="D313" s="4" t="s">
        <v>308</v>
      </c>
      <c r="E313" s="4" t="s">
        <v>422</v>
      </c>
      <c r="F313" s="4">
        <f>COUNTIFS(Positions!$B$2:$B$4694,A313,Positions!$F$2:$F$4694,B313)</f>
        <v>7</v>
      </c>
      <c r="G313" s="4">
        <f>COUNTIFS(Positions!$B$2:$B$4694,A313,Positions!$F$2:$F$4694,B313,Positions!$E$2:$E$4694,"G")</f>
        <v>0</v>
      </c>
      <c r="H313" s="4">
        <f>COUNTIFS(Positions!$B$2:$B$4694,A313,Positions!$F$2:$F$4694,B313,Positions!$E$2:$E$4694,"C")</f>
        <v>2</v>
      </c>
      <c r="I313" s="3">
        <f t="shared" si="8"/>
        <v>2</v>
      </c>
      <c r="J313" s="6">
        <f t="shared" si="9"/>
        <v>0.2857142857142857</v>
      </c>
    </row>
    <row r="314" spans="1:10">
      <c r="A314" s="4" t="s">
        <v>99</v>
      </c>
      <c r="B314" s="4" t="s">
        <v>163</v>
      </c>
      <c r="C314" s="4" t="s">
        <v>261</v>
      </c>
      <c r="D314" s="4" t="s">
        <v>349</v>
      </c>
      <c r="E314" s="4" t="s">
        <v>423</v>
      </c>
      <c r="F314" s="4">
        <f>COUNTIFS(Positions!$B$2:$B$4694,A314,Positions!$F$2:$F$4694,B314)</f>
        <v>5</v>
      </c>
      <c r="G314" s="4">
        <f>COUNTIFS(Positions!$B$2:$B$4694,A314,Positions!$F$2:$F$4694,B314,Positions!$E$2:$E$4694,"G")</f>
        <v>2</v>
      </c>
      <c r="H314" s="4">
        <f>COUNTIFS(Positions!$B$2:$B$4694,A314,Positions!$F$2:$F$4694,B314,Positions!$E$2:$E$4694,"C")</f>
        <v>1</v>
      </c>
      <c r="I314" s="3">
        <f t="shared" si="8"/>
        <v>3</v>
      </c>
      <c r="J314" s="6">
        <f t="shared" si="9"/>
        <v>0.6</v>
      </c>
    </row>
    <row r="315" spans="1:10">
      <c r="A315" s="4" t="s">
        <v>99</v>
      </c>
      <c r="B315" s="4" t="s">
        <v>175</v>
      </c>
      <c r="C315" s="4" t="s">
        <v>264</v>
      </c>
      <c r="D315" s="4" t="s">
        <v>298</v>
      </c>
      <c r="E315" s="4" t="s">
        <v>275</v>
      </c>
      <c r="F315" s="4">
        <f>COUNTIFS(Positions!$B$2:$B$4694,A315,Positions!$F$2:$F$4694,B315)</f>
        <v>7</v>
      </c>
      <c r="G315" s="4">
        <f>COUNTIFS(Positions!$B$2:$B$4694,A315,Positions!$F$2:$F$4694,B315,Positions!$E$2:$E$4694,"G")</f>
        <v>1</v>
      </c>
      <c r="H315" s="4">
        <f>COUNTIFS(Positions!$B$2:$B$4694,A315,Positions!$F$2:$F$4694,B315,Positions!$E$2:$E$4694,"C")</f>
        <v>1</v>
      </c>
      <c r="I315" s="3">
        <f t="shared" si="8"/>
        <v>2</v>
      </c>
      <c r="J315" s="6">
        <f t="shared" si="9"/>
        <v>0.2857142857142857</v>
      </c>
    </row>
    <row r="316" spans="1:10">
      <c r="A316" s="7" t="s">
        <v>99</v>
      </c>
      <c r="B316" s="7" t="s">
        <v>267</v>
      </c>
      <c r="C316" s="7" t="s">
        <v>268</v>
      </c>
      <c r="D316" s="7" t="s">
        <v>312</v>
      </c>
      <c r="E316" s="7" t="s">
        <v>316</v>
      </c>
      <c r="F316" s="7">
        <f>COUNTIFS(Positions!$B$2:$B$4694,A316,Positions!$F$2:$F$4694,"Position 8")+COUNTIFS(Positions!$B$2:$B$4694,A316,Positions!$F$2:$F$4694,"Position 9")+COUNTIFS(Positions!$B$2:$B$4694,A316,Positions!$F$2:$F$4694,"Position 26")</f>
        <v>3</v>
      </c>
      <c r="G316" s="7">
        <f>COUNTIFS(Positions!$B$2:$B$4694,A316,Positions!$F$2:$F$4694,"Position 8",Positions!$E$2:$E$4694,"G")+COUNTIFS(Positions!$B$2:$B$4694,A316,Positions!$F$2:$F$4694,"Position 9",Positions!$E$2:$E$4694,"G")+COUNTIFS(Positions!$B$2:$B$4694,A316,Positions!$F$2:$F$4694,"Position 26",Positions!$E$2:$E$4694,"G")</f>
        <v>1</v>
      </c>
      <c r="H316" s="7">
        <f>COUNTIFS(Positions!$B$2:$B$4694,A316,Positions!$F$2:$F$4694,"Position 8",Positions!$E$2:$E$4694,"C")+COUNTIFS(Positions!$B$2:$B$4694,A316,Positions!$F$2:$F$4694,"Position 9",Positions!$E$2:$E$4694,"C")+COUNTIFS(Positions!$B$2:$B$4694,A316,Positions!$F$2:$F$4694,"Position 26",Positions!$E$2:$E$4694,"C")</f>
        <v>0</v>
      </c>
      <c r="I316" s="8">
        <f t="shared" si="8"/>
        <v>1</v>
      </c>
      <c r="J316" s="25">
        <f t="shared" si="9"/>
        <v>0.33333333333333331</v>
      </c>
    </row>
  </sheetData>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dimension ref="A1:A78"/>
  <sheetViews>
    <sheetView workbookViewId="0"/>
  </sheetViews>
  <sheetFormatPr defaultColWidth="8.7109375" defaultRowHeight="15"/>
  <cols>
    <col min="1" max="1" width="120" customWidth="1"/>
  </cols>
  <sheetData>
    <row r="1" spans="1:1" ht="15.75">
      <c r="A1" s="26" t="s">
        <v>424</v>
      </c>
    </row>
    <row r="2" spans="1:1" ht="25.5">
      <c r="A2" s="27" t="s">
        <v>425</v>
      </c>
    </row>
    <row r="3" spans="1:1" ht="25.5">
      <c r="A3" s="27" t="s">
        <v>426</v>
      </c>
    </row>
    <row r="4" spans="1:1" ht="38.25">
      <c r="A4" s="27" t="s">
        <v>427</v>
      </c>
    </row>
    <row r="5" spans="1:1" ht="38.25">
      <c r="A5" s="27" t="s">
        <v>428</v>
      </c>
    </row>
    <row r="6" spans="1:1" ht="38.25">
      <c r="A6" s="27" t="s">
        <v>429</v>
      </c>
    </row>
    <row r="7" spans="1:1" ht="25.5">
      <c r="A7" s="27" t="s">
        <v>430</v>
      </c>
    </row>
    <row r="8" spans="1:1" ht="51">
      <c r="A8" s="27" t="s">
        <v>431</v>
      </c>
    </row>
    <row r="9" spans="1:1" ht="25.5">
      <c r="A9" s="27" t="s">
        <v>432</v>
      </c>
    </row>
    <row r="10" spans="1:1" ht="25.5">
      <c r="A10" s="27" t="s">
        <v>433</v>
      </c>
    </row>
    <row r="11" spans="1:1" ht="25.5">
      <c r="A11" s="27" t="s">
        <v>434</v>
      </c>
    </row>
    <row r="12" spans="1:1" ht="25.5">
      <c r="A12" s="27" t="s">
        <v>435</v>
      </c>
    </row>
    <row r="13" spans="1:1" ht="25.5">
      <c r="A13" s="27" t="s">
        <v>436</v>
      </c>
    </row>
    <row r="14" spans="1:1">
      <c r="A14" s="27"/>
    </row>
    <row r="15" spans="1:1">
      <c r="A15" s="27" t="s">
        <v>437</v>
      </c>
    </row>
    <row r="16" spans="1:1">
      <c r="A16" s="27" t="s">
        <v>438</v>
      </c>
    </row>
    <row r="17" spans="1:1">
      <c r="A17" s="27" t="s">
        <v>439</v>
      </c>
    </row>
    <row r="18" spans="1:1">
      <c r="A18" s="27" t="s">
        <v>440</v>
      </c>
    </row>
    <row r="19" spans="1:1">
      <c r="A19" s="27" t="s">
        <v>441</v>
      </c>
    </row>
    <row r="20" spans="1:1">
      <c r="A20" s="27" t="s">
        <v>442</v>
      </c>
    </row>
    <row r="21" spans="1:1">
      <c r="A21" s="27" t="s">
        <v>443</v>
      </c>
    </row>
    <row r="22" spans="1:1">
      <c r="A22" s="27" t="s">
        <v>444</v>
      </c>
    </row>
    <row r="23" spans="1:1">
      <c r="A23" s="27" t="s">
        <v>445</v>
      </c>
    </row>
    <row r="24" spans="1:1">
      <c r="A24" s="27" t="s">
        <v>446</v>
      </c>
    </row>
    <row r="25" spans="1:1">
      <c r="A25" s="27" t="s">
        <v>447</v>
      </c>
    </row>
    <row r="26" spans="1:1">
      <c r="A26" s="27" t="s">
        <v>448</v>
      </c>
    </row>
    <row r="27" spans="1:1">
      <c r="A27" s="27" t="s">
        <v>449</v>
      </c>
    </row>
    <row r="28" spans="1:1">
      <c r="A28" s="27" t="s">
        <v>450</v>
      </c>
    </row>
    <row r="29" spans="1:1">
      <c r="A29" s="27" t="s">
        <v>451</v>
      </c>
    </row>
    <row r="30" spans="1:1">
      <c r="A30" s="27" t="s">
        <v>452</v>
      </c>
    </row>
    <row r="31" spans="1:1">
      <c r="A31" s="27" t="s">
        <v>453</v>
      </c>
    </row>
    <row r="32" spans="1:1">
      <c r="A32" s="27" t="s">
        <v>454</v>
      </c>
    </row>
    <row r="33" spans="1:1">
      <c r="A33" s="27" t="s">
        <v>455</v>
      </c>
    </row>
    <row r="34" spans="1:1">
      <c r="A34" s="27" t="s">
        <v>456</v>
      </c>
    </row>
    <row r="35" spans="1:1">
      <c r="A35" s="27" t="s">
        <v>457</v>
      </c>
    </row>
    <row r="36" spans="1:1">
      <c r="A36" s="27" t="s">
        <v>458</v>
      </c>
    </row>
    <row r="37" spans="1:1">
      <c r="A37" s="27" t="s">
        <v>459</v>
      </c>
    </row>
    <row r="38" spans="1:1">
      <c r="A38" s="27" t="s">
        <v>460</v>
      </c>
    </row>
    <row r="39" spans="1:1">
      <c r="A39" s="27" t="s">
        <v>461</v>
      </c>
    </row>
    <row r="40" spans="1:1">
      <c r="A40" s="27" t="s">
        <v>462</v>
      </c>
    </row>
    <row r="41" spans="1:1">
      <c r="A41" s="27" t="s">
        <v>463</v>
      </c>
    </row>
    <row r="42" spans="1:1">
      <c r="A42" s="27" t="s">
        <v>464</v>
      </c>
    </row>
    <row r="43" spans="1:1">
      <c r="A43" s="27" t="s">
        <v>465</v>
      </c>
    </row>
    <row r="44" spans="1:1">
      <c r="A44" s="27" t="s">
        <v>466</v>
      </c>
    </row>
    <row r="45" spans="1:1">
      <c r="A45" s="27" t="s">
        <v>467</v>
      </c>
    </row>
    <row r="46" spans="1:1">
      <c r="A46" s="27" t="s">
        <v>468</v>
      </c>
    </row>
    <row r="47" spans="1:1">
      <c r="A47" s="27" t="s">
        <v>469</v>
      </c>
    </row>
    <row r="48" spans="1:1">
      <c r="A48" s="27" t="s">
        <v>470</v>
      </c>
    </row>
    <row r="49" spans="1:1">
      <c r="A49" s="27" t="s">
        <v>471</v>
      </c>
    </row>
    <row r="50" spans="1:1">
      <c r="A50" s="27" t="s">
        <v>472</v>
      </c>
    </row>
    <row r="51" spans="1:1">
      <c r="A51" s="27" t="s">
        <v>473</v>
      </c>
    </row>
    <row r="52" spans="1:1">
      <c r="A52" s="27" t="s">
        <v>474</v>
      </c>
    </row>
    <row r="53" spans="1:1">
      <c r="A53" s="27" t="s">
        <v>475</v>
      </c>
    </row>
    <row r="54" spans="1:1">
      <c r="A54" s="27" t="s">
        <v>476</v>
      </c>
    </row>
    <row r="55" spans="1:1">
      <c r="A55" s="27" t="s">
        <v>477</v>
      </c>
    </row>
    <row r="56" spans="1:1">
      <c r="A56" s="27" t="s">
        <v>478</v>
      </c>
    </row>
    <row r="57" spans="1:1">
      <c r="A57" s="27" t="s">
        <v>479</v>
      </c>
    </row>
    <row r="58" spans="1:1">
      <c r="A58" s="27" t="s">
        <v>480</v>
      </c>
    </row>
    <row r="59" spans="1:1">
      <c r="A59" s="27" t="s">
        <v>481</v>
      </c>
    </row>
    <row r="60" spans="1:1">
      <c r="A60" s="27" t="s">
        <v>482</v>
      </c>
    </row>
    <row r="61" spans="1:1">
      <c r="A61" s="27" t="s">
        <v>483</v>
      </c>
    </row>
    <row r="62" spans="1:1">
      <c r="A62" s="27" t="s">
        <v>484</v>
      </c>
    </row>
    <row r="63" spans="1:1">
      <c r="A63" s="27" t="s">
        <v>485</v>
      </c>
    </row>
    <row r="64" spans="1:1">
      <c r="A64" s="27" t="s">
        <v>486</v>
      </c>
    </row>
    <row r="65" spans="1:1">
      <c r="A65" s="27" t="s">
        <v>487</v>
      </c>
    </row>
    <row r="66" spans="1:1">
      <c r="A66" s="27" t="s">
        <v>488</v>
      </c>
    </row>
    <row r="67" spans="1:1">
      <c r="A67" s="27" t="s">
        <v>489</v>
      </c>
    </row>
    <row r="68" spans="1:1">
      <c r="A68" s="27" t="s">
        <v>490</v>
      </c>
    </row>
    <row r="69" spans="1:1">
      <c r="A69" s="27" t="s">
        <v>491</v>
      </c>
    </row>
    <row r="70" spans="1:1">
      <c r="A70" s="27" t="s">
        <v>492</v>
      </c>
    </row>
    <row r="71" spans="1:1">
      <c r="A71" s="27" t="s">
        <v>493</v>
      </c>
    </row>
    <row r="72" spans="1:1">
      <c r="A72" s="27" t="s">
        <v>494</v>
      </c>
    </row>
    <row r="73" spans="1:1">
      <c r="A73" s="27" t="s">
        <v>495</v>
      </c>
    </row>
    <row r="74" spans="1:1">
      <c r="A74" s="27" t="s">
        <v>496</v>
      </c>
    </row>
    <row r="75" spans="1:1">
      <c r="A75" s="27" t="s">
        <v>497</v>
      </c>
    </row>
    <row r="76" spans="1:1">
      <c r="A76" s="27" t="s">
        <v>498</v>
      </c>
    </row>
    <row r="77" spans="1:1">
      <c r="A77" s="27" t="s">
        <v>499</v>
      </c>
    </row>
    <row r="78" spans="1:1">
      <c r="A78" s="27" t="s">
        <v>500</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DocSecurity>0</DocSecurity>
  <ScaleCrop>false</ScaleCrop>
  <HeadingPairs>
    <vt:vector size="2" baseType="variant">
      <vt:variant>
        <vt:lpstr>Worksheets</vt:lpstr>
      </vt:variant>
      <vt:variant>
        <vt:i4>5</vt:i4>
      </vt:variant>
    </vt:vector>
  </HeadingPairs>
  <TitlesOfParts>
    <vt:vector size="5" baseType="lpstr">
      <vt:lpstr>GC_Summary</vt:lpstr>
      <vt:lpstr>Positions</vt:lpstr>
      <vt:lpstr>Stems_3D_BP</vt:lpstr>
      <vt:lpstr>Loops</vt:lpstr>
      <vt:lpstr>Notes</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admin</cp:lastModifiedBy>
  <cp:revision>0</cp:revision>
  <dcterms:created xsi:type="dcterms:W3CDTF">2026-10-28T15:44:32Z</dcterms:created>
  <dcterms:modified xsi:type="dcterms:W3CDTF">2026-10-31T05:36:53Z</dcterms:modified>
  <dc:language>en-US</dc:language>
</cp:coreProperties>
</file>