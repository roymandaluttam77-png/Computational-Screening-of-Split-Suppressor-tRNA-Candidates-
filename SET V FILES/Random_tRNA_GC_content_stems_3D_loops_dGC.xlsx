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C_Summary" sheetId="1" state="visible" r:id="rId3"/>
    <sheet name="Positions" sheetId="2" state="visible" r:id="rId4"/>
    <sheet name="Stems_3D_BP" sheetId="3" state="visible" r:id="rId5"/>
    <sheet name="Loops" sheetId="4" state="visible" r:id="rId6"/>
    <sheet name="Notes" sheetId="5" state="visible" r:id="rId7"/>
  </sheets>
  <definedNames>
    <definedName function="false" hidden="true" localSheetId="1" name="_xlnm._FilterDatabase" vbProcedure="false">Positions!$A$1:$F$1061</definedName>
    <definedName function="false" hidden="true" localSheetId="2" name="_xlnm._FilterDatabase" vbProcedure="false">Stems_3D_BP!$A$1:$K$365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<sst xmlns="http://schemas.openxmlformats.org/spreadsheetml/2006/main" count="5750" uniqueCount="318">
  <si>
    <t xml:space="preserve">Random tRNA candidates - G+C content of tRNA sequence, 4 stems + 3D base pairs, and 4 loops</t>
  </si>
  <si>
    <t xml:space="preserve">tRNA</t>
  </si>
  <si>
    <t xml:space="preserve">Length (nt)</t>
  </si>
  <si>
    <t xml:space="preserve">Total G</t>
  </si>
  <si>
    <t xml:space="preserve">Total C</t>
  </si>
  <si>
    <t xml:space="preserve">Total G+C</t>
  </si>
  <si>
    <t xml:space="preserve">Overall G+C %</t>
  </si>
  <si>
    <t xml:space="preserve">Acceptor stem G+C</t>
  </si>
  <si>
    <t xml:space="preserve">D-stem G+C</t>
  </si>
  <si>
    <t xml:space="preserve">AC-stem G+C</t>
  </si>
  <si>
    <t xml:space="preserve">T-stem G+C</t>
  </si>
  <si>
    <t xml:space="preserve">4 stems G+C (of 42 nt)</t>
  </si>
  <si>
    <t xml:space="preserve">4 stems G+C %</t>
  </si>
  <si>
    <t xml:space="preserve">3D BP G+C (of 14 nt)</t>
  </si>
  <si>
    <t xml:space="preserve">3D BP G+C %</t>
  </si>
  <si>
    <t xml:space="preserve">4 stems + 3D G+C (of 56 nt)</t>
  </si>
  <si>
    <t xml:space="preserve">4 stems + 3D G+C %</t>
  </si>
  <si>
    <t xml:space="preserve">D-loop G+C</t>
  </si>
  <si>
    <t xml:space="preserve">AC-loop G+C</t>
  </si>
  <si>
    <t xml:space="preserve">Variable loop G+C</t>
  </si>
  <si>
    <t xml:space="preserve">TΨC-loop G+C</t>
  </si>
  <si>
    <t xml:space="preserve">4 loops length (nt)</t>
  </si>
  <si>
    <t xml:space="preserve">4 loops G+C</t>
  </si>
  <si>
    <t xml:space="preserve">4 loops G+C %</t>
  </si>
  <si>
    <t xml:space="preserve">Pos 8 nt</t>
  </si>
  <si>
    <t xml:space="preserve">Pos 9 nt</t>
  </si>
  <si>
    <t xml:space="preserve">Pos 26 nt</t>
  </si>
  <si>
    <t xml:space="preserve">G in 8, 9, 26</t>
  </si>
  <si>
    <t xml:space="preserve">C in 8, 9, 26</t>
  </si>
  <si>
    <t xml:space="preserve">G+C in 8, 9, 26 (of 3 nt)</t>
  </si>
  <si>
    <t xml:space="preserve">8, 9, 26 G+C %</t>
  </si>
  <si>
    <t xml:space="preserve">Check: stems + loops + 8,9,26 G+C = total G+C</t>
  </si>
  <si>
    <t xml:space="preserve">Non-stem nt (4 loops + 8, 9, 26)</t>
  </si>
  <si>
    <t xml:space="preserve">Non-stem G+C</t>
  </si>
  <si>
    <t xml:space="preserve">GC_nonstem %</t>
  </si>
  <si>
    <t xml:space="preserve">GC_stem % (4 stems, 42 nt)</t>
  </si>
  <si>
    <t xml:space="preserve">ΔGC = GC_stem − GC_nonstem</t>
  </si>
  <si>
    <t xml:space="preserve">R_5_18</t>
  </si>
  <si>
    <t xml:space="preserve">R_5_71</t>
  </si>
  <si>
    <t xml:space="preserve">R_7_43</t>
  </si>
  <si>
    <t xml:space="preserve">R_10_33</t>
  </si>
  <si>
    <t xml:space="preserve">R_18_105</t>
  </si>
  <si>
    <t xml:space="preserve">R_20_255</t>
  </si>
  <si>
    <t xml:space="preserve">R_26_624</t>
  </si>
  <si>
    <t xml:space="preserve">R_27_667</t>
  </si>
  <si>
    <t xml:space="preserve">R_28_773</t>
  </si>
  <si>
    <t xml:space="preserve">R_43_1746</t>
  </si>
  <si>
    <t xml:space="preserve">R_43_1753</t>
  </si>
  <si>
    <t xml:space="preserve">R_44_1837</t>
  </si>
  <si>
    <t xml:space="preserve">R_49_2131</t>
  </si>
  <si>
    <t xml:space="preserve">Mean</t>
  </si>
  <si>
    <t xml:space="preserve">Percentages: overall = G+C / full length; stems = /42 nt (21 bp); 3D = /14 nt (7 tertiary pairs); stems+3D = /56 nt; positions 8, 9, 26 = /3 nt; loops = / total nt of D, AC, variable and TΨC loops.</t>
  </si>
  <si>
    <t xml:space="preserve">3D pairs 14, 15, 18, 19, 32, 38, 44, 48, 54, 55, 58 lie inside loops, so "4 stems + 3D" and "4 loops" share those nucleotides. 4 stems + 4 loops + positions 8, 9, 26 together cover every nucleotide once (column AE checks this).</t>
  </si>
  <si>
    <t xml:space="preserve">Key</t>
  </si>
  <si>
    <t xml:space="preserve">Canonical position</t>
  </si>
  <si>
    <t xml:space="preserve">Actual position</t>
  </si>
  <si>
    <t xml:space="preserve">Nucleotide</t>
  </si>
  <si>
    <t xml:space="preserve">Region</t>
  </si>
  <si>
    <t xml:space="preserve">1</t>
  </si>
  <si>
    <t xml:space="preserve">U</t>
  </si>
  <si>
    <t xml:space="preserve">Acceptor stem</t>
  </si>
  <si>
    <t xml:space="preserve">2</t>
  </si>
  <si>
    <t xml:space="preserve">A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</si>
  <si>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</si>
  <si>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</si>
  <si>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</si>
  <si>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</si>
  <si>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</si>
  <si>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C</t>
  </si>
  <si>
    <t xml:space="preserve">8</t>
  </si>
  <si>
    <t xml:space="preserve">Position 8</t>
  </si>
  <si>
    <t xml:space="preserve">9</t>
  </si>
  <si>
    <t xml:space="preserve">G</t>
  </si>
  <si>
    <t xml:space="preserve">Position 9</t>
  </si>
  <si>
    <t xml:space="preserve">10</t>
  </si>
  <si>
    <t xml:space="preserve">D-stem</t>
  </si>
  <si>
    <t xml:space="preserve">11</t>
  </si>
  <si>
    <t xml:space="preserve">12</t>
  </si>
  <si>
    <t xml:space="preserve">13</t>
  </si>
  <si>
    <t xml:space="preserve">14</t>
  </si>
  <si>
    <t xml:space="preserve">D-loop</t>
  </si>
  <si>
    <t xml:space="preserve">15</t>
  </si>
  <si>
    <t xml:space="preserve">16</t>
  </si>
  <si>
    <t xml:space="preserve">18</t>
  </si>
  <si>
    <t xml:space="preserve">19</t>
  </si>
  <si>
    <t xml:space="preserve">20</t>
  </si>
  <si>
    <t xml:space="preserve">20a</t>
  </si>
  <si>
    <t xml:space="preserve">20b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</si>
  <si>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</si>
  <si>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</si>
  <si>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</si>
  <si>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</si>
  <si>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</si>
  <si>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</si>
  <si>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Position 26</t>
  </si>
  <si>
    <t xml:space="preserve">27</t>
  </si>
  <si>
    <t xml:space="preserve">Anticodon stem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</si>
  <si>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</si>
  <si>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</si>
  <si>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</si>
  <si>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</si>
  <si>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</si>
  <si>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Anticodon loop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</si>
  <si>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</si>
  <si>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</si>
  <si>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</si>
  <si>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</si>
  <si>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</si>
  <si>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</si>
  <si>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</si>
  <si>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</si>
  <si>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</si>
  <si>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</si>
  <si>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</si>
  <si>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</si>
  <si>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Variable loop</t>
  </si>
  <si>
    <t xml:space="preserve">45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</si>
  <si>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</si>
  <si>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</si>
  <si>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</si>
  <si>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</si>
  <si>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</si>
  <si>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46</t>
  </si>
  <si>
    <t xml:space="preserve">47</t>
  </si>
  <si>
    <t xml:space="preserve">48</t>
  </si>
  <si>
    <t xml:space="preserve">49</t>
  </si>
  <si>
    <t xml:space="preserve">T-stem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</si>
  <si>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</si>
  <si>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</si>
  <si>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</si>
  <si>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</si>
  <si>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</si>
  <si>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TΨC-loop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</si>
  <si>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</si>
  <si>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</si>
  <si>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</si>
  <si>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</si>
  <si>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</si>
  <si>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</si>
  <si>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</si>
  <si>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</si>
  <si>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</si>
  <si>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</si>
  <si>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</si>
  <si>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</si>
  <si>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</si>
  <si>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</si>
  <si>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</si>
  <si>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</si>
  <si>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</si>
  <si>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</si>
  <si>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17</t>
  </si>
  <si>
    <t xml:space="preserve">17a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</si>
  <si>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</si>
  <si>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</si>
  <si>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</si>
  <si>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</si>
  <si>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</si>
  <si>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</si>
  <si>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</si>
  <si>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</si>
  <si>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</si>
  <si>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</si>
  <si>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</si>
  <si>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</si>
  <si>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</si>
  <si>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</si>
  <si>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e20</t>
  </si>
  <si>
    <t xml:space="preserve">e21</t>
  </si>
  <si>
    <t xml:space="preserve">20c</t>
  </si>
  <si>
    <t xml:space="preserve">Element</t>
  </si>
  <si>
    <t xml:space="preserve">Canonical pair</t>
  </si>
  <si>
    <t xml:space="preserve">Actual pos (5′)</t>
  </si>
  <si>
    <t xml:space="preserve">Actual pos (3′)</t>
  </si>
  <si>
    <t xml:space="preserve">Nt (5′)</t>
  </si>
  <si>
    <t xml:space="preserve">Nt (3′)</t>
  </si>
  <si>
    <t xml:space="preserve">Pair</t>
  </si>
  <si>
    <t xml:space="preserve">G count</t>
  </si>
  <si>
    <t xml:space="preserve">C count</t>
  </si>
  <si>
    <t xml:space="preserve">G+C count</t>
  </si>
  <si>
    <t xml:space="preserve">1-72</t>
  </si>
  <si>
    <t xml:space="preserve">2-71</t>
  </si>
  <si>
    <t xml:space="preserve">3-70</t>
  </si>
  <si>
    <t xml:space="preserve">4-69</t>
  </si>
  <si>
    <t xml:space="preserve">5-68</t>
  </si>
  <si>
    <t xml:space="preserve">6-67</t>
  </si>
  <si>
    <t xml:space="preserve">7-66</t>
  </si>
  <si>
    <t xml:space="preserve">10-25</t>
  </si>
  <si>
    <t xml:space="preserve">11-24</t>
  </si>
  <si>
    <t xml:space="preserve">12-23</t>
  </si>
  <si>
    <t xml:space="preserve">13-22</t>
  </si>
  <si>
    <t xml:space="preserve">27-43</t>
  </si>
  <si>
    <t xml:space="preserve">28-42</t>
  </si>
  <si>
    <t xml:space="preserve">29-41</t>
  </si>
  <si>
    <t xml:space="preserve">30-40</t>
  </si>
  <si>
    <t xml:space="preserve">31-39</t>
  </si>
  <si>
    <t xml:space="preserve">49-65</t>
  </si>
  <si>
    <t xml:space="preserve">50-64</t>
  </si>
  <si>
    <t xml:space="preserve">51-63</t>
  </si>
  <si>
    <t xml:space="preserve">52-62</t>
  </si>
  <si>
    <t xml:space="preserve">53-61</t>
  </si>
  <si>
    <t xml:space="preserve">3D (tertiary) BP</t>
  </si>
  <si>
    <t xml:space="preserve">8-14</t>
  </si>
  <si>
    <t xml:space="preserve">15-48</t>
  </si>
  <si>
    <t xml:space="preserve">18-55</t>
  </si>
  <si>
    <t xml:space="preserve">19-56</t>
  </si>
  <si>
    <t xml:space="preserve">26-44</t>
  </si>
  <si>
    <t xml:space="preserve">32-38</t>
  </si>
  <si>
    <t xml:space="preserve">54-58</t>
  </si>
  <si>
    <t xml:space="preserve">Loop / region</t>
  </si>
  <si>
    <t xml:space="preserve">Canonical positions</t>
  </si>
  <si>
    <t xml:space="preserve">Actual positions</t>
  </si>
  <si>
    <t xml:space="preserve">Loop sequence (5′→3′)</t>
  </si>
  <si>
    <t xml:space="preserve">Length</t>
  </si>
  <si>
    <t xml:space="preserve">G+C %</t>
  </si>
  <si>
    <t xml:space="preserve">14–21</t>
  </si>
  <si>
    <t xml:space="preserve">14–22</t>
  </si>
  <si>
    <t xml:space="preserve">GAAGGUUUC</t>
  </si>
  <si>
    <t xml:space="preserve">32–38</t>
  </si>
  <si>
    <t xml:space="preserve">33–39</t>
  </si>
  <si>
    <t xml:space="preserve">ACUUAAU</t>
  </si>
  <si>
    <t xml:space="preserve">44–48</t>
  </si>
  <si>
    <t xml:space="preserve">45–54</t>
  </si>
  <si>
    <t xml:space="preserve">UGCCAAUUAU</t>
  </si>
  <si>
    <t xml:space="preserve">54–60</t>
  </si>
  <si>
    <t xml:space="preserve">60–66</t>
  </si>
  <si>
    <t xml:space="preserve">UCCUAUG</t>
  </si>
  <si>
    <t xml:space="preserve">Positions 8, 9, 26</t>
  </si>
  <si>
    <t xml:space="preserve">8, 9, 26</t>
  </si>
  <si>
    <t xml:space="preserve">8, 9, 27</t>
  </si>
  <si>
    <t xml:space="preserve">UGG</t>
  </si>
  <si>
    <t xml:space="preserve">14–23</t>
  </si>
  <si>
    <t xml:space="preserve">UGUAUGGUUA</t>
  </si>
  <si>
    <t xml:space="preserve">34–40</t>
  </si>
  <si>
    <t xml:space="preserve">UUUUACA</t>
  </si>
  <si>
    <t xml:space="preserve">46–71</t>
  </si>
  <si>
    <t xml:space="preserve">AGGCAGUUUAAGUUGUGUAAAAUAAC</t>
  </si>
  <si>
    <t xml:space="preserve">77–83</t>
  </si>
  <si>
    <t xml:space="preserve">AUCAUAU</t>
  </si>
  <si>
    <t xml:space="preserve">8, 9, 28</t>
  </si>
  <si>
    <t xml:space="preserve">UAU</t>
  </si>
  <si>
    <t xml:space="preserve">AAAGGAAGA</t>
  </si>
  <si>
    <t xml:space="preserve">CUUUACG</t>
  </si>
  <si>
    <t xml:space="preserve">45–62</t>
  </si>
  <si>
    <t xml:space="preserve">UCUAAGCUAUUGAGAUUU</t>
  </si>
  <si>
    <t xml:space="preserve">68–74</t>
  </si>
  <si>
    <t xml:space="preserve">UUCUAUC</t>
  </si>
  <si>
    <t xml:space="preserve">UGU</t>
  </si>
  <si>
    <t xml:space="preserve">GUAGGUAAU</t>
  </si>
  <si>
    <t xml:space="preserve">UUCUAAG</t>
  </si>
  <si>
    <t xml:space="preserve">45–61</t>
  </si>
  <si>
    <t xml:space="preserve">ACUAUAUUUAAUAUUAA</t>
  </si>
  <si>
    <t xml:space="preserve">67–73</t>
  </si>
  <si>
    <t xml:space="preserve">UUCCCUU</t>
  </si>
  <si>
    <t xml:space="preserve">AAAACGGUUG</t>
  </si>
  <si>
    <t xml:space="preserve">GUUUAAC</t>
  </si>
  <si>
    <t xml:space="preserve">46–62</t>
  </si>
  <si>
    <t xml:space="preserve">AGAUAUCUGUUAAAGAU</t>
  </si>
  <si>
    <t xml:space="preserve">UUCGGAA</t>
  </si>
  <si>
    <t xml:space="preserve">UCC</t>
  </si>
  <si>
    <t xml:space="preserve">GUAAGGCA</t>
  </si>
  <si>
    <t xml:space="preserve">ACCUAGU</t>
  </si>
  <si>
    <t xml:space="preserve">44–68</t>
  </si>
  <si>
    <t xml:space="preserve">GAAAUCACGAGCUCGGGAUUUAAGA</t>
  </si>
  <si>
    <t xml:space="preserve">74–80</t>
  </si>
  <si>
    <t xml:space="preserve">UCCUAGU</t>
  </si>
  <si>
    <t xml:space="preserve">UGA</t>
  </si>
  <si>
    <t xml:space="preserve">AUAAGGGU</t>
  </si>
  <si>
    <t xml:space="preserve">UUUUAGA</t>
  </si>
  <si>
    <t xml:space="preserve">44–54</t>
  </si>
  <si>
    <t xml:space="preserve">UCAUUUCAUCG</t>
  </si>
  <si>
    <t xml:space="preserve">UAG</t>
  </si>
  <si>
    <t xml:space="preserve">ACUCGGAA</t>
  </si>
  <si>
    <t xml:space="preserve">AUUUAAU</t>
  </si>
  <si>
    <t xml:space="preserve">44–47</t>
  </si>
  <si>
    <t xml:space="preserve">AUGG</t>
  </si>
  <si>
    <t xml:space="preserve">53–59</t>
  </si>
  <si>
    <t xml:space="preserve">AUCGUCU</t>
  </si>
  <si>
    <t xml:space="preserve">UUUCCGGAA</t>
  </si>
  <si>
    <t xml:space="preserve">UUCUAAA</t>
  </si>
  <si>
    <t xml:space="preserve">AGUUUUAACUCUCACUG</t>
  </si>
  <si>
    <t xml:space="preserve">AUCGUUU</t>
  </si>
  <si>
    <t xml:space="preserve">AUUGGGAUAC</t>
  </si>
  <si>
    <t xml:space="preserve">46–49</t>
  </si>
  <si>
    <t xml:space="preserve">AAUA</t>
  </si>
  <si>
    <t xml:space="preserve">55–61</t>
  </si>
  <si>
    <t xml:space="preserve">UUU</t>
  </si>
  <si>
    <t xml:space="preserve">AUCCGGCUC</t>
  </si>
  <si>
    <t xml:space="preserve">GUUUAUU</t>
  </si>
  <si>
    <t xml:space="preserve">45–50</t>
  </si>
  <si>
    <t xml:space="preserve">AUUAAG</t>
  </si>
  <si>
    <t xml:space="preserve">56–62</t>
  </si>
  <si>
    <t xml:space="preserve">UUCUAUA</t>
  </si>
  <si>
    <t xml:space="preserve">GCUAGGAUUA</t>
  </si>
  <si>
    <t xml:space="preserve">UCCUAAG</t>
  </si>
  <si>
    <t xml:space="preserve">46–58</t>
  </si>
  <si>
    <t xml:space="preserve">AGCCAAUUUAGAU</t>
  </si>
  <si>
    <t xml:space="preserve">64–70</t>
  </si>
  <si>
    <t xml:space="preserve">UCCGAUC</t>
  </si>
  <si>
    <t xml:space="preserve">AUAAGGAU</t>
  </si>
  <si>
    <t xml:space="preserve">AUCUACU</t>
  </si>
  <si>
    <t xml:space="preserve">44–51</t>
  </si>
  <si>
    <t xml:space="preserve">GUAUCUUA</t>
  </si>
  <si>
    <t xml:space="preserve">57–63</t>
  </si>
  <si>
    <t xml:space="preserve">AUCUCUA</t>
  </si>
  <si>
    <t xml:space="preserve">Method and assumptions</t>
  </si>
  <si>
    <t xml:space="preserve">Input: tRNA_RANDOM_SEQUENCE_2.xlsx (paired bases per canonical position) and out_random_rev3.txt (cloverleaf drawings). The Excel file has only the paired bases, so each full sequence was rebuilt from its cloverleaf drawing. Counting uses the RNA sequence (U = T).</t>
  </si>
  <si>
    <t xml:space="preserve">Check: for every rebuilt candidate, all 28 base pairs (21 stem + 7 3D) and the single positions 9, 21 and 33 agree exactly with tRNA_RANDOM_SEQUENCE_2.xlsx.</t>
  </si>
  <si>
    <t xml:space="preserve">Positions use standard canonical (Sprinzl) numbering as given: acceptor 1-7/66-72, D-stem 10-13/22-25, AC-stem 27-31/39-43, T-stem 49-53/61-65, 3D pairs 8-14, 15-48, 18-55, 19-56, 26-44, 32-38, 54-58.</t>
  </si>
  <si>
    <t xml:space="preserve">The candidates are 71-95 nt, so extra nucleotides are absorbed in the D-loop (labelled 17a, 20a, ...) and the variable loop (labelled e1, e2, ... between 45 and 46). In the D-loop, 18-19 = the conserved GG after position 15 (the 4th/3rd-last nt if no GG). Variable loop: 44 = first nt after the AC-stem, 48 = last nt before the T-stem.</t>
  </si>
  <si>
    <t xml:space="preserve">No candidate carries a discriminator base (73) or CCA (74-76), so these are not counted.</t>
  </si>
  <si>
    <t xml:space="preserve">ΔGC = GC_stem − GC_nonstem (columns AF-AJ of GC_Summary). GC_stem = G+C % of the 4 stems (42 nt: acceptor 14, D 8, AC 10, T 10). GC_nonstem = G+C % of every other nucleotide, i.e. the 4 loops + positions 8, 9, 26 (length − 42 nt). Stems and non-stem together cover the whole sequence with no overlap. ΔGC is shown in percentage points (e.g. 30.0% = stems are 30 points richer in G+C than non-stem regions).</t>
  </si>
  <si>
    <t xml:space="preserve">Positions 8, 9 and 26 (the single nucleotides joining acceptor-stem to D-stem and D-stem to anticodon-stem) are counted as their own group: G, C and G+C in columns X-AD of GC_Summary and as a separate row in Loops. With them, 4 stems (42 nt) + 4 loops + 8, 9, 26 (3 nt) = full length, and their G+C adds up to the overall G+C (checked in column AE).</t>
  </si>
  <si>
    <t xml:space="preserve">R_43_1753 was added from the corrected out_random_rev3.txt (74 nt); all its pairs match tRNA_RANDOM_SEQUENCE_2.xlsx.</t>
  </si>
  <si>
    <t xml:space="preserve">CHECK - R_26_624: the cloverleaf drawing contains 78 nucleotides, but its stated length is 77 and its genome coordinates (884187-884222, 833383-833423) also give 77 nt. All its pairs match the Excel file, so the extra letter is in a loop or the variable region; its counts may be off by at most 1. Please confirm the sequence.</t>
  </si>
  <si>
    <t xml:space="preserve">R_5_71 has no "R_5" label above its drawing in out_random_rev3.txt; it was matched to R_5_71 in the Excel file (all pairs agree).</t>
  </si>
  <si>
    <t xml:space="preserve">Overlap: the 3D partners 14, 15, 18, 19, 32, 38, 44, 48, 54, 55, 58 sit in loops, so a nucleotide can count in both the "stems + 3D" total and the "4 loops" total. Positions 8 and 26 are also partners in 3D pairs 8-14 and 26-44.</t>
  </si>
  <si>
    <t xml:space="preserve">All counts are live formulas (COUNTIFS/SUMIFS/INDEX-MATCH) on the Positions sheet; editing a nucleotide there updates every table. Compatible with Excel 2007.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</si>
</sst>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F2E6FA"/>
      </patternFill>
    </fill>
    <fill>
      <patternFill patternType="solid">
        <fgColor rgb="FFFCE4D6"/>
        <bgColor rgb="FFFFF2CC"/>
      </patternFill>
    </fill>
    <fill>
      <patternFill patternType="solid">
        <fgColor rgb="FFF2E6F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2E6F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2E6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0" min="2" style="0" width="10.51"/>
    <col collapsed="false" customWidth="true" hidden="false" outlineLevel="0" max="31" min="31" style="0" width="16"/>
    <col collapsed="false" customWidth="true" hidden="false" outlineLevel="0" max="35" min="32" style="0" width="10.51"/>
    <col collapsed="false" customWidth="true" hidden="false" outlineLevel="0" max="36" min="36" style="0" width="14"/>
  </cols>
  <sheetData>
    <row r="1" customFormat="false" ht="16.15" hidden="false" customHeight="false" outlineLevel="0" collapsed="false">
      <c r="A1" s="1" t="s">
        <v>0</v>
      </c>
    </row>
    <row r="3" customFormat="false" ht="4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</row>
    <row r="4" customFormat="false" ht="15" hidden="false" customHeight="false" outlineLevel="0" collapsed="false">
      <c r="A4" s="3" t="s">
        <v>37</v>
      </c>
      <c r="B4" s="4" t="n">
        <f aca="false">COUNTIF(Positions!$B$2:$B$1061,A4)</f>
        <v>78</v>
      </c>
      <c r="C4" s="4" t="n">
        <f aca="false">COUNTIFS(Positions!$B$2:$B$1061,A4,Positions!$E$2:$E$1061,"G")</f>
        <v>20</v>
      </c>
      <c r="D4" s="4" t="n">
        <f aca="false">COUNTIFS(Positions!$B$2:$B$1061,A4,Positions!$E$2:$E$1061,"C")</f>
        <v>13</v>
      </c>
      <c r="E4" s="3" t="n">
        <f aca="false">C4+D4</f>
        <v>33</v>
      </c>
      <c r="F4" s="5" t="n">
        <f aca="false">E4/B4</f>
        <v>0.423076923076923</v>
      </c>
      <c r="G4" s="4" t="n">
        <f aca="false">SUMIFS(Stems_3D_BP!$K$2:$K$365,Stems_3D_BP!$A$2:$A$365,$A4,Stems_3D_BP!$B$2:$B$365,"Acceptor stem")</f>
        <v>2</v>
      </c>
      <c r="H4" s="4" t="n">
        <f aca="false">SUMIFS(Stems_3D_BP!$K$2:$K$365,Stems_3D_BP!$A$2:$A$365,$A4,Stems_3D_BP!$B$2:$B$365,"D-stem")</f>
        <v>7</v>
      </c>
      <c r="I4" s="4" t="n">
        <f aca="false">SUMIFS(Stems_3D_BP!$K$2:$K$365,Stems_3D_BP!$A$2:$A$365,$A4,Stems_3D_BP!$B$2:$B$365,"Anticodon stem")</f>
        <v>5</v>
      </c>
      <c r="J4" s="4" t="n">
        <f aca="false">SUMIFS(Stems_3D_BP!$K$2:$K$365,Stems_3D_BP!$A$2:$A$365,$A4,Stems_3D_BP!$B$2:$B$365,"T-stem")</f>
        <v>6</v>
      </c>
      <c r="K4" s="3" t="n">
        <f aca="false">SUM(G4:J4)</f>
        <v>20</v>
      </c>
      <c r="L4" s="5" t="n">
        <f aca="false">K4/42</f>
        <v>0.476190476190476</v>
      </c>
      <c r="M4" s="4" t="n">
        <f aca="false">SUMIFS(Stems_3D_BP!$K$2:$K$365,Stems_3D_BP!$A$2:$A$365,$A4,Stems_3D_BP!$B$2:$B$365,"3D (tertiary) BP")</f>
        <v>6</v>
      </c>
      <c r="N4" s="6" t="n">
        <f aca="false">M4/14</f>
        <v>0.428571428571429</v>
      </c>
      <c r="O4" s="3" t="n">
        <f aca="false">K4+M4</f>
        <v>26</v>
      </c>
      <c r="P4" s="5" t="n">
        <f aca="false">O4/56</f>
        <v>0.464285714285714</v>
      </c>
      <c r="Q4" s="4" t="n">
        <f aca="false">SUMIFS(Loops!$I$2:$I$66,Loops!$A$2:$A$66,$A4,Loops!$B$2:$B$66,"D-loop")</f>
        <v>4</v>
      </c>
      <c r="R4" s="4" t="n">
        <f aca="false">SUMIFS(Loops!$I$2:$I$66,Loops!$A$2:$A$66,$A4,Loops!$B$2:$B$66,"Anticodon loop")</f>
        <v>1</v>
      </c>
      <c r="S4" s="4" t="n">
        <f aca="false">SUMIFS(Loops!$I$2:$I$66,Loops!$A$2:$A$66,$A4,Loops!$B$2:$B$66,"Variable loop")</f>
        <v>3</v>
      </c>
      <c r="T4" s="4" t="n">
        <f aca="false">SUMIFS(Loops!$I$2:$I$66,Loops!$A$2:$A$66,$A4,Loops!$B$2:$B$66,"TΨC-loop")</f>
        <v>3</v>
      </c>
      <c r="U4" s="4" t="n">
        <f aca="false">SUMIFS(Loops!$F$2:$F$66,Loops!$A$2:$A$66,$A4)-SUMIFS(Loops!$F$2:$F$66,Loops!$A$2:$A$66,$A4,Loops!$B$2:$B$66,"Positions 8, 9, 26")</f>
        <v>33</v>
      </c>
      <c r="V4" s="3" t="n">
        <f aca="false">SUM(Q4:T4)</f>
        <v>11</v>
      </c>
      <c r="W4" s="5" t="n">
        <f aca="false">V4/U4</f>
        <v>0.333333333333333</v>
      </c>
      <c r="X4" s="7" t="str">
        <f aca="false">INDEX(Positions!$E$2:$E$1061,MATCH($A4&amp;"|8",Positions!$A$2:$A$1061,0))</f>
        <v>U</v>
      </c>
      <c r="Y4" s="7" t="str">
        <f aca="false">INDEX(Positions!$E$2:$E$1061,MATCH($A4&amp;"|9",Positions!$A$2:$A$1061,0))</f>
        <v>G</v>
      </c>
      <c r="Z4" s="7" t="str">
        <f aca="false">INDEX(Positions!$E$2:$E$1061,MATCH($A4&amp;"|26",Positions!$A$2:$A$1061,0))</f>
        <v>G</v>
      </c>
      <c r="AA4" s="7" t="n">
        <f aca="false">(X4="G")+(Y4="G")+(Z4="G")</f>
        <v>2</v>
      </c>
      <c r="AB4" s="7" t="n">
        <f aca="false">(X4="C")+(Y4="C")+(Z4="C")</f>
        <v>0</v>
      </c>
      <c r="AC4" s="8" t="n">
        <f aca="false">AA4+AB4</f>
        <v>2</v>
      </c>
      <c r="AD4" s="9" t="n">
        <f aca="false">AC4/3</f>
        <v>0.666666666666667</v>
      </c>
      <c r="AE4" s="7" t="str">
        <f aca="false">IF(K4+V4+AC4=E4,"OK","MISMATCH")</f>
        <v>OK</v>
      </c>
      <c r="AF4" s="10" t="n">
        <f aca="false">B4-42</f>
        <v>36</v>
      </c>
      <c r="AG4" s="10" t="n">
        <f aca="false">V4+AC4</f>
        <v>13</v>
      </c>
      <c r="AH4" s="11" t="n">
        <f aca="false">AG4/AF4</f>
        <v>0.361111111111111</v>
      </c>
      <c r="AI4" s="11" t="n">
        <f aca="false">L4</f>
        <v>0.476190476190476</v>
      </c>
      <c r="AJ4" s="12" t="n">
        <f aca="false">AI4-AH4</f>
        <v>0.115079365079365</v>
      </c>
    </row>
    <row r="5" customFormat="false" ht="15" hidden="false" customHeight="false" outlineLevel="0" collapsed="false">
      <c r="A5" s="3" t="s">
        <v>38</v>
      </c>
      <c r="B5" s="4" t="n">
        <f aca="false">COUNTIF(Positions!$B$2:$B$1061,A5)</f>
        <v>95</v>
      </c>
      <c r="C5" s="4" t="n">
        <f aca="false">COUNTIFS(Positions!$B$2:$B$1061,A5,Positions!$E$2:$E$1061,"G")</f>
        <v>17</v>
      </c>
      <c r="D5" s="4" t="n">
        <f aca="false">COUNTIFS(Positions!$B$2:$B$1061,A5,Positions!$E$2:$E$1061,"C")</f>
        <v>9</v>
      </c>
      <c r="E5" s="3" t="n">
        <f aca="false">C5+D5</f>
        <v>26</v>
      </c>
      <c r="F5" s="5" t="n">
        <f aca="false">E5/B5</f>
        <v>0.273684210526316</v>
      </c>
      <c r="G5" s="4" t="n">
        <f aca="false">SUMIFS(Stems_3D_BP!$K$2:$K$365,Stems_3D_BP!$A$2:$A$365,$A5,Stems_3D_BP!$B$2:$B$365,"Acceptor stem")</f>
        <v>4</v>
      </c>
      <c r="H5" s="4" t="n">
        <f aca="false">SUMIFS(Stems_3D_BP!$K$2:$K$365,Stems_3D_BP!$A$2:$A$365,$A5,Stems_3D_BP!$B$2:$B$365,"D-stem")</f>
        <v>1</v>
      </c>
      <c r="I5" s="4" t="n">
        <f aca="false">SUMIFS(Stems_3D_BP!$K$2:$K$365,Stems_3D_BP!$A$2:$A$365,$A5,Stems_3D_BP!$B$2:$B$365,"Anticodon stem")</f>
        <v>3</v>
      </c>
      <c r="J5" s="4" t="n">
        <f aca="false">SUMIFS(Stems_3D_BP!$K$2:$K$365,Stems_3D_BP!$A$2:$A$365,$A5,Stems_3D_BP!$B$2:$B$365,"T-stem")</f>
        <v>5</v>
      </c>
      <c r="K5" s="3" t="n">
        <f aca="false">SUM(G5:J5)</f>
        <v>13</v>
      </c>
      <c r="L5" s="5" t="n">
        <f aca="false">K5/42</f>
        <v>0.30952380952381</v>
      </c>
      <c r="M5" s="4" t="n">
        <f aca="false">SUMIFS(Stems_3D_BP!$K$2:$K$365,Stems_3D_BP!$A$2:$A$365,$A5,Stems_3D_BP!$B$2:$B$365,"3D (tertiary) BP")</f>
        <v>5</v>
      </c>
      <c r="N5" s="6" t="n">
        <f aca="false">M5/14</f>
        <v>0.357142857142857</v>
      </c>
      <c r="O5" s="3" t="n">
        <f aca="false">K5+M5</f>
        <v>18</v>
      </c>
      <c r="P5" s="5" t="n">
        <f aca="false">O5/56</f>
        <v>0.321428571428571</v>
      </c>
      <c r="Q5" s="4" t="n">
        <f aca="false">SUMIFS(Loops!$I$2:$I$66,Loops!$A$2:$A$66,$A5,Loops!$B$2:$B$66,"D-loop")</f>
        <v>3</v>
      </c>
      <c r="R5" s="4" t="n">
        <f aca="false">SUMIFS(Loops!$I$2:$I$66,Loops!$A$2:$A$66,$A5,Loops!$B$2:$B$66,"Anticodon loop")</f>
        <v>1</v>
      </c>
      <c r="S5" s="4" t="n">
        <f aca="false">SUMIFS(Loops!$I$2:$I$66,Loops!$A$2:$A$66,$A5,Loops!$B$2:$B$66,"Variable loop")</f>
        <v>8</v>
      </c>
      <c r="T5" s="4" t="n">
        <f aca="false">SUMIFS(Loops!$I$2:$I$66,Loops!$A$2:$A$66,$A5,Loops!$B$2:$B$66,"TΨC-loop")</f>
        <v>1</v>
      </c>
      <c r="U5" s="4" t="n">
        <f aca="false">SUMIFS(Loops!$F$2:$F$66,Loops!$A$2:$A$66,$A5)-SUMIFS(Loops!$F$2:$F$66,Loops!$A$2:$A$66,$A5,Loops!$B$2:$B$66,"Positions 8, 9, 26")</f>
        <v>50</v>
      </c>
      <c r="V5" s="3" t="n">
        <f aca="false">SUM(Q5:T5)</f>
        <v>13</v>
      </c>
      <c r="W5" s="5" t="n">
        <f aca="false">V5/U5</f>
        <v>0.26</v>
      </c>
      <c r="X5" s="7" t="str">
        <f aca="false">INDEX(Positions!$E$2:$E$1061,MATCH($A5&amp;"|8",Positions!$A$2:$A$1061,0))</f>
        <v>U</v>
      </c>
      <c r="Y5" s="7" t="str">
        <f aca="false">INDEX(Positions!$E$2:$E$1061,MATCH($A5&amp;"|9",Positions!$A$2:$A$1061,0))</f>
        <v>A</v>
      </c>
      <c r="Z5" s="7" t="str">
        <f aca="false">INDEX(Positions!$E$2:$E$1061,MATCH($A5&amp;"|26",Positions!$A$2:$A$1061,0))</f>
        <v>U</v>
      </c>
      <c r="AA5" s="7" t="n">
        <f aca="false">(X5="G")+(Y5="G")+(Z5="G")</f>
        <v>0</v>
      </c>
      <c r="AB5" s="7" t="n">
        <f aca="false">(X5="C")+(Y5="C")+(Z5="C")</f>
        <v>0</v>
      </c>
      <c r="AC5" s="8" t="n">
        <f aca="false">AA5+AB5</f>
        <v>0</v>
      </c>
      <c r="AD5" s="9" t="n">
        <f aca="false">AC5/3</f>
        <v>0</v>
      </c>
      <c r="AE5" s="7" t="str">
        <f aca="false">IF(K5+V5+AC5=E5,"OK","MISMATCH")</f>
        <v>OK</v>
      </c>
      <c r="AF5" s="10" t="n">
        <f aca="false">B5-42</f>
        <v>53</v>
      </c>
      <c r="AG5" s="10" t="n">
        <f aca="false">V5+AC5</f>
        <v>13</v>
      </c>
      <c r="AH5" s="11" t="n">
        <f aca="false">AG5/AF5</f>
        <v>0.245283018867925</v>
      </c>
      <c r="AI5" s="11" t="n">
        <f aca="false">L5</f>
        <v>0.30952380952381</v>
      </c>
      <c r="AJ5" s="12" t="n">
        <f aca="false">AI5-AH5</f>
        <v>0.064240790655885</v>
      </c>
    </row>
    <row r="6" customFormat="false" ht="15" hidden="false" customHeight="false" outlineLevel="0" collapsed="false">
      <c r="A6" s="3" t="s">
        <v>39</v>
      </c>
      <c r="B6" s="4" t="n">
        <f aca="false">COUNTIF(Positions!$B$2:$B$1061,A6)</f>
        <v>86</v>
      </c>
      <c r="C6" s="4" t="n">
        <f aca="false">COUNTIFS(Positions!$B$2:$B$1061,A6,Positions!$E$2:$E$1061,"G")</f>
        <v>18</v>
      </c>
      <c r="D6" s="4" t="n">
        <f aca="false">COUNTIFS(Positions!$B$2:$B$1061,A6,Positions!$E$2:$E$1061,"C")</f>
        <v>10</v>
      </c>
      <c r="E6" s="3" t="n">
        <f aca="false">C6+D6</f>
        <v>28</v>
      </c>
      <c r="F6" s="5" t="n">
        <f aca="false">E6/B6</f>
        <v>0.325581395348837</v>
      </c>
      <c r="G6" s="4" t="n">
        <f aca="false">SUMIFS(Stems_3D_BP!$K$2:$K$365,Stems_3D_BP!$A$2:$A$365,$A6,Stems_3D_BP!$B$2:$B$365,"Acceptor stem")</f>
        <v>5</v>
      </c>
      <c r="H6" s="4" t="n">
        <f aca="false">SUMIFS(Stems_3D_BP!$K$2:$K$365,Stems_3D_BP!$A$2:$A$365,$A6,Stems_3D_BP!$B$2:$B$365,"D-stem")</f>
        <v>1</v>
      </c>
      <c r="I6" s="4" t="n">
        <f aca="false">SUMIFS(Stems_3D_BP!$K$2:$K$365,Stems_3D_BP!$A$2:$A$365,$A6,Stems_3D_BP!$B$2:$B$365,"Anticodon stem")</f>
        <v>4</v>
      </c>
      <c r="J6" s="4" t="n">
        <f aca="false">SUMIFS(Stems_3D_BP!$K$2:$K$365,Stems_3D_BP!$A$2:$A$365,$A6,Stems_3D_BP!$B$2:$B$365,"T-stem")</f>
        <v>4</v>
      </c>
      <c r="K6" s="3" t="n">
        <f aca="false">SUM(G6:J6)</f>
        <v>14</v>
      </c>
      <c r="L6" s="5" t="n">
        <f aca="false">K6/42</f>
        <v>0.333333333333333</v>
      </c>
      <c r="M6" s="4" t="n">
        <f aca="false">SUMIFS(Stems_3D_BP!$K$2:$K$365,Stems_3D_BP!$A$2:$A$365,$A6,Stems_3D_BP!$B$2:$B$365,"3D (tertiary) BP")</f>
        <v>5</v>
      </c>
      <c r="N6" s="6" t="n">
        <f aca="false">M6/14</f>
        <v>0.357142857142857</v>
      </c>
      <c r="O6" s="3" t="n">
        <f aca="false">K6+M6</f>
        <v>19</v>
      </c>
      <c r="P6" s="5" t="n">
        <f aca="false">O6/56</f>
        <v>0.339285714285714</v>
      </c>
      <c r="Q6" s="4" t="n">
        <f aca="false">SUMIFS(Loops!$I$2:$I$66,Loops!$A$2:$A$66,$A6,Loops!$B$2:$B$66,"D-loop")</f>
        <v>3</v>
      </c>
      <c r="R6" s="4" t="n">
        <f aca="false">SUMIFS(Loops!$I$2:$I$66,Loops!$A$2:$A$66,$A6,Loops!$B$2:$B$66,"Anticodon loop")</f>
        <v>3</v>
      </c>
      <c r="S6" s="4" t="n">
        <f aca="false">SUMIFS(Loops!$I$2:$I$66,Loops!$A$2:$A$66,$A6,Loops!$B$2:$B$66,"Variable loop")</f>
        <v>5</v>
      </c>
      <c r="T6" s="4" t="n">
        <f aca="false">SUMIFS(Loops!$I$2:$I$66,Loops!$A$2:$A$66,$A6,Loops!$B$2:$B$66,"TΨC-loop")</f>
        <v>2</v>
      </c>
      <c r="U6" s="4" t="n">
        <f aca="false">SUMIFS(Loops!$F$2:$F$66,Loops!$A$2:$A$66,$A6)-SUMIFS(Loops!$F$2:$F$66,Loops!$A$2:$A$66,$A6,Loops!$B$2:$B$66,"Positions 8, 9, 26")</f>
        <v>41</v>
      </c>
      <c r="V6" s="3" t="n">
        <f aca="false">SUM(Q6:T6)</f>
        <v>13</v>
      </c>
      <c r="W6" s="5" t="n">
        <f aca="false">V6/U6</f>
        <v>0.317073170731707</v>
      </c>
      <c r="X6" s="7" t="str">
        <f aca="false">INDEX(Positions!$E$2:$E$1061,MATCH($A6&amp;"|8",Positions!$A$2:$A$1061,0))</f>
        <v>U</v>
      </c>
      <c r="Y6" s="7" t="str">
        <f aca="false">INDEX(Positions!$E$2:$E$1061,MATCH($A6&amp;"|9",Positions!$A$2:$A$1061,0))</f>
        <v>G</v>
      </c>
      <c r="Z6" s="7" t="str">
        <f aca="false">INDEX(Positions!$E$2:$E$1061,MATCH($A6&amp;"|26",Positions!$A$2:$A$1061,0))</f>
        <v>U</v>
      </c>
      <c r="AA6" s="7" t="n">
        <f aca="false">(X6="G")+(Y6="G")+(Z6="G")</f>
        <v>1</v>
      </c>
      <c r="AB6" s="7" t="n">
        <f aca="false">(X6="C")+(Y6="C")+(Z6="C")</f>
        <v>0</v>
      </c>
      <c r="AC6" s="8" t="n">
        <f aca="false">AA6+AB6</f>
        <v>1</v>
      </c>
      <c r="AD6" s="9" t="n">
        <f aca="false">AC6/3</f>
        <v>0.333333333333333</v>
      </c>
      <c r="AE6" s="7" t="str">
        <f aca="false">IF(K6+V6+AC6=E6,"OK","MISMATCH")</f>
        <v>OK</v>
      </c>
      <c r="AF6" s="10" t="n">
        <f aca="false">B6-42</f>
        <v>44</v>
      </c>
      <c r="AG6" s="10" t="n">
        <f aca="false">V6+AC6</f>
        <v>14</v>
      </c>
      <c r="AH6" s="11" t="n">
        <f aca="false">AG6/AF6</f>
        <v>0.318181818181818</v>
      </c>
      <c r="AI6" s="11" t="n">
        <f aca="false">L6</f>
        <v>0.333333333333333</v>
      </c>
      <c r="AJ6" s="12" t="n">
        <f aca="false">AI6-AH6</f>
        <v>0.0151515151515151</v>
      </c>
    </row>
    <row r="7" customFormat="false" ht="15" hidden="false" customHeight="false" outlineLevel="0" collapsed="false">
      <c r="A7" s="3" t="s">
        <v>40</v>
      </c>
      <c r="B7" s="4" t="n">
        <f aca="false">COUNTIF(Positions!$B$2:$B$1061,A7)</f>
        <v>85</v>
      </c>
      <c r="C7" s="4" t="n">
        <f aca="false">COUNTIFS(Positions!$B$2:$B$1061,A7,Positions!$E$2:$E$1061,"G")</f>
        <v>15</v>
      </c>
      <c r="D7" s="4" t="n">
        <f aca="false">COUNTIFS(Positions!$B$2:$B$1061,A7,Positions!$E$2:$E$1061,"C")</f>
        <v>9</v>
      </c>
      <c r="E7" s="3" t="n">
        <f aca="false">C7+D7</f>
        <v>24</v>
      </c>
      <c r="F7" s="5" t="n">
        <f aca="false">E7/B7</f>
        <v>0.282352941176471</v>
      </c>
      <c r="G7" s="4" t="n">
        <f aca="false">SUMIFS(Stems_3D_BP!$K$2:$K$365,Stems_3D_BP!$A$2:$A$365,$A7,Stems_3D_BP!$B$2:$B$365,"Acceptor stem")</f>
        <v>3</v>
      </c>
      <c r="H7" s="4" t="n">
        <f aca="false">SUMIFS(Stems_3D_BP!$K$2:$K$365,Stems_3D_BP!$A$2:$A$365,$A7,Stems_3D_BP!$B$2:$B$365,"D-stem")</f>
        <v>5</v>
      </c>
      <c r="I7" s="4" t="n">
        <f aca="false">SUMIFS(Stems_3D_BP!$K$2:$K$365,Stems_3D_BP!$A$2:$A$365,$A7,Stems_3D_BP!$B$2:$B$365,"Anticodon stem")</f>
        <v>3</v>
      </c>
      <c r="J7" s="4" t="n">
        <f aca="false">SUMIFS(Stems_3D_BP!$K$2:$K$365,Stems_3D_BP!$A$2:$A$365,$A7,Stems_3D_BP!$B$2:$B$365,"T-stem")</f>
        <v>4</v>
      </c>
      <c r="K7" s="3" t="n">
        <f aca="false">SUM(G7:J7)</f>
        <v>15</v>
      </c>
      <c r="L7" s="5" t="n">
        <f aca="false">K7/42</f>
        <v>0.357142857142857</v>
      </c>
      <c r="M7" s="4" t="n">
        <f aca="false">SUMIFS(Stems_3D_BP!$K$2:$K$365,Stems_3D_BP!$A$2:$A$365,$A7,Stems_3D_BP!$B$2:$B$365,"3D (tertiary) BP")</f>
        <v>6</v>
      </c>
      <c r="N7" s="6" t="n">
        <f aca="false">M7/14</f>
        <v>0.428571428571429</v>
      </c>
      <c r="O7" s="3" t="n">
        <f aca="false">K7+M7</f>
        <v>21</v>
      </c>
      <c r="P7" s="5" t="n">
        <f aca="false">O7/56</f>
        <v>0.375</v>
      </c>
      <c r="Q7" s="4" t="n">
        <f aca="false">SUMIFS(Loops!$I$2:$I$66,Loops!$A$2:$A$66,$A7,Loops!$B$2:$B$66,"D-loop")</f>
        <v>3</v>
      </c>
      <c r="R7" s="4" t="n">
        <f aca="false">SUMIFS(Loops!$I$2:$I$66,Loops!$A$2:$A$66,$A7,Loops!$B$2:$B$66,"Anticodon loop")</f>
        <v>2</v>
      </c>
      <c r="S7" s="4" t="n">
        <f aca="false">SUMIFS(Loops!$I$2:$I$66,Loops!$A$2:$A$66,$A7,Loops!$B$2:$B$66,"Variable loop")</f>
        <v>1</v>
      </c>
      <c r="T7" s="4" t="n">
        <f aca="false">SUMIFS(Loops!$I$2:$I$66,Loops!$A$2:$A$66,$A7,Loops!$B$2:$B$66,"TΨC-loop")</f>
        <v>3</v>
      </c>
      <c r="U7" s="4" t="n">
        <f aca="false">SUMIFS(Loops!$F$2:$F$66,Loops!$A$2:$A$66,$A7)-SUMIFS(Loops!$F$2:$F$66,Loops!$A$2:$A$66,$A7,Loops!$B$2:$B$66,"Positions 8, 9, 26")</f>
        <v>40</v>
      </c>
      <c r="V7" s="3" t="n">
        <f aca="false">SUM(Q7:T7)</f>
        <v>9</v>
      </c>
      <c r="W7" s="5" t="n">
        <f aca="false">V7/U7</f>
        <v>0.225</v>
      </c>
      <c r="X7" s="7" t="str">
        <f aca="false">INDEX(Positions!$E$2:$E$1061,MATCH($A7&amp;"|8",Positions!$A$2:$A$1061,0))</f>
        <v>U</v>
      </c>
      <c r="Y7" s="7" t="str">
        <f aca="false">INDEX(Positions!$E$2:$E$1061,MATCH($A7&amp;"|9",Positions!$A$2:$A$1061,0))</f>
        <v>A</v>
      </c>
      <c r="Z7" s="7" t="str">
        <f aca="false">INDEX(Positions!$E$2:$E$1061,MATCH($A7&amp;"|26",Positions!$A$2:$A$1061,0))</f>
        <v>U</v>
      </c>
      <c r="AA7" s="7" t="n">
        <f aca="false">(X7="G")+(Y7="G")+(Z7="G")</f>
        <v>0</v>
      </c>
      <c r="AB7" s="7" t="n">
        <f aca="false">(X7="C")+(Y7="C")+(Z7="C")</f>
        <v>0</v>
      </c>
      <c r="AC7" s="8" t="n">
        <f aca="false">AA7+AB7</f>
        <v>0</v>
      </c>
      <c r="AD7" s="9" t="n">
        <f aca="false">AC7/3</f>
        <v>0</v>
      </c>
      <c r="AE7" s="7" t="str">
        <f aca="false">IF(K7+V7+AC7=E7,"OK","MISMATCH")</f>
        <v>OK</v>
      </c>
      <c r="AF7" s="10" t="n">
        <f aca="false">B7-42</f>
        <v>43</v>
      </c>
      <c r="AG7" s="10" t="n">
        <f aca="false">V7+AC7</f>
        <v>9</v>
      </c>
      <c r="AH7" s="11" t="n">
        <f aca="false">AG7/AF7</f>
        <v>0.209302325581395</v>
      </c>
      <c r="AI7" s="11" t="n">
        <f aca="false">L7</f>
        <v>0.357142857142857</v>
      </c>
      <c r="AJ7" s="12" t="n">
        <f aca="false">AI7-AH7</f>
        <v>0.147840531561462</v>
      </c>
    </row>
    <row r="8" customFormat="false" ht="15" hidden="false" customHeight="false" outlineLevel="0" collapsed="false">
      <c r="A8" s="3" t="s">
        <v>41</v>
      </c>
      <c r="B8" s="4" t="n">
        <f aca="false">COUNTIF(Positions!$B$2:$B$1061,A8)</f>
        <v>86</v>
      </c>
      <c r="C8" s="4" t="n">
        <f aca="false">COUNTIFS(Positions!$B$2:$B$1061,A8,Positions!$E$2:$E$1061,"G")</f>
        <v>17</v>
      </c>
      <c r="D8" s="4" t="n">
        <f aca="false">COUNTIFS(Positions!$B$2:$B$1061,A8,Positions!$E$2:$E$1061,"C")</f>
        <v>9</v>
      </c>
      <c r="E8" s="3" t="n">
        <f aca="false">C8+D8</f>
        <v>26</v>
      </c>
      <c r="F8" s="5" t="n">
        <f aca="false">E8/B8</f>
        <v>0.302325581395349</v>
      </c>
      <c r="G8" s="4" t="n">
        <f aca="false">SUMIFS(Stems_3D_BP!$K$2:$K$365,Stems_3D_BP!$A$2:$A$365,$A8,Stems_3D_BP!$B$2:$B$365,"Acceptor stem")</f>
        <v>3</v>
      </c>
      <c r="H8" s="4" t="n">
        <f aca="false">SUMIFS(Stems_3D_BP!$K$2:$K$365,Stems_3D_BP!$A$2:$A$365,$A8,Stems_3D_BP!$B$2:$B$365,"D-stem")</f>
        <v>3</v>
      </c>
      <c r="I8" s="4" t="n">
        <f aca="false">SUMIFS(Stems_3D_BP!$K$2:$K$365,Stems_3D_BP!$A$2:$A$365,$A8,Stems_3D_BP!$B$2:$B$365,"Anticodon stem")</f>
        <v>2</v>
      </c>
      <c r="J8" s="4" t="n">
        <f aca="false">SUMIFS(Stems_3D_BP!$K$2:$K$365,Stems_3D_BP!$A$2:$A$365,$A8,Stems_3D_BP!$B$2:$B$365,"T-stem")</f>
        <v>3</v>
      </c>
      <c r="K8" s="3" t="n">
        <f aca="false">SUM(G8:J8)</f>
        <v>11</v>
      </c>
      <c r="L8" s="5" t="n">
        <f aca="false">K8/42</f>
        <v>0.261904761904762</v>
      </c>
      <c r="M8" s="4" t="n">
        <f aca="false">SUMIFS(Stems_3D_BP!$K$2:$K$365,Stems_3D_BP!$A$2:$A$365,$A8,Stems_3D_BP!$B$2:$B$365,"3D (tertiary) BP")</f>
        <v>7</v>
      </c>
      <c r="N8" s="6" t="n">
        <f aca="false">M8/14</f>
        <v>0.5</v>
      </c>
      <c r="O8" s="3" t="n">
        <f aca="false">K8+M8</f>
        <v>18</v>
      </c>
      <c r="P8" s="5" t="n">
        <f aca="false">O8/56</f>
        <v>0.321428571428571</v>
      </c>
      <c r="Q8" s="4" t="n">
        <f aca="false">SUMIFS(Loops!$I$2:$I$66,Loops!$A$2:$A$66,$A8,Loops!$B$2:$B$66,"D-loop")</f>
        <v>4</v>
      </c>
      <c r="R8" s="4" t="n">
        <f aca="false">SUMIFS(Loops!$I$2:$I$66,Loops!$A$2:$A$66,$A8,Loops!$B$2:$B$66,"Anticodon loop")</f>
        <v>2</v>
      </c>
      <c r="S8" s="4" t="n">
        <f aca="false">SUMIFS(Loops!$I$2:$I$66,Loops!$A$2:$A$66,$A8,Loops!$B$2:$B$66,"Variable loop")</f>
        <v>4</v>
      </c>
      <c r="T8" s="4" t="n">
        <f aca="false">SUMIFS(Loops!$I$2:$I$66,Loops!$A$2:$A$66,$A8,Loops!$B$2:$B$66,"TΨC-loop")</f>
        <v>3</v>
      </c>
      <c r="U8" s="4" t="n">
        <f aca="false">SUMIFS(Loops!$F$2:$F$66,Loops!$A$2:$A$66,$A8)-SUMIFS(Loops!$F$2:$F$66,Loops!$A$2:$A$66,$A8,Loops!$B$2:$B$66,"Positions 8, 9, 26")</f>
        <v>41</v>
      </c>
      <c r="V8" s="3" t="n">
        <f aca="false">SUM(Q8:T8)</f>
        <v>13</v>
      </c>
      <c r="W8" s="5" t="n">
        <f aca="false">V8/U8</f>
        <v>0.317073170731707</v>
      </c>
      <c r="X8" s="7" t="str">
        <f aca="false">INDEX(Positions!$E$2:$E$1061,MATCH($A8&amp;"|8",Positions!$A$2:$A$1061,0))</f>
        <v>U</v>
      </c>
      <c r="Y8" s="7" t="str">
        <f aca="false">INDEX(Positions!$E$2:$E$1061,MATCH($A8&amp;"|9",Positions!$A$2:$A$1061,0))</f>
        <v>C</v>
      </c>
      <c r="Z8" s="7" t="str">
        <f aca="false">INDEX(Positions!$E$2:$E$1061,MATCH($A8&amp;"|26",Positions!$A$2:$A$1061,0))</f>
        <v>C</v>
      </c>
      <c r="AA8" s="7" t="n">
        <f aca="false">(X8="G")+(Y8="G")+(Z8="G")</f>
        <v>0</v>
      </c>
      <c r="AB8" s="7" t="n">
        <f aca="false">(X8="C")+(Y8="C")+(Z8="C")</f>
        <v>2</v>
      </c>
      <c r="AC8" s="8" t="n">
        <f aca="false">AA8+AB8</f>
        <v>2</v>
      </c>
      <c r="AD8" s="9" t="n">
        <f aca="false">AC8/3</f>
        <v>0.666666666666667</v>
      </c>
      <c r="AE8" s="7" t="str">
        <f aca="false">IF(K8+V8+AC8=E8,"OK","MISMATCH")</f>
        <v>OK</v>
      </c>
      <c r="AF8" s="10" t="n">
        <f aca="false">B8-42</f>
        <v>44</v>
      </c>
      <c r="AG8" s="10" t="n">
        <f aca="false">V8+AC8</f>
        <v>15</v>
      </c>
      <c r="AH8" s="11" t="n">
        <f aca="false">AG8/AF8</f>
        <v>0.340909090909091</v>
      </c>
      <c r="AI8" s="11" t="n">
        <f aca="false">L8</f>
        <v>0.261904761904762</v>
      </c>
      <c r="AJ8" s="12" t="n">
        <f aca="false">AI8-AH8</f>
        <v>-0.079004329004329</v>
      </c>
    </row>
    <row r="9" customFormat="false" ht="15" hidden="false" customHeight="false" outlineLevel="0" collapsed="false">
      <c r="A9" s="3" t="s">
        <v>42</v>
      </c>
      <c r="B9" s="4" t="n">
        <f aca="false">COUNTIF(Positions!$B$2:$B$1061,A9)</f>
        <v>92</v>
      </c>
      <c r="C9" s="4" t="n">
        <f aca="false">COUNTIFS(Positions!$B$2:$B$1061,A9,Positions!$E$2:$E$1061,"G")</f>
        <v>19</v>
      </c>
      <c r="D9" s="4" t="n">
        <f aca="false">COUNTIFS(Positions!$B$2:$B$1061,A9,Positions!$E$2:$E$1061,"C")</f>
        <v>14</v>
      </c>
      <c r="E9" s="3" t="n">
        <f aca="false">C9+D9</f>
        <v>33</v>
      </c>
      <c r="F9" s="5" t="n">
        <f aca="false">E9/B9</f>
        <v>0.358695652173913</v>
      </c>
      <c r="G9" s="4" t="n">
        <f aca="false">SUMIFS(Stems_3D_BP!$K$2:$K$365,Stems_3D_BP!$A$2:$A$365,$A9,Stems_3D_BP!$B$2:$B$365,"Acceptor stem")</f>
        <v>5</v>
      </c>
      <c r="H9" s="4" t="n">
        <f aca="false">SUMIFS(Stems_3D_BP!$K$2:$K$365,Stems_3D_BP!$A$2:$A$365,$A9,Stems_3D_BP!$B$2:$B$365,"D-stem")</f>
        <v>2</v>
      </c>
      <c r="I9" s="4" t="n">
        <f aca="false">SUMIFS(Stems_3D_BP!$K$2:$K$365,Stems_3D_BP!$A$2:$A$365,$A9,Stems_3D_BP!$B$2:$B$365,"Anticodon stem")</f>
        <v>1</v>
      </c>
      <c r="J9" s="4" t="n">
        <f aca="false">SUMIFS(Stems_3D_BP!$K$2:$K$365,Stems_3D_BP!$A$2:$A$365,$A9,Stems_3D_BP!$B$2:$B$365,"T-stem")</f>
        <v>3</v>
      </c>
      <c r="K9" s="3" t="n">
        <f aca="false">SUM(G9:J9)</f>
        <v>11</v>
      </c>
      <c r="L9" s="5" t="n">
        <f aca="false">K9/42</f>
        <v>0.261904761904762</v>
      </c>
      <c r="M9" s="4" t="n">
        <f aca="false">SUMIFS(Stems_3D_BP!$K$2:$K$365,Stems_3D_BP!$A$2:$A$365,$A9,Stems_3D_BP!$B$2:$B$365,"3D (tertiary) BP")</f>
        <v>6</v>
      </c>
      <c r="N9" s="6" t="n">
        <f aca="false">M9/14</f>
        <v>0.428571428571429</v>
      </c>
      <c r="O9" s="3" t="n">
        <f aca="false">K9+M9</f>
        <v>17</v>
      </c>
      <c r="P9" s="5" t="n">
        <f aca="false">O9/56</f>
        <v>0.303571428571429</v>
      </c>
      <c r="Q9" s="4" t="n">
        <f aca="false">SUMIFS(Loops!$I$2:$I$66,Loops!$A$2:$A$66,$A9,Loops!$B$2:$B$66,"D-loop")</f>
        <v>4</v>
      </c>
      <c r="R9" s="4" t="n">
        <f aca="false">SUMIFS(Loops!$I$2:$I$66,Loops!$A$2:$A$66,$A9,Loops!$B$2:$B$66,"Anticodon loop")</f>
        <v>3</v>
      </c>
      <c r="S9" s="4" t="n">
        <f aca="false">SUMIFS(Loops!$I$2:$I$66,Loops!$A$2:$A$66,$A9,Loops!$B$2:$B$66,"Variable loop")</f>
        <v>11</v>
      </c>
      <c r="T9" s="4" t="n">
        <f aca="false">SUMIFS(Loops!$I$2:$I$66,Loops!$A$2:$A$66,$A9,Loops!$B$2:$B$66,"TΨC-loop")</f>
        <v>3</v>
      </c>
      <c r="U9" s="4" t="n">
        <f aca="false">SUMIFS(Loops!$F$2:$F$66,Loops!$A$2:$A$66,$A9)-SUMIFS(Loops!$F$2:$F$66,Loops!$A$2:$A$66,$A9,Loops!$B$2:$B$66,"Positions 8, 9, 26")</f>
        <v>47</v>
      </c>
      <c r="V9" s="3" t="n">
        <f aca="false">SUM(Q9:T9)</f>
        <v>21</v>
      </c>
      <c r="W9" s="5" t="n">
        <f aca="false">V9/U9</f>
        <v>0.446808510638298</v>
      </c>
      <c r="X9" s="7" t="str">
        <f aca="false">INDEX(Positions!$E$2:$E$1061,MATCH($A9&amp;"|8",Positions!$A$2:$A$1061,0))</f>
        <v>U</v>
      </c>
      <c r="Y9" s="7" t="str">
        <f aca="false">INDEX(Positions!$E$2:$E$1061,MATCH($A9&amp;"|9",Positions!$A$2:$A$1061,0))</f>
        <v>G</v>
      </c>
      <c r="Z9" s="7" t="str">
        <f aca="false">INDEX(Positions!$E$2:$E$1061,MATCH($A9&amp;"|26",Positions!$A$2:$A$1061,0))</f>
        <v>A</v>
      </c>
      <c r="AA9" s="7" t="n">
        <f aca="false">(X9="G")+(Y9="G")+(Z9="G")</f>
        <v>1</v>
      </c>
      <c r="AB9" s="7" t="n">
        <f aca="false">(X9="C")+(Y9="C")+(Z9="C")</f>
        <v>0</v>
      </c>
      <c r="AC9" s="8" t="n">
        <f aca="false">AA9+AB9</f>
        <v>1</v>
      </c>
      <c r="AD9" s="9" t="n">
        <f aca="false">AC9/3</f>
        <v>0.333333333333333</v>
      </c>
      <c r="AE9" s="7" t="str">
        <f aca="false">IF(K9+V9+AC9=E9,"OK","MISMATCH")</f>
        <v>OK</v>
      </c>
      <c r="AF9" s="10" t="n">
        <f aca="false">B9-42</f>
        <v>50</v>
      </c>
      <c r="AG9" s="10" t="n">
        <f aca="false">V9+AC9</f>
        <v>22</v>
      </c>
      <c r="AH9" s="11" t="n">
        <f aca="false">AG9/AF9</f>
        <v>0.44</v>
      </c>
      <c r="AI9" s="11" t="n">
        <f aca="false">L9</f>
        <v>0.261904761904762</v>
      </c>
      <c r="AJ9" s="12" t="n">
        <f aca="false">AI9-AH9</f>
        <v>-0.178095238095238</v>
      </c>
    </row>
    <row r="10" customFormat="false" ht="15" hidden="false" customHeight="false" outlineLevel="0" collapsed="false">
      <c r="A10" s="3" t="s">
        <v>43</v>
      </c>
      <c r="B10" s="4" t="n">
        <f aca="false">COUNTIF(Positions!$B$2:$B$1061,A10)</f>
        <v>78</v>
      </c>
      <c r="C10" s="4" t="n">
        <f aca="false">COUNTIFS(Positions!$B$2:$B$1061,A10,Positions!$E$2:$E$1061,"G")</f>
        <v>14</v>
      </c>
      <c r="D10" s="4" t="n">
        <f aca="false">COUNTIFS(Positions!$B$2:$B$1061,A10,Positions!$E$2:$E$1061,"C")</f>
        <v>9</v>
      </c>
      <c r="E10" s="3" t="n">
        <f aca="false">C10+D10</f>
        <v>23</v>
      </c>
      <c r="F10" s="5" t="n">
        <f aca="false">E10/B10</f>
        <v>0.294871794871795</v>
      </c>
      <c r="G10" s="4" t="n">
        <f aca="false">SUMIFS(Stems_3D_BP!$K$2:$K$365,Stems_3D_BP!$A$2:$A$365,$A10,Stems_3D_BP!$B$2:$B$365,"Acceptor stem")</f>
        <v>3</v>
      </c>
      <c r="H10" s="4" t="n">
        <f aca="false">SUMIFS(Stems_3D_BP!$K$2:$K$365,Stems_3D_BP!$A$2:$A$365,$A10,Stems_3D_BP!$B$2:$B$365,"D-stem")</f>
        <v>2</v>
      </c>
      <c r="I10" s="4" t="n">
        <f aca="false">SUMIFS(Stems_3D_BP!$K$2:$K$365,Stems_3D_BP!$A$2:$A$365,$A10,Stems_3D_BP!$B$2:$B$365,"Anticodon stem")</f>
        <v>1</v>
      </c>
      <c r="J10" s="4" t="n">
        <f aca="false">SUMIFS(Stems_3D_BP!$K$2:$K$365,Stems_3D_BP!$A$2:$A$365,$A10,Stems_3D_BP!$B$2:$B$365,"T-stem")</f>
        <v>6</v>
      </c>
      <c r="K10" s="3" t="n">
        <f aca="false">SUM(G10:J10)</f>
        <v>12</v>
      </c>
      <c r="L10" s="5" t="n">
        <f aca="false">K10/42</f>
        <v>0.285714285714286</v>
      </c>
      <c r="M10" s="4" t="n">
        <f aca="false">SUMIFS(Stems_3D_BP!$K$2:$K$365,Stems_3D_BP!$A$2:$A$365,$A10,Stems_3D_BP!$B$2:$B$365,"3D (tertiary) BP")</f>
        <v>5</v>
      </c>
      <c r="N10" s="6" t="n">
        <f aca="false">M10/14</f>
        <v>0.357142857142857</v>
      </c>
      <c r="O10" s="3" t="n">
        <f aca="false">K10+M10</f>
        <v>17</v>
      </c>
      <c r="P10" s="5" t="n">
        <f aca="false">O10/56</f>
        <v>0.303571428571429</v>
      </c>
      <c r="Q10" s="4" t="n">
        <f aca="false">SUMIFS(Loops!$I$2:$I$66,Loops!$A$2:$A$66,$A10,Loops!$B$2:$B$66,"D-loop")</f>
        <v>3</v>
      </c>
      <c r="R10" s="4" t="n">
        <f aca="false">SUMIFS(Loops!$I$2:$I$66,Loops!$A$2:$A$66,$A10,Loops!$B$2:$B$66,"Anticodon loop")</f>
        <v>1</v>
      </c>
      <c r="S10" s="4" t="n">
        <f aca="false">SUMIFS(Loops!$I$2:$I$66,Loops!$A$2:$A$66,$A10,Loops!$B$2:$B$66,"Variable loop")</f>
        <v>4</v>
      </c>
      <c r="T10" s="4" t="n">
        <f aca="false">SUMIFS(Loops!$I$2:$I$66,Loops!$A$2:$A$66,$A10,Loops!$B$2:$B$66,"TΨC-loop")</f>
        <v>2</v>
      </c>
      <c r="U10" s="4" t="n">
        <f aca="false">SUMIFS(Loops!$F$2:$F$66,Loops!$A$2:$A$66,$A10)-SUMIFS(Loops!$F$2:$F$66,Loops!$A$2:$A$66,$A10,Loops!$B$2:$B$66,"Positions 8, 9, 26")</f>
        <v>33</v>
      </c>
      <c r="V10" s="3" t="n">
        <f aca="false">SUM(Q10:T10)</f>
        <v>10</v>
      </c>
      <c r="W10" s="5" t="n">
        <f aca="false">V10/U10</f>
        <v>0.303030303030303</v>
      </c>
      <c r="X10" s="7" t="str">
        <f aca="false">INDEX(Positions!$E$2:$E$1061,MATCH($A10&amp;"|8",Positions!$A$2:$A$1061,0))</f>
        <v>U</v>
      </c>
      <c r="Y10" s="7" t="str">
        <f aca="false">INDEX(Positions!$E$2:$E$1061,MATCH($A10&amp;"|9",Positions!$A$2:$A$1061,0))</f>
        <v>A</v>
      </c>
      <c r="Z10" s="7" t="str">
        <f aca="false">INDEX(Positions!$E$2:$E$1061,MATCH($A10&amp;"|26",Positions!$A$2:$A$1061,0))</f>
        <v>G</v>
      </c>
      <c r="AA10" s="7" t="n">
        <f aca="false">(X10="G")+(Y10="G")+(Z10="G")</f>
        <v>1</v>
      </c>
      <c r="AB10" s="7" t="n">
        <f aca="false">(X10="C")+(Y10="C")+(Z10="C")</f>
        <v>0</v>
      </c>
      <c r="AC10" s="8" t="n">
        <f aca="false">AA10+AB10</f>
        <v>1</v>
      </c>
      <c r="AD10" s="9" t="n">
        <f aca="false">AC10/3</f>
        <v>0.333333333333333</v>
      </c>
      <c r="AE10" s="7" t="str">
        <f aca="false">IF(K10+V10+AC10=E10,"OK","MISMATCH")</f>
        <v>OK</v>
      </c>
      <c r="AF10" s="10" t="n">
        <f aca="false">B10-42</f>
        <v>36</v>
      </c>
      <c r="AG10" s="10" t="n">
        <f aca="false">V10+AC10</f>
        <v>11</v>
      </c>
      <c r="AH10" s="11" t="n">
        <f aca="false">AG10/AF10</f>
        <v>0.305555555555556</v>
      </c>
      <c r="AI10" s="11" t="n">
        <f aca="false">L10</f>
        <v>0.285714285714286</v>
      </c>
      <c r="AJ10" s="12" t="n">
        <f aca="false">AI10-AH10</f>
        <v>-0.0198412698412699</v>
      </c>
    </row>
    <row r="11" customFormat="false" ht="15" hidden="false" customHeight="false" outlineLevel="0" collapsed="false">
      <c r="A11" s="3" t="s">
        <v>44</v>
      </c>
      <c r="B11" s="4" t="n">
        <f aca="false">COUNTIF(Positions!$B$2:$B$1061,A11)</f>
        <v>71</v>
      </c>
      <c r="C11" s="4" t="n">
        <f aca="false">COUNTIFS(Positions!$B$2:$B$1061,A11,Positions!$E$2:$E$1061,"G")</f>
        <v>11</v>
      </c>
      <c r="D11" s="4" t="n">
        <f aca="false">COUNTIFS(Positions!$B$2:$B$1061,A11,Positions!$E$2:$E$1061,"C")</f>
        <v>5</v>
      </c>
      <c r="E11" s="3" t="n">
        <f aca="false">C11+D11</f>
        <v>16</v>
      </c>
      <c r="F11" s="5" t="n">
        <f aca="false">E11/B11</f>
        <v>0.225352112676056</v>
      </c>
      <c r="G11" s="4" t="n">
        <f aca="false">SUMIFS(Stems_3D_BP!$K$2:$K$365,Stems_3D_BP!$A$2:$A$365,$A11,Stems_3D_BP!$B$2:$B$365,"Acceptor stem")</f>
        <v>0</v>
      </c>
      <c r="H11" s="4" t="n">
        <f aca="false">SUMIFS(Stems_3D_BP!$K$2:$K$365,Stems_3D_BP!$A$2:$A$365,$A11,Stems_3D_BP!$B$2:$B$365,"D-stem")</f>
        <v>3</v>
      </c>
      <c r="I11" s="4" t="n">
        <f aca="false">SUMIFS(Stems_3D_BP!$K$2:$K$365,Stems_3D_BP!$A$2:$A$365,$A11,Stems_3D_BP!$B$2:$B$365,"Anticodon stem")</f>
        <v>1</v>
      </c>
      <c r="J11" s="4" t="n">
        <f aca="false">SUMIFS(Stems_3D_BP!$K$2:$K$365,Stems_3D_BP!$A$2:$A$365,$A11,Stems_3D_BP!$B$2:$B$365,"T-stem")</f>
        <v>3</v>
      </c>
      <c r="K11" s="3" t="n">
        <f aca="false">SUM(G11:J11)</f>
        <v>7</v>
      </c>
      <c r="L11" s="5" t="n">
        <f aca="false">K11/42</f>
        <v>0.166666666666667</v>
      </c>
      <c r="M11" s="4" t="n">
        <f aca="false">SUMIFS(Stems_3D_BP!$K$2:$K$365,Stems_3D_BP!$A$2:$A$365,$A11,Stems_3D_BP!$B$2:$B$365,"3D (tertiary) BP")</f>
        <v>5</v>
      </c>
      <c r="N11" s="6" t="n">
        <f aca="false">M11/14</f>
        <v>0.357142857142857</v>
      </c>
      <c r="O11" s="3" t="n">
        <f aca="false">K11+M11</f>
        <v>12</v>
      </c>
      <c r="P11" s="5" t="n">
        <f aca="false">O11/56</f>
        <v>0.214285714285714</v>
      </c>
      <c r="Q11" s="4" t="n">
        <f aca="false">SUMIFS(Loops!$I$2:$I$66,Loops!$A$2:$A$66,$A11,Loops!$B$2:$B$66,"D-loop")</f>
        <v>4</v>
      </c>
      <c r="R11" s="4" t="n">
        <f aca="false">SUMIFS(Loops!$I$2:$I$66,Loops!$A$2:$A$66,$A11,Loops!$B$2:$B$66,"Anticodon loop")</f>
        <v>0</v>
      </c>
      <c r="S11" s="4" t="n">
        <f aca="false">SUMIFS(Loops!$I$2:$I$66,Loops!$A$2:$A$66,$A11,Loops!$B$2:$B$66,"Variable loop")</f>
        <v>2</v>
      </c>
      <c r="T11" s="4" t="n">
        <f aca="false">SUMIFS(Loops!$I$2:$I$66,Loops!$A$2:$A$66,$A11,Loops!$B$2:$B$66,"TΨC-loop")</f>
        <v>3</v>
      </c>
      <c r="U11" s="4" t="n">
        <f aca="false">SUMIFS(Loops!$F$2:$F$66,Loops!$A$2:$A$66,$A11)-SUMIFS(Loops!$F$2:$F$66,Loops!$A$2:$A$66,$A11,Loops!$B$2:$B$66,"Positions 8, 9, 26")</f>
        <v>26</v>
      </c>
      <c r="V11" s="3" t="n">
        <f aca="false">SUM(Q11:T11)</f>
        <v>9</v>
      </c>
      <c r="W11" s="5" t="n">
        <f aca="false">V11/U11</f>
        <v>0.346153846153846</v>
      </c>
      <c r="X11" s="7" t="str">
        <f aca="false">INDEX(Positions!$E$2:$E$1061,MATCH($A11&amp;"|8",Positions!$A$2:$A$1061,0))</f>
        <v>U</v>
      </c>
      <c r="Y11" s="7" t="str">
        <f aca="false">INDEX(Positions!$E$2:$E$1061,MATCH($A11&amp;"|9",Positions!$A$2:$A$1061,0))</f>
        <v>A</v>
      </c>
      <c r="Z11" s="7" t="str">
        <f aca="false">INDEX(Positions!$E$2:$E$1061,MATCH($A11&amp;"|26",Positions!$A$2:$A$1061,0))</f>
        <v>U</v>
      </c>
      <c r="AA11" s="7" t="n">
        <f aca="false">(X11="G")+(Y11="G")+(Z11="G")</f>
        <v>0</v>
      </c>
      <c r="AB11" s="7" t="n">
        <f aca="false">(X11="C")+(Y11="C")+(Z11="C")</f>
        <v>0</v>
      </c>
      <c r="AC11" s="8" t="n">
        <f aca="false">AA11+AB11</f>
        <v>0</v>
      </c>
      <c r="AD11" s="9" t="n">
        <f aca="false">AC11/3</f>
        <v>0</v>
      </c>
      <c r="AE11" s="7" t="str">
        <f aca="false">IF(K11+V11+AC11=E11,"OK","MISMATCH")</f>
        <v>OK</v>
      </c>
      <c r="AF11" s="10" t="n">
        <f aca="false">B11-42</f>
        <v>29</v>
      </c>
      <c r="AG11" s="10" t="n">
        <f aca="false">V11+AC11</f>
        <v>9</v>
      </c>
      <c r="AH11" s="11" t="n">
        <f aca="false">AG11/AF11</f>
        <v>0.310344827586207</v>
      </c>
      <c r="AI11" s="11" t="n">
        <f aca="false">L11</f>
        <v>0.166666666666667</v>
      </c>
      <c r="AJ11" s="12" t="n">
        <f aca="false">AI11-AH11</f>
        <v>-0.14367816091954</v>
      </c>
    </row>
    <row r="12" customFormat="false" ht="15" hidden="false" customHeight="false" outlineLevel="0" collapsed="false">
      <c r="A12" s="3" t="s">
        <v>45</v>
      </c>
      <c r="B12" s="4" t="n">
        <f aca="false">COUNTIF(Positions!$B$2:$B$1061,A12)</f>
        <v>85</v>
      </c>
      <c r="C12" s="4" t="n">
        <f aca="false">COUNTIFS(Positions!$B$2:$B$1061,A12,Positions!$E$2:$E$1061,"G")</f>
        <v>12</v>
      </c>
      <c r="D12" s="4" t="n">
        <f aca="false">COUNTIFS(Positions!$B$2:$B$1061,A12,Positions!$E$2:$E$1061,"C")</f>
        <v>13</v>
      </c>
      <c r="E12" s="3" t="n">
        <f aca="false">C12+D12</f>
        <v>25</v>
      </c>
      <c r="F12" s="5" t="n">
        <f aca="false">E12/B12</f>
        <v>0.294117647058824</v>
      </c>
      <c r="G12" s="4" t="n">
        <f aca="false">SUMIFS(Stems_3D_BP!$K$2:$K$365,Stems_3D_BP!$A$2:$A$365,$A12,Stems_3D_BP!$B$2:$B$365,"Acceptor stem")</f>
        <v>5</v>
      </c>
      <c r="H12" s="4" t="n">
        <f aca="false">SUMIFS(Stems_3D_BP!$K$2:$K$365,Stems_3D_BP!$A$2:$A$365,$A12,Stems_3D_BP!$B$2:$B$365,"D-stem")</f>
        <v>3</v>
      </c>
      <c r="I12" s="4" t="n">
        <f aca="false">SUMIFS(Stems_3D_BP!$K$2:$K$365,Stems_3D_BP!$A$2:$A$365,$A12,Stems_3D_BP!$B$2:$B$365,"Anticodon stem")</f>
        <v>0</v>
      </c>
      <c r="J12" s="4" t="n">
        <f aca="false">SUMIFS(Stems_3D_BP!$K$2:$K$365,Stems_3D_BP!$A$2:$A$365,$A12,Stems_3D_BP!$B$2:$B$365,"T-stem")</f>
        <v>4</v>
      </c>
      <c r="K12" s="3" t="n">
        <f aca="false">SUM(G12:J12)</f>
        <v>12</v>
      </c>
      <c r="L12" s="5" t="n">
        <f aca="false">K12/42</f>
        <v>0.285714285714286</v>
      </c>
      <c r="M12" s="4" t="n">
        <f aca="false">SUMIFS(Stems_3D_BP!$K$2:$K$365,Stems_3D_BP!$A$2:$A$365,$A12,Stems_3D_BP!$B$2:$B$365,"3D (tertiary) BP")</f>
        <v>4</v>
      </c>
      <c r="N12" s="6" t="n">
        <f aca="false">M12/14</f>
        <v>0.285714285714286</v>
      </c>
      <c r="O12" s="3" t="n">
        <f aca="false">K12+M12</f>
        <v>16</v>
      </c>
      <c r="P12" s="5" t="n">
        <f aca="false">O12/56</f>
        <v>0.285714285714286</v>
      </c>
      <c r="Q12" s="4" t="n">
        <f aca="false">SUMIFS(Loops!$I$2:$I$66,Loops!$A$2:$A$66,$A12,Loops!$B$2:$B$66,"D-loop")</f>
        <v>4</v>
      </c>
      <c r="R12" s="4" t="n">
        <f aca="false">SUMIFS(Loops!$I$2:$I$66,Loops!$A$2:$A$66,$A12,Loops!$B$2:$B$66,"Anticodon loop")</f>
        <v>1</v>
      </c>
      <c r="S12" s="4" t="n">
        <f aca="false">SUMIFS(Loops!$I$2:$I$66,Loops!$A$2:$A$66,$A12,Loops!$B$2:$B$66,"Variable loop")</f>
        <v>6</v>
      </c>
      <c r="T12" s="4" t="n">
        <f aca="false">SUMIFS(Loops!$I$2:$I$66,Loops!$A$2:$A$66,$A12,Loops!$B$2:$B$66,"TΨC-loop")</f>
        <v>2</v>
      </c>
      <c r="U12" s="4" t="n">
        <f aca="false">SUMIFS(Loops!$F$2:$F$66,Loops!$A$2:$A$66,$A12)-SUMIFS(Loops!$F$2:$F$66,Loops!$A$2:$A$66,$A12,Loops!$B$2:$B$66,"Positions 8, 9, 26")</f>
        <v>40</v>
      </c>
      <c r="V12" s="3" t="n">
        <f aca="false">SUM(Q12:T12)</f>
        <v>13</v>
      </c>
      <c r="W12" s="5" t="n">
        <f aca="false">V12/U12</f>
        <v>0.325</v>
      </c>
      <c r="X12" s="7" t="str">
        <f aca="false">INDEX(Positions!$E$2:$E$1061,MATCH($A12&amp;"|8",Positions!$A$2:$A$1061,0))</f>
        <v>U</v>
      </c>
      <c r="Y12" s="7" t="str">
        <f aca="false">INDEX(Positions!$E$2:$E$1061,MATCH($A12&amp;"|9",Positions!$A$2:$A$1061,0))</f>
        <v>A</v>
      </c>
      <c r="Z12" s="7" t="str">
        <f aca="false">INDEX(Positions!$E$2:$E$1061,MATCH($A12&amp;"|26",Positions!$A$2:$A$1061,0))</f>
        <v>U</v>
      </c>
      <c r="AA12" s="7" t="n">
        <f aca="false">(X12="G")+(Y12="G")+(Z12="G")</f>
        <v>0</v>
      </c>
      <c r="AB12" s="7" t="n">
        <f aca="false">(X12="C")+(Y12="C")+(Z12="C")</f>
        <v>0</v>
      </c>
      <c r="AC12" s="8" t="n">
        <f aca="false">AA12+AB12</f>
        <v>0</v>
      </c>
      <c r="AD12" s="9" t="n">
        <f aca="false">AC12/3</f>
        <v>0</v>
      </c>
      <c r="AE12" s="7" t="str">
        <f aca="false">IF(K12+V12+AC12=E12,"OK","MISMATCH")</f>
        <v>OK</v>
      </c>
      <c r="AF12" s="10" t="n">
        <f aca="false">B12-42</f>
        <v>43</v>
      </c>
      <c r="AG12" s="10" t="n">
        <f aca="false">V12+AC12</f>
        <v>13</v>
      </c>
      <c r="AH12" s="11" t="n">
        <f aca="false">AG12/AF12</f>
        <v>0.302325581395349</v>
      </c>
      <c r="AI12" s="11" t="n">
        <f aca="false">L12</f>
        <v>0.285714285714286</v>
      </c>
      <c r="AJ12" s="12" t="n">
        <f aca="false">AI12-AH12</f>
        <v>-0.0166112956810631</v>
      </c>
    </row>
    <row r="13" customFormat="false" ht="15" hidden="false" customHeight="false" outlineLevel="0" collapsed="false">
      <c r="A13" s="3" t="s">
        <v>46</v>
      </c>
      <c r="B13" s="4" t="n">
        <f aca="false">COUNTIF(Positions!$B$2:$B$1061,A13)</f>
        <v>73</v>
      </c>
      <c r="C13" s="4" t="n">
        <f aca="false">COUNTIFS(Positions!$B$2:$B$1061,A13,Positions!$E$2:$E$1061,"G")</f>
        <v>10</v>
      </c>
      <c r="D13" s="4" t="n">
        <f aca="false">COUNTIFS(Positions!$B$2:$B$1061,A13,Positions!$E$2:$E$1061,"C")</f>
        <v>5</v>
      </c>
      <c r="E13" s="3" t="n">
        <f aca="false">C13+D13</f>
        <v>15</v>
      </c>
      <c r="F13" s="5" t="n">
        <f aca="false">E13/B13</f>
        <v>0.205479452054795</v>
      </c>
      <c r="G13" s="4" t="n">
        <f aca="false">SUMIFS(Stems_3D_BP!$K$2:$K$365,Stems_3D_BP!$A$2:$A$365,$A13,Stems_3D_BP!$B$2:$B$365,"Acceptor stem")</f>
        <v>3</v>
      </c>
      <c r="H13" s="4" t="n">
        <f aca="false">SUMIFS(Stems_3D_BP!$K$2:$K$365,Stems_3D_BP!$A$2:$A$365,$A13,Stems_3D_BP!$B$2:$B$365,"D-stem")</f>
        <v>0</v>
      </c>
      <c r="I13" s="4" t="n">
        <f aca="false">SUMIFS(Stems_3D_BP!$K$2:$K$365,Stems_3D_BP!$A$2:$A$365,$A13,Stems_3D_BP!$B$2:$B$365,"Anticodon stem")</f>
        <v>2</v>
      </c>
      <c r="J13" s="4" t="n">
        <f aca="false">SUMIFS(Stems_3D_BP!$K$2:$K$365,Stems_3D_BP!$A$2:$A$365,$A13,Stems_3D_BP!$B$2:$B$365,"T-stem")</f>
        <v>3</v>
      </c>
      <c r="K13" s="3" t="n">
        <f aca="false">SUM(G13:J13)</f>
        <v>8</v>
      </c>
      <c r="L13" s="5" t="n">
        <f aca="false">K13/42</f>
        <v>0.19047619047619</v>
      </c>
      <c r="M13" s="4" t="n">
        <f aca="false">SUMIFS(Stems_3D_BP!$K$2:$K$365,Stems_3D_BP!$A$2:$A$365,$A13,Stems_3D_BP!$B$2:$B$365,"3D (tertiary) BP")</f>
        <v>5</v>
      </c>
      <c r="N13" s="6" t="n">
        <f aca="false">M13/14</f>
        <v>0.357142857142857</v>
      </c>
      <c r="O13" s="3" t="n">
        <f aca="false">K13+M13</f>
        <v>13</v>
      </c>
      <c r="P13" s="5" t="n">
        <f aca="false">O13/56</f>
        <v>0.232142857142857</v>
      </c>
      <c r="Q13" s="4" t="n">
        <f aca="false">SUMIFS(Loops!$I$2:$I$66,Loops!$A$2:$A$66,$A13,Loops!$B$2:$B$66,"D-loop")</f>
        <v>4</v>
      </c>
      <c r="R13" s="4" t="n">
        <f aca="false">SUMIFS(Loops!$I$2:$I$66,Loops!$A$2:$A$66,$A13,Loops!$B$2:$B$66,"Anticodon loop")</f>
        <v>2</v>
      </c>
      <c r="S13" s="4" t="n">
        <f aca="false">SUMIFS(Loops!$I$2:$I$66,Loops!$A$2:$A$66,$A13,Loops!$B$2:$B$66,"Variable loop")</f>
        <v>0</v>
      </c>
      <c r="T13" s="4" t="n">
        <f aca="false">SUMIFS(Loops!$I$2:$I$66,Loops!$A$2:$A$66,$A13,Loops!$B$2:$B$66,"TΨC-loop")</f>
        <v>1</v>
      </c>
      <c r="U13" s="4" t="n">
        <f aca="false">SUMIFS(Loops!$F$2:$F$66,Loops!$A$2:$A$66,$A13)-SUMIFS(Loops!$F$2:$F$66,Loops!$A$2:$A$66,$A13,Loops!$B$2:$B$66,"Positions 8, 9, 26")</f>
        <v>28</v>
      </c>
      <c r="V13" s="3" t="n">
        <f aca="false">SUM(Q13:T13)</f>
        <v>7</v>
      </c>
      <c r="W13" s="5" t="n">
        <f aca="false">V13/U13</f>
        <v>0.25</v>
      </c>
      <c r="X13" s="7" t="str">
        <f aca="false">INDEX(Positions!$E$2:$E$1061,MATCH($A13&amp;"|8",Positions!$A$2:$A$1061,0))</f>
        <v>U</v>
      </c>
      <c r="Y13" s="7" t="str">
        <f aca="false">INDEX(Positions!$E$2:$E$1061,MATCH($A13&amp;"|9",Positions!$A$2:$A$1061,0))</f>
        <v>U</v>
      </c>
      <c r="Z13" s="7" t="str">
        <f aca="false">INDEX(Positions!$E$2:$E$1061,MATCH($A13&amp;"|26",Positions!$A$2:$A$1061,0))</f>
        <v>U</v>
      </c>
      <c r="AA13" s="7" t="n">
        <f aca="false">(X13="G")+(Y13="G")+(Z13="G")</f>
        <v>0</v>
      </c>
      <c r="AB13" s="7" t="n">
        <f aca="false">(X13="C")+(Y13="C")+(Z13="C")</f>
        <v>0</v>
      </c>
      <c r="AC13" s="8" t="n">
        <f aca="false">AA13+AB13</f>
        <v>0</v>
      </c>
      <c r="AD13" s="9" t="n">
        <f aca="false">AC13/3</f>
        <v>0</v>
      </c>
      <c r="AE13" s="7" t="str">
        <f aca="false">IF(K13+V13+AC13=E13,"OK","MISMATCH")</f>
        <v>OK</v>
      </c>
      <c r="AF13" s="10" t="n">
        <f aca="false">B13-42</f>
        <v>31</v>
      </c>
      <c r="AG13" s="10" t="n">
        <f aca="false">V13+AC13</f>
        <v>7</v>
      </c>
      <c r="AH13" s="11" t="n">
        <f aca="false">AG13/AF13</f>
        <v>0.225806451612903</v>
      </c>
      <c r="AI13" s="11" t="n">
        <f aca="false">L13</f>
        <v>0.19047619047619</v>
      </c>
      <c r="AJ13" s="12" t="n">
        <f aca="false">AI13-AH13</f>
        <v>-0.0353302611367128</v>
      </c>
    </row>
    <row r="14" customFormat="false" ht="15" hidden="false" customHeight="false" outlineLevel="0" collapsed="false">
      <c r="A14" s="3" t="s">
        <v>47</v>
      </c>
      <c r="B14" s="4" t="n">
        <f aca="false">COUNTIF(Positions!$B$2:$B$1061,A14)</f>
        <v>74</v>
      </c>
      <c r="C14" s="4" t="n">
        <f aca="false">COUNTIFS(Positions!$B$2:$B$1061,A14,Positions!$E$2:$E$1061,"G")</f>
        <v>11</v>
      </c>
      <c r="D14" s="4" t="n">
        <f aca="false">COUNTIFS(Positions!$B$2:$B$1061,A14,Positions!$E$2:$E$1061,"C")</f>
        <v>11</v>
      </c>
      <c r="E14" s="3" t="n">
        <f aca="false">C14+D14</f>
        <v>22</v>
      </c>
      <c r="F14" s="5" t="n">
        <f aca="false">E14/B14</f>
        <v>0.297297297297297</v>
      </c>
      <c r="G14" s="4" t="n">
        <f aca="false">SUMIFS(Stems_3D_BP!$K$2:$K$365,Stems_3D_BP!$A$2:$A$365,$A14,Stems_3D_BP!$B$2:$B$365,"Acceptor stem")</f>
        <v>7</v>
      </c>
      <c r="H14" s="4" t="n">
        <f aca="false">SUMIFS(Stems_3D_BP!$K$2:$K$365,Stems_3D_BP!$A$2:$A$365,$A14,Stems_3D_BP!$B$2:$B$365,"D-stem")</f>
        <v>1</v>
      </c>
      <c r="I14" s="4" t="n">
        <f aca="false">SUMIFS(Stems_3D_BP!$K$2:$K$365,Stems_3D_BP!$A$2:$A$365,$A14,Stems_3D_BP!$B$2:$B$365,"Anticodon stem")</f>
        <v>1</v>
      </c>
      <c r="J14" s="4" t="n">
        <f aca="false">SUMIFS(Stems_3D_BP!$K$2:$K$365,Stems_3D_BP!$A$2:$A$365,$A14,Stems_3D_BP!$B$2:$B$365,"T-stem")</f>
        <v>4</v>
      </c>
      <c r="K14" s="3" t="n">
        <f aca="false">SUM(G14:J14)</f>
        <v>13</v>
      </c>
      <c r="L14" s="5" t="n">
        <f aca="false">K14/42</f>
        <v>0.30952380952381</v>
      </c>
      <c r="M14" s="4" t="n">
        <f aca="false">SUMIFS(Stems_3D_BP!$K$2:$K$365,Stems_3D_BP!$A$2:$A$365,$A14,Stems_3D_BP!$B$2:$B$365,"3D (tertiary) BP")</f>
        <v>5</v>
      </c>
      <c r="N14" s="6" t="n">
        <f aca="false">M14/14</f>
        <v>0.357142857142857</v>
      </c>
      <c r="O14" s="3" t="n">
        <f aca="false">K14+M14</f>
        <v>18</v>
      </c>
      <c r="P14" s="5" t="n">
        <f aca="false">O14/56</f>
        <v>0.321428571428571</v>
      </c>
      <c r="Q14" s="4" t="n">
        <f aca="false">SUMIFS(Loops!$I$2:$I$66,Loops!$A$2:$A$66,$A14,Loops!$B$2:$B$66,"D-loop")</f>
        <v>6</v>
      </c>
      <c r="R14" s="4" t="n">
        <f aca="false">SUMIFS(Loops!$I$2:$I$66,Loops!$A$2:$A$66,$A14,Loops!$B$2:$B$66,"Anticodon loop")</f>
        <v>1</v>
      </c>
      <c r="S14" s="4" t="n">
        <f aca="false">SUMIFS(Loops!$I$2:$I$66,Loops!$A$2:$A$66,$A14,Loops!$B$2:$B$66,"Variable loop")</f>
        <v>1</v>
      </c>
      <c r="T14" s="4" t="n">
        <f aca="false">SUMIFS(Loops!$I$2:$I$66,Loops!$A$2:$A$66,$A14,Loops!$B$2:$B$66,"TΨC-loop")</f>
        <v>1</v>
      </c>
      <c r="U14" s="4" t="n">
        <f aca="false">SUMIFS(Loops!$F$2:$F$66,Loops!$A$2:$A$66,$A14)-SUMIFS(Loops!$F$2:$F$66,Loops!$A$2:$A$66,$A14,Loops!$B$2:$B$66,"Positions 8, 9, 26")</f>
        <v>29</v>
      </c>
      <c r="V14" s="3" t="n">
        <f aca="false">SUM(Q14:T14)</f>
        <v>9</v>
      </c>
      <c r="W14" s="5" t="n">
        <f aca="false">V14/U14</f>
        <v>0.310344827586207</v>
      </c>
      <c r="X14" s="7" t="str">
        <f aca="false">INDEX(Positions!$E$2:$E$1061,MATCH($A14&amp;"|8",Positions!$A$2:$A$1061,0))</f>
        <v>U</v>
      </c>
      <c r="Y14" s="7" t="str">
        <f aca="false">INDEX(Positions!$E$2:$E$1061,MATCH($A14&amp;"|9",Positions!$A$2:$A$1061,0))</f>
        <v>U</v>
      </c>
      <c r="Z14" s="7" t="str">
        <f aca="false">INDEX(Positions!$E$2:$E$1061,MATCH($A14&amp;"|26",Positions!$A$2:$A$1061,0))</f>
        <v>U</v>
      </c>
      <c r="AA14" s="7" t="n">
        <f aca="false">(X14="G")+(Y14="G")+(Z14="G")</f>
        <v>0</v>
      </c>
      <c r="AB14" s="7" t="n">
        <f aca="false">(X14="C")+(Y14="C")+(Z14="C")</f>
        <v>0</v>
      </c>
      <c r="AC14" s="8" t="n">
        <f aca="false">AA14+AB14</f>
        <v>0</v>
      </c>
      <c r="AD14" s="9" t="n">
        <f aca="false">AC14/3</f>
        <v>0</v>
      </c>
      <c r="AE14" s="7" t="str">
        <f aca="false">IF(K14+V14+AC14=E14,"OK","MISMATCH")</f>
        <v>OK</v>
      </c>
      <c r="AF14" s="10" t="n">
        <f aca="false">B14-42</f>
        <v>32</v>
      </c>
      <c r="AG14" s="10" t="n">
        <f aca="false">V14+AC14</f>
        <v>9</v>
      </c>
      <c r="AH14" s="11" t="n">
        <f aca="false">AG14/AF14</f>
        <v>0.28125</v>
      </c>
      <c r="AI14" s="11" t="n">
        <f aca="false">L14</f>
        <v>0.30952380952381</v>
      </c>
      <c r="AJ14" s="12" t="n">
        <f aca="false">AI14-AH14</f>
        <v>0.0282738095238095</v>
      </c>
    </row>
    <row r="15" customFormat="false" ht="15" hidden="false" customHeight="false" outlineLevel="0" collapsed="false">
      <c r="A15" s="3" t="s">
        <v>48</v>
      </c>
      <c r="B15" s="4" t="n">
        <f aca="false">COUNTIF(Positions!$B$2:$B$1061,A15)</f>
        <v>82</v>
      </c>
      <c r="C15" s="4" t="n">
        <f aca="false">COUNTIFS(Positions!$B$2:$B$1061,A15,Positions!$E$2:$E$1061,"G")</f>
        <v>18</v>
      </c>
      <c r="D15" s="4" t="n">
        <f aca="false">COUNTIFS(Positions!$B$2:$B$1061,A15,Positions!$E$2:$E$1061,"C")</f>
        <v>13</v>
      </c>
      <c r="E15" s="3" t="n">
        <f aca="false">C15+D15</f>
        <v>31</v>
      </c>
      <c r="F15" s="5" t="n">
        <f aca="false">E15/B15</f>
        <v>0.378048780487805</v>
      </c>
      <c r="G15" s="4" t="n">
        <f aca="false">SUMIFS(Stems_3D_BP!$K$2:$K$365,Stems_3D_BP!$A$2:$A$365,$A15,Stems_3D_BP!$B$2:$B$365,"Acceptor stem")</f>
        <v>5</v>
      </c>
      <c r="H15" s="4" t="n">
        <f aca="false">SUMIFS(Stems_3D_BP!$K$2:$K$365,Stems_3D_BP!$A$2:$A$365,$A15,Stems_3D_BP!$B$2:$B$365,"D-stem")</f>
        <v>2</v>
      </c>
      <c r="I15" s="4" t="n">
        <f aca="false">SUMIFS(Stems_3D_BP!$K$2:$K$365,Stems_3D_BP!$A$2:$A$365,$A15,Stems_3D_BP!$B$2:$B$365,"Anticodon stem")</f>
        <v>3</v>
      </c>
      <c r="J15" s="4" t="n">
        <f aca="false">SUMIFS(Stems_3D_BP!$K$2:$K$365,Stems_3D_BP!$A$2:$A$365,$A15,Stems_3D_BP!$B$2:$B$365,"T-stem")</f>
        <v>6</v>
      </c>
      <c r="K15" s="3" t="n">
        <f aca="false">SUM(G15:J15)</f>
        <v>16</v>
      </c>
      <c r="L15" s="5" t="n">
        <f aca="false">K15/42</f>
        <v>0.380952380952381</v>
      </c>
      <c r="M15" s="4" t="n">
        <f aca="false">SUMIFS(Stems_3D_BP!$K$2:$K$365,Stems_3D_BP!$A$2:$A$365,$A15,Stems_3D_BP!$B$2:$B$365,"3D (tertiary) BP")</f>
        <v>7</v>
      </c>
      <c r="N15" s="6" t="n">
        <f aca="false">M15/14</f>
        <v>0.5</v>
      </c>
      <c r="O15" s="3" t="n">
        <f aca="false">K15+M15</f>
        <v>23</v>
      </c>
      <c r="P15" s="5" t="n">
        <f aca="false">O15/56</f>
        <v>0.410714285714286</v>
      </c>
      <c r="Q15" s="4" t="n">
        <f aca="false">SUMIFS(Loops!$I$2:$I$66,Loops!$A$2:$A$66,$A15,Loops!$B$2:$B$66,"D-loop")</f>
        <v>4</v>
      </c>
      <c r="R15" s="4" t="n">
        <f aca="false">SUMIFS(Loops!$I$2:$I$66,Loops!$A$2:$A$66,$A15,Loops!$B$2:$B$66,"Anticodon loop")</f>
        <v>3</v>
      </c>
      <c r="S15" s="4" t="n">
        <f aca="false">SUMIFS(Loops!$I$2:$I$66,Loops!$A$2:$A$66,$A15,Loops!$B$2:$B$66,"Variable loop")</f>
        <v>4</v>
      </c>
      <c r="T15" s="4" t="n">
        <f aca="false">SUMIFS(Loops!$I$2:$I$66,Loops!$A$2:$A$66,$A15,Loops!$B$2:$B$66,"TΨC-loop")</f>
        <v>4</v>
      </c>
      <c r="U15" s="4" t="n">
        <f aca="false">SUMIFS(Loops!$F$2:$F$66,Loops!$A$2:$A$66,$A15)-SUMIFS(Loops!$F$2:$F$66,Loops!$A$2:$A$66,$A15,Loops!$B$2:$B$66,"Positions 8, 9, 26")</f>
        <v>37</v>
      </c>
      <c r="V15" s="3" t="n">
        <f aca="false">SUM(Q15:T15)</f>
        <v>15</v>
      </c>
      <c r="W15" s="5" t="n">
        <f aca="false">V15/U15</f>
        <v>0.405405405405405</v>
      </c>
      <c r="X15" s="7" t="str">
        <f aca="false">INDEX(Positions!$E$2:$E$1061,MATCH($A15&amp;"|8",Positions!$A$2:$A$1061,0))</f>
        <v>U</v>
      </c>
      <c r="Y15" s="7" t="str">
        <f aca="false">INDEX(Positions!$E$2:$E$1061,MATCH($A15&amp;"|9",Positions!$A$2:$A$1061,0))</f>
        <v>A</v>
      </c>
      <c r="Z15" s="7" t="str">
        <f aca="false">INDEX(Positions!$E$2:$E$1061,MATCH($A15&amp;"|26",Positions!$A$2:$A$1061,0))</f>
        <v>U</v>
      </c>
      <c r="AA15" s="7" t="n">
        <f aca="false">(X15="G")+(Y15="G")+(Z15="G")</f>
        <v>0</v>
      </c>
      <c r="AB15" s="7" t="n">
        <f aca="false">(X15="C")+(Y15="C")+(Z15="C")</f>
        <v>0</v>
      </c>
      <c r="AC15" s="8" t="n">
        <f aca="false">AA15+AB15</f>
        <v>0</v>
      </c>
      <c r="AD15" s="9" t="n">
        <f aca="false">AC15/3</f>
        <v>0</v>
      </c>
      <c r="AE15" s="7" t="str">
        <f aca="false">IF(K15+V15+AC15=E15,"OK","MISMATCH")</f>
        <v>OK</v>
      </c>
      <c r="AF15" s="10" t="n">
        <f aca="false">B15-42</f>
        <v>40</v>
      </c>
      <c r="AG15" s="10" t="n">
        <f aca="false">V15+AC15</f>
        <v>15</v>
      </c>
      <c r="AH15" s="11" t="n">
        <f aca="false">AG15/AF15</f>
        <v>0.375</v>
      </c>
      <c r="AI15" s="11" t="n">
        <f aca="false">L15</f>
        <v>0.380952380952381</v>
      </c>
      <c r="AJ15" s="12" t="n">
        <f aca="false">AI15-AH15</f>
        <v>0.00595238095238093</v>
      </c>
    </row>
    <row r="16" customFormat="false" ht="15" hidden="false" customHeight="false" outlineLevel="0" collapsed="false">
      <c r="A16" s="3" t="s">
        <v>49</v>
      </c>
      <c r="B16" s="4" t="n">
        <f aca="false">COUNTIF(Positions!$B$2:$B$1061,A16)</f>
        <v>75</v>
      </c>
      <c r="C16" s="4" t="n">
        <f aca="false">COUNTIFS(Positions!$B$2:$B$1061,A16,Positions!$E$2:$E$1061,"G")</f>
        <v>12</v>
      </c>
      <c r="D16" s="4" t="n">
        <f aca="false">COUNTIFS(Positions!$B$2:$B$1061,A16,Positions!$E$2:$E$1061,"C")</f>
        <v>10</v>
      </c>
      <c r="E16" s="3" t="n">
        <f aca="false">C16+D16</f>
        <v>22</v>
      </c>
      <c r="F16" s="5" t="n">
        <f aca="false">E16/B16</f>
        <v>0.293333333333333</v>
      </c>
      <c r="G16" s="4" t="n">
        <f aca="false">SUMIFS(Stems_3D_BP!$K$2:$K$365,Stems_3D_BP!$A$2:$A$365,$A16,Stems_3D_BP!$B$2:$B$365,"Acceptor stem")</f>
        <v>3</v>
      </c>
      <c r="H16" s="4" t="n">
        <f aca="false">SUMIFS(Stems_3D_BP!$K$2:$K$365,Stems_3D_BP!$A$2:$A$365,$A16,Stems_3D_BP!$B$2:$B$365,"D-stem")</f>
        <v>0</v>
      </c>
      <c r="I16" s="4" t="n">
        <f aca="false">SUMIFS(Stems_3D_BP!$K$2:$K$365,Stems_3D_BP!$A$2:$A$365,$A16,Stems_3D_BP!$B$2:$B$365,"Anticodon stem")</f>
        <v>5</v>
      </c>
      <c r="J16" s="4" t="n">
        <f aca="false">SUMIFS(Stems_3D_BP!$K$2:$K$365,Stems_3D_BP!$A$2:$A$365,$A16,Stems_3D_BP!$B$2:$B$365,"T-stem")</f>
        <v>6</v>
      </c>
      <c r="K16" s="3" t="n">
        <f aca="false">SUM(G16:J16)</f>
        <v>14</v>
      </c>
      <c r="L16" s="5" t="n">
        <f aca="false">K16/42</f>
        <v>0.333333333333333</v>
      </c>
      <c r="M16" s="4" t="n">
        <f aca="false">SUMIFS(Stems_3D_BP!$K$2:$K$365,Stems_3D_BP!$A$2:$A$365,$A16,Stems_3D_BP!$B$2:$B$365,"3D (tertiary) BP")</f>
        <v>5</v>
      </c>
      <c r="N16" s="6" t="n">
        <f aca="false">M16/14</f>
        <v>0.357142857142857</v>
      </c>
      <c r="O16" s="3" t="n">
        <f aca="false">K16+M16</f>
        <v>19</v>
      </c>
      <c r="P16" s="5" t="n">
        <f aca="false">O16/56</f>
        <v>0.339285714285714</v>
      </c>
      <c r="Q16" s="4" t="n">
        <f aca="false">SUMIFS(Loops!$I$2:$I$66,Loops!$A$2:$A$66,$A16,Loops!$B$2:$B$66,"D-loop")</f>
        <v>2</v>
      </c>
      <c r="R16" s="4" t="n">
        <f aca="false">SUMIFS(Loops!$I$2:$I$66,Loops!$A$2:$A$66,$A16,Loops!$B$2:$B$66,"Anticodon loop")</f>
        <v>2</v>
      </c>
      <c r="S16" s="4" t="n">
        <f aca="false">SUMIFS(Loops!$I$2:$I$66,Loops!$A$2:$A$66,$A16,Loops!$B$2:$B$66,"Variable loop")</f>
        <v>2</v>
      </c>
      <c r="T16" s="4" t="n">
        <f aca="false">SUMIFS(Loops!$I$2:$I$66,Loops!$A$2:$A$66,$A16,Loops!$B$2:$B$66,"TΨC-loop")</f>
        <v>2</v>
      </c>
      <c r="U16" s="4" t="n">
        <f aca="false">SUMIFS(Loops!$F$2:$F$66,Loops!$A$2:$A$66,$A16)-SUMIFS(Loops!$F$2:$F$66,Loops!$A$2:$A$66,$A16,Loops!$B$2:$B$66,"Positions 8, 9, 26")</f>
        <v>30</v>
      </c>
      <c r="V16" s="3" t="n">
        <f aca="false">SUM(Q16:T16)</f>
        <v>8</v>
      </c>
      <c r="W16" s="5" t="n">
        <f aca="false">V16/U16</f>
        <v>0.266666666666667</v>
      </c>
      <c r="X16" s="7" t="str">
        <f aca="false">INDEX(Positions!$E$2:$E$1061,MATCH($A16&amp;"|8",Positions!$A$2:$A$1061,0))</f>
        <v>U</v>
      </c>
      <c r="Y16" s="7" t="str">
        <f aca="false">INDEX(Positions!$E$2:$E$1061,MATCH($A16&amp;"|9",Positions!$A$2:$A$1061,0))</f>
        <v>U</v>
      </c>
      <c r="Z16" s="7" t="str">
        <f aca="false">INDEX(Positions!$E$2:$E$1061,MATCH($A16&amp;"|26",Positions!$A$2:$A$1061,0))</f>
        <v>U</v>
      </c>
      <c r="AA16" s="7" t="n">
        <f aca="false">(X16="G")+(Y16="G")+(Z16="G")</f>
        <v>0</v>
      </c>
      <c r="AB16" s="7" t="n">
        <f aca="false">(X16="C")+(Y16="C")+(Z16="C")</f>
        <v>0</v>
      </c>
      <c r="AC16" s="8" t="n">
        <f aca="false">AA16+AB16</f>
        <v>0</v>
      </c>
      <c r="AD16" s="9" t="n">
        <f aca="false">AC16/3</f>
        <v>0</v>
      </c>
      <c r="AE16" s="7" t="str">
        <f aca="false">IF(K16+V16+AC16=E16,"OK","MISMATCH")</f>
        <v>OK</v>
      </c>
      <c r="AF16" s="10" t="n">
        <f aca="false">B16-42</f>
        <v>33</v>
      </c>
      <c r="AG16" s="10" t="n">
        <f aca="false">V16+AC16</f>
        <v>8</v>
      </c>
      <c r="AH16" s="11" t="n">
        <f aca="false">AG16/AF16</f>
        <v>0.242424242424242</v>
      </c>
      <c r="AI16" s="11" t="n">
        <f aca="false">L16</f>
        <v>0.333333333333333</v>
      </c>
      <c r="AJ16" s="12" t="n">
        <f aca="false">AI16-AH16</f>
        <v>0.0909090909090909</v>
      </c>
    </row>
    <row r="17" customFormat="false" ht="15" hidden="false" customHeight="false" outlineLevel="0" collapsed="false">
      <c r="A17" s="3" t="s">
        <v>50</v>
      </c>
      <c r="B17" s="13" t="n">
        <f aca="false">AVERAGE(B4:B16)</f>
        <v>81.5384615384615</v>
      </c>
      <c r="C17" s="13" t="n">
        <f aca="false">AVERAGE(C4:C16)</f>
        <v>14.9230769230769</v>
      </c>
      <c r="D17" s="13" t="n">
        <f aca="false">AVERAGE(D4:D16)</f>
        <v>10</v>
      </c>
      <c r="E17" s="13" t="n">
        <f aca="false">AVERAGE(E4:E16)</f>
        <v>24.9230769230769</v>
      </c>
      <c r="F17" s="14" t="n">
        <f aca="false">AVERAGE(F4:F16)</f>
        <v>0.304170547805978</v>
      </c>
      <c r="G17" s="13" t="n">
        <f aca="false">AVERAGE(G4:G16)</f>
        <v>3.69230769230769</v>
      </c>
      <c r="H17" s="13" t="n">
        <f aca="false">AVERAGE(H4:H16)</f>
        <v>2.30769230769231</v>
      </c>
      <c r="I17" s="13" t="n">
        <f aca="false">AVERAGE(I4:I16)</f>
        <v>2.38461538461538</v>
      </c>
      <c r="J17" s="13" t="n">
        <f aca="false">AVERAGE(J4:J16)</f>
        <v>4.38461538461539</v>
      </c>
      <c r="K17" s="13" t="n">
        <f aca="false">AVERAGE(K4:K16)</f>
        <v>12.7692307692308</v>
      </c>
      <c r="L17" s="14" t="n">
        <f aca="false">AVERAGE(L4:L16)</f>
        <v>0.304029304029304</v>
      </c>
      <c r="M17" s="13" t="n">
        <f aca="false">AVERAGE(M4:M16)</f>
        <v>5.46153846153846</v>
      </c>
      <c r="N17" s="14" t="n">
        <f aca="false">AVERAGE(N4:N16)</f>
        <v>0.39010989010989</v>
      </c>
      <c r="O17" s="13" t="n">
        <f aca="false">AVERAGE(O4:O16)</f>
        <v>18.2307692307692</v>
      </c>
      <c r="P17" s="14" t="n">
        <f aca="false">AVERAGE(P4:P16)</f>
        <v>0.325549450549451</v>
      </c>
      <c r="Q17" s="13" t="n">
        <f aca="false">AVERAGE(Q4:Q16)</f>
        <v>3.69230769230769</v>
      </c>
      <c r="R17" s="13" t="n">
        <f aca="false">AVERAGE(R4:R16)</f>
        <v>1.69230769230769</v>
      </c>
      <c r="S17" s="13" t="n">
        <f aca="false">AVERAGE(S4:S16)</f>
        <v>3.92307692307692</v>
      </c>
      <c r="T17" s="13" t="n">
        <f aca="false">AVERAGE(T4:T16)</f>
        <v>2.30769230769231</v>
      </c>
      <c r="U17" s="13" t="n">
        <f aca="false">AVERAGE(U4:U16)</f>
        <v>36.5384615384615</v>
      </c>
      <c r="V17" s="13" t="n">
        <f aca="false">AVERAGE(V4:V16)</f>
        <v>11.6153846153846</v>
      </c>
      <c r="W17" s="14" t="n">
        <f aca="false">AVERAGE(W4:W16)</f>
        <v>0.31583763340596</v>
      </c>
      <c r="AA17" s="13" t="n">
        <f aca="false">AVERAGE(AA4:AA16)</f>
        <v>0.384615384615385</v>
      </c>
      <c r="AB17" s="13" t="n">
        <f aca="false">AVERAGE(AB4:AB16)</f>
        <v>0.153846153846154</v>
      </c>
      <c r="AC17" s="13" t="n">
        <f aca="false">AVERAGE(AC4:AC16)</f>
        <v>0.538461538461538</v>
      </c>
      <c r="AD17" s="14" t="n">
        <f aca="false">AVERAGE(AD4:AD16)</f>
        <v>0.179487179487179</v>
      </c>
      <c r="AF17" s="13" t="n">
        <f aca="false">AVERAGE(AF4:AF16)</f>
        <v>39.5384615384615</v>
      </c>
      <c r="AG17" s="13" t="n">
        <f aca="false">AVERAGE(AG4:AG16)</f>
        <v>12.1538461538462</v>
      </c>
      <c r="AH17" s="14" t="n">
        <f aca="false">AVERAGE(AH4:AH16)</f>
        <v>0.3044226171712</v>
      </c>
      <c r="AI17" s="14" t="n">
        <f aca="false">AVERAGE(AI4:AI16)</f>
        <v>0.304029304029304</v>
      </c>
      <c r="AJ17" s="14" t="n">
        <f aca="false">AVERAGE(AJ4:AJ16)</f>
        <v>-0.000393313141895747</v>
      </c>
    </row>
    <row r="19" customFormat="false" ht="15" hidden="false" customHeight="false" outlineLevel="0" collapsed="false">
      <c r="A19" s="15" t="s">
        <v>51</v>
      </c>
    </row>
    <row r="20" customFormat="false" ht="15" hidden="false" customHeight="false" outlineLevel="0" collapsed="false">
      <c r="A20" s="15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6" min="6" style="0" width="17"/>
  </cols>
  <sheetData>
    <row r="1" customFormat="false" ht="39.55" hidden="false" customHeight="false" outlineLevel="0" collapsed="false">
      <c r="A1" s="2" t="s">
        <v>53</v>
      </c>
      <c r="B1" s="2" t="s">
        <v>1</v>
      </c>
      <c r="C1" s="2" t="s">
        <v>54</v>
      </c>
      <c r="D1" s="2" t="s">
        <v>55</v>
      </c>
      <c r="E1" s="2" t="s">
        <v>56</v>
      </c>
      <c r="F1" s="2" t="s">
        <v>57</v>
      </c>
    </row>
    <row r="2" customFormat="false" ht="15" hidden="false" customHeight="false" outlineLevel="0" collapsed="false">
      <c r="A2" s="4" t="str">
        <f aca="false">B2&amp;"|"&amp;C2</f>
        <v>R_5_18|1</v>
      </c>
      <c r="B2" s="4" t="s">
        <v>37</v>
      </c>
      <c r="C2" s="4" t="s">
        <v>58</v>
      </c>
      <c r="D2" s="4" t="n">
        <v>1</v>
      </c>
      <c r="E2" s="16" t="s">
        <v>59</v>
      </c>
      <c r="F2" s="17" t="s">
        <v>60</v>
      </c>
    </row>
    <row r="3" customFormat="false" ht="15" hidden="false" customHeight="false" outlineLevel="0" collapsed="false">
      <c r="A3" s="4" t="str">
        <f aca="false">B3&amp;"|"&amp;C3</f>
        <v>R_5_18|2</v>
      </c>
      <c r="B3" s="4" t="s">
        <v>37</v>
      </c>
      <c r="C3" s="4" t="s">
        <v>61</v>
      </c>
      <c r="D3" s="4" t="n">
        <v>2</v>
      </c>
      <c r="E3" s="16" t="s">
        <v>62</v>
      </c>
      <c r="F3" s="17" t="s">
        <v>60</v>
      </c>
    </row>
    <row r="4" customFormat="false" ht="15" hidden="false" customHeight="false" outlineLevel="0" collapsed="false">
      <c r="A4" s="4" t="str">
        <f aca="false">B4&amp;"|"&amp;C4</f>
        <v>R_5_18|3</v>
      </c>
      <c r="B4" s="4" t="s">
        <v>37</v>
      </c>
      <c r="C4" s="4" t="s">
        <v>63</v>
      </c>
      <c r="D4" s="4" t="n">
        <v>3</v>
      </c>
      <c r="E4" s="16" t="s">
        <v>62</v>
      </c>
      <c r="F4" s="17" t="s">
        <v>60</v>
      </c>
    </row>
    <row r="5" customFormat="false" ht="15" hidden="false" customHeight="false" outlineLevel="0" collapsed="false">
      <c r="A5" s="4" t="str">
        <f aca="false">B5&amp;"|"&amp;C5</f>
        <v>R_5_18|4</v>
      </c>
      <c r="B5" s="4" t="s">
        <v>37</v>
      </c>
      <c r="C5" s="4" t="s">
        <v>64</v>
      </c>
      <c r="D5" s="4" t="n">
        <v>4</v>
      </c>
      <c r="E5" s="16" t="s">
        <v>59</v>
      </c>
      <c r="F5" s="17" t="s">
        <v>60</v>
      </c>
    </row>
    <row r="6" customFormat="false" ht="15" hidden="false" customHeight="false" outlineLevel="0" collapsed="false">
      <c r="A6" s="4" t="str">
        <f aca="false">B6&amp;"|"&amp;C6</f>
        <v>R_5_18|5</v>
      </c>
      <c r="B6" s="4" t="s">
        <v>37</v>
      </c>
      <c r="C6" s="4" t="s">
        <v>65</v>
      </c>
      <c r="D6" s="4" t="n">
        <v>5</v>
      </c>
      <c r="E6" s="16" t="s">
        <v>62</v>
      </c>
      <c r="F6" s="17" t="s">
        <v>60</v>
      </c>
    </row>
    <row r="7" customFormat="false" ht="15" hidden="false" customHeight="false" outlineLevel="0" collapsed="false">
      <c r="A7" s="4" t="str">
        <f aca="false">B7&amp;"|"&amp;C7</f>
        <v>R_5_18|6</v>
      </c>
      <c r="B7" s="4" t="s">
        <v>37</v>
      </c>
      <c r="C7" s="4" t="s">
        <v>66</v>
      </c>
      <c r="D7" s="4" t="n">
        <v>6</v>
      </c>
      <c r="E7" s="16" t="s">
        <v>62</v>
      </c>
      <c r="F7" s="17" t="s">
        <v>60</v>
      </c>
    </row>
    <row r="8" customFormat="false" ht="15" hidden="false" customHeight="false" outlineLevel="0" collapsed="false">
      <c r="A8" s="4" t="str">
        <f aca="false">B8&amp;"|"&amp;C8</f>
        <v>R_5_18|7</v>
      </c>
      <c r="B8" s="4" t="s">
        <v>37</v>
      </c>
      <c r="C8" s="4" t="s">
        <v>67</v>
      </c>
      <c r="D8" s="4" t="n">
        <v>7</v>
      </c>
      <c r="E8" s="16" t="s">
        <v>68</v>
      </c>
      <c r="F8" s="17" t="s">
        <v>60</v>
      </c>
    </row>
    <row r="9" customFormat="false" ht="15" hidden="false" customHeight="false" outlineLevel="0" collapsed="false">
      <c r="A9" s="4" t="str">
        <f aca="false">B9&amp;"|"&amp;C9</f>
        <v>R_5_18|8</v>
      </c>
      <c r="B9" s="4" t="s">
        <v>37</v>
      </c>
      <c r="C9" s="4" t="s">
        <v>69</v>
      </c>
      <c r="D9" s="4" t="n">
        <v>8</v>
      </c>
      <c r="E9" s="3" t="s">
        <v>59</v>
      </c>
      <c r="F9" s="4" t="s">
        <v>70</v>
      </c>
    </row>
    <row r="10" customFormat="false" ht="15" hidden="false" customHeight="false" outlineLevel="0" collapsed="false">
      <c r="A10" s="4" t="str">
        <f aca="false">B10&amp;"|"&amp;C10</f>
        <v>R_5_18|9</v>
      </c>
      <c r="B10" s="4" t="s">
        <v>37</v>
      </c>
      <c r="C10" s="4" t="s">
        <v>71</v>
      </c>
      <c r="D10" s="4" t="n">
        <v>9</v>
      </c>
      <c r="E10" s="3" t="s">
        <v>72</v>
      </c>
      <c r="F10" s="4" t="s">
        <v>73</v>
      </c>
    </row>
    <row r="11" customFormat="false" ht="15" hidden="false" customHeight="false" outlineLevel="0" collapsed="false">
      <c r="A11" s="4" t="str">
        <f aca="false">B11&amp;"|"&amp;C11</f>
        <v>R_5_18|10</v>
      </c>
      <c r="B11" s="4" t="s">
        <v>37</v>
      </c>
      <c r="C11" s="4" t="s">
        <v>74</v>
      </c>
      <c r="D11" s="4" t="n">
        <v>10</v>
      </c>
      <c r="E11" s="8" t="s">
        <v>72</v>
      </c>
      <c r="F11" s="7" t="s">
        <v>75</v>
      </c>
    </row>
    <row r="12" customFormat="false" ht="15" hidden="false" customHeight="false" outlineLevel="0" collapsed="false">
      <c r="A12" s="4" t="str">
        <f aca="false">B12&amp;"|"&amp;C12</f>
        <v>R_5_18|11</v>
      </c>
      <c r="B12" s="4" t="s">
        <v>37</v>
      </c>
      <c r="C12" s="4" t="s">
        <v>76</v>
      </c>
      <c r="D12" s="4" t="n">
        <v>11</v>
      </c>
      <c r="E12" s="8" t="s">
        <v>72</v>
      </c>
      <c r="F12" s="7" t="s">
        <v>75</v>
      </c>
    </row>
    <row r="13" customFormat="false" ht="15" hidden="false" customHeight="false" outlineLevel="0" collapsed="false">
      <c r="A13" s="4" t="str">
        <f aca="false">B13&amp;"|"&amp;C13</f>
        <v>R_5_18|12</v>
      </c>
      <c r="B13" s="4" t="s">
        <v>37</v>
      </c>
      <c r="C13" s="4" t="s">
        <v>77</v>
      </c>
      <c r="D13" s="4" t="n">
        <v>12</v>
      </c>
      <c r="E13" s="8" t="s">
        <v>72</v>
      </c>
      <c r="F13" s="7" t="s">
        <v>75</v>
      </c>
    </row>
    <row r="14" customFormat="false" ht="15" hidden="false" customHeight="false" outlineLevel="0" collapsed="false">
      <c r="A14" s="4" t="str">
        <f aca="false">B14&amp;"|"&amp;C14</f>
        <v>R_5_18|13</v>
      </c>
      <c r="B14" s="4" t="s">
        <v>37</v>
      </c>
      <c r="C14" s="4" t="s">
        <v>78</v>
      </c>
      <c r="D14" s="4" t="n">
        <v>13</v>
      </c>
      <c r="E14" s="8" t="s">
        <v>68</v>
      </c>
      <c r="F14" s="7" t="s">
        <v>75</v>
      </c>
    </row>
    <row r="15" customFormat="false" ht="15" hidden="false" customHeight="false" outlineLevel="0" collapsed="false">
      <c r="A15" s="4" t="str">
        <f aca="false">B15&amp;"|"&amp;C15</f>
        <v>R_5_18|14</v>
      </c>
      <c r="B15" s="4" t="s">
        <v>37</v>
      </c>
      <c r="C15" s="4" t="s">
        <v>79</v>
      </c>
      <c r="D15" s="4" t="n">
        <v>14</v>
      </c>
      <c r="E15" s="18" t="s">
        <v>72</v>
      </c>
      <c r="F15" s="19" t="s">
        <v>80</v>
      </c>
    </row>
    <row r="16" customFormat="false" ht="15" hidden="false" customHeight="false" outlineLevel="0" collapsed="false">
      <c r="A16" s="4" t="str">
        <f aca="false">B16&amp;"|"&amp;C16</f>
        <v>R_5_18|15</v>
      </c>
      <c r="B16" s="4" t="s">
        <v>37</v>
      </c>
      <c r="C16" s="4" t="s">
        <v>81</v>
      </c>
      <c r="D16" s="4" t="n">
        <v>15</v>
      </c>
      <c r="E16" s="18" t="s">
        <v>62</v>
      </c>
      <c r="F16" s="19" t="s">
        <v>80</v>
      </c>
    </row>
    <row r="17" customFormat="false" ht="15" hidden="false" customHeight="false" outlineLevel="0" collapsed="false">
      <c r="A17" s="4" t="str">
        <f aca="false">B17&amp;"|"&amp;C17</f>
        <v>R_5_18|16</v>
      </c>
      <c r="B17" s="4" t="s">
        <v>37</v>
      </c>
      <c r="C17" s="4" t="s">
        <v>82</v>
      </c>
      <c r="D17" s="4" t="n">
        <v>16</v>
      </c>
      <c r="E17" s="18" t="s">
        <v>62</v>
      </c>
      <c r="F17" s="19" t="s">
        <v>80</v>
      </c>
    </row>
    <row r="18" customFormat="false" ht="15" hidden="false" customHeight="false" outlineLevel="0" collapsed="false">
      <c r="A18" s="4" t="str">
        <f aca="false">B18&amp;"|"&amp;C18</f>
        <v>R_5_18|18</v>
      </c>
      <c r="B18" s="4" t="s">
        <v>37</v>
      </c>
      <c r="C18" s="4" t="s">
        <v>83</v>
      </c>
      <c r="D18" s="4" t="n">
        <v>17</v>
      </c>
      <c r="E18" s="18" t="s">
        <v>72</v>
      </c>
      <c r="F18" s="19" t="s">
        <v>80</v>
      </c>
    </row>
    <row r="19" customFormat="false" ht="15" hidden="false" customHeight="false" outlineLevel="0" collapsed="false">
      <c r="A19" s="4" t="str">
        <f aca="false">B19&amp;"|"&amp;C19</f>
        <v>R_5_18|19</v>
      </c>
      <c r="B19" s="4" t="s">
        <v>37</v>
      </c>
      <c r="C19" s="4" t="s">
        <v>84</v>
      </c>
      <c r="D19" s="4" t="n">
        <v>18</v>
      </c>
      <c r="E19" s="18" t="s">
        <v>72</v>
      </c>
      <c r="F19" s="19" t="s">
        <v>80</v>
      </c>
    </row>
    <row r="20" customFormat="false" ht="15" hidden="false" customHeight="false" outlineLevel="0" collapsed="false">
      <c r="A20" s="4" t="str">
        <f aca="false">B20&amp;"|"&amp;C20</f>
        <v>R_5_18|20</v>
      </c>
      <c r="B20" s="4" t="s">
        <v>37</v>
      </c>
      <c r="C20" s="4" t="s">
        <v>85</v>
      </c>
      <c r="D20" s="4" t="n">
        <v>19</v>
      </c>
      <c r="E20" s="18" t="s">
        <v>59</v>
      </c>
      <c r="F20" s="19" t="s">
        <v>80</v>
      </c>
    </row>
    <row r="21" customFormat="false" ht="15" hidden="false" customHeight="false" outlineLevel="0" collapsed="false">
      <c r="A21" s="4" t="str">
        <f aca="false">B21&amp;"|"&amp;C21</f>
        <v>R_5_18|20a</v>
      </c>
      <c r="B21" s="4" t="s">
        <v>37</v>
      </c>
      <c r="C21" s="4" t="s">
        <v>86</v>
      </c>
      <c r="D21" s="4" t="n">
        <v>20</v>
      </c>
      <c r="E21" s="18" t="s">
        <v>59</v>
      </c>
      <c r="F21" s="19" t="s">
        <v>80</v>
      </c>
    </row>
    <row r="22" customFormat="false" ht="15" hidden="false" customHeight="false" outlineLevel="0" collapsed="false">
      <c r="A22" s="4" t="str">
        <f aca="false">B22&amp;"|"&amp;C22</f>
        <v>R_5_18|20b</v>
      </c>
      <c r="B22" s="4" t="s">
        <v>37</v>
      </c>
      <c r="C22" s="4" t="s">
        <v>87</v>
      </c>
      <c r="D22" s="4" t="n">
        <v>21</v>
      </c>
      <c r="E22" s="18" t="s">
        <v>59</v>
      </c>
      <c r="F22" s="19" t="s">
        <v>80</v>
      </c>
    </row>
    <row r="23" customFormat="false" ht="15" hidden="false" customHeight="false" outlineLevel="0" collapsed="false">
      <c r="A23" s="4" t="str">
        <f aca="false">B23&amp;"|"&amp;C23</f>
        <v>R_5_18|21</v>
      </c>
      <c r="B23" s="4" t="s">
        <v>37</v>
      </c>
      <c r="C23" s="4" t="s">
        <v>88</v>
      </c>
      <c r="D23" s="4" t="n">
        <v>22</v>
      </c>
      <c r="E23" s="18" t="s">
        <v>68</v>
      </c>
      <c r="F23" s="19" t="s">
        <v>80</v>
      </c>
    </row>
    <row r="24" customFormat="false" ht="15" hidden="false" customHeight="false" outlineLevel="0" collapsed="false">
      <c r="A24" s="4" t="str">
        <f aca="false">B24&amp;"|"&amp;C24</f>
        <v>R_5_18|22</v>
      </c>
      <c r="B24" s="4" t="s">
        <v>37</v>
      </c>
      <c r="C24" s="4" t="s">
        <v>89</v>
      </c>
      <c r="D24" s="4" t="n">
        <v>23</v>
      </c>
      <c r="E24" s="8" t="s">
        <v>72</v>
      </c>
      <c r="F24" s="7" t="s">
        <v>75</v>
      </c>
    </row>
    <row r="25" customFormat="false" ht="15" hidden="false" customHeight="false" outlineLevel="0" collapsed="false">
      <c r="A25" s="4" t="str">
        <f aca="false">B25&amp;"|"&amp;C25</f>
        <v>R_5_18|23</v>
      </c>
      <c r="B25" s="4" t="s">
        <v>37</v>
      </c>
      <c r="C25" s="4" t="s">
        <v>90</v>
      </c>
      <c r="D25" s="4" t="n">
        <v>24</v>
      </c>
      <c r="E25" s="8" t="s">
        <v>68</v>
      </c>
      <c r="F25" s="7" t="s">
        <v>75</v>
      </c>
    </row>
    <row r="26" customFormat="false" ht="15" hidden="false" customHeight="false" outlineLevel="0" collapsed="false">
      <c r="A26" s="4" t="str">
        <f aca="false">B26&amp;"|"&amp;C26</f>
        <v>R_5_18|24</v>
      </c>
      <c r="B26" s="4" t="s">
        <v>37</v>
      </c>
      <c r="C26" s="4" t="s">
        <v>91</v>
      </c>
      <c r="D26" s="4" t="n">
        <v>25</v>
      </c>
      <c r="E26" s="8" t="s">
        <v>68</v>
      </c>
      <c r="F26" s="7" t="s">
        <v>75</v>
      </c>
    </row>
    <row r="27" customFormat="false" ht="15" hidden="false" customHeight="false" outlineLevel="0" collapsed="false">
      <c r="A27" s="4" t="str">
        <f aca="false">B27&amp;"|"&amp;C27</f>
        <v>R_5_18|25</v>
      </c>
      <c r="B27" s="4" t="s">
        <v>37</v>
      </c>
      <c r="C27" s="4" t="s">
        <v>92</v>
      </c>
      <c r="D27" s="4" t="n">
        <v>26</v>
      </c>
      <c r="E27" s="8" t="s">
        <v>59</v>
      </c>
      <c r="F27" s="7" t="s">
        <v>75</v>
      </c>
    </row>
    <row r="28" customFormat="false" ht="15" hidden="false" customHeight="false" outlineLevel="0" collapsed="false">
      <c r="A28" s="4" t="str">
        <f aca="false">B28&amp;"|"&amp;C28</f>
        <v>R_5_18|26</v>
      </c>
      <c r="B28" s="4" t="s">
        <v>37</v>
      </c>
      <c r="C28" s="4" t="s">
        <v>93</v>
      </c>
      <c r="D28" s="4" t="n">
        <v>27</v>
      </c>
      <c r="E28" s="3" t="s">
        <v>72</v>
      </c>
      <c r="F28" s="4" t="s">
        <v>94</v>
      </c>
    </row>
    <row r="29" customFormat="false" ht="15" hidden="false" customHeight="false" outlineLevel="0" collapsed="false">
      <c r="A29" s="4" t="str">
        <f aca="false">B29&amp;"|"&amp;C29</f>
        <v>R_5_18|27</v>
      </c>
      <c r="B29" s="4" t="s">
        <v>37</v>
      </c>
      <c r="C29" s="4" t="s">
        <v>95</v>
      </c>
      <c r="D29" s="4" t="n">
        <v>28</v>
      </c>
      <c r="E29" s="20" t="s">
        <v>68</v>
      </c>
      <c r="F29" s="21" t="s">
        <v>96</v>
      </c>
    </row>
    <row r="30" customFormat="false" ht="15" hidden="false" customHeight="false" outlineLevel="0" collapsed="false">
      <c r="A30" s="4" t="str">
        <f aca="false">B30&amp;"|"&amp;C30</f>
        <v>R_5_18|28</v>
      </c>
      <c r="B30" s="4" t="s">
        <v>37</v>
      </c>
      <c r="C30" s="4" t="s">
        <v>97</v>
      </c>
      <c r="D30" s="4" t="n">
        <v>29</v>
      </c>
      <c r="E30" s="20" t="s">
        <v>59</v>
      </c>
      <c r="F30" s="21" t="s">
        <v>96</v>
      </c>
    </row>
    <row r="31" customFormat="false" ht="15" hidden="false" customHeight="false" outlineLevel="0" collapsed="false">
      <c r="A31" s="4" t="str">
        <f aca="false">B31&amp;"|"&amp;C31</f>
        <v>R_5_18|29</v>
      </c>
      <c r="B31" s="4" t="s">
        <v>37</v>
      </c>
      <c r="C31" s="4" t="s">
        <v>98</v>
      </c>
      <c r="D31" s="4" t="n">
        <v>30</v>
      </c>
      <c r="E31" s="20" t="s">
        <v>62</v>
      </c>
      <c r="F31" s="21" t="s">
        <v>96</v>
      </c>
    </row>
    <row r="32" customFormat="false" ht="15" hidden="false" customHeight="false" outlineLevel="0" collapsed="false">
      <c r="A32" s="4" t="str">
        <f aca="false">B32&amp;"|"&amp;C32</f>
        <v>R_5_18|30</v>
      </c>
      <c r="B32" s="4" t="s">
        <v>37</v>
      </c>
      <c r="C32" s="4" t="s">
        <v>99</v>
      </c>
      <c r="D32" s="4" t="n">
        <v>31</v>
      </c>
      <c r="E32" s="20" t="s">
        <v>72</v>
      </c>
      <c r="F32" s="21" t="s">
        <v>96</v>
      </c>
    </row>
    <row r="33" customFormat="false" ht="15" hidden="false" customHeight="false" outlineLevel="0" collapsed="false">
      <c r="A33" s="4" t="str">
        <f aca="false">B33&amp;"|"&amp;C33</f>
        <v>R_5_18|31</v>
      </c>
      <c r="B33" s="4" t="s">
        <v>37</v>
      </c>
      <c r="C33" s="4" t="s">
        <v>100</v>
      </c>
      <c r="D33" s="4" t="n">
        <v>32</v>
      </c>
      <c r="E33" s="20" t="s">
        <v>72</v>
      </c>
      <c r="F33" s="21" t="s">
        <v>96</v>
      </c>
    </row>
    <row r="34" customFormat="false" ht="15" hidden="false" customHeight="false" outlineLevel="0" collapsed="false">
      <c r="A34" s="4" t="str">
        <f aca="false">B34&amp;"|"&amp;C34</f>
        <v>R_5_18|32</v>
      </c>
      <c r="B34" s="4" t="s">
        <v>37</v>
      </c>
      <c r="C34" s="4" t="s">
        <v>101</v>
      </c>
      <c r="D34" s="4" t="n">
        <v>33</v>
      </c>
      <c r="E34" s="18" t="s">
        <v>62</v>
      </c>
      <c r="F34" s="19" t="s">
        <v>102</v>
      </c>
    </row>
    <row r="35" customFormat="false" ht="15" hidden="false" customHeight="false" outlineLevel="0" collapsed="false">
      <c r="A35" s="4" t="str">
        <f aca="false">B35&amp;"|"&amp;C35</f>
        <v>R_5_18|33</v>
      </c>
      <c r="B35" s="4" t="s">
        <v>37</v>
      </c>
      <c r="C35" s="4" t="s">
        <v>103</v>
      </c>
      <c r="D35" s="4" t="n">
        <v>34</v>
      </c>
      <c r="E35" s="18" t="s">
        <v>68</v>
      </c>
      <c r="F35" s="19" t="s">
        <v>102</v>
      </c>
    </row>
    <row r="36" customFormat="false" ht="15" hidden="false" customHeight="false" outlineLevel="0" collapsed="false">
      <c r="A36" s="4" t="str">
        <f aca="false">B36&amp;"|"&amp;C36</f>
        <v>R_5_18|34</v>
      </c>
      <c r="B36" s="4" t="s">
        <v>37</v>
      </c>
      <c r="C36" s="4" t="s">
        <v>104</v>
      </c>
      <c r="D36" s="4" t="n">
        <v>35</v>
      </c>
      <c r="E36" s="18" t="s">
        <v>59</v>
      </c>
      <c r="F36" s="19" t="s">
        <v>102</v>
      </c>
    </row>
    <row r="37" customFormat="false" ht="15" hidden="false" customHeight="false" outlineLevel="0" collapsed="false">
      <c r="A37" s="4" t="str">
        <f aca="false">B37&amp;"|"&amp;C37</f>
        <v>R_5_18|35</v>
      </c>
      <c r="B37" s="4" t="s">
        <v>37</v>
      </c>
      <c r="C37" s="4" t="s">
        <v>105</v>
      </c>
      <c r="D37" s="4" t="n">
        <v>36</v>
      </c>
      <c r="E37" s="18" t="s">
        <v>59</v>
      </c>
      <c r="F37" s="19" t="s">
        <v>102</v>
      </c>
    </row>
    <row r="38" customFormat="false" ht="15" hidden="false" customHeight="false" outlineLevel="0" collapsed="false">
      <c r="A38" s="4" t="str">
        <f aca="false">B38&amp;"|"&amp;C38</f>
        <v>R_5_18|36</v>
      </c>
      <c r="B38" s="4" t="s">
        <v>37</v>
      </c>
      <c r="C38" s="4" t="s">
        <v>106</v>
      </c>
      <c r="D38" s="4" t="n">
        <v>37</v>
      </c>
      <c r="E38" s="18" t="s">
        <v>62</v>
      </c>
      <c r="F38" s="19" t="s">
        <v>102</v>
      </c>
    </row>
    <row r="39" customFormat="false" ht="15" hidden="false" customHeight="false" outlineLevel="0" collapsed="false">
      <c r="A39" s="4" t="str">
        <f aca="false">B39&amp;"|"&amp;C39</f>
        <v>R_5_18|37</v>
      </c>
      <c r="B39" s="4" t="s">
        <v>37</v>
      </c>
      <c r="C39" s="4" t="s">
        <v>107</v>
      </c>
      <c r="D39" s="4" t="n">
        <v>38</v>
      </c>
      <c r="E39" s="18" t="s">
        <v>62</v>
      </c>
      <c r="F39" s="19" t="s">
        <v>102</v>
      </c>
    </row>
    <row r="40" customFormat="false" ht="15" hidden="false" customHeight="false" outlineLevel="0" collapsed="false">
      <c r="A40" s="4" t="str">
        <f aca="false">B40&amp;"|"&amp;C40</f>
        <v>R_5_18|38</v>
      </c>
      <c r="B40" s="4" t="s">
        <v>37</v>
      </c>
      <c r="C40" s="4" t="s">
        <v>108</v>
      </c>
      <c r="D40" s="4" t="n">
        <v>39</v>
      </c>
      <c r="E40" s="18" t="s">
        <v>59</v>
      </c>
      <c r="F40" s="19" t="s">
        <v>102</v>
      </c>
    </row>
    <row r="41" customFormat="false" ht="15" hidden="false" customHeight="false" outlineLevel="0" collapsed="false">
      <c r="A41" s="4" t="str">
        <f aca="false">B41&amp;"|"&amp;C41</f>
        <v>R_5_18|39</v>
      </c>
      <c r="B41" s="4" t="s">
        <v>37</v>
      </c>
      <c r="C41" s="4" t="s">
        <v>109</v>
      </c>
      <c r="D41" s="4" t="n">
        <v>40</v>
      </c>
      <c r="E41" s="20" t="s">
        <v>59</v>
      </c>
      <c r="F41" s="21" t="s">
        <v>96</v>
      </c>
    </row>
    <row r="42" customFormat="false" ht="15" hidden="false" customHeight="false" outlineLevel="0" collapsed="false">
      <c r="A42" s="4" t="str">
        <f aca="false">B42&amp;"|"&amp;C42</f>
        <v>R_5_18|40</v>
      </c>
      <c r="B42" s="4" t="s">
        <v>37</v>
      </c>
      <c r="C42" s="4" t="s">
        <v>110</v>
      </c>
      <c r="D42" s="4" t="n">
        <v>41</v>
      </c>
      <c r="E42" s="20" t="s">
        <v>59</v>
      </c>
      <c r="F42" s="21" t="s">
        <v>96</v>
      </c>
    </row>
    <row r="43" customFormat="false" ht="15" hidden="false" customHeight="false" outlineLevel="0" collapsed="false">
      <c r="A43" s="4" t="str">
        <f aca="false">B43&amp;"|"&amp;C43</f>
        <v>R_5_18|41</v>
      </c>
      <c r="B43" s="4" t="s">
        <v>37</v>
      </c>
      <c r="C43" s="4" t="s">
        <v>111</v>
      </c>
      <c r="D43" s="4" t="n">
        <v>42</v>
      </c>
      <c r="E43" s="20" t="s">
        <v>59</v>
      </c>
      <c r="F43" s="21" t="s">
        <v>96</v>
      </c>
    </row>
    <row r="44" customFormat="false" ht="15" hidden="false" customHeight="false" outlineLevel="0" collapsed="false">
      <c r="A44" s="4" t="str">
        <f aca="false">B44&amp;"|"&amp;C44</f>
        <v>R_5_18|42</v>
      </c>
      <c r="B44" s="4" t="s">
        <v>37</v>
      </c>
      <c r="C44" s="4" t="s">
        <v>112</v>
      </c>
      <c r="D44" s="4" t="n">
        <v>43</v>
      </c>
      <c r="E44" s="20" t="s">
        <v>72</v>
      </c>
      <c r="F44" s="21" t="s">
        <v>96</v>
      </c>
    </row>
    <row r="45" customFormat="false" ht="15" hidden="false" customHeight="false" outlineLevel="0" collapsed="false">
      <c r="A45" s="4" t="str">
        <f aca="false">B45&amp;"|"&amp;C45</f>
        <v>R_5_18|43</v>
      </c>
      <c r="B45" s="4" t="s">
        <v>37</v>
      </c>
      <c r="C45" s="4" t="s">
        <v>113</v>
      </c>
      <c r="D45" s="4" t="n">
        <v>44</v>
      </c>
      <c r="E45" s="20" t="s">
        <v>72</v>
      </c>
      <c r="F45" s="21" t="s">
        <v>96</v>
      </c>
    </row>
    <row r="46" customFormat="false" ht="15" hidden="false" customHeight="false" outlineLevel="0" collapsed="false">
      <c r="A46" s="4" t="str">
        <f aca="false">B46&amp;"|"&amp;C46</f>
        <v>R_5_18|44</v>
      </c>
      <c r="B46" s="4" t="s">
        <v>37</v>
      </c>
      <c r="C46" s="4" t="s">
        <v>114</v>
      </c>
      <c r="D46" s="4" t="n">
        <v>45</v>
      </c>
      <c r="E46" s="18" t="s">
        <v>59</v>
      </c>
      <c r="F46" s="19" t="s">
        <v>115</v>
      </c>
    </row>
    <row r="47" customFormat="false" ht="15" hidden="false" customHeight="false" outlineLevel="0" collapsed="false">
      <c r="A47" s="4" t="str">
        <f aca="false">B47&amp;"|"&amp;C47</f>
        <v>R_5_18|45</v>
      </c>
      <c r="B47" s="4" t="s">
        <v>37</v>
      </c>
      <c r="C47" s="4" t="s">
        <v>116</v>
      </c>
      <c r="D47" s="4" t="n">
        <v>46</v>
      </c>
      <c r="E47" s="18" t="s">
        <v>72</v>
      </c>
      <c r="F47" s="19" t="s">
        <v>115</v>
      </c>
    </row>
    <row r="48" customFormat="false" ht="15" hidden="false" customHeight="false" outlineLevel="0" collapsed="false">
      <c r="A48" s="4" t="str">
        <f aca="false">B48&amp;"|"&amp;C48</f>
        <v>R_5_18|e1</v>
      </c>
      <c r="B48" s="4" t="s">
        <v>37</v>
      </c>
      <c r="C48" s="4" t="s">
        <v>117</v>
      </c>
      <c r="D48" s="4" t="n">
        <v>47</v>
      </c>
      <c r="E48" s="18" t="s">
        <v>68</v>
      </c>
      <c r="F48" s="19" t="s">
        <v>115</v>
      </c>
    </row>
    <row r="49" customFormat="false" ht="15" hidden="false" customHeight="false" outlineLevel="0" collapsed="false">
      <c r="A49" s="4" t="str">
        <f aca="false">B49&amp;"|"&amp;C49</f>
        <v>R_5_18|e2</v>
      </c>
      <c r="B49" s="4" t="s">
        <v>37</v>
      </c>
      <c r="C49" s="4" t="s">
        <v>118</v>
      </c>
      <c r="D49" s="4" t="n">
        <v>48</v>
      </c>
      <c r="E49" s="18" t="s">
        <v>68</v>
      </c>
      <c r="F49" s="19" t="s">
        <v>115</v>
      </c>
    </row>
    <row r="50" customFormat="false" ht="15" hidden="false" customHeight="false" outlineLevel="0" collapsed="false">
      <c r="A50" s="4" t="str">
        <f aca="false">B50&amp;"|"&amp;C50</f>
        <v>R_5_18|e3</v>
      </c>
      <c r="B50" s="4" t="s">
        <v>37</v>
      </c>
      <c r="C50" s="4" t="s">
        <v>119</v>
      </c>
      <c r="D50" s="4" t="n">
        <v>49</v>
      </c>
      <c r="E50" s="18" t="s">
        <v>62</v>
      </c>
      <c r="F50" s="19" t="s">
        <v>115</v>
      </c>
    </row>
    <row r="51" customFormat="false" ht="15" hidden="false" customHeight="false" outlineLevel="0" collapsed="false">
      <c r="A51" s="4" t="str">
        <f aca="false">B51&amp;"|"&amp;C51</f>
        <v>R_5_18|e4</v>
      </c>
      <c r="B51" s="4" t="s">
        <v>37</v>
      </c>
      <c r="C51" s="4" t="s">
        <v>120</v>
      </c>
      <c r="D51" s="4" t="n">
        <v>50</v>
      </c>
      <c r="E51" s="18" t="s">
        <v>62</v>
      </c>
      <c r="F51" s="19" t="s">
        <v>115</v>
      </c>
    </row>
    <row r="52" customFormat="false" ht="15" hidden="false" customHeight="false" outlineLevel="0" collapsed="false">
      <c r="A52" s="4" t="str">
        <f aca="false">B52&amp;"|"&amp;C52</f>
        <v>R_5_18|e5</v>
      </c>
      <c r="B52" s="4" t="s">
        <v>37</v>
      </c>
      <c r="C52" s="4" t="s">
        <v>121</v>
      </c>
      <c r="D52" s="4" t="n">
        <v>51</v>
      </c>
      <c r="E52" s="18" t="s">
        <v>59</v>
      </c>
      <c r="F52" s="19" t="s">
        <v>115</v>
      </c>
    </row>
    <row r="53" customFormat="false" ht="15" hidden="false" customHeight="false" outlineLevel="0" collapsed="false">
      <c r="A53" s="4" t="str">
        <f aca="false">B53&amp;"|"&amp;C53</f>
        <v>R_5_18|46</v>
      </c>
      <c r="B53" s="4" t="s">
        <v>37</v>
      </c>
      <c r="C53" s="4" t="s">
        <v>122</v>
      </c>
      <c r="D53" s="4" t="n">
        <v>52</v>
      </c>
      <c r="E53" s="18" t="s">
        <v>59</v>
      </c>
      <c r="F53" s="19" t="s">
        <v>115</v>
      </c>
    </row>
    <row r="54" customFormat="false" ht="15" hidden="false" customHeight="false" outlineLevel="0" collapsed="false">
      <c r="A54" s="4" t="str">
        <f aca="false">B54&amp;"|"&amp;C54</f>
        <v>R_5_18|47</v>
      </c>
      <c r="B54" s="4" t="s">
        <v>37</v>
      </c>
      <c r="C54" s="4" t="s">
        <v>123</v>
      </c>
      <c r="D54" s="4" t="n">
        <v>53</v>
      </c>
      <c r="E54" s="18" t="s">
        <v>62</v>
      </c>
      <c r="F54" s="19" t="s">
        <v>115</v>
      </c>
    </row>
    <row r="55" customFormat="false" ht="15" hidden="false" customHeight="false" outlineLevel="0" collapsed="false">
      <c r="A55" s="4" t="str">
        <f aca="false">B55&amp;"|"&amp;C55</f>
        <v>R_5_18|48</v>
      </c>
      <c r="B55" s="4" t="s">
        <v>37</v>
      </c>
      <c r="C55" s="4" t="s">
        <v>124</v>
      </c>
      <c r="D55" s="4" t="n">
        <v>54</v>
      </c>
      <c r="E55" s="18" t="s">
        <v>59</v>
      </c>
      <c r="F55" s="19" t="s">
        <v>115</v>
      </c>
    </row>
    <row r="56" customFormat="false" ht="15" hidden="false" customHeight="false" outlineLevel="0" collapsed="false">
      <c r="A56" s="4" t="str">
        <f aca="false">B56&amp;"|"&amp;C56</f>
        <v>R_5_18|49</v>
      </c>
      <c r="B56" s="4" t="s">
        <v>37</v>
      </c>
      <c r="C56" s="4" t="s">
        <v>125</v>
      </c>
      <c r="D56" s="4" t="n">
        <v>55</v>
      </c>
      <c r="E56" s="22" t="s">
        <v>72</v>
      </c>
      <c r="F56" s="10" t="s">
        <v>126</v>
      </c>
    </row>
    <row r="57" customFormat="false" ht="15" hidden="false" customHeight="false" outlineLevel="0" collapsed="false">
      <c r="A57" s="4" t="str">
        <f aca="false">B57&amp;"|"&amp;C57</f>
        <v>R_5_18|50</v>
      </c>
      <c r="B57" s="4" t="s">
        <v>37</v>
      </c>
      <c r="C57" s="4" t="s">
        <v>127</v>
      </c>
      <c r="D57" s="4" t="n">
        <v>56</v>
      </c>
      <c r="E57" s="22" t="s">
        <v>62</v>
      </c>
      <c r="F57" s="10" t="s">
        <v>126</v>
      </c>
    </row>
    <row r="58" customFormat="false" ht="15" hidden="false" customHeight="false" outlineLevel="0" collapsed="false">
      <c r="A58" s="4" t="str">
        <f aca="false">B58&amp;"|"&amp;C58</f>
        <v>R_5_18|51</v>
      </c>
      <c r="B58" s="4" t="s">
        <v>37</v>
      </c>
      <c r="C58" s="4" t="s">
        <v>128</v>
      </c>
      <c r="D58" s="4" t="n">
        <v>57</v>
      </c>
      <c r="E58" s="22" t="s">
        <v>68</v>
      </c>
      <c r="F58" s="10" t="s">
        <v>126</v>
      </c>
    </row>
    <row r="59" customFormat="false" ht="15" hidden="false" customHeight="false" outlineLevel="0" collapsed="false">
      <c r="A59" s="4" t="str">
        <f aca="false">B59&amp;"|"&amp;C59</f>
        <v>R_5_18|52</v>
      </c>
      <c r="B59" s="4" t="s">
        <v>37</v>
      </c>
      <c r="C59" s="4" t="s">
        <v>129</v>
      </c>
      <c r="D59" s="4" t="n">
        <v>58</v>
      </c>
      <c r="E59" s="22" t="s">
        <v>72</v>
      </c>
      <c r="F59" s="10" t="s">
        <v>126</v>
      </c>
    </row>
    <row r="60" customFormat="false" ht="15" hidden="false" customHeight="false" outlineLevel="0" collapsed="false">
      <c r="A60" s="4" t="str">
        <f aca="false">B60&amp;"|"&amp;C60</f>
        <v>R_5_18|53</v>
      </c>
      <c r="B60" s="4" t="s">
        <v>37</v>
      </c>
      <c r="C60" s="4" t="s">
        <v>130</v>
      </c>
      <c r="D60" s="4" t="n">
        <v>59</v>
      </c>
      <c r="E60" s="22" t="s">
        <v>72</v>
      </c>
      <c r="F60" s="10" t="s">
        <v>126</v>
      </c>
    </row>
    <row r="61" customFormat="false" ht="15" hidden="false" customHeight="false" outlineLevel="0" collapsed="false">
      <c r="A61" s="4" t="str">
        <f aca="false">B61&amp;"|"&amp;C61</f>
        <v>R_5_18|54</v>
      </c>
      <c r="B61" s="4" t="s">
        <v>37</v>
      </c>
      <c r="C61" s="4" t="s">
        <v>131</v>
      </c>
      <c r="D61" s="4" t="n">
        <v>60</v>
      </c>
      <c r="E61" s="18" t="s">
        <v>59</v>
      </c>
      <c r="F61" s="19" t="s">
        <v>132</v>
      </c>
    </row>
    <row r="62" customFormat="false" ht="15" hidden="false" customHeight="false" outlineLevel="0" collapsed="false">
      <c r="A62" s="4" t="str">
        <f aca="false">B62&amp;"|"&amp;C62</f>
        <v>R_5_18|55</v>
      </c>
      <c r="B62" s="4" t="s">
        <v>37</v>
      </c>
      <c r="C62" s="4" t="s">
        <v>133</v>
      </c>
      <c r="D62" s="4" t="n">
        <v>61</v>
      </c>
      <c r="E62" s="18" t="s">
        <v>68</v>
      </c>
      <c r="F62" s="19" t="s">
        <v>132</v>
      </c>
    </row>
    <row r="63" customFormat="false" ht="15" hidden="false" customHeight="false" outlineLevel="0" collapsed="false">
      <c r="A63" s="4" t="str">
        <f aca="false">B63&amp;"|"&amp;C63</f>
        <v>R_5_18|56</v>
      </c>
      <c r="B63" s="4" t="s">
        <v>37</v>
      </c>
      <c r="C63" s="4" t="s">
        <v>134</v>
      </c>
      <c r="D63" s="4" t="n">
        <v>62</v>
      </c>
      <c r="E63" s="18" t="s">
        <v>68</v>
      </c>
      <c r="F63" s="19" t="s">
        <v>132</v>
      </c>
    </row>
    <row r="64" customFormat="false" ht="15" hidden="false" customHeight="false" outlineLevel="0" collapsed="false">
      <c r="A64" s="4" t="str">
        <f aca="false">B64&amp;"|"&amp;C64</f>
        <v>R_5_18|57</v>
      </c>
      <c r="B64" s="4" t="s">
        <v>37</v>
      </c>
      <c r="C64" s="4" t="s">
        <v>135</v>
      </c>
      <c r="D64" s="4" t="n">
        <v>63</v>
      </c>
      <c r="E64" s="18" t="s">
        <v>59</v>
      </c>
      <c r="F64" s="19" t="s">
        <v>132</v>
      </c>
    </row>
    <row r="65" customFormat="false" ht="15" hidden="false" customHeight="false" outlineLevel="0" collapsed="false">
      <c r="A65" s="4" t="str">
        <f aca="false">B65&amp;"|"&amp;C65</f>
        <v>R_5_18|58</v>
      </c>
      <c r="B65" s="4" t="s">
        <v>37</v>
      </c>
      <c r="C65" s="4" t="s">
        <v>136</v>
      </c>
      <c r="D65" s="4" t="n">
        <v>64</v>
      </c>
      <c r="E65" s="18" t="s">
        <v>62</v>
      </c>
      <c r="F65" s="19" t="s">
        <v>132</v>
      </c>
    </row>
    <row r="66" customFormat="false" ht="15" hidden="false" customHeight="false" outlineLevel="0" collapsed="false">
      <c r="A66" s="4" t="str">
        <f aca="false">B66&amp;"|"&amp;C66</f>
        <v>R_5_18|59</v>
      </c>
      <c r="B66" s="4" t="s">
        <v>37</v>
      </c>
      <c r="C66" s="4" t="s">
        <v>137</v>
      </c>
      <c r="D66" s="4" t="n">
        <v>65</v>
      </c>
      <c r="E66" s="18" t="s">
        <v>59</v>
      </c>
      <c r="F66" s="19" t="s">
        <v>132</v>
      </c>
    </row>
    <row r="67" customFormat="false" ht="15" hidden="false" customHeight="false" outlineLevel="0" collapsed="false">
      <c r="A67" s="4" t="str">
        <f aca="false">B67&amp;"|"&amp;C67</f>
        <v>R_5_18|60</v>
      </c>
      <c r="B67" s="4" t="s">
        <v>37</v>
      </c>
      <c r="C67" s="4" t="s">
        <v>138</v>
      </c>
      <c r="D67" s="4" t="n">
        <v>66</v>
      </c>
      <c r="E67" s="18" t="s">
        <v>72</v>
      </c>
      <c r="F67" s="19" t="s">
        <v>132</v>
      </c>
    </row>
    <row r="68" customFormat="false" ht="15" hidden="false" customHeight="false" outlineLevel="0" collapsed="false">
      <c r="A68" s="4" t="str">
        <f aca="false">B68&amp;"|"&amp;C68</f>
        <v>R_5_18|61</v>
      </c>
      <c r="B68" s="4" t="s">
        <v>37</v>
      </c>
      <c r="C68" s="4" t="s">
        <v>139</v>
      </c>
      <c r="D68" s="4" t="n">
        <v>67</v>
      </c>
      <c r="E68" s="22" t="s">
        <v>68</v>
      </c>
      <c r="F68" s="10" t="s">
        <v>126</v>
      </c>
    </row>
    <row r="69" customFormat="false" ht="15" hidden="false" customHeight="false" outlineLevel="0" collapsed="false">
      <c r="A69" s="4" t="str">
        <f aca="false">B69&amp;"|"&amp;C69</f>
        <v>R_5_18|62</v>
      </c>
      <c r="B69" s="4" t="s">
        <v>37</v>
      </c>
      <c r="C69" s="4" t="s">
        <v>140</v>
      </c>
      <c r="D69" s="4" t="n">
        <v>68</v>
      </c>
      <c r="E69" s="22" t="s">
        <v>62</v>
      </c>
      <c r="F69" s="10" t="s">
        <v>126</v>
      </c>
    </row>
    <row r="70" customFormat="false" ht="15" hidden="false" customHeight="false" outlineLevel="0" collapsed="false">
      <c r="A70" s="4" t="str">
        <f aca="false">B70&amp;"|"&amp;C70</f>
        <v>R_5_18|63</v>
      </c>
      <c r="B70" s="4" t="s">
        <v>37</v>
      </c>
      <c r="C70" s="4" t="s">
        <v>141</v>
      </c>
      <c r="D70" s="4" t="n">
        <v>69</v>
      </c>
      <c r="E70" s="22" t="s">
        <v>72</v>
      </c>
      <c r="F70" s="10" t="s">
        <v>126</v>
      </c>
    </row>
    <row r="71" customFormat="false" ht="15" hidden="false" customHeight="false" outlineLevel="0" collapsed="false">
      <c r="A71" s="4" t="str">
        <f aca="false">B71&amp;"|"&amp;C71</f>
        <v>R_5_18|64</v>
      </c>
      <c r="B71" s="4" t="s">
        <v>37</v>
      </c>
      <c r="C71" s="4" t="s">
        <v>142</v>
      </c>
      <c r="D71" s="4" t="n">
        <v>70</v>
      </c>
      <c r="E71" s="22" t="s">
        <v>59</v>
      </c>
      <c r="F71" s="10" t="s">
        <v>126</v>
      </c>
    </row>
    <row r="72" customFormat="false" ht="15" hidden="false" customHeight="false" outlineLevel="0" collapsed="false">
      <c r="A72" s="4" t="str">
        <f aca="false">B72&amp;"|"&amp;C72</f>
        <v>R_5_18|65</v>
      </c>
      <c r="B72" s="4" t="s">
        <v>37</v>
      </c>
      <c r="C72" s="4" t="s">
        <v>143</v>
      </c>
      <c r="D72" s="4" t="n">
        <v>71</v>
      </c>
      <c r="E72" s="22" t="s">
        <v>59</v>
      </c>
      <c r="F72" s="10" t="s">
        <v>126</v>
      </c>
    </row>
    <row r="73" customFormat="false" ht="15" hidden="false" customHeight="false" outlineLevel="0" collapsed="false">
      <c r="A73" s="4" t="str">
        <f aca="false">B73&amp;"|"&amp;C73</f>
        <v>R_5_18|66</v>
      </c>
      <c r="B73" s="4" t="s">
        <v>37</v>
      </c>
      <c r="C73" s="4" t="s">
        <v>144</v>
      </c>
      <c r="D73" s="4" t="n">
        <v>72</v>
      </c>
      <c r="E73" s="16" t="s">
        <v>62</v>
      </c>
      <c r="F73" s="17" t="s">
        <v>60</v>
      </c>
    </row>
    <row r="74" customFormat="false" ht="15" hidden="false" customHeight="false" outlineLevel="0" collapsed="false">
      <c r="A74" s="4" t="str">
        <f aca="false">B74&amp;"|"&amp;C74</f>
        <v>R_5_18|67</v>
      </c>
      <c r="B74" s="4" t="s">
        <v>37</v>
      </c>
      <c r="C74" s="4" t="s">
        <v>145</v>
      </c>
      <c r="D74" s="4" t="n">
        <v>73</v>
      </c>
      <c r="E74" s="16" t="s">
        <v>59</v>
      </c>
      <c r="F74" s="17" t="s">
        <v>60</v>
      </c>
    </row>
    <row r="75" customFormat="false" ht="15" hidden="false" customHeight="false" outlineLevel="0" collapsed="false">
      <c r="A75" s="4" t="str">
        <f aca="false">B75&amp;"|"&amp;C75</f>
        <v>R_5_18|68</v>
      </c>
      <c r="B75" s="4" t="s">
        <v>37</v>
      </c>
      <c r="C75" s="4" t="s">
        <v>146</v>
      </c>
      <c r="D75" s="4" t="n">
        <v>74</v>
      </c>
      <c r="E75" s="16" t="s">
        <v>59</v>
      </c>
      <c r="F75" s="17" t="s">
        <v>60</v>
      </c>
    </row>
    <row r="76" customFormat="false" ht="15" hidden="false" customHeight="false" outlineLevel="0" collapsed="false">
      <c r="A76" s="4" t="str">
        <f aca="false">B76&amp;"|"&amp;C76</f>
        <v>R_5_18|69</v>
      </c>
      <c r="B76" s="4" t="s">
        <v>37</v>
      </c>
      <c r="C76" s="4" t="s">
        <v>147</v>
      </c>
      <c r="D76" s="4" t="n">
        <v>75</v>
      </c>
      <c r="E76" s="16" t="s">
        <v>62</v>
      </c>
      <c r="F76" s="17" t="s">
        <v>60</v>
      </c>
    </row>
    <row r="77" customFormat="false" ht="15" hidden="false" customHeight="false" outlineLevel="0" collapsed="false">
      <c r="A77" s="4" t="str">
        <f aca="false">B77&amp;"|"&amp;C77</f>
        <v>R_5_18|70</v>
      </c>
      <c r="B77" s="4" t="s">
        <v>37</v>
      </c>
      <c r="C77" s="4" t="s">
        <v>148</v>
      </c>
      <c r="D77" s="4" t="n">
        <v>76</v>
      </c>
      <c r="E77" s="16" t="s">
        <v>59</v>
      </c>
      <c r="F77" s="17" t="s">
        <v>60</v>
      </c>
    </row>
    <row r="78" customFormat="false" ht="15" hidden="false" customHeight="false" outlineLevel="0" collapsed="false">
      <c r="A78" s="4" t="str">
        <f aca="false">B78&amp;"|"&amp;C78</f>
        <v>R_5_18|71</v>
      </c>
      <c r="B78" s="4" t="s">
        <v>37</v>
      </c>
      <c r="C78" s="4" t="s">
        <v>149</v>
      </c>
      <c r="D78" s="4" t="n">
        <v>77</v>
      </c>
      <c r="E78" s="16" t="s">
        <v>59</v>
      </c>
      <c r="F78" s="17" t="s">
        <v>60</v>
      </c>
    </row>
    <row r="79" customFormat="false" ht="15" hidden="false" customHeight="false" outlineLevel="0" collapsed="false">
      <c r="A79" s="4" t="str">
        <f aca="false">B79&amp;"|"&amp;C79</f>
        <v>R_5_18|72</v>
      </c>
      <c r="B79" s="4" t="s">
        <v>37</v>
      </c>
      <c r="C79" s="4" t="s">
        <v>150</v>
      </c>
      <c r="D79" s="4" t="n">
        <v>78</v>
      </c>
      <c r="E79" s="16" t="s">
        <v>72</v>
      </c>
      <c r="F79" s="17" t="s">
        <v>60</v>
      </c>
    </row>
    <row r="80" customFormat="false" ht="15" hidden="false" customHeight="false" outlineLevel="0" collapsed="false">
      <c r="A80" s="4" t="str">
        <f aca="false">B80&amp;"|"&amp;C80</f>
        <v>R_5_71|1</v>
      </c>
      <c r="B80" s="4" t="s">
        <v>38</v>
      </c>
      <c r="C80" s="4" t="s">
        <v>58</v>
      </c>
      <c r="D80" s="4" t="n">
        <v>1</v>
      </c>
      <c r="E80" s="16" t="s">
        <v>62</v>
      </c>
      <c r="F80" s="17" t="s">
        <v>60</v>
      </c>
    </row>
    <row r="81" customFormat="false" ht="15" hidden="false" customHeight="false" outlineLevel="0" collapsed="false">
      <c r="A81" s="4" t="str">
        <f aca="false">B81&amp;"|"&amp;C81</f>
        <v>R_5_71|2</v>
      </c>
      <c r="B81" s="4" t="s">
        <v>38</v>
      </c>
      <c r="C81" s="4" t="s">
        <v>61</v>
      </c>
      <c r="D81" s="4" t="n">
        <v>2</v>
      </c>
      <c r="E81" s="16" t="s">
        <v>59</v>
      </c>
      <c r="F81" s="17" t="s">
        <v>60</v>
      </c>
    </row>
    <row r="82" customFormat="false" ht="15" hidden="false" customHeight="false" outlineLevel="0" collapsed="false">
      <c r="A82" s="4" t="str">
        <f aca="false">B82&amp;"|"&amp;C82</f>
        <v>R_5_71|3</v>
      </c>
      <c r="B82" s="4" t="s">
        <v>38</v>
      </c>
      <c r="C82" s="4" t="s">
        <v>63</v>
      </c>
      <c r="D82" s="4" t="n">
        <v>3</v>
      </c>
      <c r="E82" s="16" t="s">
        <v>59</v>
      </c>
      <c r="F82" s="17" t="s">
        <v>60</v>
      </c>
    </row>
    <row r="83" customFormat="false" ht="15" hidden="false" customHeight="false" outlineLevel="0" collapsed="false">
      <c r="A83" s="4" t="str">
        <f aca="false">B83&amp;"|"&amp;C83</f>
        <v>R_5_71|4</v>
      </c>
      <c r="B83" s="4" t="s">
        <v>38</v>
      </c>
      <c r="C83" s="4" t="s">
        <v>64</v>
      </c>
      <c r="D83" s="4" t="n">
        <v>4</v>
      </c>
      <c r="E83" s="16" t="s">
        <v>68</v>
      </c>
      <c r="F83" s="17" t="s">
        <v>60</v>
      </c>
    </row>
    <row r="84" customFormat="false" ht="15" hidden="false" customHeight="false" outlineLevel="0" collapsed="false">
      <c r="A84" s="4" t="str">
        <f aca="false">B84&amp;"|"&amp;C84</f>
        <v>R_5_71|5</v>
      </c>
      <c r="B84" s="4" t="s">
        <v>38</v>
      </c>
      <c r="C84" s="4" t="s">
        <v>65</v>
      </c>
      <c r="D84" s="4" t="n">
        <v>5</v>
      </c>
      <c r="E84" s="16" t="s">
        <v>59</v>
      </c>
      <c r="F84" s="17" t="s">
        <v>60</v>
      </c>
    </row>
    <row r="85" customFormat="false" ht="15" hidden="false" customHeight="false" outlineLevel="0" collapsed="false">
      <c r="A85" s="4" t="str">
        <f aca="false">B85&amp;"|"&amp;C85</f>
        <v>R_5_71|6</v>
      </c>
      <c r="B85" s="4" t="s">
        <v>38</v>
      </c>
      <c r="C85" s="4" t="s">
        <v>66</v>
      </c>
      <c r="D85" s="4" t="n">
        <v>6</v>
      </c>
      <c r="E85" s="16" t="s">
        <v>59</v>
      </c>
      <c r="F85" s="17" t="s">
        <v>60</v>
      </c>
    </row>
    <row r="86" customFormat="false" ht="15" hidden="false" customHeight="false" outlineLevel="0" collapsed="false">
      <c r="A86" s="4" t="str">
        <f aca="false">B86&amp;"|"&amp;C86</f>
        <v>R_5_71|7</v>
      </c>
      <c r="B86" s="4" t="s">
        <v>38</v>
      </c>
      <c r="C86" s="4" t="s">
        <v>67</v>
      </c>
      <c r="D86" s="4" t="n">
        <v>7</v>
      </c>
      <c r="E86" s="16" t="s">
        <v>62</v>
      </c>
      <c r="F86" s="17" t="s">
        <v>60</v>
      </c>
    </row>
    <row r="87" customFormat="false" ht="15" hidden="false" customHeight="false" outlineLevel="0" collapsed="false">
      <c r="A87" s="4" t="str">
        <f aca="false">B87&amp;"|"&amp;C87</f>
        <v>R_5_71|8</v>
      </c>
      <c r="B87" s="4" t="s">
        <v>38</v>
      </c>
      <c r="C87" s="4" t="s">
        <v>69</v>
      </c>
      <c r="D87" s="4" t="n">
        <v>8</v>
      </c>
      <c r="E87" s="3" t="s">
        <v>59</v>
      </c>
      <c r="F87" s="4" t="s">
        <v>70</v>
      </c>
    </row>
    <row r="88" customFormat="false" ht="15" hidden="false" customHeight="false" outlineLevel="0" collapsed="false">
      <c r="A88" s="4" t="str">
        <f aca="false">B88&amp;"|"&amp;C88</f>
        <v>R_5_71|9</v>
      </c>
      <c r="B88" s="4" t="s">
        <v>38</v>
      </c>
      <c r="C88" s="4" t="s">
        <v>71</v>
      </c>
      <c r="D88" s="4" t="n">
        <v>9</v>
      </c>
      <c r="E88" s="3" t="s">
        <v>62</v>
      </c>
      <c r="F88" s="4" t="s">
        <v>73</v>
      </c>
    </row>
    <row r="89" customFormat="false" ht="15" hidden="false" customHeight="false" outlineLevel="0" collapsed="false">
      <c r="A89" s="4" t="str">
        <f aca="false">B89&amp;"|"&amp;C89</f>
        <v>R_5_71|10</v>
      </c>
      <c r="B89" s="4" t="s">
        <v>38</v>
      </c>
      <c r="C89" s="4" t="s">
        <v>74</v>
      </c>
      <c r="D89" s="4" t="n">
        <v>10</v>
      </c>
      <c r="E89" s="8" t="s">
        <v>59</v>
      </c>
      <c r="F89" s="7" t="s">
        <v>75</v>
      </c>
    </row>
    <row r="90" customFormat="false" ht="15" hidden="false" customHeight="false" outlineLevel="0" collapsed="false">
      <c r="A90" s="4" t="str">
        <f aca="false">B90&amp;"|"&amp;C90</f>
        <v>R_5_71|11</v>
      </c>
      <c r="B90" s="4" t="s">
        <v>38</v>
      </c>
      <c r="C90" s="4" t="s">
        <v>76</v>
      </c>
      <c r="D90" s="4" t="n">
        <v>11</v>
      </c>
      <c r="E90" s="8" t="s">
        <v>62</v>
      </c>
      <c r="F90" s="7" t="s">
        <v>75</v>
      </c>
    </row>
    <row r="91" customFormat="false" ht="15" hidden="false" customHeight="false" outlineLevel="0" collapsed="false">
      <c r="A91" s="4" t="str">
        <f aca="false">B91&amp;"|"&amp;C91</f>
        <v>R_5_71|12</v>
      </c>
      <c r="B91" s="4" t="s">
        <v>38</v>
      </c>
      <c r="C91" s="4" t="s">
        <v>77</v>
      </c>
      <c r="D91" s="4" t="n">
        <v>12</v>
      </c>
      <c r="E91" s="8" t="s">
        <v>72</v>
      </c>
      <c r="F91" s="7" t="s">
        <v>75</v>
      </c>
    </row>
    <row r="92" customFormat="false" ht="15" hidden="false" customHeight="false" outlineLevel="0" collapsed="false">
      <c r="A92" s="4" t="str">
        <f aca="false">B92&amp;"|"&amp;C92</f>
        <v>R_5_71|13</v>
      </c>
      <c r="B92" s="4" t="s">
        <v>38</v>
      </c>
      <c r="C92" s="4" t="s">
        <v>78</v>
      </c>
      <c r="D92" s="4" t="n">
        <v>13</v>
      </c>
      <c r="E92" s="8" t="s">
        <v>59</v>
      </c>
      <c r="F92" s="7" t="s">
        <v>75</v>
      </c>
    </row>
    <row r="93" customFormat="false" ht="15" hidden="false" customHeight="false" outlineLevel="0" collapsed="false">
      <c r="A93" s="4" t="str">
        <f aca="false">B93&amp;"|"&amp;C93</f>
        <v>R_5_71|14</v>
      </c>
      <c r="B93" s="4" t="s">
        <v>38</v>
      </c>
      <c r="C93" s="4" t="s">
        <v>79</v>
      </c>
      <c r="D93" s="4" t="n">
        <v>14</v>
      </c>
      <c r="E93" s="18" t="s">
        <v>59</v>
      </c>
      <c r="F93" s="19" t="s">
        <v>80</v>
      </c>
    </row>
    <row r="94" customFormat="false" ht="15" hidden="false" customHeight="false" outlineLevel="0" collapsed="false">
      <c r="A94" s="4" t="str">
        <f aca="false">B94&amp;"|"&amp;C94</f>
        <v>R_5_71|15</v>
      </c>
      <c r="B94" s="4" t="s">
        <v>38</v>
      </c>
      <c r="C94" s="4" t="s">
        <v>81</v>
      </c>
      <c r="D94" s="4" t="n">
        <v>15</v>
      </c>
      <c r="E94" s="18" t="s">
        <v>72</v>
      </c>
      <c r="F94" s="19" t="s">
        <v>80</v>
      </c>
    </row>
    <row r="95" customFormat="false" ht="15" hidden="false" customHeight="false" outlineLevel="0" collapsed="false">
      <c r="A95" s="4" t="str">
        <f aca="false">B95&amp;"|"&amp;C95</f>
        <v>R_5_71|16</v>
      </c>
      <c r="B95" s="4" t="s">
        <v>38</v>
      </c>
      <c r="C95" s="4" t="s">
        <v>82</v>
      </c>
      <c r="D95" s="4" t="n">
        <v>16</v>
      </c>
      <c r="E95" s="18" t="s">
        <v>59</v>
      </c>
      <c r="F95" s="19" t="s">
        <v>80</v>
      </c>
    </row>
    <row r="96" customFormat="false" ht="15" hidden="false" customHeight="false" outlineLevel="0" collapsed="false">
      <c r="A96" s="4" t="str">
        <f aca="false">B96&amp;"|"&amp;C96</f>
        <v>R_5_71|17</v>
      </c>
      <c r="B96" s="4" t="s">
        <v>38</v>
      </c>
      <c r="C96" s="4" t="s">
        <v>151</v>
      </c>
      <c r="D96" s="4" t="n">
        <v>17</v>
      </c>
      <c r="E96" s="18" t="s">
        <v>62</v>
      </c>
      <c r="F96" s="19" t="s">
        <v>80</v>
      </c>
    </row>
    <row r="97" customFormat="false" ht="15" hidden="false" customHeight="false" outlineLevel="0" collapsed="false">
      <c r="A97" s="4" t="str">
        <f aca="false">B97&amp;"|"&amp;C97</f>
        <v>R_5_71|17a</v>
      </c>
      <c r="B97" s="4" t="s">
        <v>38</v>
      </c>
      <c r="C97" s="4" t="s">
        <v>152</v>
      </c>
      <c r="D97" s="4" t="n">
        <v>18</v>
      </c>
      <c r="E97" s="18" t="s">
        <v>59</v>
      </c>
      <c r="F97" s="19" t="s">
        <v>80</v>
      </c>
    </row>
    <row r="98" customFormat="false" ht="15" hidden="false" customHeight="false" outlineLevel="0" collapsed="false">
      <c r="A98" s="4" t="str">
        <f aca="false">B98&amp;"|"&amp;C98</f>
        <v>R_5_71|18</v>
      </c>
      <c r="B98" s="4" t="s">
        <v>38</v>
      </c>
      <c r="C98" s="4" t="s">
        <v>83</v>
      </c>
      <c r="D98" s="4" t="n">
        <v>19</v>
      </c>
      <c r="E98" s="18" t="s">
        <v>72</v>
      </c>
      <c r="F98" s="19" t="s">
        <v>80</v>
      </c>
    </row>
    <row r="99" customFormat="false" ht="15" hidden="false" customHeight="false" outlineLevel="0" collapsed="false">
      <c r="A99" s="4" t="str">
        <f aca="false">B99&amp;"|"&amp;C99</f>
        <v>R_5_71|19</v>
      </c>
      <c r="B99" s="4" t="s">
        <v>38</v>
      </c>
      <c r="C99" s="4" t="s">
        <v>84</v>
      </c>
      <c r="D99" s="4" t="n">
        <v>20</v>
      </c>
      <c r="E99" s="18" t="s">
        <v>72</v>
      </c>
      <c r="F99" s="19" t="s">
        <v>80</v>
      </c>
    </row>
    <row r="100" customFormat="false" ht="15" hidden="false" customHeight="false" outlineLevel="0" collapsed="false">
      <c r="A100" s="4" t="str">
        <f aca="false">B100&amp;"|"&amp;C100</f>
        <v>R_5_71|20</v>
      </c>
      <c r="B100" s="4" t="s">
        <v>38</v>
      </c>
      <c r="C100" s="4" t="s">
        <v>85</v>
      </c>
      <c r="D100" s="4" t="n">
        <v>21</v>
      </c>
      <c r="E100" s="18" t="s">
        <v>59</v>
      </c>
      <c r="F100" s="19" t="s">
        <v>80</v>
      </c>
    </row>
    <row r="101" customFormat="false" ht="15" hidden="false" customHeight="false" outlineLevel="0" collapsed="false">
      <c r="A101" s="4" t="str">
        <f aca="false">B101&amp;"|"&amp;C101</f>
        <v>R_5_71|20a</v>
      </c>
      <c r="B101" s="4" t="s">
        <v>38</v>
      </c>
      <c r="C101" s="4" t="s">
        <v>86</v>
      </c>
      <c r="D101" s="4" t="n">
        <v>22</v>
      </c>
      <c r="E101" s="18" t="s">
        <v>59</v>
      </c>
      <c r="F101" s="19" t="s">
        <v>80</v>
      </c>
    </row>
    <row r="102" customFormat="false" ht="15" hidden="false" customHeight="false" outlineLevel="0" collapsed="false">
      <c r="A102" s="4" t="str">
        <f aca="false">B102&amp;"|"&amp;C102</f>
        <v>R_5_71|21</v>
      </c>
      <c r="B102" s="4" t="s">
        <v>38</v>
      </c>
      <c r="C102" s="4" t="s">
        <v>88</v>
      </c>
      <c r="D102" s="4" t="n">
        <v>23</v>
      </c>
      <c r="E102" s="18" t="s">
        <v>62</v>
      </c>
      <c r="F102" s="19" t="s">
        <v>80</v>
      </c>
    </row>
    <row r="103" customFormat="false" ht="15" hidden="false" customHeight="false" outlineLevel="0" collapsed="false">
      <c r="A103" s="4" t="str">
        <f aca="false">B103&amp;"|"&amp;C103</f>
        <v>R_5_71|22</v>
      </c>
      <c r="B103" s="4" t="s">
        <v>38</v>
      </c>
      <c r="C103" s="4" t="s">
        <v>89</v>
      </c>
      <c r="D103" s="4" t="n">
        <v>24</v>
      </c>
      <c r="E103" s="8" t="s">
        <v>62</v>
      </c>
      <c r="F103" s="7" t="s">
        <v>75</v>
      </c>
    </row>
    <row r="104" customFormat="false" ht="15" hidden="false" customHeight="false" outlineLevel="0" collapsed="false">
      <c r="A104" s="4" t="str">
        <f aca="false">B104&amp;"|"&amp;C104</f>
        <v>R_5_71|23</v>
      </c>
      <c r="B104" s="4" t="s">
        <v>38</v>
      </c>
      <c r="C104" s="4" t="s">
        <v>90</v>
      </c>
      <c r="D104" s="4" t="n">
        <v>25</v>
      </c>
      <c r="E104" s="8" t="s">
        <v>59</v>
      </c>
      <c r="F104" s="7" t="s">
        <v>75</v>
      </c>
    </row>
    <row r="105" customFormat="false" ht="15" hidden="false" customHeight="false" outlineLevel="0" collapsed="false">
      <c r="A105" s="4" t="str">
        <f aca="false">B105&amp;"|"&amp;C105</f>
        <v>R_5_71|24</v>
      </c>
      <c r="B105" s="4" t="s">
        <v>38</v>
      </c>
      <c r="C105" s="4" t="s">
        <v>91</v>
      </c>
      <c r="D105" s="4" t="n">
        <v>26</v>
      </c>
      <c r="E105" s="8" t="s">
        <v>59</v>
      </c>
      <c r="F105" s="7" t="s">
        <v>75</v>
      </c>
    </row>
    <row r="106" customFormat="false" ht="15" hidden="false" customHeight="false" outlineLevel="0" collapsed="false">
      <c r="A106" s="4" t="str">
        <f aca="false">B106&amp;"|"&amp;C106</f>
        <v>R_5_71|25</v>
      </c>
      <c r="B106" s="4" t="s">
        <v>38</v>
      </c>
      <c r="C106" s="4" t="s">
        <v>92</v>
      </c>
      <c r="D106" s="4" t="n">
        <v>27</v>
      </c>
      <c r="E106" s="8" t="s">
        <v>62</v>
      </c>
      <c r="F106" s="7" t="s">
        <v>75</v>
      </c>
    </row>
    <row r="107" customFormat="false" ht="15" hidden="false" customHeight="false" outlineLevel="0" collapsed="false">
      <c r="A107" s="4" t="str">
        <f aca="false">B107&amp;"|"&amp;C107</f>
        <v>R_5_71|26</v>
      </c>
      <c r="B107" s="4" t="s">
        <v>38</v>
      </c>
      <c r="C107" s="4" t="s">
        <v>93</v>
      </c>
      <c r="D107" s="4" t="n">
        <v>28</v>
      </c>
      <c r="E107" s="3" t="s">
        <v>59</v>
      </c>
      <c r="F107" s="4" t="s">
        <v>94</v>
      </c>
    </row>
    <row r="108" customFormat="false" ht="15" hidden="false" customHeight="false" outlineLevel="0" collapsed="false">
      <c r="A108" s="4" t="str">
        <f aca="false">B108&amp;"|"&amp;C108</f>
        <v>R_5_71|27</v>
      </c>
      <c r="B108" s="4" t="s">
        <v>38</v>
      </c>
      <c r="C108" s="4" t="s">
        <v>95</v>
      </c>
      <c r="D108" s="4" t="n">
        <v>29</v>
      </c>
      <c r="E108" s="20" t="s">
        <v>72</v>
      </c>
      <c r="F108" s="21" t="s">
        <v>96</v>
      </c>
    </row>
    <row r="109" customFormat="false" ht="15" hidden="false" customHeight="false" outlineLevel="0" collapsed="false">
      <c r="A109" s="4" t="str">
        <f aca="false">B109&amp;"|"&amp;C109</f>
        <v>R_5_71|28</v>
      </c>
      <c r="B109" s="4" t="s">
        <v>38</v>
      </c>
      <c r="C109" s="4" t="s">
        <v>97</v>
      </c>
      <c r="D109" s="4" t="n">
        <v>30</v>
      </c>
      <c r="E109" s="20" t="s">
        <v>62</v>
      </c>
      <c r="F109" s="21" t="s">
        <v>96</v>
      </c>
    </row>
    <row r="110" customFormat="false" ht="15" hidden="false" customHeight="false" outlineLevel="0" collapsed="false">
      <c r="A110" s="4" t="str">
        <f aca="false">B110&amp;"|"&amp;C110</f>
        <v>R_5_71|29</v>
      </c>
      <c r="B110" s="4" t="s">
        <v>38</v>
      </c>
      <c r="C110" s="4" t="s">
        <v>98</v>
      </c>
      <c r="D110" s="4" t="n">
        <v>31</v>
      </c>
      <c r="E110" s="20" t="s">
        <v>59</v>
      </c>
      <c r="F110" s="21" t="s">
        <v>96</v>
      </c>
    </row>
    <row r="111" customFormat="false" ht="15" hidden="false" customHeight="false" outlineLevel="0" collapsed="false">
      <c r="A111" s="4" t="str">
        <f aca="false">B111&amp;"|"&amp;C111</f>
        <v>R_5_71|30</v>
      </c>
      <c r="B111" s="4" t="s">
        <v>38</v>
      </c>
      <c r="C111" s="4" t="s">
        <v>99</v>
      </c>
      <c r="D111" s="4" t="n">
        <v>32</v>
      </c>
      <c r="E111" s="20" t="s">
        <v>59</v>
      </c>
      <c r="F111" s="21" t="s">
        <v>96</v>
      </c>
    </row>
    <row r="112" customFormat="false" ht="15" hidden="false" customHeight="false" outlineLevel="0" collapsed="false">
      <c r="A112" s="4" t="str">
        <f aca="false">B112&amp;"|"&amp;C112</f>
        <v>R_5_71|31</v>
      </c>
      <c r="B112" s="4" t="s">
        <v>38</v>
      </c>
      <c r="C112" s="4" t="s">
        <v>100</v>
      </c>
      <c r="D112" s="4" t="n">
        <v>33</v>
      </c>
      <c r="E112" s="20" t="s">
        <v>59</v>
      </c>
      <c r="F112" s="21" t="s">
        <v>96</v>
      </c>
    </row>
    <row r="113" customFormat="false" ht="15" hidden="false" customHeight="false" outlineLevel="0" collapsed="false">
      <c r="A113" s="4" t="str">
        <f aca="false">B113&amp;"|"&amp;C113</f>
        <v>R_5_71|32</v>
      </c>
      <c r="B113" s="4" t="s">
        <v>38</v>
      </c>
      <c r="C113" s="4" t="s">
        <v>101</v>
      </c>
      <c r="D113" s="4" t="n">
        <v>34</v>
      </c>
      <c r="E113" s="18" t="s">
        <v>59</v>
      </c>
      <c r="F113" s="19" t="s">
        <v>102</v>
      </c>
    </row>
    <row r="114" customFormat="false" ht="15" hidden="false" customHeight="false" outlineLevel="0" collapsed="false">
      <c r="A114" s="4" t="str">
        <f aca="false">B114&amp;"|"&amp;C114</f>
        <v>R_5_71|33</v>
      </c>
      <c r="B114" s="4" t="s">
        <v>38</v>
      </c>
      <c r="C114" s="4" t="s">
        <v>103</v>
      </c>
      <c r="D114" s="4" t="n">
        <v>35</v>
      </c>
      <c r="E114" s="18" t="s">
        <v>59</v>
      </c>
      <c r="F114" s="19" t="s">
        <v>102</v>
      </c>
    </row>
    <row r="115" customFormat="false" ht="15" hidden="false" customHeight="false" outlineLevel="0" collapsed="false">
      <c r="A115" s="4" t="str">
        <f aca="false">B115&amp;"|"&amp;C115</f>
        <v>R_5_71|34</v>
      </c>
      <c r="B115" s="4" t="s">
        <v>38</v>
      </c>
      <c r="C115" s="4" t="s">
        <v>104</v>
      </c>
      <c r="D115" s="4" t="n">
        <v>36</v>
      </c>
      <c r="E115" s="18" t="s">
        <v>59</v>
      </c>
      <c r="F115" s="19" t="s">
        <v>102</v>
      </c>
    </row>
    <row r="116" customFormat="false" ht="15" hidden="false" customHeight="false" outlineLevel="0" collapsed="false">
      <c r="A116" s="4" t="str">
        <f aca="false">B116&amp;"|"&amp;C116</f>
        <v>R_5_71|35</v>
      </c>
      <c r="B116" s="4" t="s">
        <v>38</v>
      </c>
      <c r="C116" s="4" t="s">
        <v>105</v>
      </c>
      <c r="D116" s="4" t="n">
        <v>37</v>
      </c>
      <c r="E116" s="18" t="s">
        <v>59</v>
      </c>
      <c r="F116" s="19" t="s">
        <v>102</v>
      </c>
    </row>
    <row r="117" customFormat="false" ht="15" hidden="false" customHeight="false" outlineLevel="0" collapsed="false">
      <c r="A117" s="4" t="str">
        <f aca="false">B117&amp;"|"&amp;C117</f>
        <v>R_5_71|36</v>
      </c>
      <c r="B117" s="4" t="s">
        <v>38</v>
      </c>
      <c r="C117" s="4" t="s">
        <v>106</v>
      </c>
      <c r="D117" s="4" t="n">
        <v>38</v>
      </c>
      <c r="E117" s="18" t="s">
        <v>62</v>
      </c>
      <c r="F117" s="19" t="s">
        <v>102</v>
      </c>
    </row>
    <row r="118" customFormat="false" ht="15" hidden="false" customHeight="false" outlineLevel="0" collapsed="false">
      <c r="A118" s="4" t="str">
        <f aca="false">B118&amp;"|"&amp;C118</f>
        <v>R_5_71|37</v>
      </c>
      <c r="B118" s="4" t="s">
        <v>38</v>
      </c>
      <c r="C118" s="4" t="s">
        <v>107</v>
      </c>
      <c r="D118" s="4" t="n">
        <v>39</v>
      </c>
      <c r="E118" s="18" t="s">
        <v>68</v>
      </c>
      <c r="F118" s="19" t="s">
        <v>102</v>
      </c>
    </row>
    <row r="119" customFormat="false" ht="15" hidden="false" customHeight="false" outlineLevel="0" collapsed="false">
      <c r="A119" s="4" t="str">
        <f aca="false">B119&amp;"|"&amp;C119</f>
        <v>R_5_71|38</v>
      </c>
      <c r="B119" s="4" t="s">
        <v>38</v>
      </c>
      <c r="C119" s="4" t="s">
        <v>108</v>
      </c>
      <c r="D119" s="4" t="n">
        <v>40</v>
      </c>
      <c r="E119" s="18" t="s">
        <v>62</v>
      </c>
      <c r="F119" s="19" t="s">
        <v>102</v>
      </c>
    </row>
    <row r="120" customFormat="false" ht="15" hidden="false" customHeight="false" outlineLevel="0" collapsed="false">
      <c r="A120" s="4" t="str">
        <f aca="false">B120&amp;"|"&amp;C120</f>
        <v>R_5_71|39</v>
      </c>
      <c r="B120" s="4" t="s">
        <v>38</v>
      </c>
      <c r="C120" s="4" t="s">
        <v>109</v>
      </c>
      <c r="D120" s="4" t="n">
        <v>41</v>
      </c>
      <c r="E120" s="20" t="s">
        <v>62</v>
      </c>
      <c r="F120" s="21" t="s">
        <v>96</v>
      </c>
    </row>
    <row r="121" customFormat="false" ht="15" hidden="false" customHeight="false" outlineLevel="0" collapsed="false">
      <c r="A121" s="4" t="str">
        <f aca="false">B121&amp;"|"&amp;C121</f>
        <v>R_5_71|40</v>
      </c>
      <c r="B121" s="4" t="s">
        <v>38</v>
      </c>
      <c r="C121" s="4" t="s">
        <v>110</v>
      </c>
      <c r="D121" s="4" t="n">
        <v>42</v>
      </c>
      <c r="E121" s="20" t="s">
        <v>62</v>
      </c>
      <c r="F121" s="21" t="s">
        <v>96</v>
      </c>
    </row>
    <row r="122" customFormat="false" ht="15" hidden="false" customHeight="false" outlineLevel="0" collapsed="false">
      <c r="A122" s="4" t="str">
        <f aca="false">B122&amp;"|"&amp;C122</f>
        <v>R_5_71|41</v>
      </c>
      <c r="B122" s="4" t="s">
        <v>38</v>
      </c>
      <c r="C122" s="4" t="s">
        <v>111</v>
      </c>
      <c r="D122" s="4" t="n">
        <v>43</v>
      </c>
      <c r="E122" s="20" t="s">
        <v>68</v>
      </c>
      <c r="F122" s="21" t="s">
        <v>96</v>
      </c>
    </row>
    <row r="123" customFormat="false" ht="15" hidden="false" customHeight="false" outlineLevel="0" collapsed="false">
      <c r="A123" s="4" t="str">
        <f aca="false">B123&amp;"|"&amp;C123</f>
        <v>R_5_71|42</v>
      </c>
      <c r="B123" s="4" t="s">
        <v>38</v>
      </c>
      <c r="C123" s="4" t="s">
        <v>112</v>
      </c>
      <c r="D123" s="4" t="n">
        <v>44</v>
      </c>
      <c r="E123" s="20" t="s">
        <v>59</v>
      </c>
      <c r="F123" s="21" t="s">
        <v>96</v>
      </c>
    </row>
    <row r="124" customFormat="false" ht="15" hidden="false" customHeight="false" outlineLevel="0" collapsed="false">
      <c r="A124" s="4" t="str">
        <f aca="false">B124&amp;"|"&amp;C124</f>
        <v>R_5_71|43</v>
      </c>
      <c r="B124" s="4" t="s">
        <v>38</v>
      </c>
      <c r="C124" s="4" t="s">
        <v>113</v>
      </c>
      <c r="D124" s="4" t="n">
        <v>45</v>
      </c>
      <c r="E124" s="20" t="s">
        <v>68</v>
      </c>
      <c r="F124" s="21" t="s">
        <v>96</v>
      </c>
    </row>
    <row r="125" customFormat="false" ht="15" hidden="false" customHeight="false" outlineLevel="0" collapsed="false">
      <c r="A125" s="4" t="str">
        <f aca="false">B125&amp;"|"&amp;C125</f>
        <v>R_5_71|44</v>
      </c>
      <c r="B125" s="4" t="s">
        <v>38</v>
      </c>
      <c r="C125" s="4" t="s">
        <v>114</v>
      </c>
      <c r="D125" s="4" t="n">
        <v>46</v>
      </c>
      <c r="E125" s="18" t="s">
        <v>62</v>
      </c>
      <c r="F125" s="19" t="s">
        <v>115</v>
      </c>
    </row>
    <row r="126" customFormat="false" ht="15" hidden="false" customHeight="false" outlineLevel="0" collapsed="false">
      <c r="A126" s="4" t="str">
        <f aca="false">B126&amp;"|"&amp;C126</f>
        <v>R_5_71|45</v>
      </c>
      <c r="B126" s="4" t="s">
        <v>38</v>
      </c>
      <c r="C126" s="4" t="s">
        <v>116</v>
      </c>
      <c r="D126" s="4" t="n">
        <v>47</v>
      </c>
      <c r="E126" s="18" t="s">
        <v>72</v>
      </c>
      <c r="F126" s="19" t="s">
        <v>115</v>
      </c>
    </row>
    <row r="127" customFormat="false" ht="15" hidden="false" customHeight="false" outlineLevel="0" collapsed="false">
      <c r="A127" s="4" t="str">
        <f aca="false">B127&amp;"|"&amp;C127</f>
        <v>R_5_71|e1</v>
      </c>
      <c r="B127" s="4" t="s">
        <v>38</v>
      </c>
      <c r="C127" s="4" t="s">
        <v>117</v>
      </c>
      <c r="D127" s="4" t="n">
        <v>48</v>
      </c>
      <c r="E127" s="18" t="s">
        <v>72</v>
      </c>
      <c r="F127" s="19" t="s">
        <v>115</v>
      </c>
    </row>
    <row r="128" customFormat="false" ht="15" hidden="false" customHeight="false" outlineLevel="0" collapsed="false">
      <c r="A128" s="4" t="str">
        <f aca="false">B128&amp;"|"&amp;C128</f>
        <v>R_5_71|e2</v>
      </c>
      <c r="B128" s="4" t="s">
        <v>38</v>
      </c>
      <c r="C128" s="4" t="s">
        <v>118</v>
      </c>
      <c r="D128" s="4" t="n">
        <v>49</v>
      </c>
      <c r="E128" s="18" t="s">
        <v>68</v>
      </c>
      <c r="F128" s="19" t="s">
        <v>115</v>
      </c>
    </row>
    <row r="129" customFormat="false" ht="15" hidden="false" customHeight="false" outlineLevel="0" collapsed="false">
      <c r="A129" s="4" t="str">
        <f aca="false">B129&amp;"|"&amp;C129</f>
        <v>R_5_71|e3</v>
      </c>
      <c r="B129" s="4" t="s">
        <v>38</v>
      </c>
      <c r="C129" s="4" t="s">
        <v>119</v>
      </c>
      <c r="D129" s="4" t="n">
        <v>50</v>
      </c>
      <c r="E129" s="18" t="s">
        <v>62</v>
      </c>
      <c r="F129" s="19" t="s">
        <v>115</v>
      </c>
    </row>
    <row r="130" customFormat="false" ht="15" hidden="false" customHeight="false" outlineLevel="0" collapsed="false">
      <c r="A130" s="4" t="str">
        <f aca="false">B130&amp;"|"&amp;C130</f>
        <v>R_5_71|e4</v>
      </c>
      <c r="B130" s="4" t="s">
        <v>38</v>
      </c>
      <c r="C130" s="4" t="s">
        <v>120</v>
      </c>
      <c r="D130" s="4" t="n">
        <v>51</v>
      </c>
      <c r="E130" s="18" t="s">
        <v>72</v>
      </c>
      <c r="F130" s="19" t="s">
        <v>115</v>
      </c>
    </row>
    <row r="131" customFormat="false" ht="15" hidden="false" customHeight="false" outlineLevel="0" collapsed="false">
      <c r="A131" s="4" t="str">
        <f aca="false">B131&amp;"|"&amp;C131</f>
        <v>R_5_71|e5</v>
      </c>
      <c r="B131" s="4" t="s">
        <v>38</v>
      </c>
      <c r="C131" s="4" t="s">
        <v>121</v>
      </c>
      <c r="D131" s="4" t="n">
        <v>52</v>
      </c>
      <c r="E131" s="18" t="s">
        <v>59</v>
      </c>
      <c r="F131" s="19" t="s">
        <v>115</v>
      </c>
    </row>
    <row r="132" customFormat="false" ht="15" hidden="false" customHeight="false" outlineLevel="0" collapsed="false">
      <c r="A132" s="4" t="str">
        <f aca="false">B132&amp;"|"&amp;C132</f>
        <v>R_5_71|e6</v>
      </c>
      <c r="B132" s="4" t="s">
        <v>38</v>
      </c>
      <c r="C132" s="4" t="s">
        <v>153</v>
      </c>
      <c r="D132" s="4" t="n">
        <v>53</v>
      </c>
      <c r="E132" s="18" t="s">
        <v>59</v>
      </c>
      <c r="F132" s="19" t="s">
        <v>115</v>
      </c>
    </row>
    <row r="133" customFormat="false" ht="15" hidden="false" customHeight="false" outlineLevel="0" collapsed="false">
      <c r="A133" s="4" t="str">
        <f aca="false">B133&amp;"|"&amp;C133</f>
        <v>R_5_71|e7</v>
      </c>
      <c r="B133" s="4" t="s">
        <v>38</v>
      </c>
      <c r="C133" s="4" t="s">
        <v>154</v>
      </c>
      <c r="D133" s="4" t="n">
        <v>54</v>
      </c>
      <c r="E133" s="18" t="s">
        <v>59</v>
      </c>
      <c r="F133" s="19" t="s">
        <v>115</v>
      </c>
    </row>
    <row r="134" customFormat="false" ht="15" hidden="false" customHeight="false" outlineLevel="0" collapsed="false">
      <c r="A134" s="4" t="str">
        <f aca="false">B134&amp;"|"&amp;C134</f>
        <v>R_5_71|e8</v>
      </c>
      <c r="B134" s="4" t="s">
        <v>38</v>
      </c>
      <c r="C134" s="4" t="s">
        <v>155</v>
      </c>
      <c r="D134" s="4" t="n">
        <v>55</v>
      </c>
      <c r="E134" s="18" t="s">
        <v>62</v>
      </c>
      <c r="F134" s="19" t="s">
        <v>115</v>
      </c>
    </row>
    <row r="135" customFormat="false" ht="15" hidden="false" customHeight="false" outlineLevel="0" collapsed="false">
      <c r="A135" s="4" t="str">
        <f aca="false">B135&amp;"|"&amp;C135</f>
        <v>R_5_71|e9</v>
      </c>
      <c r="B135" s="4" t="s">
        <v>38</v>
      </c>
      <c r="C135" s="4" t="s">
        <v>156</v>
      </c>
      <c r="D135" s="4" t="n">
        <v>56</v>
      </c>
      <c r="E135" s="18" t="s">
        <v>62</v>
      </c>
      <c r="F135" s="19" t="s">
        <v>115</v>
      </c>
    </row>
    <row r="136" customFormat="false" ht="15" hidden="false" customHeight="false" outlineLevel="0" collapsed="false">
      <c r="A136" s="4" t="str">
        <f aca="false">B136&amp;"|"&amp;C136</f>
        <v>R_5_71|e10</v>
      </c>
      <c r="B136" s="4" t="s">
        <v>38</v>
      </c>
      <c r="C136" s="4" t="s">
        <v>157</v>
      </c>
      <c r="D136" s="4" t="n">
        <v>57</v>
      </c>
      <c r="E136" s="18" t="s">
        <v>72</v>
      </c>
      <c r="F136" s="19" t="s">
        <v>115</v>
      </c>
    </row>
    <row r="137" customFormat="false" ht="15" hidden="false" customHeight="false" outlineLevel="0" collapsed="false">
      <c r="A137" s="4" t="str">
        <f aca="false">B137&amp;"|"&amp;C137</f>
        <v>R_5_71|e11</v>
      </c>
      <c r="B137" s="4" t="s">
        <v>38</v>
      </c>
      <c r="C137" s="4" t="s">
        <v>158</v>
      </c>
      <c r="D137" s="4" t="n">
        <v>58</v>
      </c>
      <c r="E137" s="18" t="s">
        <v>59</v>
      </c>
      <c r="F137" s="19" t="s">
        <v>115</v>
      </c>
    </row>
    <row r="138" customFormat="false" ht="15" hidden="false" customHeight="false" outlineLevel="0" collapsed="false">
      <c r="A138" s="4" t="str">
        <f aca="false">B138&amp;"|"&amp;C138</f>
        <v>R_5_71|e12</v>
      </c>
      <c r="B138" s="4" t="s">
        <v>38</v>
      </c>
      <c r="C138" s="4" t="s">
        <v>159</v>
      </c>
      <c r="D138" s="4" t="n">
        <v>59</v>
      </c>
      <c r="E138" s="18" t="s">
        <v>59</v>
      </c>
      <c r="F138" s="19" t="s">
        <v>115</v>
      </c>
    </row>
    <row r="139" customFormat="false" ht="15" hidden="false" customHeight="false" outlineLevel="0" collapsed="false">
      <c r="A139" s="4" t="str">
        <f aca="false">B139&amp;"|"&amp;C139</f>
        <v>R_5_71|e13</v>
      </c>
      <c r="B139" s="4" t="s">
        <v>38</v>
      </c>
      <c r="C139" s="4" t="s">
        <v>160</v>
      </c>
      <c r="D139" s="4" t="n">
        <v>60</v>
      </c>
      <c r="E139" s="18" t="s">
        <v>72</v>
      </c>
      <c r="F139" s="19" t="s">
        <v>115</v>
      </c>
    </row>
    <row r="140" customFormat="false" ht="15" hidden="false" customHeight="false" outlineLevel="0" collapsed="false">
      <c r="A140" s="4" t="str">
        <f aca="false">B140&amp;"|"&amp;C140</f>
        <v>R_5_71|e14</v>
      </c>
      <c r="B140" s="4" t="s">
        <v>38</v>
      </c>
      <c r="C140" s="4" t="s">
        <v>161</v>
      </c>
      <c r="D140" s="4" t="n">
        <v>61</v>
      </c>
      <c r="E140" s="18" t="s">
        <v>59</v>
      </c>
      <c r="F140" s="19" t="s">
        <v>115</v>
      </c>
    </row>
    <row r="141" customFormat="false" ht="15" hidden="false" customHeight="false" outlineLevel="0" collapsed="false">
      <c r="A141" s="4" t="str">
        <f aca="false">B141&amp;"|"&amp;C141</f>
        <v>R_5_71|e15</v>
      </c>
      <c r="B141" s="4" t="s">
        <v>38</v>
      </c>
      <c r="C141" s="4" t="s">
        <v>162</v>
      </c>
      <c r="D141" s="4" t="n">
        <v>62</v>
      </c>
      <c r="E141" s="18" t="s">
        <v>72</v>
      </c>
      <c r="F141" s="19" t="s">
        <v>115</v>
      </c>
    </row>
    <row r="142" customFormat="false" ht="15" hidden="false" customHeight="false" outlineLevel="0" collapsed="false">
      <c r="A142" s="4" t="str">
        <f aca="false">B142&amp;"|"&amp;C142</f>
        <v>R_5_71|e16</v>
      </c>
      <c r="B142" s="4" t="s">
        <v>38</v>
      </c>
      <c r="C142" s="4" t="s">
        <v>163</v>
      </c>
      <c r="D142" s="4" t="n">
        <v>63</v>
      </c>
      <c r="E142" s="18" t="s">
        <v>59</v>
      </c>
      <c r="F142" s="19" t="s">
        <v>115</v>
      </c>
    </row>
    <row r="143" customFormat="false" ht="15" hidden="false" customHeight="false" outlineLevel="0" collapsed="false">
      <c r="A143" s="4" t="str">
        <f aca="false">B143&amp;"|"&amp;C143</f>
        <v>R_5_71|e17</v>
      </c>
      <c r="B143" s="4" t="s">
        <v>38</v>
      </c>
      <c r="C143" s="4" t="s">
        <v>164</v>
      </c>
      <c r="D143" s="4" t="n">
        <v>64</v>
      </c>
      <c r="E143" s="18" t="s">
        <v>62</v>
      </c>
      <c r="F143" s="19" t="s">
        <v>115</v>
      </c>
    </row>
    <row r="144" customFormat="false" ht="15" hidden="false" customHeight="false" outlineLevel="0" collapsed="false">
      <c r="A144" s="4" t="str">
        <f aca="false">B144&amp;"|"&amp;C144</f>
        <v>R_5_71|e18</v>
      </c>
      <c r="B144" s="4" t="s">
        <v>38</v>
      </c>
      <c r="C144" s="4" t="s">
        <v>165</v>
      </c>
      <c r="D144" s="4" t="n">
        <v>65</v>
      </c>
      <c r="E144" s="18" t="s">
        <v>62</v>
      </c>
      <c r="F144" s="19" t="s">
        <v>115</v>
      </c>
    </row>
    <row r="145" customFormat="false" ht="15" hidden="false" customHeight="false" outlineLevel="0" collapsed="false">
      <c r="A145" s="4" t="str">
        <f aca="false">B145&amp;"|"&amp;C145</f>
        <v>R_5_71|e19</v>
      </c>
      <c r="B145" s="4" t="s">
        <v>38</v>
      </c>
      <c r="C145" s="4" t="s">
        <v>166</v>
      </c>
      <c r="D145" s="4" t="n">
        <v>66</v>
      </c>
      <c r="E145" s="18" t="s">
        <v>62</v>
      </c>
      <c r="F145" s="19" t="s">
        <v>115</v>
      </c>
    </row>
    <row r="146" customFormat="false" ht="15" hidden="false" customHeight="false" outlineLevel="0" collapsed="false">
      <c r="A146" s="4" t="str">
        <f aca="false">B146&amp;"|"&amp;C146</f>
        <v>R_5_71|e20</v>
      </c>
      <c r="B146" s="4" t="s">
        <v>38</v>
      </c>
      <c r="C146" s="4" t="s">
        <v>167</v>
      </c>
      <c r="D146" s="4" t="n">
        <v>67</v>
      </c>
      <c r="E146" s="18" t="s">
        <v>62</v>
      </c>
      <c r="F146" s="19" t="s">
        <v>115</v>
      </c>
    </row>
    <row r="147" customFormat="false" ht="15" hidden="false" customHeight="false" outlineLevel="0" collapsed="false">
      <c r="A147" s="4" t="str">
        <f aca="false">B147&amp;"|"&amp;C147</f>
        <v>R_5_71|e21</v>
      </c>
      <c r="B147" s="4" t="s">
        <v>38</v>
      </c>
      <c r="C147" s="4" t="s">
        <v>168</v>
      </c>
      <c r="D147" s="4" t="n">
        <v>68</v>
      </c>
      <c r="E147" s="18" t="s">
        <v>59</v>
      </c>
      <c r="F147" s="19" t="s">
        <v>115</v>
      </c>
    </row>
    <row r="148" customFormat="false" ht="15" hidden="false" customHeight="false" outlineLevel="0" collapsed="false">
      <c r="A148" s="4" t="str">
        <f aca="false">B148&amp;"|"&amp;C148</f>
        <v>R_5_71|46</v>
      </c>
      <c r="B148" s="4" t="s">
        <v>38</v>
      </c>
      <c r="C148" s="4" t="s">
        <v>122</v>
      </c>
      <c r="D148" s="4" t="n">
        <v>69</v>
      </c>
      <c r="E148" s="18" t="s">
        <v>62</v>
      </c>
      <c r="F148" s="19" t="s">
        <v>115</v>
      </c>
    </row>
    <row r="149" customFormat="false" ht="15" hidden="false" customHeight="false" outlineLevel="0" collapsed="false">
      <c r="A149" s="4" t="str">
        <f aca="false">B149&amp;"|"&amp;C149</f>
        <v>R_5_71|47</v>
      </c>
      <c r="B149" s="4" t="s">
        <v>38</v>
      </c>
      <c r="C149" s="4" t="s">
        <v>123</v>
      </c>
      <c r="D149" s="4" t="n">
        <v>70</v>
      </c>
      <c r="E149" s="18" t="s">
        <v>62</v>
      </c>
      <c r="F149" s="19" t="s">
        <v>115</v>
      </c>
    </row>
    <row r="150" customFormat="false" ht="15" hidden="false" customHeight="false" outlineLevel="0" collapsed="false">
      <c r="A150" s="4" t="str">
        <f aca="false">B150&amp;"|"&amp;C150</f>
        <v>R_5_71|48</v>
      </c>
      <c r="B150" s="4" t="s">
        <v>38</v>
      </c>
      <c r="C150" s="4" t="s">
        <v>124</v>
      </c>
      <c r="D150" s="4" t="n">
        <v>71</v>
      </c>
      <c r="E150" s="18" t="s">
        <v>68</v>
      </c>
      <c r="F150" s="19" t="s">
        <v>115</v>
      </c>
    </row>
    <row r="151" customFormat="false" ht="15" hidden="false" customHeight="false" outlineLevel="0" collapsed="false">
      <c r="A151" s="4" t="str">
        <f aca="false">B151&amp;"|"&amp;C151</f>
        <v>R_5_71|49</v>
      </c>
      <c r="B151" s="4" t="s">
        <v>38</v>
      </c>
      <c r="C151" s="4" t="s">
        <v>125</v>
      </c>
      <c r="D151" s="4" t="n">
        <v>72</v>
      </c>
      <c r="E151" s="22" t="s">
        <v>59</v>
      </c>
      <c r="F151" s="10" t="s">
        <v>126</v>
      </c>
    </row>
    <row r="152" customFormat="false" ht="15" hidden="false" customHeight="false" outlineLevel="0" collapsed="false">
      <c r="A152" s="4" t="str">
        <f aca="false">B152&amp;"|"&amp;C152</f>
        <v>R_5_71|50</v>
      </c>
      <c r="B152" s="4" t="s">
        <v>38</v>
      </c>
      <c r="C152" s="4" t="s">
        <v>127</v>
      </c>
      <c r="D152" s="4" t="n">
        <v>73</v>
      </c>
      <c r="E152" s="22" t="s">
        <v>68</v>
      </c>
      <c r="F152" s="10" t="s">
        <v>126</v>
      </c>
    </row>
    <row r="153" customFormat="false" ht="15" hidden="false" customHeight="false" outlineLevel="0" collapsed="false">
      <c r="A153" s="4" t="str">
        <f aca="false">B153&amp;"|"&amp;C153</f>
        <v>R_5_71|51</v>
      </c>
      <c r="B153" s="4" t="s">
        <v>38</v>
      </c>
      <c r="C153" s="4" t="s">
        <v>128</v>
      </c>
      <c r="D153" s="4" t="n">
        <v>74</v>
      </c>
      <c r="E153" s="22" t="s">
        <v>62</v>
      </c>
      <c r="F153" s="10" t="s">
        <v>126</v>
      </c>
    </row>
    <row r="154" customFormat="false" ht="15" hidden="false" customHeight="false" outlineLevel="0" collapsed="false">
      <c r="A154" s="4" t="str">
        <f aca="false">B154&amp;"|"&amp;C154</f>
        <v>R_5_71|52</v>
      </c>
      <c r="B154" s="4" t="s">
        <v>38</v>
      </c>
      <c r="C154" s="4" t="s">
        <v>129</v>
      </c>
      <c r="D154" s="4" t="n">
        <v>75</v>
      </c>
      <c r="E154" s="22" t="s">
        <v>72</v>
      </c>
      <c r="F154" s="10" t="s">
        <v>126</v>
      </c>
    </row>
    <row r="155" customFormat="false" ht="15" hidden="false" customHeight="false" outlineLevel="0" collapsed="false">
      <c r="A155" s="4" t="str">
        <f aca="false">B155&amp;"|"&amp;C155</f>
        <v>R_5_71|53</v>
      </c>
      <c r="B155" s="4" t="s">
        <v>38</v>
      </c>
      <c r="C155" s="4" t="s">
        <v>130</v>
      </c>
      <c r="D155" s="4" t="n">
        <v>76</v>
      </c>
      <c r="E155" s="22" t="s">
        <v>72</v>
      </c>
      <c r="F155" s="10" t="s">
        <v>126</v>
      </c>
    </row>
    <row r="156" customFormat="false" ht="15" hidden="false" customHeight="false" outlineLevel="0" collapsed="false">
      <c r="A156" s="4" t="str">
        <f aca="false">B156&amp;"|"&amp;C156</f>
        <v>R_5_71|54</v>
      </c>
      <c r="B156" s="4" t="s">
        <v>38</v>
      </c>
      <c r="C156" s="4" t="s">
        <v>131</v>
      </c>
      <c r="D156" s="4" t="n">
        <v>77</v>
      </c>
      <c r="E156" s="18" t="s">
        <v>62</v>
      </c>
      <c r="F156" s="19" t="s">
        <v>132</v>
      </c>
    </row>
    <row r="157" customFormat="false" ht="15" hidden="false" customHeight="false" outlineLevel="0" collapsed="false">
      <c r="A157" s="4" t="str">
        <f aca="false">B157&amp;"|"&amp;C157</f>
        <v>R_5_71|55</v>
      </c>
      <c r="B157" s="4" t="s">
        <v>38</v>
      </c>
      <c r="C157" s="4" t="s">
        <v>133</v>
      </c>
      <c r="D157" s="4" t="n">
        <v>78</v>
      </c>
      <c r="E157" s="18" t="s">
        <v>59</v>
      </c>
      <c r="F157" s="19" t="s">
        <v>132</v>
      </c>
    </row>
    <row r="158" customFormat="false" ht="15" hidden="false" customHeight="false" outlineLevel="0" collapsed="false">
      <c r="A158" s="4" t="str">
        <f aca="false">B158&amp;"|"&amp;C158</f>
        <v>R_5_71|56</v>
      </c>
      <c r="B158" s="4" t="s">
        <v>38</v>
      </c>
      <c r="C158" s="4" t="s">
        <v>134</v>
      </c>
      <c r="D158" s="4" t="n">
        <v>79</v>
      </c>
      <c r="E158" s="18" t="s">
        <v>68</v>
      </c>
      <c r="F158" s="19" t="s">
        <v>132</v>
      </c>
    </row>
    <row r="159" customFormat="false" ht="15" hidden="false" customHeight="false" outlineLevel="0" collapsed="false">
      <c r="A159" s="4" t="str">
        <f aca="false">B159&amp;"|"&amp;C159</f>
        <v>R_5_71|57</v>
      </c>
      <c r="B159" s="4" t="s">
        <v>38</v>
      </c>
      <c r="C159" s="4" t="s">
        <v>135</v>
      </c>
      <c r="D159" s="4" t="n">
        <v>80</v>
      </c>
      <c r="E159" s="18" t="s">
        <v>62</v>
      </c>
      <c r="F159" s="19" t="s">
        <v>132</v>
      </c>
    </row>
    <row r="160" customFormat="false" ht="15" hidden="false" customHeight="false" outlineLevel="0" collapsed="false">
      <c r="A160" s="4" t="str">
        <f aca="false">B160&amp;"|"&amp;C160</f>
        <v>R_5_71|58</v>
      </c>
      <c r="B160" s="4" t="s">
        <v>38</v>
      </c>
      <c r="C160" s="4" t="s">
        <v>136</v>
      </c>
      <c r="D160" s="4" t="n">
        <v>81</v>
      </c>
      <c r="E160" s="18" t="s">
        <v>59</v>
      </c>
      <c r="F160" s="19" t="s">
        <v>132</v>
      </c>
    </row>
    <row r="161" customFormat="false" ht="15" hidden="false" customHeight="false" outlineLevel="0" collapsed="false">
      <c r="A161" s="4" t="str">
        <f aca="false">B161&amp;"|"&amp;C161</f>
        <v>R_5_71|59</v>
      </c>
      <c r="B161" s="4" t="s">
        <v>38</v>
      </c>
      <c r="C161" s="4" t="s">
        <v>137</v>
      </c>
      <c r="D161" s="4" t="n">
        <v>82</v>
      </c>
      <c r="E161" s="18" t="s">
        <v>62</v>
      </c>
      <c r="F161" s="19" t="s">
        <v>132</v>
      </c>
    </row>
    <row r="162" customFormat="false" ht="15" hidden="false" customHeight="false" outlineLevel="0" collapsed="false">
      <c r="A162" s="4" t="str">
        <f aca="false">B162&amp;"|"&amp;C162</f>
        <v>R_5_71|60</v>
      </c>
      <c r="B162" s="4" t="s">
        <v>38</v>
      </c>
      <c r="C162" s="4" t="s">
        <v>138</v>
      </c>
      <c r="D162" s="4" t="n">
        <v>83</v>
      </c>
      <c r="E162" s="18" t="s">
        <v>59</v>
      </c>
      <c r="F162" s="19" t="s">
        <v>132</v>
      </c>
    </row>
    <row r="163" customFormat="false" ht="15" hidden="false" customHeight="false" outlineLevel="0" collapsed="false">
      <c r="A163" s="4" t="str">
        <f aca="false">B163&amp;"|"&amp;C163</f>
        <v>R_5_71|61</v>
      </c>
      <c r="B163" s="4" t="s">
        <v>38</v>
      </c>
      <c r="C163" s="4" t="s">
        <v>139</v>
      </c>
      <c r="D163" s="4" t="n">
        <v>84</v>
      </c>
      <c r="E163" s="22" t="s">
        <v>68</v>
      </c>
      <c r="F163" s="10" t="s">
        <v>126</v>
      </c>
    </row>
    <row r="164" customFormat="false" ht="15" hidden="false" customHeight="false" outlineLevel="0" collapsed="false">
      <c r="A164" s="4" t="str">
        <f aca="false">B164&amp;"|"&amp;C164</f>
        <v>R_5_71|62</v>
      </c>
      <c r="B164" s="4" t="s">
        <v>38</v>
      </c>
      <c r="C164" s="4" t="s">
        <v>140</v>
      </c>
      <c r="D164" s="4" t="n">
        <v>85</v>
      </c>
      <c r="E164" s="22" t="s">
        <v>59</v>
      </c>
      <c r="F164" s="10" t="s">
        <v>126</v>
      </c>
    </row>
    <row r="165" customFormat="false" ht="15" hidden="false" customHeight="false" outlineLevel="0" collapsed="false">
      <c r="A165" s="4" t="str">
        <f aca="false">B165&amp;"|"&amp;C165</f>
        <v>R_5_71|63</v>
      </c>
      <c r="B165" s="4" t="s">
        <v>38</v>
      </c>
      <c r="C165" s="4" t="s">
        <v>141</v>
      </c>
      <c r="D165" s="4" t="n">
        <v>86</v>
      </c>
      <c r="E165" s="22" t="s">
        <v>59</v>
      </c>
      <c r="F165" s="10" t="s">
        <v>126</v>
      </c>
    </row>
    <row r="166" customFormat="false" ht="15" hidden="false" customHeight="false" outlineLevel="0" collapsed="false">
      <c r="A166" s="4" t="str">
        <f aca="false">B166&amp;"|"&amp;C166</f>
        <v>R_5_71|64</v>
      </c>
      <c r="B166" s="4" t="s">
        <v>38</v>
      </c>
      <c r="C166" s="4" t="s">
        <v>142</v>
      </c>
      <c r="D166" s="4" t="n">
        <v>87</v>
      </c>
      <c r="E166" s="22" t="s">
        <v>72</v>
      </c>
      <c r="F166" s="10" t="s">
        <v>126</v>
      </c>
    </row>
    <row r="167" customFormat="false" ht="15" hidden="false" customHeight="false" outlineLevel="0" collapsed="false">
      <c r="A167" s="4" t="str">
        <f aca="false">B167&amp;"|"&amp;C167</f>
        <v>R_5_71|65</v>
      </c>
      <c r="B167" s="4" t="s">
        <v>38</v>
      </c>
      <c r="C167" s="4" t="s">
        <v>143</v>
      </c>
      <c r="D167" s="4" t="n">
        <v>88</v>
      </c>
      <c r="E167" s="22" t="s">
        <v>62</v>
      </c>
      <c r="F167" s="10" t="s">
        <v>126</v>
      </c>
    </row>
    <row r="168" customFormat="false" ht="15" hidden="false" customHeight="false" outlineLevel="0" collapsed="false">
      <c r="A168" s="4" t="str">
        <f aca="false">B168&amp;"|"&amp;C168</f>
        <v>R_5_71|66</v>
      </c>
      <c r="B168" s="4" t="s">
        <v>38</v>
      </c>
      <c r="C168" s="4" t="s">
        <v>144</v>
      </c>
      <c r="D168" s="4" t="n">
        <v>89</v>
      </c>
      <c r="E168" s="16" t="s">
        <v>59</v>
      </c>
      <c r="F168" s="17" t="s">
        <v>60</v>
      </c>
    </row>
    <row r="169" customFormat="false" ht="15" hidden="false" customHeight="false" outlineLevel="0" collapsed="false">
      <c r="A169" s="4" t="str">
        <f aca="false">B169&amp;"|"&amp;C169</f>
        <v>R_5_71|67</v>
      </c>
      <c r="B169" s="4" t="s">
        <v>38</v>
      </c>
      <c r="C169" s="4" t="s">
        <v>145</v>
      </c>
      <c r="D169" s="4" t="n">
        <v>90</v>
      </c>
      <c r="E169" s="16" t="s">
        <v>72</v>
      </c>
      <c r="F169" s="17" t="s">
        <v>60</v>
      </c>
    </row>
    <row r="170" customFormat="false" ht="15" hidden="false" customHeight="false" outlineLevel="0" collapsed="false">
      <c r="A170" s="4" t="str">
        <f aca="false">B170&amp;"|"&amp;C170</f>
        <v>R_5_71|68</v>
      </c>
      <c r="B170" s="4" t="s">
        <v>38</v>
      </c>
      <c r="C170" s="4" t="s">
        <v>146</v>
      </c>
      <c r="D170" s="4" t="n">
        <v>91</v>
      </c>
      <c r="E170" s="16" t="s">
        <v>62</v>
      </c>
      <c r="F170" s="17" t="s">
        <v>60</v>
      </c>
    </row>
    <row r="171" customFormat="false" ht="15" hidden="false" customHeight="false" outlineLevel="0" collapsed="false">
      <c r="A171" s="4" t="str">
        <f aca="false">B171&amp;"|"&amp;C171</f>
        <v>R_5_71|69</v>
      </c>
      <c r="B171" s="4" t="s">
        <v>38</v>
      </c>
      <c r="C171" s="4" t="s">
        <v>147</v>
      </c>
      <c r="D171" s="4" t="n">
        <v>92</v>
      </c>
      <c r="E171" s="16" t="s">
        <v>72</v>
      </c>
      <c r="F171" s="17" t="s">
        <v>60</v>
      </c>
    </row>
    <row r="172" customFormat="false" ht="15" hidden="false" customHeight="false" outlineLevel="0" collapsed="false">
      <c r="A172" s="4" t="str">
        <f aca="false">B172&amp;"|"&amp;C172</f>
        <v>R_5_71|70</v>
      </c>
      <c r="B172" s="4" t="s">
        <v>38</v>
      </c>
      <c r="C172" s="4" t="s">
        <v>148</v>
      </c>
      <c r="D172" s="4" t="n">
        <v>93</v>
      </c>
      <c r="E172" s="16" t="s">
        <v>72</v>
      </c>
      <c r="F172" s="17" t="s">
        <v>60</v>
      </c>
    </row>
    <row r="173" customFormat="false" ht="15" hidden="false" customHeight="false" outlineLevel="0" collapsed="false">
      <c r="A173" s="4" t="str">
        <f aca="false">B173&amp;"|"&amp;C173</f>
        <v>R_5_71|71</v>
      </c>
      <c r="B173" s="4" t="s">
        <v>38</v>
      </c>
      <c r="C173" s="4" t="s">
        <v>149</v>
      </c>
      <c r="D173" s="4" t="n">
        <v>94</v>
      </c>
      <c r="E173" s="16" t="s">
        <v>62</v>
      </c>
      <c r="F173" s="17" t="s">
        <v>60</v>
      </c>
    </row>
    <row r="174" customFormat="false" ht="15" hidden="false" customHeight="false" outlineLevel="0" collapsed="false">
      <c r="A174" s="4" t="str">
        <f aca="false">B174&amp;"|"&amp;C174</f>
        <v>R_5_71|72</v>
      </c>
      <c r="B174" s="4" t="s">
        <v>38</v>
      </c>
      <c r="C174" s="4" t="s">
        <v>150</v>
      </c>
      <c r="D174" s="4" t="n">
        <v>95</v>
      </c>
      <c r="E174" s="16" t="s">
        <v>59</v>
      </c>
      <c r="F174" s="17" t="s">
        <v>60</v>
      </c>
    </row>
    <row r="175" customFormat="false" ht="15" hidden="false" customHeight="false" outlineLevel="0" collapsed="false">
      <c r="A175" s="4" t="str">
        <f aca="false">B175&amp;"|"&amp;C175</f>
        <v>R_7_43|1</v>
      </c>
      <c r="B175" s="4" t="s">
        <v>39</v>
      </c>
      <c r="C175" s="4" t="s">
        <v>58</v>
      </c>
      <c r="D175" s="4" t="n">
        <v>1</v>
      </c>
      <c r="E175" s="16" t="s">
        <v>72</v>
      </c>
      <c r="F175" s="17" t="s">
        <v>60</v>
      </c>
    </row>
    <row r="176" customFormat="false" ht="15" hidden="false" customHeight="false" outlineLevel="0" collapsed="false">
      <c r="A176" s="4" t="str">
        <f aca="false">B176&amp;"|"&amp;C176</f>
        <v>R_7_43|2</v>
      </c>
      <c r="B176" s="4" t="s">
        <v>39</v>
      </c>
      <c r="C176" s="4" t="s">
        <v>61</v>
      </c>
      <c r="D176" s="4" t="n">
        <v>2</v>
      </c>
      <c r="E176" s="16" t="s">
        <v>62</v>
      </c>
      <c r="F176" s="17" t="s">
        <v>60</v>
      </c>
    </row>
    <row r="177" customFormat="false" ht="15" hidden="false" customHeight="false" outlineLevel="0" collapsed="false">
      <c r="A177" s="4" t="str">
        <f aca="false">B177&amp;"|"&amp;C177</f>
        <v>R_7_43|3</v>
      </c>
      <c r="B177" s="4" t="s">
        <v>39</v>
      </c>
      <c r="C177" s="4" t="s">
        <v>63</v>
      </c>
      <c r="D177" s="4" t="n">
        <v>3</v>
      </c>
      <c r="E177" s="16" t="s">
        <v>72</v>
      </c>
      <c r="F177" s="17" t="s">
        <v>60</v>
      </c>
    </row>
    <row r="178" customFormat="false" ht="15" hidden="false" customHeight="false" outlineLevel="0" collapsed="false">
      <c r="A178" s="4" t="str">
        <f aca="false">B178&amp;"|"&amp;C178</f>
        <v>R_7_43|4</v>
      </c>
      <c r="B178" s="4" t="s">
        <v>39</v>
      </c>
      <c r="C178" s="4" t="s">
        <v>64</v>
      </c>
      <c r="D178" s="4" t="n">
        <v>4</v>
      </c>
      <c r="E178" s="16" t="s">
        <v>59</v>
      </c>
      <c r="F178" s="17" t="s">
        <v>60</v>
      </c>
    </row>
    <row r="179" customFormat="false" ht="15" hidden="false" customHeight="false" outlineLevel="0" collapsed="false">
      <c r="A179" s="4" t="str">
        <f aca="false">B179&amp;"|"&amp;C179</f>
        <v>R_7_43|5</v>
      </c>
      <c r="B179" s="4" t="s">
        <v>39</v>
      </c>
      <c r="C179" s="4" t="s">
        <v>65</v>
      </c>
      <c r="D179" s="4" t="n">
        <v>5</v>
      </c>
      <c r="E179" s="16" t="s">
        <v>59</v>
      </c>
      <c r="F179" s="17" t="s">
        <v>60</v>
      </c>
    </row>
    <row r="180" customFormat="false" ht="15" hidden="false" customHeight="false" outlineLevel="0" collapsed="false">
      <c r="A180" s="4" t="str">
        <f aca="false">B180&amp;"|"&amp;C180</f>
        <v>R_7_43|6</v>
      </c>
      <c r="B180" s="4" t="s">
        <v>39</v>
      </c>
      <c r="C180" s="4" t="s">
        <v>66</v>
      </c>
      <c r="D180" s="4" t="n">
        <v>6</v>
      </c>
      <c r="E180" s="16" t="s">
        <v>72</v>
      </c>
      <c r="F180" s="17" t="s">
        <v>60</v>
      </c>
    </row>
    <row r="181" customFormat="false" ht="15" hidden="false" customHeight="false" outlineLevel="0" collapsed="false">
      <c r="A181" s="4" t="str">
        <f aca="false">B181&amp;"|"&amp;C181</f>
        <v>R_7_43|7</v>
      </c>
      <c r="B181" s="4" t="s">
        <v>39</v>
      </c>
      <c r="C181" s="4" t="s">
        <v>67</v>
      </c>
      <c r="D181" s="4" t="n">
        <v>7</v>
      </c>
      <c r="E181" s="16" t="s">
        <v>62</v>
      </c>
      <c r="F181" s="17" t="s">
        <v>60</v>
      </c>
    </row>
    <row r="182" customFormat="false" ht="15" hidden="false" customHeight="false" outlineLevel="0" collapsed="false">
      <c r="A182" s="4" t="str">
        <f aca="false">B182&amp;"|"&amp;C182</f>
        <v>R_7_43|8</v>
      </c>
      <c r="B182" s="4" t="s">
        <v>39</v>
      </c>
      <c r="C182" s="4" t="s">
        <v>69</v>
      </c>
      <c r="D182" s="4" t="n">
        <v>8</v>
      </c>
      <c r="E182" s="3" t="s">
        <v>59</v>
      </c>
      <c r="F182" s="4" t="s">
        <v>70</v>
      </c>
    </row>
    <row r="183" customFormat="false" ht="15" hidden="false" customHeight="false" outlineLevel="0" collapsed="false">
      <c r="A183" s="4" t="str">
        <f aca="false">B183&amp;"|"&amp;C183</f>
        <v>R_7_43|9</v>
      </c>
      <c r="B183" s="4" t="s">
        <v>39</v>
      </c>
      <c r="C183" s="4" t="s">
        <v>71</v>
      </c>
      <c r="D183" s="4" t="n">
        <v>9</v>
      </c>
      <c r="E183" s="3" t="s">
        <v>72</v>
      </c>
      <c r="F183" s="4" t="s">
        <v>73</v>
      </c>
    </row>
    <row r="184" customFormat="false" ht="15" hidden="false" customHeight="false" outlineLevel="0" collapsed="false">
      <c r="A184" s="4" t="str">
        <f aca="false">B184&amp;"|"&amp;C184</f>
        <v>R_7_43|10</v>
      </c>
      <c r="B184" s="4" t="s">
        <v>39</v>
      </c>
      <c r="C184" s="4" t="s">
        <v>74</v>
      </c>
      <c r="D184" s="4" t="n">
        <v>10</v>
      </c>
      <c r="E184" s="8" t="s">
        <v>59</v>
      </c>
      <c r="F184" s="7" t="s">
        <v>75</v>
      </c>
    </row>
    <row r="185" customFormat="false" ht="15" hidden="false" customHeight="false" outlineLevel="0" collapsed="false">
      <c r="A185" s="4" t="str">
        <f aca="false">B185&amp;"|"&amp;C185</f>
        <v>R_7_43|11</v>
      </c>
      <c r="B185" s="4" t="s">
        <v>39</v>
      </c>
      <c r="C185" s="4" t="s">
        <v>76</v>
      </c>
      <c r="D185" s="4" t="n">
        <v>11</v>
      </c>
      <c r="E185" s="8" t="s">
        <v>62</v>
      </c>
      <c r="F185" s="7" t="s">
        <v>75</v>
      </c>
    </row>
    <row r="186" customFormat="false" ht="15" hidden="false" customHeight="false" outlineLevel="0" collapsed="false">
      <c r="A186" s="4" t="str">
        <f aca="false">B186&amp;"|"&amp;C186</f>
        <v>R_7_43|12</v>
      </c>
      <c r="B186" s="4" t="s">
        <v>39</v>
      </c>
      <c r="C186" s="4" t="s">
        <v>77</v>
      </c>
      <c r="D186" s="4" t="n">
        <v>12</v>
      </c>
      <c r="E186" s="8" t="s">
        <v>59</v>
      </c>
      <c r="F186" s="7" t="s">
        <v>75</v>
      </c>
    </row>
    <row r="187" customFormat="false" ht="15" hidden="false" customHeight="false" outlineLevel="0" collapsed="false">
      <c r="A187" s="4" t="str">
        <f aca="false">B187&amp;"|"&amp;C187</f>
        <v>R_7_43|13</v>
      </c>
      <c r="B187" s="4" t="s">
        <v>39</v>
      </c>
      <c r="C187" s="4" t="s">
        <v>78</v>
      </c>
      <c r="D187" s="4" t="n">
        <v>13</v>
      </c>
      <c r="E187" s="8" t="s">
        <v>72</v>
      </c>
      <c r="F187" s="7" t="s">
        <v>75</v>
      </c>
    </row>
    <row r="188" customFormat="false" ht="15" hidden="false" customHeight="false" outlineLevel="0" collapsed="false">
      <c r="A188" s="4" t="str">
        <f aca="false">B188&amp;"|"&amp;C188</f>
        <v>R_7_43|14</v>
      </c>
      <c r="B188" s="4" t="s">
        <v>39</v>
      </c>
      <c r="C188" s="4" t="s">
        <v>79</v>
      </c>
      <c r="D188" s="4" t="n">
        <v>14</v>
      </c>
      <c r="E188" s="18" t="s">
        <v>62</v>
      </c>
      <c r="F188" s="19" t="s">
        <v>80</v>
      </c>
    </row>
    <row r="189" customFormat="false" ht="15" hidden="false" customHeight="false" outlineLevel="0" collapsed="false">
      <c r="A189" s="4" t="str">
        <f aca="false">B189&amp;"|"&amp;C189</f>
        <v>R_7_43|15</v>
      </c>
      <c r="B189" s="4" t="s">
        <v>39</v>
      </c>
      <c r="C189" s="4" t="s">
        <v>81</v>
      </c>
      <c r="D189" s="4" t="n">
        <v>15</v>
      </c>
      <c r="E189" s="18" t="s">
        <v>62</v>
      </c>
      <c r="F189" s="19" t="s">
        <v>80</v>
      </c>
    </row>
    <row r="190" customFormat="false" ht="15" hidden="false" customHeight="false" outlineLevel="0" collapsed="false">
      <c r="A190" s="4" t="str">
        <f aca="false">B190&amp;"|"&amp;C190</f>
        <v>R_7_43|16</v>
      </c>
      <c r="B190" s="4" t="s">
        <v>39</v>
      </c>
      <c r="C190" s="4" t="s">
        <v>82</v>
      </c>
      <c r="D190" s="4" t="n">
        <v>16</v>
      </c>
      <c r="E190" s="18" t="s">
        <v>62</v>
      </c>
      <c r="F190" s="19" t="s">
        <v>80</v>
      </c>
    </row>
    <row r="191" customFormat="false" ht="15" hidden="false" customHeight="false" outlineLevel="0" collapsed="false">
      <c r="A191" s="4" t="str">
        <f aca="false">B191&amp;"|"&amp;C191</f>
        <v>R_7_43|18</v>
      </c>
      <c r="B191" s="4" t="s">
        <v>39</v>
      </c>
      <c r="C191" s="4" t="s">
        <v>83</v>
      </c>
      <c r="D191" s="4" t="n">
        <v>17</v>
      </c>
      <c r="E191" s="18" t="s">
        <v>72</v>
      </c>
      <c r="F191" s="19" t="s">
        <v>80</v>
      </c>
    </row>
    <row r="192" customFormat="false" ht="15" hidden="false" customHeight="false" outlineLevel="0" collapsed="false">
      <c r="A192" s="4" t="str">
        <f aca="false">B192&amp;"|"&amp;C192</f>
        <v>R_7_43|19</v>
      </c>
      <c r="B192" s="4" t="s">
        <v>39</v>
      </c>
      <c r="C192" s="4" t="s">
        <v>84</v>
      </c>
      <c r="D192" s="4" t="n">
        <v>18</v>
      </c>
      <c r="E192" s="18" t="s">
        <v>72</v>
      </c>
      <c r="F192" s="19" t="s">
        <v>80</v>
      </c>
    </row>
    <row r="193" customFormat="false" ht="15" hidden="false" customHeight="false" outlineLevel="0" collapsed="false">
      <c r="A193" s="4" t="str">
        <f aca="false">B193&amp;"|"&amp;C193</f>
        <v>R_7_43|20</v>
      </c>
      <c r="B193" s="4" t="s">
        <v>39</v>
      </c>
      <c r="C193" s="4" t="s">
        <v>85</v>
      </c>
      <c r="D193" s="4" t="n">
        <v>19</v>
      </c>
      <c r="E193" s="18" t="s">
        <v>62</v>
      </c>
      <c r="F193" s="19" t="s">
        <v>80</v>
      </c>
    </row>
    <row r="194" customFormat="false" ht="15" hidden="false" customHeight="false" outlineLevel="0" collapsed="false">
      <c r="A194" s="4" t="str">
        <f aca="false">B194&amp;"|"&amp;C194</f>
        <v>R_7_43|20a</v>
      </c>
      <c r="B194" s="4" t="s">
        <v>39</v>
      </c>
      <c r="C194" s="4" t="s">
        <v>86</v>
      </c>
      <c r="D194" s="4" t="n">
        <v>20</v>
      </c>
      <c r="E194" s="18" t="s">
        <v>62</v>
      </c>
      <c r="F194" s="19" t="s">
        <v>80</v>
      </c>
    </row>
    <row r="195" customFormat="false" ht="15" hidden="false" customHeight="false" outlineLevel="0" collapsed="false">
      <c r="A195" s="4" t="str">
        <f aca="false">B195&amp;"|"&amp;C195</f>
        <v>R_7_43|20b</v>
      </c>
      <c r="B195" s="4" t="s">
        <v>39</v>
      </c>
      <c r="C195" s="4" t="s">
        <v>87</v>
      </c>
      <c r="D195" s="4" t="n">
        <v>21</v>
      </c>
      <c r="E195" s="18" t="s">
        <v>72</v>
      </c>
      <c r="F195" s="19" t="s">
        <v>80</v>
      </c>
    </row>
    <row r="196" customFormat="false" ht="15" hidden="false" customHeight="false" outlineLevel="0" collapsed="false">
      <c r="A196" s="4" t="str">
        <f aca="false">B196&amp;"|"&amp;C196</f>
        <v>R_7_43|21</v>
      </c>
      <c r="B196" s="4" t="s">
        <v>39</v>
      </c>
      <c r="C196" s="4" t="s">
        <v>88</v>
      </c>
      <c r="D196" s="4" t="n">
        <v>22</v>
      </c>
      <c r="E196" s="18" t="s">
        <v>62</v>
      </c>
      <c r="F196" s="19" t="s">
        <v>80</v>
      </c>
    </row>
    <row r="197" customFormat="false" ht="15" hidden="false" customHeight="false" outlineLevel="0" collapsed="false">
      <c r="A197" s="4" t="str">
        <f aca="false">B197&amp;"|"&amp;C197</f>
        <v>R_7_43|22</v>
      </c>
      <c r="B197" s="4" t="s">
        <v>39</v>
      </c>
      <c r="C197" s="4" t="s">
        <v>89</v>
      </c>
      <c r="D197" s="4" t="n">
        <v>23</v>
      </c>
      <c r="E197" s="8" t="s">
        <v>59</v>
      </c>
      <c r="F197" s="7" t="s">
        <v>75</v>
      </c>
    </row>
    <row r="198" customFormat="false" ht="15" hidden="false" customHeight="false" outlineLevel="0" collapsed="false">
      <c r="A198" s="4" t="str">
        <f aca="false">B198&amp;"|"&amp;C198</f>
        <v>R_7_43|23</v>
      </c>
      <c r="B198" s="4" t="s">
        <v>39</v>
      </c>
      <c r="C198" s="4" t="s">
        <v>90</v>
      </c>
      <c r="D198" s="4" t="n">
        <v>24</v>
      </c>
      <c r="E198" s="8" t="s">
        <v>62</v>
      </c>
      <c r="F198" s="7" t="s">
        <v>75</v>
      </c>
    </row>
    <row r="199" customFormat="false" ht="15" hidden="false" customHeight="false" outlineLevel="0" collapsed="false">
      <c r="A199" s="4" t="str">
        <f aca="false">B199&amp;"|"&amp;C199</f>
        <v>R_7_43|24</v>
      </c>
      <c r="B199" s="4" t="s">
        <v>39</v>
      </c>
      <c r="C199" s="4" t="s">
        <v>91</v>
      </c>
      <c r="D199" s="4" t="n">
        <v>25</v>
      </c>
      <c r="E199" s="8" t="s">
        <v>59</v>
      </c>
      <c r="F199" s="7" t="s">
        <v>75</v>
      </c>
    </row>
    <row r="200" customFormat="false" ht="15" hidden="false" customHeight="false" outlineLevel="0" collapsed="false">
      <c r="A200" s="4" t="str">
        <f aca="false">B200&amp;"|"&amp;C200</f>
        <v>R_7_43|25</v>
      </c>
      <c r="B200" s="4" t="s">
        <v>39</v>
      </c>
      <c r="C200" s="4" t="s">
        <v>92</v>
      </c>
      <c r="D200" s="4" t="n">
        <v>26</v>
      </c>
      <c r="E200" s="8" t="s">
        <v>62</v>
      </c>
      <c r="F200" s="7" t="s">
        <v>75</v>
      </c>
    </row>
    <row r="201" customFormat="false" ht="15" hidden="false" customHeight="false" outlineLevel="0" collapsed="false">
      <c r="A201" s="4" t="str">
        <f aca="false">B201&amp;"|"&amp;C201</f>
        <v>R_7_43|26</v>
      </c>
      <c r="B201" s="4" t="s">
        <v>39</v>
      </c>
      <c r="C201" s="4" t="s">
        <v>93</v>
      </c>
      <c r="D201" s="4" t="n">
        <v>27</v>
      </c>
      <c r="E201" s="3" t="s">
        <v>59</v>
      </c>
      <c r="F201" s="4" t="s">
        <v>94</v>
      </c>
    </row>
    <row r="202" customFormat="false" ht="15" hidden="false" customHeight="false" outlineLevel="0" collapsed="false">
      <c r="A202" s="4" t="str">
        <f aca="false">B202&amp;"|"&amp;C202</f>
        <v>R_7_43|27</v>
      </c>
      <c r="B202" s="4" t="s">
        <v>39</v>
      </c>
      <c r="C202" s="4" t="s">
        <v>95</v>
      </c>
      <c r="D202" s="4" t="n">
        <v>28</v>
      </c>
      <c r="E202" s="20" t="s">
        <v>72</v>
      </c>
      <c r="F202" s="21" t="s">
        <v>96</v>
      </c>
    </row>
    <row r="203" customFormat="false" ht="15" hidden="false" customHeight="false" outlineLevel="0" collapsed="false">
      <c r="A203" s="4" t="str">
        <f aca="false">B203&amp;"|"&amp;C203</f>
        <v>R_7_43|28</v>
      </c>
      <c r="B203" s="4" t="s">
        <v>39</v>
      </c>
      <c r="C203" s="4" t="s">
        <v>97</v>
      </c>
      <c r="D203" s="4" t="n">
        <v>29</v>
      </c>
      <c r="E203" s="20" t="s">
        <v>59</v>
      </c>
      <c r="F203" s="21" t="s">
        <v>96</v>
      </c>
    </row>
    <row r="204" customFormat="false" ht="15" hidden="false" customHeight="false" outlineLevel="0" collapsed="false">
      <c r="A204" s="4" t="str">
        <f aca="false">B204&amp;"|"&amp;C204</f>
        <v>R_7_43|29</v>
      </c>
      <c r="B204" s="4" t="s">
        <v>39</v>
      </c>
      <c r="C204" s="4" t="s">
        <v>98</v>
      </c>
      <c r="D204" s="4" t="n">
        <v>30</v>
      </c>
      <c r="E204" s="20" t="s">
        <v>72</v>
      </c>
      <c r="F204" s="21" t="s">
        <v>96</v>
      </c>
    </row>
    <row r="205" customFormat="false" ht="15" hidden="false" customHeight="false" outlineLevel="0" collapsed="false">
      <c r="A205" s="4" t="str">
        <f aca="false">B205&amp;"|"&amp;C205</f>
        <v>R_7_43|30</v>
      </c>
      <c r="B205" s="4" t="s">
        <v>39</v>
      </c>
      <c r="C205" s="4" t="s">
        <v>99</v>
      </c>
      <c r="D205" s="4" t="n">
        <v>31</v>
      </c>
      <c r="E205" s="20" t="s">
        <v>72</v>
      </c>
      <c r="F205" s="21" t="s">
        <v>96</v>
      </c>
    </row>
    <row r="206" customFormat="false" ht="15" hidden="false" customHeight="false" outlineLevel="0" collapsed="false">
      <c r="A206" s="4" t="str">
        <f aca="false">B206&amp;"|"&amp;C206</f>
        <v>R_7_43|31</v>
      </c>
      <c r="B206" s="4" t="s">
        <v>39</v>
      </c>
      <c r="C206" s="4" t="s">
        <v>100</v>
      </c>
      <c r="D206" s="4" t="n">
        <v>32</v>
      </c>
      <c r="E206" s="20" t="s">
        <v>62</v>
      </c>
      <c r="F206" s="21" t="s">
        <v>96</v>
      </c>
    </row>
    <row r="207" customFormat="false" ht="15" hidden="false" customHeight="false" outlineLevel="0" collapsed="false">
      <c r="A207" s="4" t="str">
        <f aca="false">B207&amp;"|"&amp;C207</f>
        <v>R_7_43|32</v>
      </c>
      <c r="B207" s="4" t="s">
        <v>39</v>
      </c>
      <c r="C207" s="4" t="s">
        <v>101</v>
      </c>
      <c r="D207" s="4" t="n">
        <v>33</v>
      </c>
      <c r="E207" s="18" t="s">
        <v>68</v>
      </c>
      <c r="F207" s="19" t="s">
        <v>102</v>
      </c>
    </row>
    <row r="208" customFormat="false" ht="15" hidden="false" customHeight="false" outlineLevel="0" collapsed="false">
      <c r="A208" s="4" t="str">
        <f aca="false">B208&amp;"|"&amp;C208</f>
        <v>R_7_43|33</v>
      </c>
      <c r="B208" s="4" t="s">
        <v>39</v>
      </c>
      <c r="C208" s="4" t="s">
        <v>103</v>
      </c>
      <c r="D208" s="4" t="n">
        <v>34</v>
      </c>
      <c r="E208" s="18" t="s">
        <v>59</v>
      </c>
      <c r="F208" s="19" t="s">
        <v>102</v>
      </c>
    </row>
    <row r="209" customFormat="false" ht="15" hidden="false" customHeight="false" outlineLevel="0" collapsed="false">
      <c r="A209" s="4" t="str">
        <f aca="false">B209&amp;"|"&amp;C209</f>
        <v>R_7_43|34</v>
      </c>
      <c r="B209" s="4" t="s">
        <v>39</v>
      </c>
      <c r="C209" s="4" t="s">
        <v>104</v>
      </c>
      <c r="D209" s="4" t="n">
        <v>35</v>
      </c>
      <c r="E209" s="18" t="s">
        <v>59</v>
      </c>
      <c r="F209" s="19" t="s">
        <v>102</v>
      </c>
    </row>
    <row r="210" customFormat="false" ht="15" hidden="false" customHeight="false" outlineLevel="0" collapsed="false">
      <c r="A210" s="4" t="str">
        <f aca="false">B210&amp;"|"&amp;C210</f>
        <v>R_7_43|35</v>
      </c>
      <c r="B210" s="4" t="s">
        <v>39</v>
      </c>
      <c r="C210" s="4" t="s">
        <v>105</v>
      </c>
      <c r="D210" s="4" t="n">
        <v>36</v>
      </c>
      <c r="E210" s="18" t="s">
        <v>59</v>
      </c>
      <c r="F210" s="19" t="s">
        <v>102</v>
      </c>
    </row>
    <row r="211" customFormat="false" ht="15" hidden="false" customHeight="false" outlineLevel="0" collapsed="false">
      <c r="A211" s="4" t="str">
        <f aca="false">B211&amp;"|"&amp;C211</f>
        <v>R_7_43|36</v>
      </c>
      <c r="B211" s="4" t="s">
        <v>39</v>
      </c>
      <c r="C211" s="4" t="s">
        <v>106</v>
      </c>
      <c r="D211" s="4" t="n">
        <v>37</v>
      </c>
      <c r="E211" s="18" t="s">
        <v>62</v>
      </c>
      <c r="F211" s="19" t="s">
        <v>102</v>
      </c>
    </row>
    <row r="212" customFormat="false" ht="15" hidden="false" customHeight="false" outlineLevel="0" collapsed="false">
      <c r="A212" s="4" t="str">
        <f aca="false">B212&amp;"|"&amp;C212</f>
        <v>R_7_43|37</v>
      </c>
      <c r="B212" s="4" t="s">
        <v>39</v>
      </c>
      <c r="C212" s="4" t="s">
        <v>107</v>
      </c>
      <c r="D212" s="4" t="n">
        <v>38</v>
      </c>
      <c r="E212" s="18" t="s">
        <v>68</v>
      </c>
      <c r="F212" s="19" t="s">
        <v>102</v>
      </c>
    </row>
    <row r="213" customFormat="false" ht="15" hidden="false" customHeight="false" outlineLevel="0" collapsed="false">
      <c r="A213" s="4" t="str">
        <f aca="false">B213&amp;"|"&amp;C213</f>
        <v>R_7_43|38</v>
      </c>
      <c r="B213" s="4" t="s">
        <v>39</v>
      </c>
      <c r="C213" s="4" t="s">
        <v>108</v>
      </c>
      <c r="D213" s="4" t="n">
        <v>39</v>
      </c>
      <c r="E213" s="18" t="s">
        <v>72</v>
      </c>
      <c r="F213" s="19" t="s">
        <v>102</v>
      </c>
    </row>
    <row r="214" customFormat="false" ht="15" hidden="false" customHeight="false" outlineLevel="0" collapsed="false">
      <c r="A214" s="4" t="str">
        <f aca="false">B214&amp;"|"&amp;C214</f>
        <v>R_7_43|39</v>
      </c>
      <c r="B214" s="4" t="s">
        <v>39</v>
      </c>
      <c r="C214" s="4" t="s">
        <v>109</v>
      </c>
      <c r="D214" s="4" t="n">
        <v>40</v>
      </c>
      <c r="E214" s="20" t="s">
        <v>59</v>
      </c>
      <c r="F214" s="21" t="s">
        <v>96</v>
      </c>
    </row>
    <row r="215" customFormat="false" ht="15" hidden="false" customHeight="false" outlineLevel="0" collapsed="false">
      <c r="A215" s="4" t="str">
        <f aca="false">B215&amp;"|"&amp;C215</f>
        <v>R_7_43|40</v>
      </c>
      <c r="B215" s="4" t="s">
        <v>39</v>
      </c>
      <c r="C215" s="4" t="s">
        <v>110</v>
      </c>
      <c r="D215" s="4" t="n">
        <v>41</v>
      </c>
      <c r="E215" s="20" t="s">
        <v>59</v>
      </c>
      <c r="F215" s="21" t="s">
        <v>96</v>
      </c>
    </row>
    <row r="216" customFormat="false" ht="15" hidden="false" customHeight="false" outlineLevel="0" collapsed="false">
      <c r="A216" s="4" t="str">
        <f aca="false">B216&amp;"|"&amp;C216</f>
        <v>R_7_43|41</v>
      </c>
      <c r="B216" s="4" t="s">
        <v>39</v>
      </c>
      <c r="C216" s="4" t="s">
        <v>111</v>
      </c>
      <c r="D216" s="4" t="n">
        <v>42</v>
      </c>
      <c r="E216" s="20" t="s">
        <v>59</v>
      </c>
      <c r="F216" s="21" t="s">
        <v>96</v>
      </c>
    </row>
    <row r="217" customFormat="false" ht="15" hidden="false" customHeight="false" outlineLevel="0" collapsed="false">
      <c r="A217" s="4" t="str">
        <f aca="false">B217&amp;"|"&amp;C217</f>
        <v>R_7_43|42</v>
      </c>
      <c r="B217" s="4" t="s">
        <v>39</v>
      </c>
      <c r="C217" s="4" t="s">
        <v>112</v>
      </c>
      <c r="D217" s="4" t="n">
        <v>43</v>
      </c>
      <c r="E217" s="20" t="s">
        <v>62</v>
      </c>
      <c r="F217" s="21" t="s">
        <v>96</v>
      </c>
    </row>
    <row r="218" customFormat="false" ht="15" hidden="false" customHeight="false" outlineLevel="0" collapsed="false">
      <c r="A218" s="4" t="str">
        <f aca="false">B218&amp;"|"&amp;C218</f>
        <v>R_7_43|43</v>
      </c>
      <c r="B218" s="4" t="s">
        <v>39</v>
      </c>
      <c r="C218" s="4" t="s">
        <v>113</v>
      </c>
      <c r="D218" s="4" t="n">
        <v>44</v>
      </c>
      <c r="E218" s="20" t="s">
        <v>68</v>
      </c>
      <c r="F218" s="21" t="s">
        <v>96</v>
      </c>
    </row>
    <row r="219" customFormat="false" ht="15" hidden="false" customHeight="false" outlineLevel="0" collapsed="false">
      <c r="A219" s="4" t="str">
        <f aca="false">B219&amp;"|"&amp;C219</f>
        <v>R_7_43|44</v>
      </c>
      <c r="B219" s="4" t="s">
        <v>39</v>
      </c>
      <c r="C219" s="4" t="s">
        <v>114</v>
      </c>
      <c r="D219" s="4" t="n">
        <v>45</v>
      </c>
      <c r="E219" s="18" t="s">
        <v>59</v>
      </c>
      <c r="F219" s="19" t="s">
        <v>115</v>
      </c>
    </row>
    <row r="220" customFormat="false" ht="15" hidden="false" customHeight="false" outlineLevel="0" collapsed="false">
      <c r="A220" s="4" t="str">
        <f aca="false">B220&amp;"|"&amp;C220</f>
        <v>R_7_43|45</v>
      </c>
      <c r="B220" s="4" t="s">
        <v>39</v>
      </c>
      <c r="C220" s="4" t="s">
        <v>116</v>
      </c>
      <c r="D220" s="4" t="n">
        <v>46</v>
      </c>
      <c r="E220" s="18" t="s">
        <v>68</v>
      </c>
      <c r="F220" s="19" t="s">
        <v>115</v>
      </c>
    </row>
    <row r="221" customFormat="false" ht="15" hidden="false" customHeight="false" outlineLevel="0" collapsed="false">
      <c r="A221" s="4" t="str">
        <f aca="false">B221&amp;"|"&amp;C221</f>
        <v>R_7_43|e1</v>
      </c>
      <c r="B221" s="4" t="s">
        <v>39</v>
      </c>
      <c r="C221" s="4" t="s">
        <v>117</v>
      </c>
      <c r="D221" s="4" t="n">
        <v>47</v>
      </c>
      <c r="E221" s="18" t="s">
        <v>59</v>
      </c>
      <c r="F221" s="19" t="s">
        <v>115</v>
      </c>
    </row>
    <row r="222" customFormat="false" ht="15" hidden="false" customHeight="false" outlineLevel="0" collapsed="false">
      <c r="A222" s="4" t="str">
        <f aca="false">B222&amp;"|"&amp;C222</f>
        <v>R_7_43|e2</v>
      </c>
      <c r="B222" s="4" t="s">
        <v>39</v>
      </c>
      <c r="C222" s="4" t="s">
        <v>118</v>
      </c>
      <c r="D222" s="4" t="n">
        <v>48</v>
      </c>
      <c r="E222" s="18" t="s">
        <v>62</v>
      </c>
      <c r="F222" s="19" t="s">
        <v>115</v>
      </c>
    </row>
    <row r="223" customFormat="false" ht="15" hidden="false" customHeight="false" outlineLevel="0" collapsed="false">
      <c r="A223" s="4" t="str">
        <f aca="false">B223&amp;"|"&amp;C223</f>
        <v>R_7_43|e3</v>
      </c>
      <c r="B223" s="4" t="s">
        <v>39</v>
      </c>
      <c r="C223" s="4" t="s">
        <v>119</v>
      </c>
      <c r="D223" s="4" t="n">
        <v>49</v>
      </c>
      <c r="E223" s="18" t="s">
        <v>62</v>
      </c>
      <c r="F223" s="19" t="s">
        <v>115</v>
      </c>
    </row>
    <row r="224" customFormat="false" ht="15" hidden="false" customHeight="false" outlineLevel="0" collapsed="false">
      <c r="A224" s="4" t="str">
        <f aca="false">B224&amp;"|"&amp;C224</f>
        <v>R_7_43|e4</v>
      </c>
      <c r="B224" s="4" t="s">
        <v>39</v>
      </c>
      <c r="C224" s="4" t="s">
        <v>120</v>
      </c>
      <c r="D224" s="4" t="n">
        <v>50</v>
      </c>
      <c r="E224" s="18" t="s">
        <v>72</v>
      </c>
      <c r="F224" s="19" t="s">
        <v>115</v>
      </c>
    </row>
    <row r="225" customFormat="false" ht="15" hidden="false" customHeight="false" outlineLevel="0" collapsed="false">
      <c r="A225" s="4" t="str">
        <f aca="false">B225&amp;"|"&amp;C225</f>
        <v>R_7_43|e5</v>
      </c>
      <c r="B225" s="4" t="s">
        <v>39</v>
      </c>
      <c r="C225" s="4" t="s">
        <v>121</v>
      </c>
      <c r="D225" s="4" t="n">
        <v>51</v>
      </c>
      <c r="E225" s="18" t="s">
        <v>68</v>
      </c>
      <c r="F225" s="19" t="s">
        <v>115</v>
      </c>
    </row>
    <row r="226" customFormat="false" ht="15" hidden="false" customHeight="false" outlineLevel="0" collapsed="false">
      <c r="A226" s="4" t="str">
        <f aca="false">B226&amp;"|"&amp;C226</f>
        <v>R_7_43|e6</v>
      </c>
      <c r="B226" s="4" t="s">
        <v>39</v>
      </c>
      <c r="C226" s="4" t="s">
        <v>153</v>
      </c>
      <c r="D226" s="4" t="n">
        <v>52</v>
      </c>
      <c r="E226" s="18" t="s">
        <v>59</v>
      </c>
      <c r="F226" s="19" t="s">
        <v>115</v>
      </c>
    </row>
    <row r="227" customFormat="false" ht="15" hidden="false" customHeight="false" outlineLevel="0" collapsed="false">
      <c r="A227" s="4" t="str">
        <f aca="false">B227&amp;"|"&amp;C227</f>
        <v>R_7_43|e7</v>
      </c>
      <c r="B227" s="4" t="s">
        <v>39</v>
      </c>
      <c r="C227" s="4" t="s">
        <v>154</v>
      </c>
      <c r="D227" s="4" t="n">
        <v>53</v>
      </c>
      <c r="E227" s="18" t="s">
        <v>62</v>
      </c>
      <c r="F227" s="19" t="s">
        <v>115</v>
      </c>
    </row>
    <row r="228" customFormat="false" ht="15" hidden="false" customHeight="false" outlineLevel="0" collapsed="false">
      <c r="A228" s="4" t="str">
        <f aca="false">B228&amp;"|"&amp;C228</f>
        <v>R_7_43|e8</v>
      </c>
      <c r="B228" s="4" t="s">
        <v>39</v>
      </c>
      <c r="C228" s="4" t="s">
        <v>155</v>
      </c>
      <c r="D228" s="4" t="n">
        <v>54</v>
      </c>
      <c r="E228" s="18" t="s">
        <v>59</v>
      </c>
      <c r="F228" s="19" t="s">
        <v>115</v>
      </c>
    </row>
    <row r="229" customFormat="false" ht="15" hidden="false" customHeight="false" outlineLevel="0" collapsed="false">
      <c r="A229" s="4" t="str">
        <f aca="false">B229&amp;"|"&amp;C229</f>
        <v>R_7_43|e9</v>
      </c>
      <c r="B229" s="4" t="s">
        <v>39</v>
      </c>
      <c r="C229" s="4" t="s">
        <v>156</v>
      </c>
      <c r="D229" s="4" t="n">
        <v>55</v>
      </c>
      <c r="E229" s="18" t="s">
        <v>59</v>
      </c>
      <c r="F229" s="19" t="s">
        <v>115</v>
      </c>
    </row>
    <row r="230" customFormat="false" ht="15" hidden="false" customHeight="false" outlineLevel="0" collapsed="false">
      <c r="A230" s="4" t="str">
        <f aca="false">B230&amp;"|"&amp;C230</f>
        <v>R_7_43|e10</v>
      </c>
      <c r="B230" s="4" t="s">
        <v>39</v>
      </c>
      <c r="C230" s="4" t="s">
        <v>157</v>
      </c>
      <c r="D230" s="4" t="n">
        <v>56</v>
      </c>
      <c r="E230" s="18" t="s">
        <v>72</v>
      </c>
      <c r="F230" s="19" t="s">
        <v>115</v>
      </c>
    </row>
    <row r="231" customFormat="false" ht="15" hidden="false" customHeight="false" outlineLevel="0" collapsed="false">
      <c r="A231" s="4" t="str">
        <f aca="false">B231&amp;"|"&amp;C231</f>
        <v>R_7_43|e11</v>
      </c>
      <c r="B231" s="4" t="s">
        <v>39</v>
      </c>
      <c r="C231" s="4" t="s">
        <v>158</v>
      </c>
      <c r="D231" s="4" t="n">
        <v>57</v>
      </c>
      <c r="E231" s="18" t="s">
        <v>62</v>
      </c>
      <c r="F231" s="19" t="s">
        <v>115</v>
      </c>
    </row>
    <row r="232" customFormat="false" ht="15" hidden="false" customHeight="false" outlineLevel="0" collapsed="false">
      <c r="A232" s="4" t="str">
        <f aca="false">B232&amp;"|"&amp;C232</f>
        <v>R_7_43|e12</v>
      </c>
      <c r="B232" s="4" t="s">
        <v>39</v>
      </c>
      <c r="C232" s="4" t="s">
        <v>159</v>
      </c>
      <c r="D232" s="4" t="n">
        <v>58</v>
      </c>
      <c r="E232" s="18" t="s">
        <v>72</v>
      </c>
      <c r="F232" s="19" t="s">
        <v>115</v>
      </c>
    </row>
    <row r="233" customFormat="false" ht="15" hidden="false" customHeight="false" outlineLevel="0" collapsed="false">
      <c r="A233" s="4" t="str">
        <f aca="false">B233&amp;"|"&amp;C233</f>
        <v>R_7_43|e13</v>
      </c>
      <c r="B233" s="4" t="s">
        <v>39</v>
      </c>
      <c r="C233" s="4" t="s">
        <v>160</v>
      </c>
      <c r="D233" s="4" t="n">
        <v>59</v>
      </c>
      <c r="E233" s="18" t="s">
        <v>62</v>
      </c>
      <c r="F233" s="19" t="s">
        <v>115</v>
      </c>
    </row>
    <row r="234" customFormat="false" ht="15" hidden="false" customHeight="false" outlineLevel="0" collapsed="false">
      <c r="A234" s="4" t="str">
        <f aca="false">B234&amp;"|"&amp;C234</f>
        <v>R_7_43|46</v>
      </c>
      <c r="B234" s="4" t="s">
        <v>39</v>
      </c>
      <c r="C234" s="4" t="s">
        <v>122</v>
      </c>
      <c r="D234" s="4" t="n">
        <v>60</v>
      </c>
      <c r="E234" s="18" t="s">
        <v>59</v>
      </c>
      <c r="F234" s="19" t="s">
        <v>115</v>
      </c>
    </row>
    <row r="235" customFormat="false" ht="15" hidden="false" customHeight="false" outlineLevel="0" collapsed="false">
      <c r="A235" s="4" t="str">
        <f aca="false">B235&amp;"|"&amp;C235</f>
        <v>R_7_43|47</v>
      </c>
      <c r="B235" s="4" t="s">
        <v>39</v>
      </c>
      <c r="C235" s="4" t="s">
        <v>123</v>
      </c>
      <c r="D235" s="4" t="n">
        <v>61</v>
      </c>
      <c r="E235" s="18" t="s">
        <v>59</v>
      </c>
      <c r="F235" s="19" t="s">
        <v>115</v>
      </c>
    </row>
    <row r="236" customFormat="false" ht="15" hidden="false" customHeight="false" outlineLevel="0" collapsed="false">
      <c r="A236" s="4" t="str">
        <f aca="false">B236&amp;"|"&amp;C236</f>
        <v>R_7_43|48</v>
      </c>
      <c r="B236" s="4" t="s">
        <v>39</v>
      </c>
      <c r="C236" s="4" t="s">
        <v>124</v>
      </c>
      <c r="D236" s="4" t="n">
        <v>62</v>
      </c>
      <c r="E236" s="18" t="s">
        <v>59</v>
      </c>
      <c r="F236" s="19" t="s">
        <v>115</v>
      </c>
    </row>
    <row r="237" customFormat="false" ht="15" hidden="false" customHeight="false" outlineLevel="0" collapsed="false">
      <c r="A237" s="4" t="str">
        <f aca="false">B237&amp;"|"&amp;C237</f>
        <v>R_7_43|49</v>
      </c>
      <c r="B237" s="4" t="s">
        <v>39</v>
      </c>
      <c r="C237" s="4" t="s">
        <v>125</v>
      </c>
      <c r="D237" s="4" t="n">
        <v>63</v>
      </c>
      <c r="E237" s="22" t="s">
        <v>59</v>
      </c>
      <c r="F237" s="10" t="s">
        <v>126</v>
      </c>
    </row>
    <row r="238" customFormat="false" ht="15" hidden="false" customHeight="false" outlineLevel="0" collapsed="false">
      <c r="A238" s="4" t="str">
        <f aca="false">B238&amp;"|"&amp;C238</f>
        <v>R_7_43|50</v>
      </c>
      <c r="B238" s="4" t="s">
        <v>39</v>
      </c>
      <c r="C238" s="4" t="s">
        <v>127</v>
      </c>
      <c r="D238" s="4" t="n">
        <v>64</v>
      </c>
      <c r="E238" s="22" t="s">
        <v>59</v>
      </c>
      <c r="F238" s="10" t="s">
        <v>126</v>
      </c>
    </row>
    <row r="239" customFormat="false" ht="15" hidden="false" customHeight="false" outlineLevel="0" collapsed="false">
      <c r="A239" s="4" t="str">
        <f aca="false">B239&amp;"|"&amp;C239</f>
        <v>R_7_43|51</v>
      </c>
      <c r="B239" s="4" t="s">
        <v>39</v>
      </c>
      <c r="C239" s="4" t="s">
        <v>128</v>
      </c>
      <c r="D239" s="4" t="n">
        <v>65</v>
      </c>
      <c r="E239" s="22" t="s">
        <v>59</v>
      </c>
      <c r="F239" s="10" t="s">
        <v>126</v>
      </c>
    </row>
    <row r="240" customFormat="false" ht="15" hidden="false" customHeight="false" outlineLevel="0" collapsed="false">
      <c r="A240" s="4" t="str">
        <f aca="false">B240&amp;"|"&amp;C240</f>
        <v>R_7_43|52</v>
      </c>
      <c r="B240" s="4" t="s">
        <v>39</v>
      </c>
      <c r="C240" s="4" t="s">
        <v>129</v>
      </c>
      <c r="D240" s="4" t="n">
        <v>66</v>
      </c>
      <c r="E240" s="22" t="s">
        <v>59</v>
      </c>
      <c r="F240" s="10" t="s">
        <v>126</v>
      </c>
    </row>
    <row r="241" customFormat="false" ht="15" hidden="false" customHeight="false" outlineLevel="0" collapsed="false">
      <c r="A241" s="4" t="str">
        <f aca="false">B241&amp;"|"&amp;C241</f>
        <v>R_7_43|53</v>
      </c>
      <c r="B241" s="4" t="s">
        <v>39</v>
      </c>
      <c r="C241" s="4" t="s">
        <v>130</v>
      </c>
      <c r="D241" s="4" t="n">
        <v>67</v>
      </c>
      <c r="E241" s="22" t="s">
        <v>72</v>
      </c>
      <c r="F241" s="10" t="s">
        <v>126</v>
      </c>
    </row>
    <row r="242" customFormat="false" ht="15" hidden="false" customHeight="false" outlineLevel="0" collapsed="false">
      <c r="A242" s="4" t="str">
        <f aca="false">B242&amp;"|"&amp;C242</f>
        <v>R_7_43|54</v>
      </c>
      <c r="B242" s="4" t="s">
        <v>39</v>
      </c>
      <c r="C242" s="4" t="s">
        <v>131</v>
      </c>
      <c r="D242" s="4" t="n">
        <v>68</v>
      </c>
      <c r="E242" s="18" t="s">
        <v>59</v>
      </c>
      <c r="F242" s="19" t="s">
        <v>132</v>
      </c>
    </row>
    <row r="243" customFormat="false" ht="15" hidden="false" customHeight="false" outlineLevel="0" collapsed="false">
      <c r="A243" s="4" t="str">
        <f aca="false">B243&amp;"|"&amp;C243</f>
        <v>R_7_43|55</v>
      </c>
      <c r="B243" s="4" t="s">
        <v>39</v>
      </c>
      <c r="C243" s="4" t="s">
        <v>133</v>
      </c>
      <c r="D243" s="4" t="n">
        <v>69</v>
      </c>
      <c r="E243" s="18" t="s">
        <v>59</v>
      </c>
      <c r="F243" s="19" t="s">
        <v>132</v>
      </c>
    </row>
    <row r="244" customFormat="false" ht="15" hidden="false" customHeight="false" outlineLevel="0" collapsed="false">
      <c r="A244" s="4" t="str">
        <f aca="false">B244&amp;"|"&amp;C244</f>
        <v>R_7_43|56</v>
      </c>
      <c r="B244" s="4" t="s">
        <v>39</v>
      </c>
      <c r="C244" s="4" t="s">
        <v>134</v>
      </c>
      <c r="D244" s="4" t="n">
        <v>70</v>
      </c>
      <c r="E244" s="18" t="s">
        <v>68</v>
      </c>
      <c r="F244" s="19" t="s">
        <v>132</v>
      </c>
    </row>
    <row r="245" customFormat="false" ht="15" hidden="false" customHeight="false" outlineLevel="0" collapsed="false">
      <c r="A245" s="4" t="str">
        <f aca="false">B245&amp;"|"&amp;C245</f>
        <v>R_7_43|57</v>
      </c>
      <c r="B245" s="4" t="s">
        <v>39</v>
      </c>
      <c r="C245" s="4" t="s">
        <v>135</v>
      </c>
      <c r="D245" s="4" t="n">
        <v>71</v>
      </c>
      <c r="E245" s="18" t="s">
        <v>59</v>
      </c>
      <c r="F245" s="19" t="s">
        <v>132</v>
      </c>
    </row>
    <row r="246" customFormat="false" ht="15" hidden="false" customHeight="false" outlineLevel="0" collapsed="false">
      <c r="A246" s="4" t="str">
        <f aca="false">B246&amp;"|"&amp;C246</f>
        <v>R_7_43|58</v>
      </c>
      <c r="B246" s="4" t="s">
        <v>39</v>
      </c>
      <c r="C246" s="4" t="s">
        <v>136</v>
      </c>
      <c r="D246" s="4" t="n">
        <v>72</v>
      </c>
      <c r="E246" s="18" t="s">
        <v>62</v>
      </c>
      <c r="F246" s="19" t="s">
        <v>132</v>
      </c>
    </row>
    <row r="247" customFormat="false" ht="15" hidden="false" customHeight="false" outlineLevel="0" collapsed="false">
      <c r="A247" s="4" t="str">
        <f aca="false">B247&amp;"|"&amp;C247</f>
        <v>R_7_43|59</v>
      </c>
      <c r="B247" s="4" t="s">
        <v>39</v>
      </c>
      <c r="C247" s="4" t="s">
        <v>137</v>
      </c>
      <c r="D247" s="4" t="n">
        <v>73</v>
      </c>
      <c r="E247" s="18" t="s">
        <v>59</v>
      </c>
      <c r="F247" s="19" t="s">
        <v>132</v>
      </c>
    </row>
    <row r="248" customFormat="false" ht="15" hidden="false" customHeight="false" outlineLevel="0" collapsed="false">
      <c r="A248" s="4" t="str">
        <f aca="false">B248&amp;"|"&amp;C248</f>
        <v>R_7_43|60</v>
      </c>
      <c r="B248" s="4" t="s">
        <v>39</v>
      </c>
      <c r="C248" s="4" t="s">
        <v>138</v>
      </c>
      <c r="D248" s="4" t="n">
        <v>74</v>
      </c>
      <c r="E248" s="18" t="s">
        <v>68</v>
      </c>
      <c r="F248" s="19" t="s">
        <v>132</v>
      </c>
    </row>
    <row r="249" customFormat="false" ht="15" hidden="false" customHeight="false" outlineLevel="0" collapsed="false">
      <c r="A249" s="4" t="str">
        <f aca="false">B249&amp;"|"&amp;C249</f>
        <v>R_7_43|61</v>
      </c>
      <c r="B249" s="4" t="s">
        <v>39</v>
      </c>
      <c r="C249" s="4" t="s">
        <v>139</v>
      </c>
      <c r="D249" s="4" t="n">
        <v>75</v>
      </c>
      <c r="E249" s="22" t="s">
        <v>68</v>
      </c>
      <c r="F249" s="10" t="s">
        <v>126</v>
      </c>
    </row>
    <row r="250" customFormat="false" ht="15" hidden="false" customHeight="false" outlineLevel="0" collapsed="false">
      <c r="A250" s="4" t="str">
        <f aca="false">B250&amp;"|"&amp;C250</f>
        <v>R_7_43|62</v>
      </c>
      <c r="B250" s="4" t="s">
        <v>39</v>
      </c>
      <c r="C250" s="4" t="s">
        <v>140</v>
      </c>
      <c r="D250" s="4" t="n">
        <v>76</v>
      </c>
      <c r="E250" s="22" t="s">
        <v>62</v>
      </c>
      <c r="F250" s="10" t="s">
        <v>126</v>
      </c>
    </row>
    <row r="251" customFormat="false" ht="15" hidden="false" customHeight="false" outlineLevel="0" collapsed="false">
      <c r="A251" s="4" t="str">
        <f aca="false">B251&amp;"|"&amp;C251</f>
        <v>R_7_43|63</v>
      </c>
      <c r="B251" s="4" t="s">
        <v>39</v>
      </c>
      <c r="C251" s="4" t="s">
        <v>141</v>
      </c>
      <c r="D251" s="4" t="n">
        <v>77</v>
      </c>
      <c r="E251" s="22" t="s">
        <v>72</v>
      </c>
      <c r="F251" s="10" t="s">
        <v>126</v>
      </c>
    </row>
    <row r="252" customFormat="false" ht="15" hidden="false" customHeight="false" outlineLevel="0" collapsed="false">
      <c r="A252" s="4" t="str">
        <f aca="false">B252&amp;"|"&amp;C252</f>
        <v>R_7_43|64</v>
      </c>
      <c r="B252" s="4" t="s">
        <v>39</v>
      </c>
      <c r="C252" s="4" t="s">
        <v>142</v>
      </c>
      <c r="D252" s="4" t="n">
        <v>78</v>
      </c>
      <c r="E252" s="22" t="s">
        <v>72</v>
      </c>
      <c r="F252" s="10" t="s">
        <v>126</v>
      </c>
    </row>
    <row r="253" customFormat="false" ht="15" hidden="false" customHeight="false" outlineLevel="0" collapsed="false">
      <c r="A253" s="4" t="str">
        <f aca="false">B253&amp;"|"&amp;C253</f>
        <v>R_7_43|65</v>
      </c>
      <c r="B253" s="4" t="s">
        <v>39</v>
      </c>
      <c r="C253" s="4" t="s">
        <v>143</v>
      </c>
      <c r="D253" s="4" t="n">
        <v>79</v>
      </c>
      <c r="E253" s="22" t="s">
        <v>62</v>
      </c>
      <c r="F253" s="10" t="s">
        <v>126</v>
      </c>
    </row>
    <row r="254" customFormat="false" ht="15" hidden="false" customHeight="false" outlineLevel="0" collapsed="false">
      <c r="A254" s="4" t="str">
        <f aca="false">B254&amp;"|"&amp;C254</f>
        <v>R_7_43|66</v>
      </c>
      <c r="B254" s="4" t="s">
        <v>39</v>
      </c>
      <c r="C254" s="4" t="s">
        <v>144</v>
      </c>
      <c r="D254" s="4" t="n">
        <v>80</v>
      </c>
      <c r="E254" s="16" t="s">
        <v>59</v>
      </c>
      <c r="F254" s="17" t="s">
        <v>60</v>
      </c>
    </row>
    <row r="255" customFormat="false" ht="15" hidden="false" customHeight="false" outlineLevel="0" collapsed="false">
      <c r="A255" s="4" t="str">
        <f aca="false">B255&amp;"|"&amp;C255</f>
        <v>R_7_43|67</v>
      </c>
      <c r="B255" s="4" t="s">
        <v>39</v>
      </c>
      <c r="C255" s="4" t="s">
        <v>145</v>
      </c>
      <c r="D255" s="4" t="n">
        <v>81</v>
      </c>
      <c r="E255" s="16" t="s">
        <v>68</v>
      </c>
      <c r="F255" s="17" t="s">
        <v>60</v>
      </c>
    </row>
    <row r="256" customFormat="false" ht="15" hidden="false" customHeight="false" outlineLevel="0" collapsed="false">
      <c r="A256" s="4" t="str">
        <f aca="false">B256&amp;"|"&amp;C256</f>
        <v>R_7_43|68</v>
      </c>
      <c r="B256" s="4" t="s">
        <v>39</v>
      </c>
      <c r="C256" s="4" t="s">
        <v>146</v>
      </c>
      <c r="D256" s="4" t="n">
        <v>82</v>
      </c>
      <c r="E256" s="16" t="s">
        <v>59</v>
      </c>
      <c r="F256" s="17" t="s">
        <v>60</v>
      </c>
    </row>
    <row r="257" customFormat="false" ht="15" hidden="false" customHeight="false" outlineLevel="0" collapsed="false">
      <c r="A257" s="4" t="str">
        <f aca="false">B257&amp;"|"&amp;C257</f>
        <v>R_7_43|69</v>
      </c>
      <c r="B257" s="4" t="s">
        <v>39</v>
      </c>
      <c r="C257" s="4" t="s">
        <v>147</v>
      </c>
      <c r="D257" s="4" t="n">
        <v>83</v>
      </c>
      <c r="E257" s="16" t="s">
        <v>62</v>
      </c>
      <c r="F257" s="17" t="s">
        <v>60</v>
      </c>
    </row>
    <row r="258" customFormat="false" ht="15" hidden="false" customHeight="false" outlineLevel="0" collapsed="false">
      <c r="A258" s="4" t="str">
        <f aca="false">B258&amp;"|"&amp;C258</f>
        <v>R_7_43|70</v>
      </c>
      <c r="B258" s="4" t="s">
        <v>39</v>
      </c>
      <c r="C258" s="4" t="s">
        <v>148</v>
      </c>
      <c r="D258" s="4" t="n">
        <v>84</v>
      </c>
      <c r="E258" s="16" t="s">
        <v>68</v>
      </c>
      <c r="F258" s="17" t="s">
        <v>60</v>
      </c>
    </row>
    <row r="259" customFormat="false" ht="15" hidden="false" customHeight="false" outlineLevel="0" collapsed="false">
      <c r="A259" s="4" t="str">
        <f aca="false">B259&amp;"|"&amp;C259</f>
        <v>R_7_43|71</v>
      </c>
      <c r="B259" s="4" t="s">
        <v>39</v>
      </c>
      <c r="C259" s="4" t="s">
        <v>149</v>
      </c>
      <c r="D259" s="4" t="n">
        <v>85</v>
      </c>
      <c r="E259" s="16" t="s">
        <v>59</v>
      </c>
      <c r="F259" s="17" t="s">
        <v>60</v>
      </c>
    </row>
    <row r="260" customFormat="false" ht="15" hidden="false" customHeight="false" outlineLevel="0" collapsed="false">
      <c r="A260" s="4" t="str">
        <f aca="false">B260&amp;"|"&amp;C260</f>
        <v>R_7_43|72</v>
      </c>
      <c r="B260" s="4" t="s">
        <v>39</v>
      </c>
      <c r="C260" s="4" t="s">
        <v>150</v>
      </c>
      <c r="D260" s="4" t="n">
        <v>86</v>
      </c>
      <c r="E260" s="16" t="s">
        <v>59</v>
      </c>
      <c r="F260" s="17" t="s">
        <v>60</v>
      </c>
    </row>
    <row r="261" customFormat="false" ht="15" hidden="false" customHeight="false" outlineLevel="0" collapsed="false">
      <c r="A261" s="4" t="str">
        <f aca="false">B261&amp;"|"&amp;C261</f>
        <v>R_10_33|1</v>
      </c>
      <c r="B261" s="4" t="s">
        <v>40</v>
      </c>
      <c r="C261" s="4" t="s">
        <v>58</v>
      </c>
      <c r="D261" s="4" t="n">
        <v>1</v>
      </c>
      <c r="E261" s="16" t="s">
        <v>59</v>
      </c>
      <c r="F261" s="17" t="s">
        <v>60</v>
      </c>
    </row>
    <row r="262" customFormat="false" ht="15" hidden="false" customHeight="false" outlineLevel="0" collapsed="false">
      <c r="A262" s="4" t="str">
        <f aca="false">B262&amp;"|"&amp;C262</f>
        <v>R_10_33|2</v>
      </c>
      <c r="B262" s="4" t="s">
        <v>40</v>
      </c>
      <c r="C262" s="4" t="s">
        <v>61</v>
      </c>
      <c r="D262" s="4" t="n">
        <v>2</v>
      </c>
      <c r="E262" s="16" t="s">
        <v>59</v>
      </c>
      <c r="F262" s="17" t="s">
        <v>60</v>
      </c>
    </row>
    <row r="263" customFormat="false" ht="15" hidden="false" customHeight="false" outlineLevel="0" collapsed="false">
      <c r="A263" s="4" t="str">
        <f aca="false">B263&amp;"|"&amp;C263</f>
        <v>R_10_33|3</v>
      </c>
      <c r="B263" s="4" t="s">
        <v>40</v>
      </c>
      <c r="C263" s="4" t="s">
        <v>63</v>
      </c>
      <c r="D263" s="4" t="n">
        <v>3</v>
      </c>
      <c r="E263" s="16" t="s">
        <v>59</v>
      </c>
      <c r="F263" s="17" t="s">
        <v>60</v>
      </c>
    </row>
    <row r="264" customFormat="false" ht="15" hidden="false" customHeight="false" outlineLevel="0" collapsed="false">
      <c r="A264" s="4" t="str">
        <f aca="false">B264&amp;"|"&amp;C264</f>
        <v>R_10_33|4</v>
      </c>
      <c r="B264" s="4" t="s">
        <v>40</v>
      </c>
      <c r="C264" s="4" t="s">
        <v>64</v>
      </c>
      <c r="D264" s="4" t="n">
        <v>4</v>
      </c>
      <c r="E264" s="16" t="s">
        <v>62</v>
      </c>
      <c r="F264" s="17" t="s">
        <v>60</v>
      </c>
    </row>
    <row r="265" customFormat="false" ht="15" hidden="false" customHeight="false" outlineLevel="0" collapsed="false">
      <c r="A265" s="4" t="str">
        <f aca="false">B265&amp;"|"&amp;C265</f>
        <v>R_10_33|5</v>
      </c>
      <c r="B265" s="4" t="s">
        <v>40</v>
      </c>
      <c r="C265" s="4" t="s">
        <v>65</v>
      </c>
      <c r="D265" s="4" t="n">
        <v>5</v>
      </c>
      <c r="E265" s="16" t="s">
        <v>72</v>
      </c>
      <c r="F265" s="17" t="s">
        <v>60</v>
      </c>
    </row>
    <row r="266" customFormat="false" ht="15" hidden="false" customHeight="false" outlineLevel="0" collapsed="false">
      <c r="A266" s="4" t="str">
        <f aca="false">B266&amp;"|"&amp;C266</f>
        <v>R_10_33|6</v>
      </c>
      <c r="B266" s="4" t="s">
        <v>40</v>
      </c>
      <c r="C266" s="4" t="s">
        <v>66</v>
      </c>
      <c r="D266" s="4" t="n">
        <v>6</v>
      </c>
      <c r="E266" s="16" t="s">
        <v>62</v>
      </c>
      <c r="F266" s="17" t="s">
        <v>60</v>
      </c>
    </row>
    <row r="267" customFormat="false" ht="15" hidden="false" customHeight="false" outlineLevel="0" collapsed="false">
      <c r="A267" s="4" t="str">
        <f aca="false">B267&amp;"|"&amp;C267</f>
        <v>R_10_33|7</v>
      </c>
      <c r="B267" s="4" t="s">
        <v>40</v>
      </c>
      <c r="C267" s="4" t="s">
        <v>67</v>
      </c>
      <c r="D267" s="4" t="n">
        <v>7</v>
      </c>
      <c r="E267" s="16" t="s">
        <v>59</v>
      </c>
      <c r="F267" s="17" t="s">
        <v>60</v>
      </c>
    </row>
    <row r="268" customFormat="false" ht="15" hidden="false" customHeight="false" outlineLevel="0" collapsed="false">
      <c r="A268" s="4" t="str">
        <f aca="false">B268&amp;"|"&amp;C268</f>
        <v>R_10_33|8</v>
      </c>
      <c r="B268" s="4" t="s">
        <v>40</v>
      </c>
      <c r="C268" s="4" t="s">
        <v>69</v>
      </c>
      <c r="D268" s="4" t="n">
        <v>8</v>
      </c>
      <c r="E268" s="3" t="s">
        <v>59</v>
      </c>
      <c r="F268" s="4" t="s">
        <v>70</v>
      </c>
    </row>
    <row r="269" customFormat="false" ht="15" hidden="false" customHeight="false" outlineLevel="0" collapsed="false">
      <c r="A269" s="4" t="str">
        <f aca="false">B269&amp;"|"&amp;C269</f>
        <v>R_10_33|9</v>
      </c>
      <c r="B269" s="4" t="s">
        <v>40</v>
      </c>
      <c r="C269" s="4" t="s">
        <v>71</v>
      </c>
      <c r="D269" s="4" t="n">
        <v>9</v>
      </c>
      <c r="E269" s="3" t="s">
        <v>62</v>
      </c>
      <c r="F269" s="4" t="s">
        <v>73</v>
      </c>
    </row>
    <row r="270" customFormat="false" ht="15" hidden="false" customHeight="false" outlineLevel="0" collapsed="false">
      <c r="A270" s="4" t="str">
        <f aca="false">B270&amp;"|"&amp;C270</f>
        <v>R_10_33|10</v>
      </c>
      <c r="B270" s="4" t="s">
        <v>40</v>
      </c>
      <c r="C270" s="4" t="s">
        <v>74</v>
      </c>
      <c r="D270" s="4" t="n">
        <v>10</v>
      </c>
      <c r="E270" s="8" t="s">
        <v>59</v>
      </c>
      <c r="F270" s="7" t="s">
        <v>75</v>
      </c>
    </row>
    <row r="271" customFormat="false" ht="15" hidden="false" customHeight="false" outlineLevel="0" collapsed="false">
      <c r="A271" s="4" t="str">
        <f aca="false">B271&amp;"|"&amp;C271</f>
        <v>R_10_33|11</v>
      </c>
      <c r="B271" s="4" t="s">
        <v>40</v>
      </c>
      <c r="C271" s="4" t="s">
        <v>76</v>
      </c>
      <c r="D271" s="4" t="n">
        <v>11</v>
      </c>
      <c r="E271" s="8" t="s">
        <v>72</v>
      </c>
      <c r="F271" s="7" t="s">
        <v>75</v>
      </c>
    </row>
    <row r="272" customFormat="false" ht="15" hidden="false" customHeight="false" outlineLevel="0" collapsed="false">
      <c r="A272" s="4" t="str">
        <f aca="false">B272&amp;"|"&amp;C272</f>
        <v>R_10_33|12</v>
      </c>
      <c r="B272" s="4" t="s">
        <v>40</v>
      </c>
      <c r="C272" s="4" t="s">
        <v>77</v>
      </c>
      <c r="D272" s="4" t="n">
        <v>12</v>
      </c>
      <c r="E272" s="8" t="s">
        <v>59</v>
      </c>
      <c r="F272" s="7" t="s">
        <v>75</v>
      </c>
    </row>
    <row r="273" customFormat="false" ht="15" hidden="false" customHeight="false" outlineLevel="0" collapsed="false">
      <c r="A273" s="4" t="str">
        <f aca="false">B273&amp;"|"&amp;C273</f>
        <v>R_10_33|13</v>
      </c>
      <c r="B273" s="4" t="s">
        <v>40</v>
      </c>
      <c r="C273" s="4" t="s">
        <v>78</v>
      </c>
      <c r="D273" s="4" t="n">
        <v>13</v>
      </c>
      <c r="E273" s="8" t="s">
        <v>72</v>
      </c>
      <c r="F273" s="7" t="s">
        <v>75</v>
      </c>
    </row>
    <row r="274" customFormat="false" ht="15" hidden="false" customHeight="false" outlineLevel="0" collapsed="false">
      <c r="A274" s="4" t="str">
        <f aca="false">B274&amp;"|"&amp;C274</f>
        <v>R_10_33|14</v>
      </c>
      <c r="B274" s="4" t="s">
        <v>40</v>
      </c>
      <c r="C274" s="4" t="s">
        <v>79</v>
      </c>
      <c r="D274" s="4" t="n">
        <v>14</v>
      </c>
      <c r="E274" s="18" t="s">
        <v>72</v>
      </c>
      <c r="F274" s="19" t="s">
        <v>80</v>
      </c>
    </row>
    <row r="275" customFormat="false" ht="15" hidden="false" customHeight="false" outlineLevel="0" collapsed="false">
      <c r="A275" s="4" t="str">
        <f aca="false">B275&amp;"|"&amp;C275</f>
        <v>R_10_33|15</v>
      </c>
      <c r="B275" s="4" t="s">
        <v>40</v>
      </c>
      <c r="C275" s="4" t="s">
        <v>81</v>
      </c>
      <c r="D275" s="4" t="n">
        <v>15</v>
      </c>
      <c r="E275" s="18" t="s">
        <v>59</v>
      </c>
      <c r="F275" s="19" t="s">
        <v>80</v>
      </c>
    </row>
    <row r="276" customFormat="false" ht="15" hidden="false" customHeight="false" outlineLevel="0" collapsed="false">
      <c r="A276" s="4" t="str">
        <f aca="false">B276&amp;"|"&amp;C276</f>
        <v>R_10_33|16</v>
      </c>
      <c r="B276" s="4" t="s">
        <v>40</v>
      </c>
      <c r="C276" s="4" t="s">
        <v>82</v>
      </c>
      <c r="D276" s="4" t="n">
        <v>16</v>
      </c>
      <c r="E276" s="18" t="s">
        <v>62</v>
      </c>
      <c r="F276" s="19" t="s">
        <v>80</v>
      </c>
    </row>
    <row r="277" customFormat="false" ht="15" hidden="false" customHeight="false" outlineLevel="0" collapsed="false">
      <c r="A277" s="4" t="str">
        <f aca="false">B277&amp;"|"&amp;C277</f>
        <v>R_10_33|18</v>
      </c>
      <c r="B277" s="4" t="s">
        <v>40</v>
      </c>
      <c r="C277" s="4" t="s">
        <v>83</v>
      </c>
      <c r="D277" s="4" t="n">
        <v>17</v>
      </c>
      <c r="E277" s="18" t="s">
        <v>72</v>
      </c>
      <c r="F277" s="19" t="s">
        <v>80</v>
      </c>
    </row>
    <row r="278" customFormat="false" ht="15" hidden="false" customHeight="false" outlineLevel="0" collapsed="false">
      <c r="A278" s="4" t="str">
        <f aca="false">B278&amp;"|"&amp;C278</f>
        <v>R_10_33|19</v>
      </c>
      <c r="B278" s="4" t="s">
        <v>40</v>
      </c>
      <c r="C278" s="4" t="s">
        <v>84</v>
      </c>
      <c r="D278" s="4" t="n">
        <v>18</v>
      </c>
      <c r="E278" s="18" t="s">
        <v>72</v>
      </c>
      <c r="F278" s="19" t="s">
        <v>80</v>
      </c>
    </row>
    <row r="279" customFormat="false" ht="15" hidden="false" customHeight="false" outlineLevel="0" collapsed="false">
      <c r="A279" s="4" t="str">
        <f aca="false">B279&amp;"|"&amp;C279</f>
        <v>R_10_33|20</v>
      </c>
      <c r="B279" s="4" t="s">
        <v>40</v>
      </c>
      <c r="C279" s="4" t="s">
        <v>85</v>
      </c>
      <c r="D279" s="4" t="n">
        <v>19</v>
      </c>
      <c r="E279" s="18" t="s">
        <v>59</v>
      </c>
      <c r="F279" s="19" t="s">
        <v>80</v>
      </c>
    </row>
    <row r="280" customFormat="false" ht="15" hidden="false" customHeight="false" outlineLevel="0" collapsed="false">
      <c r="A280" s="4" t="str">
        <f aca="false">B280&amp;"|"&amp;C280</f>
        <v>R_10_33|20a</v>
      </c>
      <c r="B280" s="4" t="s">
        <v>40</v>
      </c>
      <c r="C280" s="4" t="s">
        <v>86</v>
      </c>
      <c r="D280" s="4" t="n">
        <v>20</v>
      </c>
      <c r="E280" s="18" t="s">
        <v>62</v>
      </c>
      <c r="F280" s="19" t="s">
        <v>80</v>
      </c>
    </row>
    <row r="281" customFormat="false" ht="15" hidden="false" customHeight="false" outlineLevel="0" collapsed="false">
      <c r="A281" s="4" t="str">
        <f aca="false">B281&amp;"|"&amp;C281</f>
        <v>R_10_33|20b</v>
      </c>
      <c r="B281" s="4" t="s">
        <v>40</v>
      </c>
      <c r="C281" s="4" t="s">
        <v>87</v>
      </c>
      <c r="D281" s="4" t="n">
        <v>21</v>
      </c>
      <c r="E281" s="18" t="s">
        <v>62</v>
      </c>
      <c r="F281" s="19" t="s">
        <v>80</v>
      </c>
    </row>
    <row r="282" customFormat="false" ht="15" hidden="false" customHeight="false" outlineLevel="0" collapsed="false">
      <c r="A282" s="4" t="str">
        <f aca="false">B282&amp;"|"&amp;C282</f>
        <v>R_10_33|21</v>
      </c>
      <c r="B282" s="4" t="s">
        <v>40</v>
      </c>
      <c r="C282" s="4" t="s">
        <v>88</v>
      </c>
      <c r="D282" s="4" t="n">
        <v>22</v>
      </c>
      <c r="E282" s="18" t="s">
        <v>59</v>
      </c>
      <c r="F282" s="19" t="s">
        <v>80</v>
      </c>
    </row>
    <row r="283" customFormat="false" ht="15" hidden="false" customHeight="false" outlineLevel="0" collapsed="false">
      <c r="A283" s="4" t="str">
        <f aca="false">B283&amp;"|"&amp;C283</f>
        <v>R_10_33|22</v>
      </c>
      <c r="B283" s="4" t="s">
        <v>40</v>
      </c>
      <c r="C283" s="4" t="s">
        <v>89</v>
      </c>
      <c r="D283" s="4" t="n">
        <v>23</v>
      </c>
      <c r="E283" s="8" t="s">
        <v>72</v>
      </c>
      <c r="F283" s="7" t="s">
        <v>75</v>
      </c>
    </row>
    <row r="284" customFormat="false" ht="15" hidden="false" customHeight="false" outlineLevel="0" collapsed="false">
      <c r="A284" s="4" t="str">
        <f aca="false">B284&amp;"|"&amp;C284</f>
        <v>R_10_33|23</v>
      </c>
      <c r="B284" s="4" t="s">
        <v>40</v>
      </c>
      <c r="C284" s="4" t="s">
        <v>90</v>
      </c>
      <c r="D284" s="4" t="n">
        <v>24</v>
      </c>
      <c r="E284" s="8" t="s">
        <v>72</v>
      </c>
      <c r="F284" s="7" t="s">
        <v>75</v>
      </c>
    </row>
    <row r="285" customFormat="false" ht="15" hidden="false" customHeight="false" outlineLevel="0" collapsed="false">
      <c r="A285" s="4" t="str">
        <f aca="false">B285&amp;"|"&amp;C285</f>
        <v>R_10_33|24</v>
      </c>
      <c r="B285" s="4" t="s">
        <v>40</v>
      </c>
      <c r="C285" s="4" t="s">
        <v>91</v>
      </c>
      <c r="D285" s="4" t="n">
        <v>25</v>
      </c>
      <c r="E285" s="8" t="s">
        <v>59</v>
      </c>
      <c r="F285" s="7" t="s">
        <v>75</v>
      </c>
    </row>
    <row r="286" customFormat="false" ht="15" hidden="false" customHeight="false" outlineLevel="0" collapsed="false">
      <c r="A286" s="4" t="str">
        <f aca="false">B286&amp;"|"&amp;C286</f>
        <v>R_10_33|25</v>
      </c>
      <c r="B286" s="4" t="s">
        <v>40</v>
      </c>
      <c r="C286" s="4" t="s">
        <v>92</v>
      </c>
      <c r="D286" s="4" t="n">
        <v>26</v>
      </c>
      <c r="E286" s="8" t="s">
        <v>72</v>
      </c>
      <c r="F286" s="7" t="s">
        <v>75</v>
      </c>
    </row>
    <row r="287" customFormat="false" ht="15" hidden="false" customHeight="false" outlineLevel="0" collapsed="false">
      <c r="A287" s="4" t="str">
        <f aca="false">B287&amp;"|"&amp;C287</f>
        <v>R_10_33|26</v>
      </c>
      <c r="B287" s="4" t="s">
        <v>40</v>
      </c>
      <c r="C287" s="4" t="s">
        <v>93</v>
      </c>
      <c r="D287" s="4" t="n">
        <v>27</v>
      </c>
      <c r="E287" s="3" t="s">
        <v>59</v>
      </c>
      <c r="F287" s="4" t="s">
        <v>94</v>
      </c>
    </row>
    <row r="288" customFormat="false" ht="15" hidden="false" customHeight="false" outlineLevel="0" collapsed="false">
      <c r="A288" s="4" t="str">
        <f aca="false">B288&amp;"|"&amp;C288</f>
        <v>R_10_33|27</v>
      </c>
      <c r="B288" s="4" t="s">
        <v>40</v>
      </c>
      <c r="C288" s="4" t="s">
        <v>95</v>
      </c>
      <c r="D288" s="4" t="n">
        <v>28</v>
      </c>
      <c r="E288" s="20" t="s">
        <v>59</v>
      </c>
      <c r="F288" s="21" t="s">
        <v>96</v>
      </c>
    </row>
    <row r="289" customFormat="false" ht="15" hidden="false" customHeight="false" outlineLevel="0" collapsed="false">
      <c r="A289" s="4" t="str">
        <f aca="false">B289&amp;"|"&amp;C289</f>
        <v>R_10_33|28</v>
      </c>
      <c r="B289" s="4" t="s">
        <v>40</v>
      </c>
      <c r="C289" s="4" t="s">
        <v>97</v>
      </c>
      <c r="D289" s="4" t="n">
        <v>29</v>
      </c>
      <c r="E289" s="20" t="s">
        <v>72</v>
      </c>
      <c r="F289" s="21" t="s">
        <v>96</v>
      </c>
    </row>
    <row r="290" customFormat="false" ht="15" hidden="false" customHeight="false" outlineLevel="0" collapsed="false">
      <c r="A290" s="4" t="str">
        <f aca="false">B290&amp;"|"&amp;C290</f>
        <v>R_10_33|29</v>
      </c>
      <c r="B290" s="4" t="s">
        <v>40</v>
      </c>
      <c r="C290" s="4" t="s">
        <v>98</v>
      </c>
      <c r="D290" s="4" t="n">
        <v>30</v>
      </c>
      <c r="E290" s="20" t="s">
        <v>59</v>
      </c>
      <c r="F290" s="21" t="s">
        <v>96</v>
      </c>
    </row>
    <row r="291" customFormat="false" ht="15" hidden="false" customHeight="false" outlineLevel="0" collapsed="false">
      <c r="A291" s="4" t="str">
        <f aca="false">B291&amp;"|"&amp;C291</f>
        <v>R_10_33|30</v>
      </c>
      <c r="B291" s="4" t="s">
        <v>40</v>
      </c>
      <c r="C291" s="4" t="s">
        <v>99</v>
      </c>
      <c r="D291" s="4" t="n">
        <v>31</v>
      </c>
      <c r="E291" s="20" t="s">
        <v>59</v>
      </c>
      <c r="F291" s="21" t="s">
        <v>96</v>
      </c>
    </row>
    <row r="292" customFormat="false" ht="15" hidden="false" customHeight="false" outlineLevel="0" collapsed="false">
      <c r="A292" s="4" t="str">
        <f aca="false">B292&amp;"|"&amp;C292</f>
        <v>R_10_33|31</v>
      </c>
      <c r="B292" s="4" t="s">
        <v>40</v>
      </c>
      <c r="C292" s="4" t="s">
        <v>100</v>
      </c>
      <c r="D292" s="4" t="n">
        <v>32</v>
      </c>
      <c r="E292" s="20" t="s">
        <v>59</v>
      </c>
      <c r="F292" s="21" t="s">
        <v>96</v>
      </c>
    </row>
    <row r="293" customFormat="false" ht="15" hidden="false" customHeight="false" outlineLevel="0" collapsed="false">
      <c r="A293" s="4" t="str">
        <f aca="false">B293&amp;"|"&amp;C293</f>
        <v>R_10_33|32</v>
      </c>
      <c r="B293" s="4" t="s">
        <v>40</v>
      </c>
      <c r="C293" s="4" t="s">
        <v>101</v>
      </c>
      <c r="D293" s="4" t="n">
        <v>33</v>
      </c>
      <c r="E293" s="18" t="s">
        <v>59</v>
      </c>
      <c r="F293" s="19" t="s">
        <v>102</v>
      </c>
    </row>
    <row r="294" customFormat="false" ht="15" hidden="false" customHeight="false" outlineLevel="0" collapsed="false">
      <c r="A294" s="4" t="str">
        <f aca="false">B294&amp;"|"&amp;C294</f>
        <v>R_10_33|33</v>
      </c>
      <c r="B294" s="4" t="s">
        <v>40</v>
      </c>
      <c r="C294" s="4" t="s">
        <v>103</v>
      </c>
      <c r="D294" s="4" t="n">
        <v>34</v>
      </c>
      <c r="E294" s="18" t="s">
        <v>59</v>
      </c>
      <c r="F294" s="19" t="s">
        <v>102</v>
      </c>
    </row>
    <row r="295" customFormat="false" ht="15" hidden="false" customHeight="false" outlineLevel="0" collapsed="false">
      <c r="A295" s="4" t="str">
        <f aca="false">B295&amp;"|"&amp;C295</f>
        <v>R_10_33|34</v>
      </c>
      <c r="B295" s="4" t="s">
        <v>40</v>
      </c>
      <c r="C295" s="4" t="s">
        <v>104</v>
      </c>
      <c r="D295" s="4" t="n">
        <v>35</v>
      </c>
      <c r="E295" s="18" t="s">
        <v>68</v>
      </c>
      <c r="F295" s="19" t="s">
        <v>102</v>
      </c>
    </row>
    <row r="296" customFormat="false" ht="15" hidden="false" customHeight="false" outlineLevel="0" collapsed="false">
      <c r="A296" s="4" t="str">
        <f aca="false">B296&amp;"|"&amp;C296</f>
        <v>R_10_33|35</v>
      </c>
      <c r="B296" s="4" t="s">
        <v>40</v>
      </c>
      <c r="C296" s="4" t="s">
        <v>105</v>
      </c>
      <c r="D296" s="4" t="n">
        <v>36</v>
      </c>
      <c r="E296" s="18" t="s">
        <v>59</v>
      </c>
      <c r="F296" s="19" t="s">
        <v>102</v>
      </c>
    </row>
    <row r="297" customFormat="false" ht="15" hidden="false" customHeight="false" outlineLevel="0" collapsed="false">
      <c r="A297" s="4" t="str">
        <f aca="false">B297&amp;"|"&amp;C297</f>
        <v>R_10_33|36</v>
      </c>
      <c r="B297" s="4" t="s">
        <v>40</v>
      </c>
      <c r="C297" s="4" t="s">
        <v>106</v>
      </c>
      <c r="D297" s="4" t="n">
        <v>37</v>
      </c>
      <c r="E297" s="18" t="s">
        <v>62</v>
      </c>
      <c r="F297" s="19" t="s">
        <v>102</v>
      </c>
    </row>
    <row r="298" customFormat="false" ht="15" hidden="false" customHeight="false" outlineLevel="0" collapsed="false">
      <c r="A298" s="4" t="str">
        <f aca="false">B298&amp;"|"&amp;C298</f>
        <v>R_10_33|37</v>
      </c>
      <c r="B298" s="4" t="s">
        <v>40</v>
      </c>
      <c r="C298" s="4" t="s">
        <v>107</v>
      </c>
      <c r="D298" s="4" t="n">
        <v>38</v>
      </c>
      <c r="E298" s="18" t="s">
        <v>62</v>
      </c>
      <c r="F298" s="19" t="s">
        <v>102</v>
      </c>
    </row>
    <row r="299" customFormat="false" ht="15" hidden="false" customHeight="false" outlineLevel="0" collapsed="false">
      <c r="A299" s="4" t="str">
        <f aca="false">B299&amp;"|"&amp;C299</f>
        <v>R_10_33|38</v>
      </c>
      <c r="B299" s="4" t="s">
        <v>40</v>
      </c>
      <c r="C299" s="4" t="s">
        <v>108</v>
      </c>
      <c r="D299" s="4" t="n">
        <v>39</v>
      </c>
      <c r="E299" s="18" t="s">
        <v>72</v>
      </c>
      <c r="F299" s="19" t="s">
        <v>102</v>
      </c>
    </row>
    <row r="300" customFormat="false" ht="15" hidden="false" customHeight="false" outlineLevel="0" collapsed="false">
      <c r="A300" s="4" t="str">
        <f aca="false">B300&amp;"|"&amp;C300</f>
        <v>R_10_33|39</v>
      </c>
      <c r="B300" s="4" t="s">
        <v>40</v>
      </c>
      <c r="C300" s="4" t="s">
        <v>109</v>
      </c>
      <c r="D300" s="4" t="n">
        <v>40</v>
      </c>
      <c r="E300" s="20" t="s">
        <v>72</v>
      </c>
      <c r="F300" s="21" t="s">
        <v>96</v>
      </c>
    </row>
    <row r="301" customFormat="false" ht="15" hidden="false" customHeight="false" outlineLevel="0" collapsed="false">
      <c r="A301" s="4" t="str">
        <f aca="false">B301&amp;"|"&amp;C301</f>
        <v>R_10_33|40</v>
      </c>
      <c r="B301" s="4" t="s">
        <v>40</v>
      </c>
      <c r="C301" s="4" t="s">
        <v>110</v>
      </c>
      <c r="D301" s="4" t="n">
        <v>41</v>
      </c>
      <c r="E301" s="20" t="s">
        <v>59</v>
      </c>
      <c r="F301" s="21" t="s">
        <v>96</v>
      </c>
    </row>
    <row r="302" customFormat="false" ht="15" hidden="false" customHeight="false" outlineLevel="0" collapsed="false">
      <c r="A302" s="4" t="str">
        <f aca="false">B302&amp;"|"&amp;C302</f>
        <v>R_10_33|41</v>
      </c>
      <c r="B302" s="4" t="s">
        <v>40</v>
      </c>
      <c r="C302" s="4" t="s">
        <v>111</v>
      </c>
      <c r="D302" s="4" t="n">
        <v>42</v>
      </c>
      <c r="E302" s="20" t="s">
        <v>62</v>
      </c>
      <c r="F302" s="21" t="s">
        <v>96</v>
      </c>
    </row>
    <row r="303" customFormat="false" ht="15" hidden="false" customHeight="false" outlineLevel="0" collapsed="false">
      <c r="A303" s="4" t="str">
        <f aca="false">B303&amp;"|"&amp;C303</f>
        <v>R_10_33|42</v>
      </c>
      <c r="B303" s="4" t="s">
        <v>40</v>
      </c>
      <c r="C303" s="4" t="s">
        <v>112</v>
      </c>
      <c r="D303" s="4" t="n">
        <v>43</v>
      </c>
      <c r="E303" s="20" t="s">
        <v>68</v>
      </c>
      <c r="F303" s="21" t="s">
        <v>96</v>
      </c>
    </row>
    <row r="304" customFormat="false" ht="15" hidden="false" customHeight="false" outlineLevel="0" collapsed="false">
      <c r="A304" s="4" t="str">
        <f aca="false">B304&amp;"|"&amp;C304</f>
        <v>R_10_33|43</v>
      </c>
      <c r="B304" s="4" t="s">
        <v>40</v>
      </c>
      <c r="C304" s="4" t="s">
        <v>113</v>
      </c>
      <c r="D304" s="4" t="n">
        <v>44</v>
      </c>
      <c r="E304" s="20" t="s">
        <v>62</v>
      </c>
      <c r="F304" s="21" t="s">
        <v>96</v>
      </c>
    </row>
    <row r="305" customFormat="false" ht="15" hidden="false" customHeight="false" outlineLevel="0" collapsed="false">
      <c r="A305" s="4" t="str">
        <f aca="false">B305&amp;"|"&amp;C305</f>
        <v>R_10_33|44</v>
      </c>
      <c r="B305" s="4" t="s">
        <v>40</v>
      </c>
      <c r="C305" s="4" t="s">
        <v>114</v>
      </c>
      <c r="D305" s="4" t="n">
        <v>45</v>
      </c>
      <c r="E305" s="18" t="s">
        <v>62</v>
      </c>
      <c r="F305" s="19" t="s">
        <v>115</v>
      </c>
    </row>
    <row r="306" customFormat="false" ht="15" hidden="false" customHeight="false" outlineLevel="0" collapsed="false">
      <c r="A306" s="4" t="str">
        <f aca="false">B306&amp;"|"&amp;C306</f>
        <v>R_10_33|45</v>
      </c>
      <c r="B306" s="4" t="s">
        <v>40</v>
      </c>
      <c r="C306" s="4" t="s">
        <v>116</v>
      </c>
      <c r="D306" s="4" t="n">
        <v>46</v>
      </c>
      <c r="E306" s="18" t="s">
        <v>68</v>
      </c>
      <c r="F306" s="19" t="s">
        <v>115</v>
      </c>
    </row>
    <row r="307" customFormat="false" ht="15" hidden="false" customHeight="false" outlineLevel="0" collapsed="false">
      <c r="A307" s="4" t="str">
        <f aca="false">B307&amp;"|"&amp;C307</f>
        <v>R_10_33|e1</v>
      </c>
      <c r="B307" s="4" t="s">
        <v>40</v>
      </c>
      <c r="C307" s="4" t="s">
        <v>117</v>
      </c>
      <c r="D307" s="4" t="n">
        <v>47</v>
      </c>
      <c r="E307" s="18" t="s">
        <v>59</v>
      </c>
      <c r="F307" s="19" t="s">
        <v>115</v>
      </c>
    </row>
    <row r="308" customFormat="false" ht="15" hidden="false" customHeight="false" outlineLevel="0" collapsed="false">
      <c r="A308" s="4" t="str">
        <f aca="false">B308&amp;"|"&amp;C308</f>
        <v>R_10_33|e2</v>
      </c>
      <c r="B308" s="4" t="s">
        <v>40</v>
      </c>
      <c r="C308" s="4" t="s">
        <v>118</v>
      </c>
      <c r="D308" s="4" t="n">
        <v>48</v>
      </c>
      <c r="E308" s="18" t="s">
        <v>62</v>
      </c>
      <c r="F308" s="19" t="s">
        <v>115</v>
      </c>
    </row>
    <row r="309" customFormat="false" ht="15" hidden="false" customHeight="false" outlineLevel="0" collapsed="false">
      <c r="A309" s="4" t="str">
        <f aca="false">B309&amp;"|"&amp;C309</f>
        <v>R_10_33|e3</v>
      </c>
      <c r="B309" s="4" t="s">
        <v>40</v>
      </c>
      <c r="C309" s="4" t="s">
        <v>119</v>
      </c>
      <c r="D309" s="4" t="n">
        <v>49</v>
      </c>
      <c r="E309" s="18" t="s">
        <v>59</v>
      </c>
      <c r="F309" s="19" t="s">
        <v>115</v>
      </c>
    </row>
    <row r="310" customFormat="false" ht="15" hidden="false" customHeight="false" outlineLevel="0" collapsed="false">
      <c r="A310" s="4" t="str">
        <f aca="false">B310&amp;"|"&amp;C310</f>
        <v>R_10_33|e4</v>
      </c>
      <c r="B310" s="4" t="s">
        <v>40</v>
      </c>
      <c r="C310" s="4" t="s">
        <v>120</v>
      </c>
      <c r="D310" s="4" t="n">
        <v>50</v>
      </c>
      <c r="E310" s="18" t="s">
        <v>62</v>
      </c>
      <c r="F310" s="19" t="s">
        <v>115</v>
      </c>
    </row>
    <row r="311" customFormat="false" ht="15" hidden="false" customHeight="false" outlineLevel="0" collapsed="false">
      <c r="A311" s="4" t="str">
        <f aca="false">B311&amp;"|"&amp;C311</f>
        <v>R_10_33|e5</v>
      </c>
      <c r="B311" s="4" t="s">
        <v>40</v>
      </c>
      <c r="C311" s="4" t="s">
        <v>121</v>
      </c>
      <c r="D311" s="4" t="n">
        <v>51</v>
      </c>
      <c r="E311" s="18" t="s">
        <v>59</v>
      </c>
      <c r="F311" s="19" t="s">
        <v>115</v>
      </c>
    </row>
    <row r="312" customFormat="false" ht="15" hidden="false" customHeight="false" outlineLevel="0" collapsed="false">
      <c r="A312" s="4" t="str">
        <f aca="false">B312&amp;"|"&amp;C312</f>
        <v>R_10_33|e6</v>
      </c>
      <c r="B312" s="4" t="s">
        <v>40</v>
      </c>
      <c r="C312" s="4" t="s">
        <v>153</v>
      </c>
      <c r="D312" s="4" t="n">
        <v>52</v>
      </c>
      <c r="E312" s="18" t="s">
        <v>59</v>
      </c>
      <c r="F312" s="19" t="s">
        <v>115</v>
      </c>
    </row>
    <row r="313" customFormat="false" ht="15" hidden="false" customHeight="false" outlineLevel="0" collapsed="false">
      <c r="A313" s="4" t="str">
        <f aca="false">B313&amp;"|"&amp;C313</f>
        <v>R_10_33|e7</v>
      </c>
      <c r="B313" s="4" t="s">
        <v>40</v>
      </c>
      <c r="C313" s="4" t="s">
        <v>154</v>
      </c>
      <c r="D313" s="4" t="n">
        <v>53</v>
      </c>
      <c r="E313" s="18" t="s">
        <v>59</v>
      </c>
      <c r="F313" s="19" t="s">
        <v>115</v>
      </c>
    </row>
    <row r="314" customFormat="false" ht="15" hidden="false" customHeight="false" outlineLevel="0" collapsed="false">
      <c r="A314" s="4" t="str">
        <f aca="false">B314&amp;"|"&amp;C314</f>
        <v>R_10_33|e8</v>
      </c>
      <c r="B314" s="4" t="s">
        <v>40</v>
      </c>
      <c r="C314" s="4" t="s">
        <v>155</v>
      </c>
      <c r="D314" s="4" t="n">
        <v>54</v>
      </c>
      <c r="E314" s="18" t="s">
        <v>62</v>
      </c>
      <c r="F314" s="19" t="s">
        <v>115</v>
      </c>
    </row>
    <row r="315" customFormat="false" ht="15" hidden="false" customHeight="false" outlineLevel="0" collapsed="false">
      <c r="A315" s="4" t="str">
        <f aca="false">B315&amp;"|"&amp;C315</f>
        <v>R_10_33|e9</v>
      </c>
      <c r="B315" s="4" t="s">
        <v>40</v>
      </c>
      <c r="C315" s="4" t="s">
        <v>156</v>
      </c>
      <c r="D315" s="4" t="n">
        <v>55</v>
      </c>
      <c r="E315" s="18" t="s">
        <v>62</v>
      </c>
      <c r="F315" s="19" t="s">
        <v>115</v>
      </c>
    </row>
    <row r="316" customFormat="false" ht="15" hidden="false" customHeight="false" outlineLevel="0" collapsed="false">
      <c r="A316" s="4" t="str">
        <f aca="false">B316&amp;"|"&amp;C316</f>
        <v>R_10_33|e10</v>
      </c>
      <c r="B316" s="4" t="s">
        <v>40</v>
      </c>
      <c r="C316" s="4" t="s">
        <v>157</v>
      </c>
      <c r="D316" s="4" t="n">
        <v>56</v>
      </c>
      <c r="E316" s="18" t="s">
        <v>59</v>
      </c>
      <c r="F316" s="19" t="s">
        <v>115</v>
      </c>
    </row>
    <row r="317" customFormat="false" ht="15" hidden="false" customHeight="false" outlineLevel="0" collapsed="false">
      <c r="A317" s="4" t="str">
        <f aca="false">B317&amp;"|"&amp;C317</f>
        <v>R_10_33|e11</v>
      </c>
      <c r="B317" s="4" t="s">
        <v>40</v>
      </c>
      <c r="C317" s="4" t="s">
        <v>158</v>
      </c>
      <c r="D317" s="4" t="n">
        <v>57</v>
      </c>
      <c r="E317" s="18" t="s">
        <v>62</v>
      </c>
      <c r="F317" s="19" t="s">
        <v>115</v>
      </c>
    </row>
    <row r="318" customFormat="false" ht="15" hidden="false" customHeight="false" outlineLevel="0" collapsed="false">
      <c r="A318" s="4" t="str">
        <f aca="false">B318&amp;"|"&amp;C318</f>
        <v>R_10_33|e12</v>
      </c>
      <c r="B318" s="4" t="s">
        <v>40</v>
      </c>
      <c r="C318" s="4" t="s">
        <v>159</v>
      </c>
      <c r="D318" s="4" t="n">
        <v>58</v>
      </c>
      <c r="E318" s="18" t="s">
        <v>59</v>
      </c>
      <c r="F318" s="19" t="s">
        <v>115</v>
      </c>
    </row>
    <row r="319" customFormat="false" ht="15" hidden="false" customHeight="false" outlineLevel="0" collapsed="false">
      <c r="A319" s="4" t="str">
        <f aca="false">B319&amp;"|"&amp;C319</f>
        <v>R_10_33|46</v>
      </c>
      <c r="B319" s="4" t="s">
        <v>40</v>
      </c>
      <c r="C319" s="4" t="s">
        <v>122</v>
      </c>
      <c r="D319" s="4" t="n">
        <v>59</v>
      </c>
      <c r="E319" s="18" t="s">
        <v>59</v>
      </c>
      <c r="F319" s="19" t="s">
        <v>115</v>
      </c>
    </row>
    <row r="320" customFormat="false" ht="15" hidden="false" customHeight="false" outlineLevel="0" collapsed="false">
      <c r="A320" s="4" t="str">
        <f aca="false">B320&amp;"|"&amp;C320</f>
        <v>R_10_33|47</v>
      </c>
      <c r="B320" s="4" t="s">
        <v>40</v>
      </c>
      <c r="C320" s="4" t="s">
        <v>123</v>
      </c>
      <c r="D320" s="4" t="n">
        <v>60</v>
      </c>
      <c r="E320" s="18" t="s">
        <v>62</v>
      </c>
      <c r="F320" s="19" t="s">
        <v>115</v>
      </c>
    </row>
    <row r="321" customFormat="false" ht="15" hidden="false" customHeight="false" outlineLevel="0" collapsed="false">
      <c r="A321" s="4" t="str">
        <f aca="false">B321&amp;"|"&amp;C321</f>
        <v>R_10_33|48</v>
      </c>
      <c r="B321" s="4" t="s">
        <v>40</v>
      </c>
      <c r="C321" s="4" t="s">
        <v>124</v>
      </c>
      <c r="D321" s="4" t="n">
        <v>61</v>
      </c>
      <c r="E321" s="18" t="s">
        <v>62</v>
      </c>
      <c r="F321" s="19" t="s">
        <v>115</v>
      </c>
    </row>
    <row r="322" customFormat="false" ht="15" hidden="false" customHeight="false" outlineLevel="0" collapsed="false">
      <c r="A322" s="4" t="str">
        <f aca="false">B322&amp;"|"&amp;C322</f>
        <v>R_10_33|49</v>
      </c>
      <c r="B322" s="4" t="s">
        <v>40</v>
      </c>
      <c r="C322" s="4" t="s">
        <v>125</v>
      </c>
      <c r="D322" s="4" t="n">
        <v>62</v>
      </c>
      <c r="E322" s="22" t="s">
        <v>59</v>
      </c>
      <c r="F322" s="10" t="s">
        <v>126</v>
      </c>
    </row>
    <row r="323" customFormat="false" ht="15" hidden="false" customHeight="false" outlineLevel="0" collapsed="false">
      <c r="A323" s="4" t="str">
        <f aca="false">B323&amp;"|"&amp;C323</f>
        <v>R_10_33|50</v>
      </c>
      <c r="B323" s="4" t="s">
        <v>40</v>
      </c>
      <c r="C323" s="4" t="s">
        <v>127</v>
      </c>
      <c r="D323" s="4" t="n">
        <v>63</v>
      </c>
      <c r="E323" s="22" t="s">
        <v>72</v>
      </c>
      <c r="F323" s="10" t="s">
        <v>126</v>
      </c>
    </row>
    <row r="324" customFormat="false" ht="15" hidden="false" customHeight="false" outlineLevel="0" collapsed="false">
      <c r="A324" s="4" t="str">
        <f aca="false">B324&amp;"|"&amp;C324</f>
        <v>R_10_33|51</v>
      </c>
      <c r="B324" s="4" t="s">
        <v>40</v>
      </c>
      <c r="C324" s="4" t="s">
        <v>128</v>
      </c>
      <c r="D324" s="4" t="n">
        <v>64</v>
      </c>
      <c r="E324" s="22" t="s">
        <v>62</v>
      </c>
      <c r="F324" s="10" t="s">
        <v>126</v>
      </c>
    </row>
    <row r="325" customFormat="false" ht="15" hidden="false" customHeight="false" outlineLevel="0" collapsed="false">
      <c r="A325" s="4" t="str">
        <f aca="false">B325&amp;"|"&amp;C325</f>
        <v>R_10_33|52</v>
      </c>
      <c r="B325" s="4" t="s">
        <v>40</v>
      </c>
      <c r="C325" s="4" t="s">
        <v>129</v>
      </c>
      <c r="D325" s="4" t="n">
        <v>65</v>
      </c>
      <c r="E325" s="22" t="s">
        <v>62</v>
      </c>
      <c r="F325" s="10" t="s">
        <v>126</v>
      </c>
    </row>
    <row r="326" customFormat="false" ht="15" hidden="false" customHeight="false" outlineLevel="0" collapsed="false">
      <c r="A326" s="4" t="str">
        <f aca="false">B326&amp;"|"&amp;C326</f>
        <v>R_10_33|53</v>
      </c>
      <c r="B326" s="4" t="s">
        <v>40</v>
      </c>
      <c r="C326" s="4" t="s">
        <v>130</v>
      </c>
      <c r="D326" s="4" t="n">
        <v>66</v>
      </c>
      <c r="E326" s="22" t="s">
        <v>72</v>
      </c>
      <c r="F326" s="10" t="s">
        <v>126</v>
      </c>
    </row>
    <row r="327" customFormat="false" ht="15" hidden="false" customHeight="false" outlineLevel="0" collapsed="false">
      <c r="A327" s="4" t="str">
        <f aca="false">B327&amp;"|"&amp;C327</f>
        <v>R_10_33|54</v>
      </c>
      <c r="B327" s="4" t="s">
        <v>40</v>
      </c>
      <c r="C327" s="4" t="s">
        <v>131</v>
      </c>
      <c r="D327" s="4" t="n">
        <v>67</v>
      </c>
      <c r="E327" s="18" t="s">
        <v>59</v>
      </c>
      <c r="F327" s="19" t="s">
        <v>132</v>
      </c>
    </row>
    <row r="328" customFormat="false" ht="15" hidden="false" customHeight="false" outlineLevel="0" collapsed="false">
      <c r="A328" s="4" t="str">
        <f aca="false">B328&amp;"|"&amp;C328</f>
        <v>R_10_33|55</v>
      </c>
      <c r="B328" s="4" t="s">
        <v>40</v>
      </c>
      <c r="C328" s="4" t="s">
        <v>133</v>
      </c>
      <c r="D328" s="4" t="n">
        <v>68</v>
      </c>
      <c r="E328" s="18" t="s">
        <v>59</v>
      </c>
      <c r="F328" s="19" t="s">
        <v>132</v>
      </c>
    </row>
    <row r="329" customFormat="false" ht="15" hidden="false" customHeight="false" outlineLevel="0" collapsed="false">
      <c r="A329" s="4" t="str">
        <f aca="false">B329&amp;"|"&amp;C329</f>
        <v>R_10_33|56</v>
      </c>
      <c r="B329" s="4" t="s">
        <v>40</v>
      </c>
      <c r="C329" s="4" t="s">
        <v>134</v>
      </c>
      <c r="D329" s="4" t="n">
        <v>69</v>
      </c>
      <c r="E329" s="18" t="s">
        <v>68</v>
      </c>
      <c r="F329" s="19" t="s">
        <v>132</v>
      </c>
    </row>
    <row r="330" customFormat="false" ht="15" hidden="false" customHeight="false" outlineLevel="0" collapsed="false">
      <c r="A330" s="4" t="str">
        <f aca="false">B330&amp;"|"&amp;C330</f>
        <v>R_10_33|57</v>
      </c>
      <c r="B330" s="4" t="s">
        <v>40</v>
      </c>
      <c r="C330" s="4" t="s">
        <v>135</v>
      </c>
      <c r="D330" s="4" t="n">
        <v>70</v>
      </c>
      <c r="E330" s="18" t="s">
        <v>68</v>
      </c>
      <c r="F330" s="19" t="s">
        <v>132</v>
      </c>
    </row>
    <row r="331" customFormat="false" ht="15" hidden="false" customHeight="false" outlineLevel="0" collapsed="false">
      <c r="A331" s="4" t="str">
        <f aca="false">B331&amp;"|"&amp;C331</f>
        <v>R_10_33|58</v>
      </c>
      <c r="B331" s="4" t="s">
        <v>40</v>
      </c>
      <c r="C331" s="4" t="s">
        <v>136</v>
      </c>
      <c r="D331" s="4" t="n">
        <v>71</v>
      </c>
      <c r="E331" s="18" t="s">
        <v>68</v>
      </c>
      <c r="F331" s="19" t="s">
        <v>132</v>
      </c>
    </row>
    <row r="332" customFormat="false" ht="15" hidden="false" customHeight="false" outlineLevel="0" collapsed="false">
      <c r="A332" s="4" t="str">
        <f aca="false">B332&amp;"|"&amp;C332</f>
        <v>R_10_33|59</v>
      </c>
      <c r="B332" s="4" t="s">
        <v>40</v>
      </c>
      <c r="C332" s="4" t="s">
        <v>137</v>
      </c>
      <c r="D332" s="4" t="n">
        <v>72</v>
      </c>
      <c r="E332" s="18" t="s">
        <v>59</v>
      </c>
      <c r="F332" s="19" t="s">
        <v>132</v>
      </c>
    </row>
    <row r="333" customFormat="false" ht="15" hidden="false" customHeight="false" outlineLevel="0" collapsed="false">
      <c r="A333" s="4" t="str">
        <f aca="false">B333&amp;"|"&amp;C333</f>
        <v>R_10_33|60</v>
      </c>
      <c r="B333" s="4" t="s">
        <v>40</v>
      </c>
      <c r="C333" s="4" t="s">
        <v>138</v>
      </c>
      <c r="D333" s="4" t="n">
        <v>73</v>
      </c>
      <c r="E333" s="18" t="s">
        <v>59</v>
      </c>
      <c r="F333" s="19" t="s">
        <v>132</v>
      </c>
    </row>
    <row r="334" customFormat="false" ht="15" hidden="false" customHeight="false" outlineLevel="0" collapsed="false">
      <c r="A334" s="4" t="str">
        <f aca="false">B334&amp;"|"&amp;C334</f>
        <v>R_10_33|61</v>
      </c>
      <c r="B334" s="4" t="s">
        <v>40</v>
      </c>
      <c r="C334" s="4" t="s">
        <v>139</v>
      </c>
      <c r="D334" s="4" t="n">
        <v>74</v>
      </c>
      <c r="E334" s="22" t="s">
        <v>68</v>
      </c>
      <c r="F334" s="10" t="s">
        <v>126</v>
      </c>
    </row>
    <row r="335" customFormat="false" ht="15" hidden="false" customHeight="false" outlineLevel="0" collapsed="false">
      <c r="A335" s="4" t="str">
        <f aca="false">B335&amp;"|"&amp;C335</f>
        <v>R_10_33|62</v>
      </c>
      <c r="B335" s="4" t="s">
        <v>40</v>
      </c>
      <c r="C335" s="4" t="s">
        <v>140</v>
      </c>
      <c r="D335" s="4" t="n">
        <v>75</v>
      </c>
      <c r="E335" s="22" t="s">
        <v>59</v>
      </c>
      <c r="F335" s="10" t="s">
        <v>126</v>
      </c>
    </row>
    <row r="336" customFormat="false" ht="15" hidden="false" customHeight="false" outlineLevel="0" collapsed="false">
      <c r="A336" s="4" t="str">
        <f aca="false">B336&amp;"|"&amp;C336</f>
        <v>R_10_33|63</v>
      </c>
      <c r="B336" s="4" t="s">
        <v>40</v>
      </c>
      <c r="C336" s="4" t="s">
        <v>141</v>
      </c>
      <c r="D336" s="4" t="n">
        <v>76</v>
      </c>
      <c r="E336" s="22" t="s">
        <v>59</v>
      </c>
      <c r="F336" s="10" t="s">
        <v>126</v>
      </c>
    </row>
    <row r="337" customFormat="false" ht="15" hidden="false" customHeight="false" outlineLevel="0" collapsed="false">
      <c r="A337" s="4" t="str">
        <f aca="false">B337&amp;"|"&amp;C337</f>
        <v>R_10_33|64</v>
      </c>
      <c r="B337" s="4" t="s">
        <v>40</v>
      </c>
      <c r="C337" s="4" t="s">
        <v>142</v>
      </c>
      <c r="D337" s="4" t="n">
        <v>77</v>
      </c>
      <c r="E337" s="22" t="s">
        <v>68</v>
      </c>
      <c r="F337" s="10" t="s">
        <v>126</v>
      </c>
    </row>
    <row r="338" customFormat="false" ht="15" hidden="false" customHeight="false" outlineLevel="0" collapsed="false">
      <c r="A338" s="4" t="str">
        <f aca="false">B338&amp;"|"&amp;C338</f>
        <v>R_10_33|65</v>
      </c>
      <c r="B338" s="4" t="s">
        <v>40</v>
      </c>
      <c r="C338" s="4" t="s">
        <v>143</v>
      </c>
      <c r="D338" s="4" t="n">
        <v>78</v>
      </c>
      <c r="E338" s="22" t="s">
        <v>62</v>
      </c>
      <c r="F338" s="10" t="s">
        <v>126</v>
      </c>
    </row>
    <row r="339" customFormat="false" ht="15" hidden="false" customHeight="false" outlineLevel="0" collapsed="false">
      <c r="A339" s="4" t="str">
        <f aca="false">B339&amp;"|"&amp;C339</f>
        <v>R_10_33|66</v>
      </c>
      <c r="B339" s="4" t="s">
        <v>40</v>
      </c>
      <c r="C339" s="4" t="s">
        <v>144</v>
      </c>
      <c r="D339" s="4" t="n">
        <v>79</v>
      </c>
      <c r="E339" s="16" t="s">
        <v>62</v>
      </c>
      <c r="F339" s="17" t="s">
        <v>60</v>
      </c>
    </row>
    <row r="340" customFormat="false" ht="15" hidden="false" customHeight="false" outlineLevel="0" collapsed="false">
      <c r="A340" s="4" t="str">
        <f aca="false">B340&amp;"|"&amp;C340</f>
        <v>R_10_33|67</v>
      </c>
      <c r="B340" s="4" t="s">
        <v>40</v>
      </c>
      <c r="C340" s="4" t="s">
        <v>145</v>
      </c>
      <c r="D340" s="4" t="n">
        <v>80</v>
      </c>
      <c r="E340" s="16" t="s">
        <v>59</v>
      </c>
      <c r="F340" s="17" t="s">
        <v>60</v>
      </c>
    </row>
    <row r="341" customFormat="false" ht="15" hidden="false" customHeight="false" outlineLevel="0" collapsed="false">
      <c r="A341" s="4" t="str">
        <f aca="false">B341&amp;"|"&amp;C341</f>
        <v>R_10_33|68</v>
      </c>
      <c r="B341" s="4" t="s">
        <v>40</v>
      </c>
      <c r="C341" s="4" t="s">
        <v>146</v>
      </c>
      <c r="D341" s="4" t="n">
        <v>81</v>
      </c>
      <c r="E341" s="16" t="s">
        <v>68</v>
      </c>
      <c r="F341" s="17" t="s">
        <v>60</v>
      </c>
    </row>
    <row r="342" customFormat="false" ht="15" hidden="false" customHeight="false" outlineLevel="0" collapsed="false">
      <c r="A342" s="4" t="str">
        <f aca="false">B342&amp;"|"&amp;C342</f>
        <v>R_10_33|69</v>
      </c>
      <c r="B342" s="4" t="s">
        <v>40</v>
      </c>
      <c r="C342" s="4" t="s">
        <v>147</v>
      </c>
      <c r="D342" s="4" t="n">
        <v>82</v>
      </c>
      <c r="E342" s="16" t="s">
        <v>59</v>
      </c>
      <c r="F342" s="17" t="s">
        <v>60</v>
      </c>
    </row>
    <row r="343" customFormat="false" ht="15" hidden="false" customHeight="false" outlineLevel="0" collapsed="false">
      <c r="A343" s="4" t="str">
        <f aca="false">B343&amp;"|"&amp;C343</f>
        <v>R_10_33|70</v>
      </c>
      <c r="B343" s="4" t="s">
        <v>40</v>
      </c>
      <c r="C343" s="4" t="s">
        <v>148</v>
      </c>
      <c r="D343" s="4" t="n">
        <v>83</v>
      </c>
      <c r="E343" s="16" t="s">
        <v>72</v>
      </c>
      <c r="F343" s="17" t="s">
        <v>60</v>
      </c>
    </row>
    <row r="344" customFormat="false" ht="15" hidden="false" customHeight="false" outlineLevel="0" collapsed="false">
      <c r="A344" s="4" t="str">
        <f aca="false">B344&amp;"|"&amp;C344</f>
        <v>R_10_33|71</v>
      </c>
      <c r="B344" s="4" t="s">
        <v>40</v>
      </c>
      <c r="C344" s="4" t="s">
        <v>149</v>
      </c>
      <c r="D344" s="4" t="n">
        <v>84</v>
      </c>
      <c r="E344" s="16" t="s">
        <v>62</v>
      </c>
      <c r="F344" s="17" t="s">
        <v>60</v>
      </c>
    </row>
    <row r="345" customFormat="false" ht="15" hidden="false" customHeight="false" outlineLevel="0" collapsed="false">
      <c r="A345" s="4" t="str">
        <f aca="false">B345&amp;"|"&amp;C345</f>
        <v>R_10_33|72</v>
      </c>
      <c r="B345" s="4" t="s">
        <v>40</v>
      </c>
      <c r="C345" s="4" t="s">
        <v>150</v>
      </c>
      <c r="D345" s="4" t="n">
        <v>85</v>
      </c>
      <c r="E345" s="16" t="s">
        <v>62</v>
      </c>
      <c r="F345" s="17" t="s">
        <v>60</v>
      </c>
    </row>
    <row r="346" customFormat="false" ht="15" hidden="false" customHeight="false" outlineLevel="0" collapsed="false">
      <c r="A346" s="4" t="str">
        <f aca="false">B346&amp;"|"&amp;C346</f>
        <v>R_18_105|1</v>
      </c>
      <c r="B346" s="4" t="s">
        <v>41</v>
      </c>
      <c r="C346" s="4" t="s">
        <v>58</v>
      </c>
      <c r="D346" s="4" t="n">
        <v>1</v>
      </c>
      <c r="E346" s="16" t="s">
        <v>59</v>
      </c>
      <c r="F346" s="17" t="s">
        <v>60</v>
      </c>
    </row>
    <row r="347" customFormat="false" ht="15" hidden="false" customHeight="false" outlineLevel="0" collapsed="false">
      <c r="A347" s="4" t="str">
        <f aca="false">B347&amp;"|"&amp;C347</f>
        <v>R_18_105|2</v>
      </c>
      <c r="B347" s="4" t="s">
        <v>41</v>
      </c>
      <c r="C347" s="4" t="s">
        <v>61</v>
      </c>
      <c r="D347" s="4" t="n">
        <v>2</v>
      </c>
      <c r="E347" s="16" t="s">
        <v>59</v>
      </c>
      <c r="F347" s="17" t="s">
        <v>60</v>
      </c>
    </row>
    <row r="348" customFormat="false" ht="15" hidden="false" customHeight="false" outlineLevel="0" collapsed="false">
      <c r="A348" s="4" t="str">
        <f aca="false">B348&amp;"|"&amp;C348</f>
        <v>R_18_105|3</v>
      </c>
      <c r="B348" s="4" t="s">
        <v>41</v>
      </c>
      <c r="C348" s="4" t="s">
        <v>63</v>
      </c>
      <c r="D348" s="4" t="n">
        <v>3</v>
      </c>
      <c r="E348" s="16" t="s">
        <v>68</v>
      </c>
      <c r="F348" s="17" t="s">
        <v>60</v>
      </c>
    </row>
    <row r="349" customFormat="false" ht="15" hidden="false" customHeight="false" outlineLevel="0" collapsed="false">
      <c r="A349" s="4" t="str">
        <f aca="false">B349&amp;"|"&amp;C349</f>
        <v>R_18_105|4</v>
      </c>
      <c r="B349" s="4" t="s">
        <v>41</v>
      </c>
      <c r="C349" s="4" t="s">
        <v>64</v>
      </c>
      <c r="D349" s="4" t="n">
        <v>4</v>
      </c>
      <c r="E349" s="16" t="s">
        <v>59</v>
      </c>
      <c r="F349" s="17" t="s">
        <v>60</v>
      </c>
    </row>
    <row r="350" customFormat="false" ht="15" hidden="false" customHeight="false" outlineLevel="0" collapsed="false">
      <c r="A350" s="4" t="str">
        <f aca="false">B350&amp;"|"&amp;C350</f>
        <v>R_18_105|5</v>
      </c>
      <c r="B350" s="4" t="s">
        <v>41</v>
      </c>
      <c r="C350" s="4" t="s">
        <v>65</v>
      </c>
      <c r="D350" s="4" t="n">
        <v>5</v>
      </c>
      <c r="E350" s="16" t="s">
        <v>59</v>
      </c>
      <c r="F350" s="17" t="s">
        <v>60</v>
      </c>
    </row>
    <row r="351" customFormat="false" ht="15" hidden="false" customHeight="false" outlineLevel="0" collapsed="false">
      <c r="A351" s="4" t="str">
        <f aca="false">B351&amp;"|"&amp;C351</f>
        <v>R_18_105|6</v>
      </c>
      <c r="B351" s="4" t="s">
        <v>41</v>
      </c>
      <c r="C351" s="4" t="s">
        <v>66</v>
      </c>
      <c r="D351" s="4" t="n">
        <v>6</v>
      </c>
      <c r="E351" s="16" t="s">
        <v>62</v>
      </c>
      <c r="F351" s="17" t="s">
        <v>60</v>
      </c>
    </row>
    <row r="352" customFormat="false" ht="15" hidden="false" customHeight="false" outlineLevel="0" collapsed="false">
      <c r="A352" s="4" t="str">
        <f aca="false">B352&amp;"|"&amp;C352</f>
        <v>R_18_105|7</v>
      </c>
      <c r="B352" s="4" t="s">
        <v>41</v>
      </c>
      <c r="C352" s="4" t="s">
        <v>67</v>
      </c>
      <c r="D352" s="4" t="n">
        <v>7</v>
      </c>
      <c r="E352" s="16" t="s">
        <v>59</v>
      </c>
      <c r="F352" s="17" t="s">
        <v>60</v>
      </c>
    </row>
    <row r="353" customFormat="false" ht="15" hidden="false" customHeight="false" outlineLevel="0" collapsed="false">
      <c r="A353" s="4" t="str">
        <f aca="false">B353&amp;"|"&amp;C353</f>
        <v>R_18_105|8</v>
      </c>
      <c r="B353" s="4" t="s">
        <v>41</v>
      </c>
      <c r="C353" s="4" t="s">
        <v>69</v>
      </c>
      <c r="D353" s="4" t="n">
        <v>8</v>
      </c>
      <c r="E353" s="3" t="s">
        <v>59</v>
      </c>
      <c r="F353" s="4" t="s">
        <v>70</v>
      </c>
    </row>
    <row r="354" customFormat="false" ht="15" hidden="false" customHeight="false" outlineLevel="0" collapsed="false">
      <c r="A354" s="4" t="str">
        <f aca="false">B354&amp;"|"&amp;C354</f>
        <v>R_18_105|9</v>
      </c>
      <c r="B354" s="4" t="s">
        <v>41</v>
      </c>
      <c r="C354" s="4" t="s">
        <v>71</v>
      </c>
      <c r="D354" s="4" t="n">
        <v>9</v>
      </c>
      <c r="E354" s="3" t="s">
        <v>68</v>
      </c>
      <c r="F354" s="4" t="s">
        <v>73</v>
      </c>
    </row>
    <row r="355" customFormat="false" ht="15" hidden="false" customHeight="false" outlineLevel="0" collapsed="false">
      <c r="A355" s="4" t="str">
        <f aca="false">B355&amp;"|"&amp;C355</f>
        <v>R_18_105|10</v>
      </c>
      <c r="B355" s="4" t="s">
        <v>41</v>
      </c>
      <c r="C355" s="4" t="s">
        <v>74</v>
      </c>
      <c r="D355" s="4" t="n">
        <v>10</v>
      </c>
      <c r="E355" s="8" t="s">
        <v>59</v>
      </c>
      <c r="F355" s="7" t="s">
        <v>75</v>
      </c>
    </row>
    <row r="356" customFormat="false" ht="15" hidden="false" customHeight="false" outlineLevel="0" collapsed="false">
      <c r="A356" s="4" t="str">
        <f aca="false">B356&amp;"|"&amp;C356</f>
        <v>R_18_105|11</v>
      </c>
      <c r="B356" s="4" t="s">
        <v>41</v>
      </c>
      <c r="C356" s="4" t="s">
        <v>76</v>
      </c>
      <c r="D356" s="4" t="n">
        <v>11</v>
      </c>
      <c r="E356" s="8" t="s">
        <v>59</v>
      </c>
      <c r="F356" s="7" t="s">
        <v>75</v>
      </c>
    </row>
    <row r="357" customFormat="false" ht="15" hidden="false" customHeight="false" outlineLevel="0" collapsed="false">
      <c r="A357" s="4" t="str">
        <f aca="false">B357&amp;"|"&amp;C357</f>
        <v>R_18_105|12</v>
      </c>
      <c r="B357" s="4" t="s">
        <v>41</v>
      </c>
      <c r="C357" s="4" t="s">
        <v>77</v>
      </c>
      <c r="D357" s="4" t="n">
        <v>12</v>
      </c>
      <c r="E357" s="8" t="s">
        <v>72</v>
      </c>
      <c r="F357" s="7" t="s">
        <v>75</v>
      </c>
    </row>
    <row r="358" customFormat="false" ht="15" hidden="false" customHeight="false" outlineLevel="0" collapsed="false">
      <c r="A358" s="4" t="str">
        <f aca="false">B358&amp;"|"&amp;C358</f>
        <v>R_18_105|13</v>
      </c>
      <c r="B358" s="4" t="s">
        <v>41</v>
      </c>
      <c r="C358" s="4" t="s">
        <v>78</v>
      </c>
      <c r="D358" s="4" t="n">
        <v>13</v>
      </c>
      <c r="E358" s="8" t="s">
        <v>62</v>
      </c>
      <c r="F358" s="7" t="s">
        <v>75</v>
      </c>
    </row>
    <row r="359" customFormat="false" ht="15" hidden="false" customHeight="false" outlineLevel="0" collapsed="false">
      <c r="A359" s="4" t="str">
        <f aca="false">B359&amp;"|"&amp;C359</f>
        <v>R_18_105|14</v>
      </c>
      <c r="B359" s="4" t="s">
        <v>41</v>
      </c>
      <c r="C359" s="4" t="s">
        <v>79</v>
      </c>
      <c r="D359" s="4" t="n">
        <v>14</v>
      </c>
      <c r="E359" s="18" t="s">
        <v>62</v>
      </c>
      <c r="F359" s="19" t="s">
        <v>80</v>
      </c>
    </row>
    <row r="360" customFormat="false" ht="15" hidden="false" customHeight="false" outlineLevel="0" collapsed="false">
      <c r="A360" s="4" t="str">
        <f aca="false">B360&amp;"|"&amp;C360</f>
        <v>R_18_105|15</v>
      </c>
      <c r="B360" s="4" t="s">
        <v>41</v>
      </c>
      <c r="C360" s="4" t="s">
        <v>81</v>
      </c>
      <c r="D360" s="4" t="n">
        <v>15</v>
      </c>
      <c r="E360" s="18" t="s">
        <v>62</v>
      </c>
      <c r="F360" s="19" t="s">
        <v>80</v>
      </c>
    </row>
    <row r="361" customFormat="false" ht="15" hidden="false" customHeight="false" outlineLevel="0" collapsed="false">
      <c r="A361" s="4" t="str">
        <f aca="false">B361&amp;"|"&amp;C361</f>
        <v>R_18_105|16</v>
      </c>
      <c r="B361" s="4" t="s">
        <v>41</v>
      </c>
      <c r="C361" s="4" t="s">
        <v>82</v>
      </c>
      <c r="D361" s="4" t="n">
        <v>16</v>
      </c>
      <c r="E361" s="18" t="s">
        <v>62</v>
      </c>
      <c r="F361" s="19" t="s">
        <v>80</v>
      </c>
    </row>
    <row r="362" customFormat="false" ht="15" hidden="false" customHeight="false" outlineLevel="0" collapsed="false">
      <c r="A362" s="4" t="str">
        <f aca="false">B362&amp;"|"&amp;C362</f>
        <v>R_18_105|17</v>
      </c>
      <c r="B362" s="4" t="s">
        <v>41</v>
      </c>
      <c r="C362" s="4" t="s">
        <v>151</v>
      </c>
      <c r="D362" s="4" t="n">
        <v>17</v>
      </c>
      <c r="E362" s="18" t="s">
        <v>62</v>
      </c>
      <c r="F362" s="19" t="s">
        <v>80</v>
      </c>
    </row>
    <row r="363" customFormat="false" ht="15" hidden="false" customHeight="false" outlineLevel="0" collapsed="false">
      <c r="A363" s="4" t="str">
        <f aca="false">B363&amp;"|"&amp;C363</f>
        <v>R_18_105|17a</v>
      </c>
      <c r="B363" s="4" t="s">
        <v>41</v>
      </c>
      <c r="C363" s="4" t="s">
        <v>152</v>
      </c>
      <c r="D363" s="4" t="n">
        <v>18</v>
      </c>
      <c r="E363" s="18" t="s">
        <v>68</v>
      </c>
      <c r="F363" s="19" t="s">
        <v>80</v>
      </c>
    </row>
    <row r="364" customFormat="false" ht="15" hidden="false" customHeight="false" outlineLevel="0" collapsed="false">
      <c r="A364" s="4" t="str">
        <f aca="false">B364&amp;"|"&amp;C364</f>
        <v>R_18_105|18</v>
      </c>
      <c r="B364" s="4" t="s">
        <v>41</v>
      </c>
      <c r="C364" s="4" t="s">
        <v>83</v>
      </c>
      <c r="D364" s="4" t="n">
        <v>19</v>
      </c>
      <c r="E364" s="18" t="s">
        <v>72</v>
      </c>
      <c r="F364" s="19" t="s">
        <v>80</v>
      </c>
    </row>
    <row r="365" customFormat="false" ht="15" hidden="false" customHeight="false" outlineLevel="0" collapsed="false">
      <c r="A365" s="4" t="str">
        <f aca="false">B365&amp;"|"&amp;C365</f>
        <v>R_18_105|19</v>
      </c>
      <c r="B365" s="4" t="s">
        <v>41</v>
      </c>
      <c r="C365" s="4" t="s">
        <v>84</v>
      </c>
      <c r="D365" s="4" t="n">
        <v>20</v>
      </c>
      <c r="E365" s="18" t="s">
        <v>72</v>
      </c>
      <c r="F365" s="19" t="s">
        <v>80</v>
      </c>
    </row>
    <row r="366" customFormat="false" ht="15" hidden="false" customHeight="false" outlineLevel="0" collapsed="false">
      <c r="A366" s="4" t="str">
        <f aca="false">B366&amp;"|"&amp;C366</f>
        <v>R_18_105|20</v>
      </c>
      <c r="B366" s="4" t="s">
        <v>41</v>
      </c>
      <c r="C366" s="4" t="s">
        <v>85</v>
      </c>
      <c r="D366" s="4" t="n">
        <v>21</v>
      </c>
      <c r="E366" s="18" t="s">
        <v>59</v>
      </c>
      <c r="F366" s="19" t="s">
        <v>80</v>
      </c>
    </row>
    <row r="367" customFormat="false" ht="15" hidden="false" customHeight="false" outlineLevel="0" collapsed="false">
      <c r="A367" s="4" t="str">
        <f aca="false">B367&amp;"|"&amp;C367</f>
        <v>R_18_105|20a</v>
      </c>
      <c r="B367" s="4" t="s">
        <v>41</v>
      </c>
      <c r="C367" s="4" t="s">
        <v>86</v>
      </c>
      <c r="D367" s="4" t="n">
        <v>22</v>
      </c>
      <c r="E367" s="18" t="s">
        <v>59</v>
      </c>
      <c r="F367" s="19" t="s">
        <v>80</v>
      </c>
    </row>
    <row r="368" customFormat="false" ht="15" hidden="false" customHeight="false" outlineLevel="0" collapsed="false">
      <c r="A368" s="4" t="str">
        <f aca="false">B368&amp;"|"&amp;C368</f>
        <v>R_18_105|21</v>
      </c>
      <c r="B368" s="4" t="s">
        <v>41</v>
      </c>
      <c r="C368" s="4" t="s">
        <v>88</v>
      </c>
      <c r="D368" s="4" t="n">
        <v>23</v>
      </c>
      <c r="E368" s="18" t="s">
        <v>72</v>
      </c>
      <c r="F368" s="19" t="s">
        <v>80</v>
      </c>
    </row>
    <row r="369" customFormat="false" ht="15" hidden="false" customHeight="false" outlineLevel="0" collapsed="false">
      <c r="A369" s="4" t="str">
        <f aca="false">B369&amp;"|"&amp;C369</f>
        <v>R_18_105|22</v>
      </c>
      <c r="B369" s="4" t="s">
        <v>41</v>
      </c>
      <c r="C369" s="4" t="s">
        <v>89</v>
      </c>
      <c r="D369" s="4" t="n">
        <v>24</v>
      </c>
      <c r="E369" s="8" t="s">
        <v>59</v>
      </c>
      <c r="F369" s="7" t="s">
        <v>75</v>
      </c>
    </row>
    <row r="370" customFormat="false" ht="15" hidden="false" customHeight="false" outlineLevel="0" collapsed="false">
      <c r="A370" s="4" t="str">
        <f aca="false">B370&amp;"|"&amp;C370</f>
        <v>R_18_105|23</v>
      </c>
      <c r="B370" s="4" t="s">
        <v>41</v>
      </c>
      <c r="C370" s="4" t="s">
        <v>90</v>
      </c>
      <c r="D370" s="4" t="n">
        <v>25</v>
      </c>
      <c r="E370" s="8" t="s">
        <v>68</v>
      </c>
      <c r="F370" s="7" t="s">
        <v>75</v>
      </c>
    </row>
    <row r="371" customFormat="false" ht="15" hidden="false" customHeight="false" outlineLevel="0" collapsed="false">
      <c r="A371" s="4" t="str">
        <f aca="false">B371&amp;"|"&amp;C371</f>
        <v>R_18_105|24</v>
      </c>
      <c r="B371" s="4" t="s">
        <v>41</v>
      </c>
      <c r="C371" s="4" t="s">
        <v>91</v>
      </c>
      <c r="D371" s="4" t="n">
        <v>26</v>
      </c>
      <c r="E371" s="8" t="s">
        <v>62</v>
      </c>
      <c r="F371" s="7" t="s">
        <v>75</v>
      </c>
    </row>
    <row r="372" customFormat="false" ht="15" hidden="false" customHeight="false" outlineLevel="0" collapsed="false">
      <c r="A372" s="4" t="str">
        <f aca="false">B372&amp;"|"&amp;C372</f>
        <v>R_18_105|25</v>
      </c>
      <c r="B372" s="4" t="s">
        <v>41</v>
      </c>
      <c r="C372" s="4" t="s">
        <v>92</v>
      </c>
      <c r="D372" s="4" t="n">
        <v>27</v>
      </c>
      <c r="E372" s="8" t="s">
        <v>72</v>
      </c>
      <c r="F372" s="7" t="s">
        <v>75</v>
      </c>
    </row>
    <row r="373" customFormat="false" ht="15" hidden="false" customHeight="false" outlineLevel="0" collapsed="false">
      <c r="A373" s="4" t="str">
        <f aca="false">B373&amp;"|"&amp;C373</f>
        <v>R_18_105|26</v>
      </c>
      <c r="B373" s="4" t="s">
        <v>41</v>
      </c>
      <c r="C373" s="4" t="s">
        <v>93</v>
      </c>
      <c r="D373" s="4" t="n">
        <v>28</v>
      </c>
      <c r="E373" s="3" t="s">
        <v>68</v>
      </c>
      <c r="F373" s="4" t="s">
        <v>94</v>
      </c>
    </row>
    <row r="374" customFormat="false" ht="15" hidden="false" customHeight="false" outlineLevel="0" collapsed="false">
      <c r="A374" s="4" t="str">
        <f aca="false">B374&amp;"|"&amp;C374</f>
        <v>R_18_105|27</v>
      </c>
      <c r="B374" s="4" t="s">
        <v>41</v>
      </c>
      <c r="C374" s="4" t="s">
        <v>95</v>
      </c>
      <c r="D374" s="4" t="n">
        <v>29</v>
      </c>
      <c r="E374" s="20" t="s">
        <v>62</v>
      </c>
      <c r="F374" s="21" t="s">
        <v>96</v>
      </c>
    </row>
    <row r="375" customFormat="false" ht="15" hidden="false" customHeight="false" outlineLevel="0" collapsed="false">
      <c r="A375" s="4" t="str">
        <f aca="false">B375&amp;"|"&amp;C375</f>
        <v>R_18_105|28</v>
      </c>
      <c r="B375" s="4" t="s">
        <v>41</v>
      </c>
      <c r="C375" s="4" t="s">
        <v>97</v>
      </c>
      <c r="D375" s="4" t="n">
        <v>30</v>
      </c>
      <c r="E375" s="20" t="s">
        <v>59</v>
      </c>
      <c r="F375" s="21" t="s">
        <v>96</v>
      </c>
    </row>
    <row r="376" customFormat="false" ht="15" hidden="false" customHeight="false" outlineLevel="0" collapsed="false">
      <c r="A376" s="4" t="str">
        <f aca="false">B376&amp;"|"&amp;C376</f>
        <v>R_18_105|29</v>
      </c>
      <c r="B376" s="4" t="s">
        <v>41</v>
      </c>
      <c r="C376" s="4" t="s">
        <v>98</v>
      </c>
      <c r="D376" s="4" t="n">
        <v>31</v>
      </c>
      <c r="E376" s="20" t="s">
        <v>62</v>
      </c>
      <c r="F376" s="21" t="s">
        <v>96</v>
      </c>
    </row>
    <row r="377" customFormat="false" ht="15" hidden="false" customHeight="false" outlineLevel="0" collapsed="false">
      <c r="A377" s="4" t="str">
        <f aca="false">B377&amp;"|"&amp;C377</f>
        <v>R_18_105|30</v>
      </c>
      <c r="B377" s="4" t="s">
        <v>41</v>
      </c>
      <c r="C377" s="4" t="s">
        <v>99</v>
      </c>
      <c r="D377" s="4" t="n">
        <v>32</v>
      </c>
      <c r="E377" s="20" t="s">
        <v>59</v>
      </c>
      <c r="F377" s="21" t="s">
        <v>96</v>
      </c>
    </row>
    <row r="378" customFormat="false" ht="15" hidden="false" customHeight="false" outlineLevel="0" collapsed="false">
      <c r="A378" s="4" t="str">
        <f aca="false">B378&amp;"|"&amp;C378</f>
        <v>R_18_105|31</v>
      </c>
      <c r="B378" s="4" t="s">
        <v>41</v>
      </c>
      <c r="C378" s="4" t="s">
        <v>100</v>
      </c>
      <c r="D378" s="4" t="n">
        <v>33</v>
      </c>
      <c r="E378" s="20" t="s">
        <v>59</v>
      </c>
      <c r="F378" s="21" t="s">
        <v>96</v>
      </c>
    </row>
    <row r="379" customFormat="false" ht="15" hidden="false" customHeight="false" outlineLevel="0" collapsed="false">
      <c r="A379" s="4" t="str">
        <f aca="false">B379&amp;"|"&amp;C379</f>
        <v>R_18_105|32</v>
      </c>
      <c r="B379" s="4" t="s">
        <v>41</v>
      </c>
      <c r="C379" s="4" t="s">
        <v>101</v>
      </c>
      <c r="D379" s="4" t="n">
        <v>34</v>
      </c>
      <c r="E379" s="18" t="s">
        <v>72</v>
      </c>
      <c r="F379" s="19" t="s">
        <v>102</v>
      </c>
    </row>
    <row r="380" customFormat="false" ht="15" hidden="false" customHeight="false" outlineLevel="0" collapsed="false">
      <c r="A380" s="4" t="str">
        <f aca="false">B380&amp;"|"&amp;C380</f>
        <v>R_18_105|33</v>
      </c>
      <c r="B380" s="4" t="s">
        <v>41</v>
      </c>
      <c r="C380" s="4" t="s">
        <v>103</v>
      </c>
      <c r="D380" s="4" t="n">
        <v>35</v>
      </c>
      <c r="E380" s="18" t="s">
        <v>59</v>
      </c>
      <c r="F380" s="19" t="s">
        <v>102</v>
      </c>
    </row>
    <row r="381" customFormat="false" ht="15" hidden="false" customHeight="false" outlineLevel="0" collapsed="false">
      <c r="A381" s="4" t="str">
        <f aca="false">B381&amp;"|"&amp;C381</f>
        <v>R_18_105|34</v>
      </c>
      <c r="B381" s="4" t="s">
        <v>41</v>
      </c>
      <c r="C381" s="4" t="s">
        <v>104</v>
      </c>
      <c r="D381" s="4" t="n">
        <v>36</v>
      </c>
      <c r="E381" s="18" t="s">
        <v>59</v>
      </c>
      <c r="F381" s="19" t="s">
        <v>102</v>
      </c>
    </row>
    <row r="382" customFormat="false" ht="15" hidden="false" customHeight="false" outlineLevel="0" collapsed="false">
      <c r="A382" s="4" t="str">
        <f aca="false">B382&amp;"|"&amp;C382</f>
        <v>R_18_105|35</v>
      </c>
      <c r="B382" s="4" t="s">
        <v>41</v>
      </c>
      <c r="C382" s="4" t="s">
        <v>105</v>
      </c>
      <c r="D382" s="4" t="n">
        <v>37</v>
      </c>
      <c r="E382" s="18" t="s">
        <v>59</v>
      </c>
      <c r="F382" s="19" t="s">
        <v>102</v>
      </c>
    </row>
    <row r="383" customFormat="false" ht="15" hidden="false" customHeight="false" outlineLevel="0" collapsed="false">
      <c r="A383" s="4" t="str">
        <f aca="false">B383&amp;"|"&amp;C383</f>
        <v>R_18_105|36</v>
      </c>
      <c r="B383" s="4" t="s">
        <v>41</v>
      </c>
      <c r="C383" s="4" t="s">
        <v>106</v>
      </c>
      <c r="D383" s="4" t="n">
        <v>38</v>
      </c>
      <c r="E383" s="18" t="s">
        <v>62</v>
      </c>
      <c r="F383" s="19" t="s">
        <v>102</v>
      </c>
    </row>
    <row r="384" customFormat="false" ht="15" hidden="false" customHeight="false" outlineLevel="0" collapsed="false">
      <c r="A384" s="4" t="str">
        <f aca="false">B384&amp;"|"&amp;C384</f>
        <v>R_18_105|37</v>
      </c>
      <c r="B384" s="4" t="s">
        <v>41</v>
      </c>
      <c r="C384" s="4" t="s">
        <v>107</v>
      </c>
      <c r="D384" s="4" t="n">
        <v>39</v>
      </c>
      <c r="E384" s="18" t="s">
        <v>62</v>
      </c>
      <c r="F384" s="19" t="s">
        <v>102</v>
      </c>
    </row>
    <row r="385" customFormat="false" ht="15" hidden="false" customHeight="false" outlineLevel="0" collapsed="false">
      <c r="A385" s="4" t="str">
        <f aca="false">B385&amp;"|"&amp;C385</f>
        <v>R_18_105|38</v>
      </c>
      <c r="B385" s="4" t="s">
        <v>41</v>
      </c>
      <c r="C385" s="4" t="s">
        <v>108</v>
      </c>
      <c r="D385" s="4" t="n">
        <v>40</v>
      </c>
      <c r="E385" s="18" t="s">
        <v>68</v>
      </c>
      <c r="F385" s="19" t="s">
        <v>102</v>
      </c>
    </row>
    <row r="386" customFormat="false" ht="15" hidden="false" customHeight="false" outlineLevel="0" collapsed="false">
      <c r="A386" s="4" t="str">
        <f aca="false">B386&amp;"|"&amp;C386</f>
        <v>R_18_105|39</v>
      </c>
      <c r="B386" s="4" t="s">
        <v>41</v>
      </c>
      <c r="C386" s="4" t="s">
        <v>109</v>
      </c>
      <c r="D386" s="4" t="n">
        <v>41</v>
      </c>
      <c r="E386" s="20" t="s">
        <v>62</v>
      </c>
      <c r="F386" s="21" t="s">
        <v>96</v>
      </c>
    </row>
    <row r="387" customFormat="false" ht="15" hidden="false" customHeight="false" outlineLevel="0" collapsed="false">
      <c r="A387" s="4" t="str">
        <f aca="false">B387&amp;"|"&amp;C387</f>
        <v>R_18_105|40</v>
      </c>
      <c r="B387" s="4" t="s">
        <v>41</v>
      </c>
      <c r="C387" s="4" t="s">
        <v>110</v>
      </c>
      <c r="D387" s="4" t="n">
        <v>42</v>
      </c>
      <c r="E387" s="20" t="s">
        <v>72</v>
      </c>
      <c r="F387" s="21" t="s">
        <v>96</v>
      </c>
    </row>
    <row r="388" customFormat="false" ht="15" hidden="false" customHeight="false" outlineLevel="0" collapsed="false">
      <c r="A388" s="4" t="str">
        <f aca="false">B388&amp;"|"&amp;C388</f>
        <v>R_18_105|41</v>
      </c>
      <c r="B388" s="4" t="s">
        <v>41</v>
      </c>
      <c r="C388" s="4" t="s">
        <v>111</v>
      </c>
      <c r="D388" s="4" t="n">
        <v>43</v>
      </c>
      <c r="E388" s="20" t="s">
        <v>59</v>
      </c>
      <c r="F388" s="21" t="s">
        <v>96</v>
      </c>
    </row>
    <row r="389" customFormat="false" ht="15" hidden="false" customHeight="false" outlineLevel="0" collapsed="false">
      <c r="A389" s="4" t="str">
        <f aca="false">B389&amp;"|"&amp;C389</f>
        <v>R_18_105|42</v>
      </c>
      <c r="B389" s="4" t="s">
        <v>41</v>
      </c>
      <c r="C389" s="4" t="s">
        <v>112</v>
      </c>
      <c r="D389" s="4" t="n">
        <v>44</v>
      </c>
      <c r="E389" s="20" t="s">
        <v>72</v>
      </c>
      <c r="F389" s="21" t="s">
        <v>96</v>
      </c>
    </row>
    <row r="390" customFormat="false" ht="15" hidden="false" customHeight="false" outlineLevel="0" collapsed="false">
      <c r="A390" s="4" t="str">
        <f aca="false">B390&amp;"|"&amp;C390</f>
        <v>R_18_105|43</v>
      </c>
      <c r="B390" s="4" t="s">
        <v>41</v>
      </c>
      <c r="C390" s="4" t="s">
        <v>113</v>
      </c>
      <c r="D390" s="4" t="n">
        <v>45</v>
      </c>
      <c r="E390" s="20" t="s">
        <v>59</v>
      </c>
      <c r="F390" s="21" t="s">
        <v>96</v>
      </c>
    </row>
    <row r="391" customFormat="false" ht="15" hidden="false" customHeight="false" outlineLevel="0" collapsed="false">
      <c r="A391" s="4" t="str">
        <f aca="false">B391&amp;"|"&amp;C391</f>
        <v>R_18_105|44</v>
      </c>
      <c r="B391" s="4" t="s">
        <v>41</v>
      </c>
      <c r="C391" s="4" t="s">
        <v>114</v>
      </c>
      <c r="D391" s="4" t="n">
        <v>46</v>
      </c>
      <c r="E391" s="18" t="s">
        <v>62</v>
      </c>
      <c r="F391" s="19" t="s">
        <v>115</v>
      </c>
    </row>
    <row r="392" customFormat="false" ht="15" hidden="false" customHeight="false" outlineLevel="0" collapsed="false">
      <c r="A392" s="4" t="str">
        <f aca="false">B392&amp;"|"&amp;C392</f>
        <v>R_18_105|45</v>
      </c>
      <c r="B392" s="4" t="s">
        <v>41</v>
      </c>
      <c r="C392" s="4" t="s">
        <v>116</v>
      </c>
      <c r="D392" s="4" t="n">
        <v>47</v>
      </c>
      <c r="E392" s="18" t="s">
        <v>72</v>
      </c>
      <c r="F392" s="19" t="s">
        <v>115</v>
      </c>
    </row>
    <row r="393" customFormat="false" ht="15" hidden="false" customHeight="false" outlineLevel="0" collapsed="false">
      <c r="A393" s="4" t="str">
        <f aca="false">B393&amp;"|"&amp;C393</f>
        <v>R_18_105|e1</v>
      </c>
      <c r="B393" s="4" t="s">
        <v>41</v>
      </c>
      <c r="C393" s="4" t="s">
        <v>117</v>
      </c>
      <c r="D393" s="4" t="n">
        <v>48</v>
      </c>
      <c r="E393" s="18" t="s">
        <v>62</v>
      </c>
      <c r="F393" s="19" t="s">
        <v>115</v>
      </c>
    </row>
    <row r="394" customFormat="false" ht="15" hidden="false" customHeight="false" outlineLevel="0" collapsed="false">
      <c r="A394" s="4" t="str">
        <f aca="false">B394&amp;"|"&amp;C394</f>
        <v>R_18_105|e2</v>
      </c>
      <c r="B394" s="4" t="s">
        <v>41</v>
      </c>
      <c r="C394" s="4" t="s">
        <v>118</v>
      </c>
      <c r="D394" s="4" t="n">
        <v>49</v>
      </c>
      <c r="E394" s="18" t="s">
        <v>59</v>
      </c>
      <c r="F394" s="19" t="s">
        <v>115</v>
      </c>
    </row>
    <row r="395" customFormat="false" ht="15" hidden="false" customHeight="false" outlineLevel="0" collapsed="false">
      <c r="A395" s="4" t="str">
        <f aca="false">B395&amp;"|"&amp;C395</f>
        <v>R_18_105|e3</v>
      </c>
      <c r="B395" s="4" t="s">
        <v>41</v>
      </c>
      <c r="C395" s="4" t="s">
        <v>119</v>
      </c>
      <c r="D395" s="4" t="n">
        <v>50</v>
      </c>
      <c r="E395" s="18" t="s">
        <v>62</v>
      </c>
      <c r="F395" s="19" t="s">
        <v>115</v>
      </c>
    </row>
    <row r="396" customFormat="false" ht="15" hidden="false" customHeight="false" outlineLevel="0" collapsed="false">
      <c r="A396" s="4" t="str">
        <f aca="false">B396&amp;"|"&amp;C396</f>
        <v>R_18_105|e4</v>
      </c>
      <c r="B396" s="4" t="s">
        <v>41</v>
      </c>
      <c r="C396" s="4" t="s">
        <v>120</v>
      </c>
      <c r="D396" s="4" t="n">
        <v>51</v>
      </c>
      <c r="E396" s="18" t="s">
        <v>59</v>
      </c>
      <c r="F396" s="19" t="s">
        <v>115</v>
      </c>
    </row>
    <row r="397" customFormat="false" ht="15" hidden="false" customHeight="false" outlineLevel="0" collapsed="false">
      <c r="A397" s="4" t="str">
        <f aca="false">B397&amp;"|"&amp;C397</f>
        <v>R_18_105|e5</v>
      </c>
      <c r="B397" s="4" t="s">
        <v>41</v>
      </c>
      <c r="C397" s="4" t="s">
        <v>121</v>
      </c>
      <c r="D397" s="4" t="n">
        <v>52</v>
      </c>
      <c r="E397" s="18" t="s">
        <v>68</v>
      </c>
      <c r="F397" s="19" t="s">
        <v>115</v>
      </c>
    </row>
    <row r="398" customFormat="false" ht="15" hidden="false" customHeight="false" outlineLevel="0" collapsed="false">
      <c r="A398" s="4" t="str">
        <f aca="false">B398&amp;"|"&amp;C398</f>
        <v>R_18_105|e6</v>
      </c>
      <c r="B398" s="4" t="s">
        <v>41</v>
      </c>
      <c r="C398" s="4" t="s">
        <v>153</v>
      </c>
      <c r="D398" s="4" t="n">
        <v>53</v>
      </c>
      <c r="E398" s="18" t="s">
        <v>59</v>
      </c>
      <c r="F398" s="19" t="s">
        <v>115</v>
      </c>
    </row>
    <row r="399" customFormat="false" ht="15" hidden="false" customHeight="false" outlineLevel="0" collapsed="false">
      <c r="A399" s="4" t="str">
        <f aca="false">B399&amp;"|"&amp;C399</f>
        <v>R_18_105|e7</v>
      </c>
      <c r="B399" s="4" t="s">
        <v>41</v>
      </c>
      <c r="C399" s="4" t="s">
        <v>154</v>
      </c>
      <c r="D399" s="4" t="n">
        <v>54</v>
      </c>
      <c r="E399" s="18" t="s">
        <v>72</v>
      </c>
      <c r="F399" s="19" t="s">
        <v>115</v>
      </c>
    </row>
    <row r="400" customFormat="false" ht="15" hidden="false" customHeight="false" outlineLevel="0" collapsed="false">
      <c r="A400" s="4" t="str">
        <f aca="false">B400&amp;"|"&amp;C400</f>
        <v>R_18_105|e8</v>
      </c>
      <c r="B400" s="4" t="s">
        <v>41</v>
      </c>
      <c r="C400" s="4" t="s">
        <v>155</v>
      </c>
      <c r="D400" s="4" t="n">
        <v>55</v>
      </c>
      <c r="E400" s="18" t="s">
        <v>59</v>
      </c>
      <c r="F400" s="19" t="s">
        <v>115</v>
      </c>
    </row>
    <row r="401" customFormat="false" ht="15" hidden="false" customHeight="false" outlineLevel="0" collapsed="false">
      <c r="A401" s="4" t="str">
        <f aca="false">B401&amp;"|"&amp;C401</f>
        <v>R_18_105|e9</v>
      </c>
      <c r="B401" s="4" t="s">
        <v>41</v>
      </c>
      <c r="C401" s="4" t="s">
        <v>156</v>
      </c>
      <c r="D401" s="4" t="n">
        <v>56</v>
      </c>
      <c r="E401" s="18" t="s">
        <v>59</v>
      </c>
      <c r="F401" s="19" t="s">
        <v>115</v>
      </c>
    </row>
    <row r="402" customFormat="false" ht="15" hidden="false" customHeight="false" outlineLevel="0" collapsed="false">
      <c r="A402" s="4" t="str">
        <f aca="false">B402&amp;"|"&amp;C402</f>
        <v>R_18_105|e10</v>
      </c>
      <c r="B402" s="4" t="s">
        <v>41</v>
      </c>
      <c r="C402" s="4" t="s">
        <v>157</v>
      </c>
      <c r="D402" s="4" t="n">
        <v>57</v>
      </c>
      <c r="E402" s="18" t="s">
        <v>62</v>
      </c>
      <c r="F402" s="19" t="s">
        <v>115</v>
      </c>
    </row>
    <row r="403" customFormat="false" ht="15" hidden="false" customHeight="false" outlineLevel="0" collapsed="false">
      <c r="A403" s="4" t="str">
        <f aca="false">B403&amp;"|"&amp;C403</f>
        <v>R_18_105|e11</v>
      </c>
      <c r="B403" s="4" t="s">
        <v>41</v>
      </c>
      <c r="C403" s="4" t="s">
        <v>158</v>
      </c>
      <c r="D403" s="4" t="n">
        <v>58</v>
      </c>
      <c r="E403" s="18" t="s">
        <v>62</v>
      </c>
      <c r="F403" s="19" t="s">
        <v>115</v>
      </c>
    </row>
    <row r="404" customFormat="false" ht="15" hidden="false" customHeight="false" outlineLevel="0" collapsed="false">
      <c r="A404" s="4" t="str">
        <f aca="false">B404&amp;"|"&amp;C404</f>
        <v>R_18_105|e12</v>
      </c>
      <c r="B404" s="4" t="s">
        <v>41</v>
      </c>
      <c r="C404" s="4" t="s">
        <v>159</v>
      </c>
      <c r="D404" s="4" t="n">
        <v>59</v>
      </c>
      <c r="E404" s="18" t="s">
        <v>62</v>
      </c>
      <c r="F404" s="19" t="s">
        <v>115</v>
      </c>
    </row>
    <row r="405" customFormat="false" ht="15" hidden="false" customHeight="false" outlineLevel="0" collapsed="false">
      <c r="A405" s="4" t="str">
        <f aca="false">B405&amp;"|"&amp;C405</f>
        <v>R_18_105|46</v>
      </c>
      <c r="B405" s="4" t="s">
        <v>41</v>
      </c>
      <c r="C405" s="4" t="s">
        <v>122</v>
      </c>
      <c r="D405" s="4" t="n">
        <v>60</v>
      </c>
      <c r="E405" s="18" t="s">
        <v>72</v>
      </c>
      <c r="F405" s="19" t="s">
        <v>115</v>
      </c>
    </row>
    <row r="406" customFormat="false" ht="15" hidden="false" customHeight="false" outlineLevel="0" collapsed="false">
      <c r="A406" s="4" t="str">
        <f aca="false">B406&amp;"|"&amp;C406</f>
        <v>R_18_105|47</v>
      </c>
      <c r="B406" s="4" t="s">
        <v>41</v>
      </c>
      <c r="C406" s="4" t="s">
        <v>123</v>
      </c>
      <c r="D406" s="4" t="n">
        <v>61</v>
      </c>
      <c r="E406" s="18" t="s">
        <v>62</v>
      </c>
      <c r="F406" s="19" t="s">
        <v>115</v>
      </c>
    </row>
    <row r="407" customFormat="false" ht="15" hidden="false" customHeight="false" outlineLevel="0" collapsed="false">
      <c r="A407" s="4" t="str">
        <f aca="false">B407&amp;"|"&amp;C407</f>
        <v>R_18_105|48</v>
      </c>
      <c r="B407" s="4" t="s">
        <v>41</v>
      </c>
      <c r="C407" s="4" t="s">
        <v>124</v>
      </c>
      <c r="D407" s="4" t="n">
        <v>62</v>
      </c>
      <c r="E407" s="18" t="s">
        <v>59</v>
      </c>
      <c r="F407" s="19" t="s">
        <v>115</v>
      </c>
    </row>
    <row r="408" customFormat="false" ht="15" hidden="false" customHeight="false" outlineLevel="0" collapsed="false">
      <c r="A408" s="4" t="str">
        <f aca="false">B408&amp;"|"&amp;C408</f>
        <v>R_18_105|49</v>
      </c>
      <c r="B408" s="4" t="s">
        <v>41</v>
      </c>
      <c r="C408" s="4" t="s">
        <v>125</v>
      </c>
      <c r="D408" s="4" t="n">
        <v>63</v>
      </c>
      <c r="E408" s="22" t="s">
        <v>62</v>
      </c>
      <c r="F408" s="10" t="s">
        <v>126</v>
      </c>
    </row>
    <row r="409" customFormat="false" ht="15" hidden="false" customHeight="false" outlineLevel="0" collapsed="false">
      <c r="A409" s="4" t="str">
        <f aca="false">B409&amp;"|"&amp;C409</f>
        <v>R_18_105|50</v>
      </c>
      <c r="B409" s="4" t="s">
        <v>41</v>
      </c>
      <c r="C409" s="4" t="s">
        <v>127</v>
      </c>
      <c r="D409" s="4" t="n">
        <v>64</v>
      </c>
      <c r="E409" s="22" t="s">
        <v>62</v>
      </c>
      <c r="F409" s="10" t="s">
        <v>126</v>
      </c>
    </row>
    <row r="410" customFormat="false" ht="15" hidden="false" customHeight="false" outlineLevel="0" collapsed="false">
      <c r="A410" s="4" t="str">
        <f aca="false">B410&amp;"|"&amp;C410</f>
        <v>R_18_105|51</v>
      </c>
      <c r="B410" s="4" t="s">
        <v>41</v>
      </c>
      <c r="C410" s="4" t="s">
        <v>128</v>
      </c>
      <c r="D410" s="4" t="n">
        <v>65</v>
      </c>
      <c r="E410" s="22" t="s">
        <v>59</v>
      </c>
      <c r="F410" s="10" t="s">
        <v>126</v>
      </c>
    </row>
    <row r="411" customFormat="false" ht="15" hidden="false" customHeight="false" outlineLevel="0" collapsed="false">
      <c r="A411" s="4" t="str">
        <f aca="false">B411&amp;"|"&amp;C411</f>
        <v>R_18_105|52</v>
      </c>
      <c r="B411" s="4" t="s">
        <v>41</v>
      </c>
      <c r="C411" s="4" t="s">
        <v>129</v>
      </c>
      <c r="D411" s="4" t="n">
        <v>66</v>
      </c>
      <c r="E411" s="22" t="s">
        <v>59</v>
      </c>
      <c r="F411" s="10" t="s">
        <v>126</v>
      </c>
    </row>
    <row r="412" customFormat="false" ht="15" hidden="false" customHeight="false" outlineLevel="0" collapsed="false">
      <c r="A412" s="4" t="str">
        <f aca="false">B412&amp;"|"&amp;C412</f>
        <v>R_18_105|53</v>
      </c>
      <c r="B412" s="4" t="s">
        <v>41</v>
      </c>
      <c r="C412" s="4" t="s">
        <v>130</v>
      </c>
      <c r="D412" s="4" t="n">
        <v>67</v>
      </c>
      <c r="E412" s="22" t="s">
        <v>72</v>
      </c>
      <c r="F412" s="10" t="s">
        <v>126</v>
      </c>
    </row>
    <row r="413" customFormat="false" ht="15" hidden="false" customHeight="false" outlineLevel="0" collapsed="false">
      <c r="A413" s="4" t="str">
        <f aca="false">B413&amp;"|"&amp;C413</f>
        <v>R_18_105|54</v>
      </c>
      <c r="B413" s="4" t="s">
        <v>41</v>
      </c>
      <c r="C413" s="4" t="s">
        <v>131</v>
      </c>
      <c r="D413" s="4" t="n">
        <v>68</v>
      </c>
      <c r="E413" s="18" t="s">
        <v>59</v>
      </c>
      <c r="F413" s="19" t="s">
        <v>132</v>
      </c>
    </row>
    <row r="414" customFormat="false" ht="15" hidden="false" customHeight="false" outlineLevel="0" collapsed="false">
      <c r="A414" s="4" t="str">
        <f aca="false">B414&amp;"|"&amp;C414</f>
        <v>R_18_105|55</v>
      </c>
      <c r="B414" s="4" t="s">
        <v>41</v>
      </c>
      <c r="C414" s="4" t="s">
        <v>133</v>
      </c>
      <c r="D414" s="4" t="n">
        <v>69</v>
      </c>
      <c r="E414" s="18" t="s">
        <v>59</v>
      </c>
      <c r="F414" s="19" t="s">
        <v>132</v>
      </c>
    </row>
    <row r="415" customFormat="false" ht="15" hidden="false" customHeight="false" outlineLevel="0" collapsed="false">
      <c r="A415" s="4" t="str">
        <f aca="false">B415&amp;"|"&amp;C415</f>
        <v>R_18_105|56</v>
      </c>
      <c r="B415" s="4" t="s">
        <v>41</v>
      </c>
      <c r="C415" s="4" t="s">
        <v>134</v>
      </c>
      <c r="D415" s="4" t="n">
        <v>70</v>
      </c>
      <c r="E415" s="18" t="s">
        <v>68</v>
      </c>
      <c r="F415" s="19" t="s">
        <v>132</v>
      </c>
    </row>
    <row r="416" customFormat="false" ht="15" hidden="false" customHeight="false" outlineLevel="0" collapsed="false">
      <c r="A416" s="4" t="str">
        <f aca="false">B416&amp;"|"&amp;C416</f>
        <v>R_18_105|57</v>
      </c>
      <c r="B416" s="4" t="s">
        <v>41</v>
      </c>
      <c r="C416" s="4" t="s">
        <v>135</v>
      </c>
      <c r="D416" s="4" t="n">
        <v>71</v>
      </c>
      <c r="E416" s="18" t="s">
        <v>72</v>
      </c>
      <c r="F416" s="19" t="s">
        <v>132</v>
      </c>
    </row>
    <row r="417" customFormat="false" ht="15" hidden="false" customHeight="false" outlineLevel="0" collapsed="false">
      <c r="A417" s="4" t="str">
        <f aca="false">B417&amp;"|"&amp;C417</f>
        <v>R_18_105|58</v>
      </c>
      <c r="B417" s="4" t="s">
        <v>41</v>
      </c>
      <c r="C417" s="4" t="s">
        <v>136</v>
      </c>
      <c r="D417" s="4" t="n">
        <v>72</v>
      </c>
      <c r="E417" s="18" t="s">
        <v>72</v>
      </c>
      <c r="F417" s="19" t="s">
        <v>132</v>
      </c>
    </row>
    <row r="418" customFormat="false" ht="15" hidden="false" customHeight="false" outlineLevel="0" collapsed="false">
      <c r="A418" s="4" t="str">
        <f aca="false">B418&amp;"|"&amp;C418</f>
        <v>R_18_105|59</v>
      </c>
      <c r="B418" s="4" t="s">
        <v>41</v>
      </c>
      <c r="C418" s="4" t="s">
        <v>137</v>
      </c>
      <c r="D418" s="4" t="n">
        <v>73</v>
      </c>
      <c r="E418" s="18" t="s">
        <v>62</v>
      </c>
      <c r="F418" s="19" t="s">
        <v>132</v>
      </c>
    </row>
    <row r="419" customFormat="false" ht="15" hidden="false" customHeight="false" outlineLevel="0" collapsed="false">
      <c r="A419" s="4" t="str">
        <f aca="false">B419&amp;"|"&amp;C419</f>
        <v>R_18_105|60</v>
      </c>
      <c r="B419" s="4" t="s">
        <v>41</v>
      </c>
      <c r="C419" s="4" t="s">
        <v>138</v>
      </c>
      <c r="D419" s="4" t="n">
        <v>74</v>
      </c>
      <c r="E419" s="18" t="s">
        <v>62</v>
      </c>
      <c r="F419" s="19" t="s">
        <v>132</v>
      </c>
    </row>
    <row r="420" customFormat="false" ht="15" hidden="false" customHeight="false" outlineLevel="0" collapsed="false">
      <c r="A420" s="4" t="str">
        <f aca="false">B420&amp;"|"&amp;C420</f>
        <v>R_18_105|61</v>
      </c>
      <c r="B420" s="4" t="s">
        <v>41</v>
      </c>
      <c r="C420" s="4" t="s">
        <v>139</v>
      </c>
      <c r="D420" s="4" t="n">
        <v>75</v>
      </c>
      <c r="E420" s="22" t="s">
        <v>68</v>
      </c>
      <c r="F420" s="10" t="s">
        <v>126</v>
      </c>
    </row>
    <row r="421" customFormat="false" ht="15" hidden="false" customHeight="false" outlineLevel="0" collapsed="false">
      <c r="A421" s="4" t="str">
        <f aca="false">B421&amp;"|"&amp;C421</f>
        <v>R_18_105|62</v>
      </c>
      <c r="B421" s="4" t="s">
        <v>41</v>
      </c>
      <c r="C421" s="4" t="s">
        <v>140</v>
      </c>
      <c r="D421" s="4" t="n">
        <v>76</v>
      </c>
      <c r="E421" s="22" t="s">
        <v>62</v>
      </c>
      <c r="F421" s="10" t="s">
        <v>126</v>
      </c>
    </row>
    <row r="422" customFormat="false" ht="15" hidden="false" customHeight="false" outlineLevel="0" collapsed="false">
      <c r="A422" s="4" t="str">
        <f aca="false">B422&amp;"|"&amp;C422</f>
        <v>R_18_105|63</v>
      </c>
      <c r="B422" s="4" t="s">
        <v>41</v>
      </c>
      <c r="C422" s="4" t="s">
        <v>141</v>
      </c>
      <c r="D422" s="4" t="n">
        <v>77</v>
      </c>
      <c r="E422" s="22" t="s">
        <v>72</v>
      </c>
      <c r="F422" s="10" t="s">
        <v>126</v>
      </c>
    </row>
    <row r="423" customFormat="false" ht="15" hidden="false" customHeight="false" outlineLevel="0" collapsed="false">
      <c r="A423" s="4" t="str">
        <f aca="false">B423&amp;"|"&amp;C423</f>
        <v>R_18_105|64</v>
      </c>
      <c r="B423" s="4" t="s">
        <v>41</v>
      </c>
      <c r="C423" s="4" t="s">
        <v>142</v>
      </c>
      <c r="D423" s="4" t="n">
        <v>78</v>
      </c>
      <c r="E423" s="22" t="s">
        <v>59</v>
      </c>
      <c r="F423" s="10" t="s">
        <v>126</v>
      </c>
    </row>
    <row r="424" customFormat="false" ht="15" hidden="false" customHeight="false" outlineLevel="0" collapsed="false">
      <c r="A424" s="4" t="str">
        <f aca="false">B424&amp;"|"&amp;C424</f>
        <v>R_18_105|65</v>
      </c>
      <c r="B424" s="4" t="s">
        <v>41</v>
      </c>
      <c r="C424" s="4" t="s">
        <v>143</v>
      </c>
      <c r="D424" s="4" t="n">
        <v>79</v>
      </c>
      <c r="E424" s="22" t="s">
        <v>59</v>
      </c>
      <c r="F424" s="10" t="s">
        <v>126</v>
      </c>
    </row>
    <row r="425" customFormat="false" ht="15" hidden="false" customHeight="false" outlineLevel="0" collapsed="false">
      <c r="A425" s="4" t="str">
        <f aca="false">B425&amp;"|"&amp;C425</f>
        <v>R_18_105|66</v>
      </c>
      <c r="B425" s="4" t="s">
        <v>41</v>
      </c>
      <c r="C425" s="4" t="s">
        <v>144</v>
      </c>
      <c r="D425" s="4" t="n">
        <v>80</v>
      </c>
      <c r="E425" s="16" t="s">
        <v>62</v>
      </c>
      <c r="F425" s="17" t="s">
        <v>60</v>
      </c>
    </row>
    <row r="426" customFormat="false" ht="15" hidden="false" customHeight="false" outlineLevel="0" collapsed="false">
      <c r="A426" s="4" t="str">
        <f aca="false">B426&amp;"|"&amp;C426</f>
        <v>R_18_105|67</v>
      </c>
      <c r="B426" s="4" t="s">
        <v>41</v>
      </c>
      <c r="C426" s="4" t="s">
        <v>145</v>
      </c>
      <c r="D426" s="4" t="n">
        <v>81</v>
      </c>
      <c r="E426" s="16" t="s">
        <v>59</v>
      </c>
      <c r="F426" s="17" t="s">
        <v>60</v>
      </c>
    </row>
    <row r="427" customFormat="false" ht="15" hidden="false" customHeight="false" outlineLevel="0" collapsed="false">
      <c r="A427" s="4" t="str">
        <f aca="false">B427&amp;"|"&amp;C427</f>
        <v>R_18_105|68</v>
      </c>
      <c r="B427" s="4" t="s">
        <v>41</v>
      </c>
      <c r="C427" s="4" t="s">
        <v>146</v>
      </c>
      <c r="D427" s="4" t="n">
        <v>82</v>
      </c>
      <c r="E427" s="16" t="s">
        <v>72</v>
      </c>
      <c r="F427" s="17" t="s">
        <v>60</v>
      </c>
    </row>
    <row r="428" customFormat="false" ht="15" hidden="false" customHeight="false" outlineLevel="0" collapsed="false">
      <c r="A428" s="4" t="str">
        <f aca="false">B428&amp;"|"&amp;C428</f>
        <v>R_18_105|69</v>
      </c>
      <c r="B428" s="4" t="s">
        <v>41</v>
      </c>
      <c r="C428" s="4" t="s">
        <v>147</v>
      </c>
      <c r="D428" s="4" t="n">
        <v>83</v>
      </c>
      <c r="E428" s="16" t="s">
        <v>62</v>
      </c>
      <c r="F428" s="17" t="s">
        <v>60</v>
      </c>
    </row>
    <row r="429" customFormat="false" ht="15" hidden="false" customHeight="false" outlineLevel="0" collapsed="false">
      <c r="A429" s="4" t="str">
        <f aca="false">B429&amp;"|"&amp;C429</f>
        <v>R_18_105|70</v>
      </c>
      <c r="B429" s="4" t="s">
        <v>41</v>
      </c>
      <c r="C429" s="4" t="s">
        <v>148</v>
      </c>
      <c r="D429" s="4" t="n">
        <v>84</v>
      </c>
      <c r="E429" s="16" t="s">
        <v>72</v>
      </c>
      <c r="F429" s="17" t="s">
        <v>60</v>
      </c>
    </row>
    <row r="430" customFormat="false" ht="15" hidden="false" customHeight="false" outlineLevel="0" collapsed="false">
      <c r="A430" s="4" t="str">
        <f aca="false">B430&amp;"|"&amp;C430</f>
        <v>R_18_105|71</v>
      </c>
      <c r="B430" s="4" t="s">
        <v>41</v>
      </c>
      <c r="C430" s="4" t="s">
        <v>149</v>
      </c>
      <c r="D430" s="4" t="n">
        <v>85</v>
      </c>
      <c r="E430" s="16" t="s">
        <v>59</v>
      </c>
      <c r="F430" s="17" t="s">
        <v>60</v>
      </c>
    </row>
    <row r="431" customFormat="false" ht="15" hidden="false" customHeight="false" outlineLevel="0" collapsed="false">
      <c r="A431" s="4" t="str">
        <f aca="false">B431&amp;"|"&amp;C431</f>
        <v>R_18_105|72</v>
      </c>
      <c r="B431" s="4" t="s">
        <v>41</v>
      </c>
      <c r="C431" s="4" t="s">
        <v>150</v>
      </c>
      <c r="D431" s="4" t="n">
        <v>86</v>
      </c>
      <c r="E431" s="16" t="s">
        <v>62</v>
      </c>
      <c r="F431" s="17" t="s">
        <v>60</v>
      </c>
    </row>
    <row r="432" customFormat="false" ht="15" hidden="false" customHeight="false" outlineLevel="0" collapsed="false">
      <c r="A432" s="4" t="str">
        <f aca="false">B432&amp;"|"&amp;C432</f>
        <v>R_20_255|1</v>
      </c>
      <c r="B432" s="4" t="s">
        <v>42</v>
      </c>
      <c r="C432" s="4" t="s">
        <v>58</v>
      </c>
      <c r="D432" s="4" t="n">
        <v>1</v>
      </c>
      <c r="E432" s="16" t="s">
        <v>68</v>
      </c>
      <c r="F432" s="17" t="s">
        <v>60</v>
      </c>
    </row>
    <row r="433" customFormat="false" ht="15" hidden="false" customHeight="false" outlineLevel="0" collapsed="false">
      <c r="A433" s="4" t="str">
        <f aca="false">B433&amp;"|"&amp;C433</f>
        <v>R_20_255|2</v>
      </c>
      <c r="B433" s="4" t="s">
        <v>42</v>
      </c>
      <c r="C433" s="4" t="s">
        <v>61</v>
      </c>
      <c r="D433" s="4" t="n">
        <v>2</v>
      </c>
      <c r="E433" s="16" t="s">
        <v>59</v>
      </c>
      <c r="F433" s="17" t="s">
        <v>60</v>
      </c>
    </row>
    <row r="434" customFormat="false" ht="15" hidden="false" customHeight="false" outlineLevel="0" collapsed="false">
      <c r="A434" s="4" t="str">
        <f aca="false">B434&amp;"|"&amp;C434</f>
        <v>R_20_255|3</v>
      </c>
      <c r="B434" s="4" t="s">
        <v>42</v>
      </c>
      <c r="C434" s="4" t="s">
        <v>63</v>
      </c>
      <c r="D434" s="4" t="n">
        <v>3</v>
      </c>
      <c r="E434" s="16" t="s">
        <v>62</v>
      </c>
      <c r="F434" s="17" t="s">
        <v>60</v>
      </c>
    </row>
    <row r="435" customFormat="false" ht="15" hidden="false" customHeight="false" outlineLevel="0" collapsed="false">
      <c r="A435" s="4" t="str">
        <f aca="false">B435&amp;"|"&amp;C435</f>
        <v>R_20_255|4</v>
      </c>
      <c r="B435" s="4" t="s">
        <v>42</v>
      </c>
      <c r="C435" s="4" t="s">
        <v>64</v>
      </c>
      <c r="D435" s="4" t="n">
        <v>4</v>
      </c>
      <c r="E435" s="16" t="s">
        <v>72</v>
      </c>
      <c r="F435" s="17" t="s">
        <v>60</v>
      </c>
    </row>
    <row r="436" customFormat="false" ht="15" hidden="false" customHeight="false" outlineLevel="0" collapsed="false">
      <c r="A436" s="4" t="str">
        <f aca="false">B436&amp;"|"&amp;C436</f>
        <v>R_20_255|5</v>
      </c>
      <c r="B436" s="4" t="s">
        <v>42</v>
      </c>
      <c r="C436" s="4" t="s">
        <v>65</v>
      </c>
      <c r="D436" s="4" t="n">
        <v>5</v>
      </c>
      <c r="E436" s="16" t="s">
        <v>59</v>
      </c>
      <c r="F436" s="17" t="s">
        <v>60</v>
      </c>
    </row>
    <row r="437" customFormat="false" ht="15" hidden="false" customHeight="false" outlineLevel="0" collapsed="false">
      <c r="A437" s="4" t="str">
        <f aca="false">B437&amp;"|"&amp;C437</f>
        <v>R_20_255|6</v>
      </c>
      <c r="B437" s="4" t="s">
        <v>42</v>
      </c>
      <c r="C437" s="4" t="s">
        <v>66</v>
      </c>
      <c r="D437" s="4" t="n">
        <v>6</v>
      </c>
      <c r="E437" s="16" t="s">
        <v>68</v>
      </c>
      <c r="F437" s="17" t="s">
        <v>60</v>
      </c>
    </row>
    <row r="438" customFormat="false" ht="15" hidden="false" customHeight="false" outlineLevel="0" collapsed="false">
      <c r="A438" s="4" t="str">
        <f aca="false">B438&amp;"|"&amp;C438</f>
        <v>R_20_255|7</v>
      </c>
      <c r="B438" s="4" t="s">
        <v>42</v>
      </c>
      <c r="C438" s="4" t="s">
        <v>67</v>
      </c>
      <c r="D438" s="4" t="n">
        <v>7</v>
      </c>
      <c r="E438" s="16" t="s">
        <v>62</v>
      </c>
      <c r="F438" s="17" t="s">
        <v>60</v>
      </c>
    </row>
    <row r="439" customFormat="false" ht="15" hidden="false" customHeight="false" outlineLevel="0" collapsed="false">
      <c r="A439" s="4" t="str">
        <f aca="false">B439&amp;"|"&amp;C439</f>
        <v>R_20_255|8</v>
      </c>
      <c r="B439" s="4" t="s">
        <v>42</v>
      </c>
      <c r="C439" s="4" t="s">
        <v>69</v>
      </c>
      <c r="D439" s="4" t="n">
        <v>8</v>
      </c>
      <c r="E439" s="3" t="s">
        <v>59</v>
      </c>
      <c r="F439" s="4" t="s">
        <v>70</v>
      </c>
    </row>
    <row r="440" customFormat="false" ht="15" hidden="false" customHeight="false" outlineLevel="0" collapsed="false">
      <c r="A440" s="4" t="str">
        <f aca="false">B440&amp;"|"&amp;C440</f>
        <v>R_20_255|9</v>
      </c>
      <c r="B440" s="4" t="s">
        <v>42</v>
      </c>
      <c r="C440" s="4" t="s">
        <v>71</v>
      </c>
      <c r="D440" s="4" t="n">
        <v>9</v>
      </c>
      <c r="E440" s="3" t="s">
        <v>72</v>
      </c>
      <c r="F440" s="4" t="s">
        <v>73</v>
      </c>
    </row>
    <row r="441" customFormat="false" ht="15" hidden="false" customHeight="false" outlineLevel="0" collapsed="false">
      <c r="A441" s="4" t="str">
        <f aca="false">B441&amp;"|"&amp;C441</f>
        <v>R_20_255|10</v>
      </c>
      <c r="B441" s="4" t="s">
        <v>42</v>
      </c>
      <c r="C441" s="4" t="s">
        <v>74</v>
      </c>
      <c r="D441" s="4" t="n">
        <v>10</v>
      </c>
      <c r="E441" s="8" t="s">
        <v>62</v>
      </c>
      <c r="F441" s="7" t="s">
        <v>75</v>
      </c>
    </row>
    <row r="442" customFormat="false" ht="15" hidden="false" customHeight="false" outlineLevel="0" collapsed="false">
      <c r="A442" s="4" t="str">
        <f aca="false">B442&amp;"|"&amp;C442</f>
        <v>R_20_255|11</v>
      </c>
      <c r="B442" s="4" t="s">
        <v>42</v>
      </c>
      <c r="C442" s="4" t="s">
        <v>76</v>
      </c>
      <c r="D442" s="4" t="n">
        <v>11</v>
      </c>
      <c r="E442" s="8" t="s">
        <v>59</v>
      </c>
      <c r="F442" s="7" t="s">
        <v>75</v>
      </c>
    </row>
    <row r="443" customFormat="false" ht="15" hidden="false" customHeight="false" outlineLevel="0" collapsed="false">
      <c r="A443" s="4" t="str">
        <f aca="false">B443&amp;"|"&amp;C443</f>
        <v>R_20_255|12</v>
      </c>
      <c r="B443" s="4" t="s">
        <v>42</v>
      </c>
      <c r="C443" s="4" t="s">
        <v>77</v>
      </c>
      <c r="D443" s="4" t="n">
        <v>12</v>
      </c>
      <c r="E443" s="8" t="s">
        <v>68</v>
      </c>
      <c r="F443" s="7" t="s">
        <v>75</v>
      </c>
    </row>
    <row r="444" customFormat="false" ht="15" hidden="false" customHeight="false" outlineLevel="0" collapsed="false">
      <c r="A444" s="4" t="str">
        <f aca="false">B444&amp;"|"&amp;C444</f>
        <v>R_20_255|13</v>
      </c>
      <c r="B444" s="4" t="s">
        <v>42</v>
      </c>
      <c r="C444" s="4" t="s">
        <v>78</v>
      </c>
      <c r="D444" s="4" t="n">
        <v>13</v>
      </c>
      <c r="E444" s="8" t="s">
        <v>59</v>
      </c>
      <c r="F444" s="7" t="s">
        <v>75</v>
      </c>
    </row>
    <row r="445" customFormat="false" ht="15" hidden="false" customHeight="false" outlineLevel="0" collapsed="false">
      <c r="A445" s="4" t="str">
        <f aca="false">B445&amp;"|"&amp;C445</f>
        <v>R_20_255|14</v>
      </c>
      <c r="B445" s="4" t="s">
        <v>42</v>
      </c>
      <c r="C445" s="4" t="s">
        <v>79</v>
      </c>
      <c r="D445" s="4" t="n">
        <v>14</v>
      </c>
      <c r="E445" s="18" t="s">
        <v>72</v>
      </c>
      <c r="F445" s="19" t="s">
        <v>80</v>
      </c>
    </row>
    <row r="446" customFormat="false" ht="15" hidden="false" customHeight="false" outlineLevel="0" collapsed="false">
      <c r="A446" s="4" t="str">
        <f aca="false">B446&amp;"|"&amp;C446</f>
        <v>R_20_255|15</v>
      </c>
      <c r="B446" s="4" t="s">
        <v>42</v>
      </c>
      <c r="C446" s="4" t="s">
        <v>81</v>
      </c>
      <c r="D446" s="4" t="n">
        <v>15</v>
      </c>
      <c r="E446" s="18" t="s">
        <v>59</v>
      </c>
      <c r="F446" s="19" t="s">
        <v>80</v>
      </c>
    </row>
    <row r="447" customFormat="false" ht="15" hidden="false" customHeight="false" outlineLevel="0" collapsed="false">
      <c r="A447" s="4" t="str">
        <f aca="false">B447&amp;"|"&amp;C447</f>
        <v>R_20_255|16</v>
      </c>
      <c r="B447" s="4" t="s">
        <v>42</v>
      </c>
      <c r="C447" s="4" t="s">
        <v>82</v>
      </c>
      <c r="D447" s="4" t="n">
        <v>16</v>
      </c>
      <c r="E447" s="18" t="s">
        <v>62</v>
      </c>
      <c r="F447" s="19" t="s">
        <v>80</v>
      </c>
    </row>
    <row r="448" customFormat="false" ht="15" hidden="false" customHeight="false" outlineLevel="0" collapsed="false">
      <c r="A448" s="4" t="str">
        <f aca="false">B448&amp;"|"&amp;C448</f>
        <v>R_20_255|17</v>
      </c>
      <c r="B448" s="4" t="s">
        <v>42</v>
      </c>
      <c r="C448" s="4" t="s">
        <v>151</v>
      </c>
      <c r="D448" s="4" t="n">
        <v>17</v>
      </c>
      <c r="E448" s="18" t="s">
        <v>62</v>
      </c>
      <c r="F448" s="19" t="s">
        <v>80</v>
      </c>
    </row>
    <row r="449" customFormat="false" ht="15" hidden="false" customHeight="false" outlineLevel="0" collapsed="false">
      <c r="A449" s="4" t="str">
        <f aca="false">B449&amp;"|"&amp;C449</f>
        <v>R_20_255|18</v>
      </c>
      <c r="B449" s="4" t="s">
        <v>42</v>
      </c>
      <c r="C449" s="4" t="s">
        <v>83</v>
      </c>
      <c r="D449" s="4" t="n">
        <v>18</v>
      </c>
      <c r="E449" s="18" t="s">
        <v>72</v>
      </c>
      <c r="F449" s="19" t="s">
        <v>80</v>
      </c>
    </row>
    <row r="450" customFormat="false" ht="15" hidden="false" customHeight="false" outlineLevel="0" collapsed="false">
      <c r="A450" s="4" t="str">
        <f aca="false">B450&amp;"|"&amp;C450</f>
        <v>R_20_255|19</v>
      </c>
      <c r="B450" s="4" t="s">
        <v>42</v>
      </c>
      <c r="C450" s="4" t="s">
        <v>84</v>
      </c>
      <c r="D450" s="4" t="n">
        <v>19</v>
      </c>
      <c r="E450" s="18" t="s">
        <v>72</v>
      </c>
      <c r="F450" s="19" t="s">
        <v>80</v>
      </c>
    </row>
    <row r="451" customFormat="false" ht="15" hidden="false" customHeight="false" outlineLevel="0" collapsed="false">
      <c r="A451" s="4" t="str">
        <f aca="false">B451&amp;"|"&amp;C451</f>
        <v>R_20_255|20</v>
      </c>
      <c r="B451" s="4" t="s">
        <v>42</v>
      </c>
      <c r="C451" s="4" t="s">
        <v>85</v>
      </c>
      <c r="D451" s="4" t="n">
        <v>20</v>
      </c>
      <c r="E451" s="18" t="s">
        <v>68</v>
      </c>
      <c r="F451" s="19" t="s">
        <v>80</v>
      </c>
    </row>
    <row r="452" customFormat="false" ht="15" hidden="false" customHeight="false" outlineLevel="0" collapsed="false">
      <c r="A452" s="4" t="str">
        <f aca="false">B452&amp;"|"&amp;C452</f>
        <v>R_20_255|21</v>
      </c>
      <c r="B452" s="4" t="s">
        <v>42</v>
      </c>
      <c r="C452" s="4" t="s">
        <v>88</v>
      </c>
      <c r="D452" s="4" t="n">
        <v>21</v>
      </c>
      <c r="E452" s="18" t="s">
        <v>62</v>
      </c>
      <c r="F452" s="19" t="s">
        <v>80</v>
      </c>
    </row>
    <row r="453" customFormat="false" ht="15" hidden="false" customHeight="false" outlineLevel="0" collapsed="false">
      <c r="A453" s="4" t="str">
        <f aca="false">B453&amp;"|"&amp;C453</f>
        <v>R_20_255|22</v>
      </c>
      <c r="B453" s="4" t="s">
        <v>42</v>
      </c>
      <c r="C453" s="4" t="s">
        <v>89</v>
      </c>
      <c r="D453" s="4" t="n">
        <v>22</v>
      </c>
      <c r="E453" s="8" t="s">
        <v>62</v>
      </c>
      <c r="F453" s="7" t="s">
        <v>75</v>
      </c>
    </row>
    <row r="454" customFormat="false" ht="15" hidden="false" customHeight="false" outlineLevel="0" collapsed="false">
      <c r="A454" s="4" t="str">
        <f aca="false">B454&amp;"|"&amp;C454</f>
        <v>R_20_255|23</v>
      </c>
      <c r="B454" s="4" t="s">
        <v>42</v>
      </c>
      <c r="C454" s="4" t="s">
        <v>90</v>
      </c>
      <c r="D454" s="4" t="n">
        <v>23</v>
      </c>
      <c r="E454" s="8" t="s">
        <v>72</v>
      </c>
      <c r="F454" s="7" t="s">
        <v>75</v>
      </c>
    </row>
    <row r="455" customFormat="false" ht="15" hidden="false" customHeight="false" outlineLevel="0" collapsed="false">
      <c r="A455" s="4" t="str">
        <f aca="false">B455&amp;"|"&amp;C455</f>
        <v>R_20_255|24</v>
      </c>
      <c r="B455" s="4" t="s">
        <v>42</v>
      </c>
      <c r="C455" s="4" t="s">
        <v>91</v>
      </c>
      <c r="D455" s="4" t="n">
        <v>24</v>
      </c>
      <c r="E455" s="8" t="s">
        <v>62</v>
      </c>
      <c r="F455" s="7" t="s">
        <v>75</v>
      </c>
    </row>
    <row r="456" customFormat="false" ht="15" hidden="false" customHeight="false" outlineLevel="0" collapsed="false">
      <c r="A456" s="4" t="str">
        <f aca="false">B456&amp;"|"&amp;C456</f>
        <v>R_20_255|25</v>
      </c>
      <c r="B456" s="4" t="s">
        <v>42</v>
      </c>
      <c r="C456" s="4" t="s">
        <v>92</v>
      </c>
      <c r="D456" s="4" t="n">
        <v>25</v>
      </c>
      <c r="E456" s="8" t="s">
        <v>59</v>
      </c>
      <c r="F456" s="7" t="s">
        <v>75</v>
      </c>
    </row>
    <row r="457" customFormat="false" ht="15" hidden="false" customHeight="false" outlineLevel="0" collapsed="false">
      <c r="A457" s="4" t="str">
        <f aca="false">B457&amp;"|"&amp;C457</f>
        <v>R_20_255|26</v>
      </c>
      <c r="B457" s="4" t="s">
        <v>42</v>
      </c>
      <c r="C457" s="4" t="s">
        <v>93</v>
      </c>
      <c r="D457" s="4" t="n">
        <v>26</v>
      </c>
      <c r="E457" s="3" t="s">
        <v>62</v>
      </c>
      <c r="F457" s="4" t="s">
        <v>94</v>
      </c>
    </row>
    <row r="458" customFormat="false" ht="15" hidden="false" customHeight="false" outlineLevel="0" collapsed="false">
      <c r="A458" s="4" t="str">
        <f aca="false">B458&amp;"|"&amp;C458</f>
        <v>R_20_255|27</v>
      </c>
      <c r="B458" s="4" t="s">
        <v>42</v>
      </c>
      <c r="C458" s="4" t="s">
        <v>95</v>
      </c>
      <c r="D458" s="4" t="n">
        <v>27</v>
      </c>
      <c r="E458" s="20" t="s">
        <v>59</v>
      </c>
      <c r="F458" s="21" t="s">
        <v>96</v>
      </c>
    </row>
    <row r="459" customFormat="false" ht="15" hidden="false" customHeight="false" outlineLevel="0" collapsed="false">
      <c r="A459" s="4" t="str">
        <f aca="false">B459&amp;"|"&amp;C459</f>
        <v>R_20_255|28</v>
      </c>
      <c r="B459" s="4" t="s">
        <v>42</v>
      </c>
      <c r="C459" s="4" t="s">
        <v>97</v>
      </c>
      <c r="D459" s="4" t="n">
        <v>28</v>
      </c>
      <c r="E459" s="20" t="s">
        <v>59</v>
      </c>
      <c r="F459" s="21" t="s">
        <v>96</v>
      </c>
    </row>
    <row r="460" customFormat="false" ht="15" hidden="false" customHeight="false" outlineLevel="0" collapsed="false">
      <c r="A460" s="4" t="str">
        <f aca="false">B460&amp;"|"&amp;C460</f>
        <v>R_20_255|29</v>
      </c>
      <c r="B460" s="4" t="s">
        <v>42</v>
      </c>
      <c r="C460" s="4" t="s">
        <v>98</v>
      </c>
      <c r="D460" s="4" t="n">
        <v>29</v>
      </c>
      <c r="E460" s="20" t="s">
        <v>59</v>
      </c>
      <c r="F460" s="21" t="s">
        <v>96</v>
      </c>
    </row>
    <row r="461" customFormat="false" ht="15" hidden="false" customHeight="false" outlineLevel="0" collapsed="false">
      <c r="A461" s="4" t="str">
        <f aca="false">B461&amp;"|"&amp;C461</f>
        <v>R_20_255|30</v>
      </c>
      <c r="B461" s="4" t="s">
        <v>42</v>
      </c>
      <c r="C461" s="4" t="s">
        <v>99</v>
      </c>
      <c r="D461" s="4" t="n">
        <v>30</v>
      </c>
      <c r="E461" s="20" t="s">
        <v>62</v>
      </c>
      <c r="F461" s="21" t="s">
        <v>96</v>
      </c>
    </row>
    <row r="462" customFormat="false" ht="15" hidden="false" customHeight="false" outlineLevel="0" collapsed="false">
      <c r="A462" s="4" t="str">
        <f aca="false">B462&amp;"|"&amp;C462</f>
        <v>R_20_255|31</v>
      </c>
      <c r="B462" s="4" t="s">
        <v>42</v>
      </c>
      <c r="C462" s="4" t="s">
        <v>100</v>
      </c>
      <c r="D462" s="4" t="n">
        <v>31</v>
      </c>
      <c r="E462" s="20" t="s">
        <v>59</v>
      </c>
      <c r="F462" s="21" t="s">
        <v>96</v>
      </c>
    </row>
    <row r="463" customFormat="false" ht="15" hidden="false" customHeight="false" outlineLevel="0" collapsed="false">
      <c r="A463" s="4" t="str">
        <f aca="false">B463&amp;"|"&amp;C463</f>
        <v>R_20_255|32</v>
      </c>
      <c r="B463" s="4" t="s">
        <v>42</v>
      </c>
      <c r="C463" s="4" t="s">
        <v>101</v>
      </c>
      <c r="D463" s="4" t="n">
        <v>32</v>
      </c>
      <c r="E463" s="18" t="s">
        <v>62</v>
      </c>
      <c r="F463" s="19" t="s">
        <v>102</v>
      </c>
    </row>
    <row r="464" customFormat="false" ht="15" hidden="false" customHeight="false" outlineLevel="0" collapsed="false">
      <c r="A464" s="4" t="str">
        <f aca="false">B464&amp;"|"&amp;C464</f>
        <v>R_20_255|33</v>
      </c>
      <c r="B464" s="4" t="s">
        <v>42</v>
      </c>
      <c r="C464" s="4" t="s">
        <v>103</v>
      </c>
      <c r="D464" s="4" t="n">
        <v>33</v>
      </c>
      <c r="E464" s="18" t="s">
        <v>68</v>
      </c>
      <c r="F464" s="19" t="s">
        <v>102</v>
      </c>
    </row>
    <row r="465" customFormat="false" ht="15" hidden="false" customHeight="false" outlineLevel="0" collapsed="false">
      <c r="A465" s="4" t="str">
        <f aca="false">B465&amp;"|"&amp;C465</f>
        <v>R_20_255|34</v>
      </c>
      <c r="B465" s="4" t="s">
        <v>42</v>
      </c>
      <c r="C465" s="4" t="s">
        <v>104</v>
      </c>
      <c r="D465" s="4" t="n">
        <v>34</v>
      </c>
      <c r="E465" s="18" t="s">
        <v>68</v>
      </c>
      <c r="F465" s="19" t="s">
        <v>102</v>
      </c>
    </row>
    <row r="466" customFormat="false" ht="15" hidden="false" customHeight="false" outlineLevel="0" collapsed="false">
      <c r="A466" s="4" t="str">
        <f aca="false">B466&amp;"|"&amp;C466</f>
        <v>R_20_255|35</v>
      </c>
      <c r="B466" s="4" t="s">
        <v>42</v>
      </c>
      <c r="C466" s="4" t="s">
        <v>105</v>
      </c>
      <c r="D466" s="4" t="n">
        <v>35</v>
      </c>
      <c r="E466" s="18" t="s">
        <v>59</v>
      </c>
      <c r="F466" s="19" t="s">
        <v>102</v>
      </c>
    </row>
    <row r="467" customFormat="false" ht="15" hidden="false" customHeight="false" outlineLevel="0" collapsed="false">
      <c r="A467" s="4" t="str">
        <f aca="false">B467&amp;"|"&amp;C467</f>
        <v>R_20_255|36</v>
      </c>
      <c r="B467" s="4" t="s">
        <v>42</v>
      </c>
      <c r="C467" s="4" t="s">
        <v>106</v>
      </c>
      <c r="D467" s="4" t="n">
        <v>36</v>
      </c>
      <c r="E467" s="18" t="s">
        <v>62</v>
      </c>
      <c r="F467" s="19" t="s">
        <v>102</v>
      </c>
    </row>
    <row r="468" customFormat="false" ht="15" hidden="false" customHeight="false" outlineLevel="0" collapsed="false">
      <c r="A468" s="4" t="str">
        <f aca="false">B468&amp;"|"&amp;C468</f>
        <v>R_20_255|37</v>
      </c>
      <c r="B468" s="4" t="s">
        <v>42</v>
      </c>
      <c r="C468" s="4" t="s">
        <v>107</v>
      </c>
      <c r="D468" s="4" t="n">
        <v>37</v>
      </c>
      <c r="E468" s="18" t="s">
        <v>72</v>
      </c>
      <c r="F468" s="19" t="s">
        <v>102</v>
      </c>
    </row>
    <row r="469" customFormat="false" ht="15" hidden="false" customHeight="false" outlineLevel="0" collapsed="false">
      <c r="A469" s="4" t="str">
        <f aca="false">B469&amp;"|"&amp;C469</f>
        <v>R_20_255|38</v>
      </c>
      <c r="B469" s="4" t="s">
        <v>42</v>
      </c>
      <c r="C469" s="4" t="s">
        <v>108</v>
      </c>
      <c r="D469" s="4" t="n">
        <v>38</v>
      </c>
      <c r="E469" s="18" t="s">
        <v>59</v>
      </c>
      <c r="F469" s="19" t="s">
        <v>102</v>
      </c>
    </row>
    <row r="470" customFormat="false" ht="15" hidden="false" customHeight="false" outlineLevel="0" collapsed="false">
      <c r="A470" s="4" t="str">
        <f aca="false">B470&amp;"|"&amp;C470</f>
        <v>R_20_255|39</v>
      </c>
      <c r="B470" s="4" t="s">
        <v>42</v>
      </c>
      <c r="C470" s="4" t="s">
        <v>109</v>
      </c>
      <c r="D470" s="4" t="n">
        <v>39</v>
      </c>
      <c r="E470" s="20" t="s">
        <v>72</v>
      </c>
      <c r="F470" s="21" t="s">
        <v>96</v>
      </c>
    </row>
    <row r="471" customFormat="false" ht="15" hidden="false" customHeight="false" outlineLevel="0" collapsed="false">
      <c r="A471" s="4" t="str">
        <f aca="false">B471&amp;"|"&amp;C471</f>
        <v>R_20_255|40</v>
      </c>
      <c r="B471" s="4" t="s">
        <v>42</v>
      </c>
      <c r="C471" s="4" t="s">
        <v>110</v>
      </c>
      <c r="D471" s="4" t="n">
        <v>40</v>
      </c>
      <c r="E471" s="20" t="s">
        <v>59</v>
      </c>
      <c r="F471" s="21" t="s">
        <v>96</v>
      </c>
    </row>
    <row r="472" customFormat="false" ht="15" hidden="false" customHeight="false" outlineLevel="0" collapsed="false">
      <c r="A472" s="4" t="str">
        <f aca="false">B472&amp;"|"&amp;C472</f>
        <v>R_20_255|41</v>
      </c>
      <c r="B472" s="4" t="s">
        <v>42</v>
      </c>
      <c r="C472" s="4" t="s">
        <v>111</v>
      </c>
      <c r="D472" s="4" t="n">
        <v>41</v>
      </c>
      <c r="E472" s="20" t="s">
        <v>62</v>
      </c>
      <c r="F472" s="21" t="s">
        <v>96</v>
      </c>
    </row>
    <row r="473" customFormat="false" ht="15" hidden="false" customHeight="false" outlineLevel="0" collapsed="false">
      <c r="A473" s="4" t="str">
        <f aca="false">B473&amp;"|"&amp;C473</f>
        <v>R_20_255|42</v>
      </c>
      <c r="B473" s="4" t="s">
        <v>42</v>
      </c>
      <c r="C473" s="4" t="s">
        <v>112</v>
      </c>
      <c r="D473" s="4" t="n">
        <v>42</v>
      </c>
      <c r="E473" s="20" t="s">
        <v>59</v>
      </c>
      <c r="F473" s="21" t="s">
        <v>96</v>
      </c>
    </row>
    <row r="474" customFormat="false" ht="15" hidden="false" customHeight="false" outlineLevel="0" collapsed="false">
      <c r="A474" s="4" t="str">
        <f aca="false">B474&amp;"|"&amp;C474</f>
        <v>R_20_255|43</v>
      </c>
      <c r="B474" s="4" t="s">
        <v>42</v>
      </c>
      <c r="C474" s="4" t="s">
        <v>113</v>
      </c>
      <c r="D474" s="4" t="n">
        <v>43</v>
      </c>
      <c r="E474" s="20" t="s">
        <v>62</v>
      </c>
      <c r="F474" s="21" t="s">
        <v>96</v>
      </c>
    </row>
    <row r="475" customFormat="false" ht="15" hidden="false" customHeight="false" outlineLevel="0" collapsed="false">
      <c r="A475" s="4" t="str">
        <f aca="false">B475&amp;"|"&amp;C475</f>
        <v>R_20_255|44</v>
      </c>
      <c r="B475" s="4" t="s">
        <v>42</v>
      </c>
      <c r="C475" s="4" t="s">
        <v>114</v>
      </c>
      <c r="D475" s="4" t="n">
        <v>44</v>
      </c>
      <c r="E475" s="18" t="s">
        <v>72</v>
      </c>
      <c r="F475" s="19" t="s">
        <v>115</v>
      </c>
    </row>
    <row r="476" customFormat="false" ht="15" hidden="false" customHeight="false" outlineLevel="0" collapsed="false">
      <c r="A476" s="4" t="str">
        <f aca="false">B476&amp;"|"&amp;C476</f>
        <v>R_20_255|45</v>
      </c>
      <c r="B476" s="4" t="s">
        <v>42</v>
      </c>
      <c r="C476" s="4" t="s">
        <v>116</v>
      </c>
      <c r="D476" s="4" t="n">
        <v>45</v>
      </c>
      <c r="E476" s="18" t="s">
        <v>62</v>
      </c>
      <c r="F476" s="19" t="s">
        <v>115</v>
      </c>
    </row>
    <row r="477" customFormat="false" ht="15" hidden="false" customHeight="false" outlineLevel="0" collapsed="false">
      <c r="A477" s="4" t="str">
        <f aca="false">B477&amp;"|"&amp;C477</f>
        <v>R_20_255|e1</v>
      </c>
      <c r="B477" s="4" t="s">
        <v>42</v>
      </c>
      <c r="C477" s="4" t="s">
        <v>117</v>
      </c>
      <c r="D477" s="4" t="n">
        <v>46</v>
      </c>
      <c r="E477" s="18" t="s">
        <v>62</v>
      </c>
      <c r="F477" s="19" t="s">
        <v>115</v>
      </c>
    </row>
    <row r="478" customFormat="false" ht="15" hidden="false" customHeight="false" outlineLevel="0" collapsed="false">
      <c r="A478" s="4" t="str">
        <f aca="false">B478&amp;"|"&amp;C478</f>
        <v>R_20_255|e2</v>
      </c>
      <c r="B478" s="4" t="s">
        <v>42</v>
      </c>
      <c r="C478" s="4" t="s">
        <v>118</v>
      </c>
      <c r="D478" s="4" t="n">
        <v>47</v>
      </c>
      <c r="E478" s="18" t="s">
        <v>62</v>
      </c>
      <c r="F478" s="19" t="s">
        <v>115</v>
      </c>
    </row>
    <row r="479" customFormat="false" ht="15" hidden="false" customHeight="false" outlineLevel="0" collapsed="false">
      <c r="A479" s="4" t="str">
        <f aca="false">B479&amp;"|"&amp;C479</f>
        <v>R_20_255|e3</v>
      </c>
      <c r="B479" s="4" t="s">
        <v>42</v>
      </c>
      <c r="C479" s="4" t="s">
        <v>119</v>
      </c>
      <c r="D479" s="4" t="n">
        <v>48</v>
      </c>
      <c r="E479" s="18" t="s">
        <v>59</v>
      </c>
      <c r="F479" s="19" t="s">
        <v>115</v>
      </c>
    </row>
    <row r="480" customFormat="false" ht="15" hidden="false" customHeight="false" outlineLevel="0" collapsed="false">
      <c r="A480" s="4" t="str">
        <f aca="false">B480&amp;"|"&amp;C480</f>
        <v>R_20_255|e4</v>
      </c>
      <c r="B480" s="4" t="s">
        <v>42</v>
      </c>
      <c r="C480" s="4" t="s">
        <v>120</v>
      </c>
      <c r="D480" s="4" t="n">
        <v>49</v>
      </c>
      <c r="E480" s="18" t="s">
        <v>68</v>
      </c>
      <c r="F480" s="19" t="s">
        <v>115</v>
      </c>
    </row>
    <row r="481" customFormat="false" ht="15" hidden="false" customHeight="false" outlineLevel="0" collapsed="false">
      <c r="A481" s="4" t="str">
        <f aca="false">B481&amp;"|"&amp;C481</f>
        <v>R_20_255|e5</v>
      </c>
      <c r="B481" s="4" t="s">
        <v>42</v>
      </c>
      <c r="C481" s="4" t="s">
        <v>121</v>
      </c>
      <c r="D481" s="4" t="n">
        <v>50</v>
      </c>
      <c r="E481" s="18" t="s">
        <v>62</v>
      </c>
      <c r="F481" s="19" t="s">
        <v>115</v>
      </c>
    </row>
    <row r="482" customFormat="false" ht="15" hidden="false" customHeight="false" outlineLevel="0" collapsed="false">
      <c r="A482" s="4" t="str">
        <f aca="false">B482&amp;"|"&amp;C482</f>
        <v>R_20_255|e6</v>
      </c>
      <c r="B482" s="4" t="s">
        <v>42</v>
      </c>
      <c r="C482" s="4" t="s">
        <v>153</v>
      </c>
      <c r="D482" s="4" t="n">
        <v>51</v>
      </c>
      <c r="E482" s="18" t="s">
        <v>68</v>
      </c>
      <c r="F482" s="19" t="s">
        <v>115</v>
      </c>
    </row>
    <row r="483" customFormat="false" ht="15" hidden="false" customHeight="false" outlineLevel="0" collapsed="false">
      <c r="A483" s="4" t="str">
        <f aca="false">B483&amp;"|"&amp;C483</f>
        <v>R_20_255|e7</v>
      </c>
      <c r="B483" s="4" t="s">
        <v>42</v>
      </c>
      <c r="C483" s="4" t="s">
        <v>154</v>
      </c>
      <c r="D483" s="4" t="n">
        <v>52</v>
      </c>
      <c r="E483" s="18" t="s">
        <v>72</v>
      </c>
      <c r="F483" s="19" t="s">
        <v>115</v>
      </c>
    </row>
    <row r="484" customFormat="false" ht="15" hidden="false" customHeight="false" outlineLevel="0" collapsed="false">
      <c r="A484" s="4" t="str">
        <f aca="false">B484&amp;"|"&amp;C484</f>
        <v>R_20_255|e8</v>
      </c>
      <c r="B484" s="4" t="s">
        <v>42</v>
      </c>
      <c r="C484" s="4" t="s">
        <v>155</v>
      </c>
      <c r="D484" s="4" t="n">
        <v>53</v>
      </c>
      <c r="E484" s="18" t="s">
        <v>62</v>
      </c>
      <c r="F484" s="19" t="s">
        <v>115</v>
      </c>
    </row>
    <row r="485" customFormat="false" ht="15" hidden="false" customHeight="false" outlineLevel="0" collapsed="false">
      <c r="A485" s="4" t="str">
        <f aca="false">B485&amp;"|"&amp;C485</f>
        <v>R_20_255|e9</v>
      </c>
      <c r="B485" s="4" t="s">
        <v>42</v>
      </c>
      <c r="C485" s="4" t="s">
        <v>156</v>
      </c>
      <c r="D485" s="4" t="n">
        <v>54</v>
      </c>
      <c r="E485" s="18" t="s">
        <v>72</v>
      </c>
      <c r="F485" s="19" t="s">
        <v>115</v>
      </c>
    </row>
    <row r="486" customFormat="false" ht="15" hidden="false" customHeight="false" outlineLevel="0" collapsed="false">
      <c r="A486" s="4" t="str">
        <f aca="false">B486&amp;"|"&amp;C486</f>
        <v>R_20_255|e10</v>
      </c>
      <c r="B486" s="4" t="s">
        <v>42</v>
      </c>
      <c r="C486" s="4" t="s">
        <v>157</v>
      </c>
      <c r="D486" s="4" t="n">
        <v>55</v>
      </c>
      <c r="E486" s="18" t="s">
        <v>68</v>
      </c>
      <c r="F486" s="19" t="s">
        <v>115</v>
      </c>
    </row>
    <row r="487" customFormat="false" ht="15" hidden="false" customHeight="false" outlineLevel="0" collapsed="false">
      <c r="A487" s="4" t="str">
        <f aca="false">B487&amp;"|"&amp;C487</f>
        <v>R_20_255|e11</v>
      </c>
      <c r="B487" s="4" t="s">
        <v>42</v>
      </c>
      <c r="C487" s="4" t="s">
        <v>158</v>
      </c>
      <c r="D487" s="4" t="n">
        <v>56</v>
      </c>
      <c r="E487" s="18" t="s">
        <v>59</v>
      </c>
      <c r="F487" s="19" t="s">
        <v>115</v>
      </c>
    </row>
    <row r="488" customFormat="false" ht="15" hidden="false" customHeight="false" outlineLevel="0" collapsed="false">
      <c r="A488" s="4" t="str">
        <f aca="false">B488&amp;"|"&amp;C488</f>
        <v>R_20_255|e12</v>
      </c>
      <c r="B488" s="4" t="s">
        <v>42</v>
      </c>
      <c r="C488" s="4" t="s">
        <v>159</v>
      </c>
      <c r="D488" s="4" t="n">
        <v>57</v>
      </c>
      <c r="E488" s="18" t="s">
        <v>68</v>
      </c>
      <c r="F488" s="19" t="s">
        <v>115</v>
      </c>
    </row>
    <row r="489" customFormat="false" ht="15" hidden="false" customHeight="false" outlineLevel="0" collapsed="false">
      <c r="A489" s="4" t="str">
        <f aca="false">B489&amp;"|"&amp;C489</f>
        <v>R_20_255|e13</v>
      </c>
      <c r="B489" s="4" t="s">
        <v>42</v>
      </c>
      <c r="C489" s="4" t="s">
        <v>160</v>
      </c>
      <c r="D489" s="4" t="n">
        <v>58</v>
      </c>
      <c r="E489" s="18" t="s">
        <v>72</v>
      </c>
      <c r="F489" s="19" t="s">
        <v>115</v>
      </c>
    </row>
    <row r="490" customFormat="false" ht="15" hidden="false" customHeight="false" outlineLevel="0" collapsed="false">
      <c r="A490" s="4" t="str">
        <f aca="false">B490&amp;"|"&amp;C490</f>
        <v>R_20_255|e14</v>
      </c>
      <c r="B490" s="4" t="s">
        <v>42</v>
      </c>
      <c r="C490" s="4" t="s">
        <v>161</v>
      </c>
      <c r="D490" s="4" t="n">
        <v>59</v>
      </c>
      <c r="E490" s="18" t="s">
        <v>72</v>
      </c>
      <c r="F490" s="19" t="s">
        <v>115</v>
      </c>
    </row>
    <row r="491" customFormat="false" ht="15" hidden="false" customHeight="false" outlineLevel="0" collapsed="false">
      <c r="A491" s="4" t="str">
        <f aca="false">B491&amp;"|"&amp;C491</f>
        <v>R_20_255|e15</v>
      </c>
      <c r="B491" s="4" t="s">
        <v>42</v>
      </c>
      <c r="C491" s="4" t="s">
        <v>162</v>
      </c>
      <c r="D491" s="4" t="n">
        <v>60</v>
      </c>
      <c r="E491" s="18" t="s">
        <v>72</v>
      </c>
      <c r="F491" s="19" t="s">
        <v>115</v>
      </c>
    </row>
    <row r="492" customFormat="false" ht="15" hidden="false" customHeight="false" outlineLevel="0" collapsed="false">
      <c r="A492" s="4" t="str">
        <f aca="false">B492&amp;"|"&amp;C492</f>
        <v>R_20_255|e16</v>
      </c>
      <c r="B492" s="4" t="s">
        <v>42</v>
      </c>
      <c r="C492" s="4" t="s">
        <v>163</v>
      </c>
      <c r="D492" s="4" t="n">
        <v>61</v>
      </c>
      <c r="E492" s="18" t="s">
        <v>62</v>
      </c>
      <c r="F492" s="19" t="s">
        <v>115</v>
      </c>
    </row>
    <row r="493" customFormat="false" ht="15" hidden="false" customHeight="false" outlineLevel="0" collapsed="false">
      <c r="A493" s="4" t="str">
        <f aca="false">B493&amp;"|"&amp;C493</f>
        <v>R_20_255|e17</v>
      </c>
      <c r="B493" s="4" t="s">
        <v>42</v>
      </c>
      <c r="C493" s="4" t="s">
        <v>164</v>
      </c>
      <c r="D493" s="4" t="n">
        <v>62</v>
      </c>
      <c r="E493" s="18" t="s">
        <v>59</v>
      </c>
      <c r="F493" s="19" t="s">
        <v>115</v>
      </c>
    </row>
    <row r="494" customFormat="false" ht="15" hidden="false" customHeight="false" outlineLevel="0" collapsed="false">
      <c r="A494" s="4" t="str">
        <f aca="false">B494&amp;"|"&amp;C494</f>
        <v>R_20_255|e18</v>
      </c>
      <c r="B494" s="4" t="s">
        <v>42</v>
      </c>
      <c r="C494" s="4" t="s">
        <v>165</v>
      </c>
      <c r="D494" s="4" t="n">
        <v>63</v>
      </c>
      <c r="E494" s="18" t="s">
        <v>59</v>
      </c>
      <c r="F494" s="19" t="s">
        <v>115</v>
      </c>
    </row>
    <row r="495" customFormat="false" ht="15" hidden="false" customHeight="false" outlineLevel="0" collapsed="false">
      <c r="A495" s="4" t="str">
        <f aca="false">B495&amp;"|"&amp;C495</f>
        <v>R_20_255|e19</v>
      </c>
      <c r="B495" s="4" t="s">
        <v>42</v>
      </c>
      <c r="C495" s="4" t="s">
        <v>166</v>
      </c>
      <c r="D495" s="4" t="n">
        <v>64</v>
      </c>
      <c r="E495" s="18" t="s">
        <v>59</v>
      </c>
      <c r="F495" s="19" t="s">
        <v>115</v>
      </c>
    </row>
    <row r="496" customFormat="false" ht="15" hidden="false" customHeight="false" outlineLevel="0" collapsed="false">
      <c r="A496" s="4" t="str">
        <f aca="false">B496&amp;"|"&amp;C496</f>
        <v>R_20_255|e20</v>
      </c>
      <c r="B496" s="4" t="s">
        <v>42</v>
      </c>
      <c r="C496" s="4" t="s">
        <v>167</v>
      </c>
      <c r="D496" s="4" t="n">
        <v>65</v>
      </c>
      <c r="E496" s="18" t="s">
        <v>62</v>
      </c>
      <c r="F496" s="19" t="s">
        <v>115</v>
      </c>
    </row>
    <row r="497" customFormat="false" ht="15" hidden="false" customHeight="false" outlineLevel="0" collapsed="false">
      <c r="A497" s="4" t="str">
        <f aca="false">B497&amp;"|"&amp;C497</f>
        <v>R_20_255|46</v>
      </c>
      <c r="B497" s="4" t="s">
        <v>42</v>
      </c>
      <c r="C497" s="4" t="s">
        <v>122</v>
      </c>
      <c r="D497" s="4" t="n">
        <v>66</v>
      </c>
      <c r="E497" s="18" t="s">
        <v>62</v>
      </c>
      <c r="F497" s="19" t="s">
        <v>115</v>
      </c>
    </row>
    <row r="498" customFormat="false" ht="15" hidden="false" customHeight="false" outlineLevel="0" collapsed="false">
      <c r="A498" s="4" t="str">
        <f aca="false">B498&amp;"|"&amp;C498</f>
        <v>R_20_255|47</v>
      </c>
      <c r="B498" s="4" t="s">
        <v>42</v>
      </c>
      <c r="C498" s="4" t="s">
        <v>123</v>
      </c>
      <c r="D498" s="4" t="n">
        <v>67</v>
      </c>
      <c r="E498" s="18" t="s">
        <v>72</v>
      </c>
      <c r="F498" s="19" t="s">
        <v>115</v>
      </c>
    </row>
    <row r="499" customFormat="false" ht="15" hidden="false" customHeight="false" outlineLevel="0" collapsed="false">
      <c r="A499" s="4" t="str">
        <f aca="false">B499&amp;"|"&amp;C499</f>
        <v>R_20_255|48</v>
      </c>
      <c r="B499" s="4" t="s">
        <v>42</v>
      </c>
      <c r="C499" s="4" t="s">
        <v>124</v>
      </c>
      <c r="D499" s="4" t="n">
        <v>68</v>
      </c>
      <c r="E499" s="18" t="s">
        <v>62</v>
      </c>
      <c r="F499" s="19" t="s">
        <v>115</v>
      </c>
    </row>
    <row r="500" customFormat="false" ht="15" hidden="false" customHeight="false" outlineLevel="0" collapsed="false">
      <c r="A500" s="4" t="str">
        <f aca="false">B500&amp;"|"&amp;C500</f>
        <v>R_20_255|49</v>
      </c>
      <c r="B500" s="4" t="s">
        <v>42</v>
      </c>
      <c r="C500" s="4" t="s">
        <v>125</v>
      </c>
      <c r="D500" s="4" t="n">
        <v>69</v>
      </c>
      <c r="E500" s="22" t="s">
        <v>62</v>
      </c>
      <c r="F500" s="10" t="s">
        <v>126</v>
      </c>
    </row>
    <row r="501" customFormat="false" ht="15" hidden="false" customHeight="false" outlineLevel="0" collapsed="false">
      <c r="A501" s="4" t="str">
        <f aca="false">B501&amp;"|"&amp;C501</f>
        <v>R_20_255|50</v>
      </c>
      <c r="B501" s="4" t="s">
        <v>42</v>
      </c>
      <c r="C501" s="4" t="s">
        <v>127</v>
      </c>
      <c r="D501" s="4" t="n">
        <v>70</v>
      </c>
      <c r="E501" s="22" t="s">
        <v>72</v>
      </c>
      <c r="F501" s="10" t="s">
        <v>126</v>
      </c>
    </row>
    <row r="502" customFormat="false" ht="15" hidden="false" customHeight="false" outlineLevel="0" collapsed="false">
      <c r="A502" s="4" t="str">
        <f aca="false">B502&amp;"|"&amp;C502</f>
        <v>R_20_255|51</v>
      </c>
      <c r="B502" s="4" t="s">
        <v>42</v>
      </c>
      <c r="C502" s="4" t="s">
        <v>128</v>
      </c>
      <c r="D502" s="4" t="n">
        <v>71</v>
      </c>
      <c r="E502" s="22" t="s">
        <v>62</v>
      </c>
      <c r="F502" s="10" t="s">
        <v>126</v>
      </c>
    </row>
    <row r="503" customFormat="false" ht="15" hidden="false" customHeight="false" outlineLevel="0" collapsed="false">
      <c r="A503" s="4" t="str">
        <f aca="false">B503&amp;"|"&amp;C503</f>
        <v>R_20_255|52</v>
      </c>
      <c r="B503" s="4" t="s">
        <v>42</v>
      </c>
      <c r="C503" s="4" t="s">
        <v>129</v>
      </c>
      <c r="D503" s="4" t="n">
        <v>72</v>
      </c>
      <c r="E503" s="22" t="s">
        <v>62</v>
      </c>
      <c r="F503" s="10" t="s">
        <v>126</v>
      </c>
    </row>
    <row r="504" customFormat="false" ht="15" hidden="false" customHeight="false" outlineLevel="0" collapsed="false">
      <c r="A504" s="4" t="str">
        <f aca="false">B504&amp;"|"&amp;C504</f>
        <v>R_20_255|53</v>
      </c>
      <c r="B504" s="4" t="s">
        <v>42</v>
      </c>
      <c r="C504" s="4" t="s">
        <v>130</v>
      </c>
      <c r="D504" s="4" t="n">
        <v>73</v>
      </c>
      <c r="E504" s="22" t="s">
        <v>72</v>
      </c>
      <c r="F504" s="10" t="s">
        <v>126</v>
      </c>
    </row>
    <row r="505" customFormat="false" ht="15" hidden="false" customHeight="false" outlineLevel="0" collapsed="false">
      <c r="A505" s="4" t="str">
        <f aca="false">B505&amp;"|"&amp;C505</f>
        <v>R_20_255|54</v>
      </c>
      <c r="B505" s="4" t="s">
        <v>42</v>
      </c>
      <c r="C505" s="4" t="s">
        <v>131</v>
      </c>
      <c r="D505" s="4" t="n">
        <v>74</v>
      </c>
      <c r="E505" s="18" t="s">
        <v>59</v>
      </c>
      <c r="F505" s="19" t="s">
        <v>132</v>
      </c>
    </row>
    <row r="506" customFormat="false" ht="15" hidden="false" customHeight="false" outlineLevel="0" collapsed="false">
      <c r="A506" s="4" t="str">
        <f aca="false">B506&amp;"|"&amp;C506</f>
        <v>R_20_255|55</v>
      </c>
      <c r="B506" s="4" t="s">
        <v>42</v>
      </c>
      <c r="C506" s="4" t="s">
        <v>133</v>
      </c>
      <c r="D506" s="4" t="n">
        <v>75</v>
      </c>
      <c r="E506" s="18" t="s">
        <v>68</v>
      </c>
      <c r="F506" s="19" t="s">
        <v>132</v>
      </c>
    </row>
    <row r="507" customFormat="false" ht="15" hidden="false" customHeight="false" outlineLevel="0" collapsed="false">
      <c r="A507" s="4" t="str">
        <f aca="false">B507&amp;"|"&amp;C507</f>
        <v>R_20_255|56</v>
      </c>
      <c r="B507" s="4" t="s">
        <v>42</v>
      </c>
      <c r="C507" s="4" t="s">
        <v>134</v>
      </c>
      <c r="D507" s="4" t="n">
        <v>76</v>
      </c>
      <c r="E507" s="18" t="s">
        <v>68</v>
      </c>
      <c r="F507" s="19" t="s">
        <v>132</v>
      </c>
    </row>
    <row r="508" customFormat="false" ht="15" hidden="false" customHeight="false" outlineLevel="0" collapsed="false">
      <c r="A508" s="4" t="str">
        <f aca="false">B508&amp;"|"&amp;C508</f>
        <v>R_20_255|57</v>
      </c>
      <c r="B508" s="4" t="s">
        <v>42</v>
      </c>
      <c r="C508" s="4" t="s">
        <v>135</v>
      </c>
      <c r="D508" s="4" t="n">
        <v>77</v>
      </c>
      <c r="E508" s="18" t="s">
        <v>59</v>
      </c>
      <c r="F508" s="19" t="s">
        <v>132</v>
      </c>
    </row>
    <row r="509" customFormat="false" ht="15" hidden="false" customHeight="false" outlineLevel="0" collapsed="false">
      <c r="A509" s="4" t="str">
        <f aca="false">B509&amp;"|"&amp;C509</f>
        <v>R_20_255|58</v>
      </c>
      <c r="B509" s="4" t="s">
        <v>42</v>
      </c>
      <c r="C509" s="4" t="s">
        <v>136</v>
      </c>
      <c r="D509" s="4" t="n">
        <v>78</v>
      </c>
      <c r="E509" s="18" t="s">
        <v>62</v>
      </c>
      <c r="F509" s="19" t="s">
        <v>132</v>
      </c>
    </row>
    <row r="510" customFormat="false" ht="15" hidden="false" customHeight="false" outlineLevel="0" collapsed="false">
      <c r="A510" s="4" t="str">
        <f aca="false">B510&amp;"|"&amp;C510</f>
        <v>R_20_255|59</v>
      </c>
      <c r="B510" s="4" t="s">
        <v>42</v>
      </c>
      <c r="C510" s="4" t="s">
        <v>137</v>
      </c>
      <c r="D510" s="4" t="n">
        <v>79</v>
      </c>
      <c r="E510" s="18" t="s">
        <v>72</v>
      </c>
      <c r="F510" s="19" t="s">
        <v>132</v>
      </c>
    </row>
    <row r="511" customFormat="false" ht="15" hidden="false" customHeight="false" outlineLevel="0" collapsed="false">
      <c r="A511" s="4" t="str">
        <f aca="false">B511&amp;"|"&amp;C511</f>
        <v>R_20_255|60</v>
      </c>
      <c r="B511" s="4" t="s">
        <v>42</v>
      </c>
      <c r="C511" s="4" t="s">
        <v>138</v>
      </c>
      <c r="D511" s="4" t="n">
        <v>80</v>
      </c>
      <c r="E511" s="18" t="s">
        <v>59</v>
      </c>
      <c r="F511" s="19" t="s">
        <v>132</v>
      </c>
    </row>
    <row r="512" customFormat="false" ht="15" hidden="false" customHeight="false" outlineLevel="0" collapsed="false">
      <c r="A512" s="4" t="str">
        <f aca="false">B512&amp;"|"&amp;C512</f>
        <v>R_20_255|61</v>
      </c>
      <c r="B512" s="4" t="s">
        <v>42</v>
      </c>
      <c r="C512" s="4" t="s">
        <v>139</v>
      </c>
      <c r="D512" s="4" t="n">
        <v>81</v>
      </c>
      <c r="E512" s="22" t="s">
        <v>68</v>
      </c>
      <c r="F512" s="10" t="s">
        <v>126</v>
      </c>
    </row>
    <row r="513" customFormat="false" ht="15" hidden="false" customHeight="false" outlineLevel="0" collapsed="false">
      <c r="A513" s="4" t="str">
        <f aca="false">B513&amp;"|"&amp;C513</f>
        <v>R_20_255|62</v>
      </c>
      <c r="B513" s="4" t="s">
        <v>42</v>
      </c>
      <c r="C513" s="4" t="s">
        <v>140</v>
      </c>
      <c r="D513" s="4" t="n">
        <v>82</v>
      </c>
      <c r="E513" s="22" t="s">
        <v>59</v>
      </c>
      <c r="F513" s="10" t="s">
        <v>126</v>
      </c>
    </row>
    <row r="514" customFormat="false" ht="15" hidden="false" customHeight="false" outlineLevel="0" collapsed="false">
      <c r="A514" s="4" t="str">
        <f aca="false">B514&amp;"|"&amp;C514</f>
        <v>R_20_255|63</v>
      </c>
      <c r="B514" s="4" t="s">
        <v>42</v>
      </c>
      <c r="C514" s="4" t="s">
        <v>141</v>
      </c>
      <c r="D514" s="4" t="n">
        <v>83</v>
      </c>
      <c r="E514" s="22" t="s">
        <v>59</v>
      </c>
      <c r="F514" s="10" t="s">
        <v>126</v>
      </c>
    </row>
    <row r="515" customFormat="false" ht="15" hidden="false" customHeight="false" outlineLevel="0" collapsed="false">
      <c r="A515" s="4" t="str">
        <f aca="false">B515&amp;"|"&amp;C515</f>
        <v>R_20_255|64</v>
      </c>
      <c r="B515" s="4" t="s">
        <v>42</v>
      </c>
      <c r="C515" s="4" t="s">
        <v>142</v>
      </c>
      <c r="D515" s="4" t="n">
        <v>84</v>
      </c>
      <c r="E515" s="22" t="s">
        <v>59</v>
      </c>
      <c r="F515" s="10" t="s">
        <v>126</v>
      </c>
    </row>
    <row r="516" customFormat="false" ht="15" hidden="false" customHeight="false" outlineLevel="0" collapsed="false">
      <c r="A516" s="4" t="str">
        <f aca="false">B516&amp;"|"&amp;C516</f>
        <v>R_20_255|65</v>
      </c>
      <c r="B516" s="4" t="s">
        <v>42</v>
      </c>
      <c r="C516" s="4" t="s">
        <v>143</v>
      </c>
      <c r="D516" s="4" t="n">
        <v>85</v>
      </c>
      <c r="E516" s="22" t="s">
        <v>59</v>
      </c>
      <c r="F516" s="10" t="s">
        <v>126</v>
      </c>
    </row>
    <row r="517" customFormat="false" ht="15" hidden="false" customHeight="false" outlineLevel="0" collapsed="false">
      <c r="A517" s="4" t="str">
        <f aca="false">B517&amp;"|"&amp;C517</f>
        <v>R_20_255|66</v>
      </c>
      <c r="B517" s="4" t="s">
        <v>42</v>
      </c>
      <c r="C517" s="4" t="s">
        <v>144</v>
      </c>
      <c r="D517" s="4" t="n">
        <v>86</v>
      </c>
      <c r="E517" s="16" t="s">
        <v>59</v>
      </c>
      <c r="F517" s="17" t="s">
        <v>60</v>
      </c>
    </row>
    <row r="518" customFormat="false" ht="15" hidden="false" customHeight="false" outlineLevel="0" collapsed="false">
      <c r="A518" s="4" t="str">
        <f aca="false">B518&amp;"|"&amp;C518</f>
        <v>R_20_255|67</v>
      </c>
      <c r="B518" s="4" t="s">
        <v>42</v>
      </c>
      <c r="C518" s="4" t="s">
        <v>145</v>
      </c>
      <c r="D518" s="4" t="n">
        <v>87</v>
      </c>
      <c r="E518" s="16" t="s">
        <v>68</v>
      </c>
      <c r="F518" s="17" t="s">
        <v>60</v>
      </c>
    </row>
    <row r="519" customFormat="false" ht="15" hidden="false" customHeight="false" outlineLevel="0" collapsed="false">
      <c r="A519" s="4" t="str">
        <f aca="false">B519&amp;"|"&amp;C519</f>
        <v>R_20_255|68</v>
      </c>
      <c r="B519" s="4" t="s">
        <v>42</v>
      </c>
      <c r="C519" s="4" t="s">
        <v>146</v>
      </c>
      <c r="D519" s="4" t="n">
        <v>88</v>
      </c>
      <c r="E519" s="16" t="s">
        <v>62</v>
      </c>
      <c r="F519" s="17" t="s">
        <v>60</v>
      </c>
    </row>
    <row r="520" customFormat="false" ht="15" hidden="false" customHeight="false" outlineLevel="0" collapsed="false">
      <c r="A520" s="4" t="str">
        <f aca="false">B520&amp;"|"&amp;C520</f>
        <v>R_20_255|69</v>
      </c>
      <c r="B520" s="4" t="s">
        <v>42</v>
      </c>
      <c r="C520" s="4" t="s">
        <v>147</v>
      </c>
      <c r="D520" s="4" t="n">
        <v>89</v>
      </c>
      <c r="E520" s="16" t="s">
        <v>59</v>
      </c>
      <c r="F520" s="17" t="s">
        <v>60</v>
      </c>
    </row>
    <row r="521" customFormat="false" ht="15" hidden="false" customHeight="false" outlineLevel="0" collapsed="false">
      <c r="A521" s="4" t="str">
        <f aca="false">B521&amp;"|"&amp;C521</f>
        <v>R_20_255|70</v>
      </c>
      <c r="B521" s="4" t="s">
        <v>42</v>
      </c>
      <c r="C521" s="4" t="s">
        <v>148</v>
      </c>
      <c r="D521" s="4" t="n">
        <v>90</v>
      </c>
      <c r="E521" s="16" t="s">
        <v>59</v>
      </c>
      <c r="F521" s="17" t="s">
        <v>60</v>
      </c>
    </row>
    <row r="522" customFormat="false" ht="15" hidden="false" customHeight="false" outlineLevel="0" collapsed="false">
      <c r="A522" s="4" t="str">
        <f aca="false">B522&amp;"|"&amp;C522</f>
        <v>R_20_255|71</v>
      </c>
      <c r="B522" s="4" t="s">
        <v>42</v>
      </c>
      <c r="C522" s="4" t="s">
        <v>149</v>
      </c>
      <c r="D522" s="4" t="n">
        <v>91</v>
      </c>
      <c r="E522" s="16" t="s">
        <v>62</v>
      </c>
      <c r="F522" s="17" t="s">
        <v>60</v>
      </c>
    </row>
    <row r="523" customFormat="false" ht="15" hidden="false" customHeight="false" outlineLevel="0" collapsed="false">
      <c r="A523" s="4" t="str">
        <f aca="false">B523&amp;"|"&amp;C523</f>
        <v>R_20_255|72</v>
      </c>
      <c r="B523" s="4" t="s">
        <v>42</v>
      </c>
      <c r="C523" s="4" t="s">
        <v>150</v>
      </c>
      <c r="D523" s="4" t="n">
        <v>92</v>
      </c>
      <c r="E523" s="16" t="s">
        <v>72</v>
      </c>
      <c r="F523" s="17" t="s">
        <v>60</v>
      </c>
    </row>
    <row r="524" customFormat="false" ht="15" hidden="false" customHeight="false" outlineLevel="0" collapsed="false">
      <c r="A524" s="4" t="str">
        <f aca="false">B524&amp;"|"&amp;C524</f>
        <v>R_26_624|1</v>
      </c>
      <c r="B524" s="4" t="s">
        <v>43</v>
      </c>
      <c r="C524" s="4" t="s">
        <v>58</v>
      </c>
      <c r="D524" s="4" t="n">
        <v>1</v>
      </c>
      <c r="E524" s="16" t="s">
        <v>59</v>
      </c>
      <c r="F524" s="17" t="s">
        <v>60</v>
      </c>
    </row>
    <row r="525" customFormat="false" ht="15" hidden="false" customHeight="false" outlineLevel="0" collapsed="false">
      <c r="A525" s="4" t="str">
        <f aca="false">B525&amp;"|"&amp;C525</f>
        <v>R_26_624|2</v>
      </c>
      <c r="B525" s="4" t="s">
        <v>43</v>
      </c>
      <c r="C525" s="4" t="s">
        <v>61</v>
      </c>
      <c r="D525" s="4" t="n">
        <v>2</v>
      </c>
      <c r="E525" s="16" t="s">
        <v>59</v>
      </c>
      <c r="F525" s="17" t="s">
        <v>60</v>
      </c>
    </row>
    <row r="526" customFormat="false" ht="15" hidden="false" customHeight="false" outlineLevel="0" collapsed="false">
      <c r="A526" s="4" t="str">
        <f aca="false">B526&amp;"|"&amp;C526</f>
        <v>R_26_624|3</v>
      </c>
      <c r="B526" s="4" t="s">
        <v>43</v>
      </c>
      <c r="C526" s="4" t="s">
        <v>63</v>
      </c>
      <c r="D526" s="4" t="n">
        <v>3</v>
      </c>
      <c r="E526" s="16" t="s">
        <v>59</v>
      </c>
      <c r="F526" s="17" t="s">
        <v>60</v>
      </c>
    </row>
    <row r="527" customFormat="false" ht="15" hidden="false" customHeight="false" outlineLevel="0" collapsed="false">
      <c r="A527" s="4" t="str">
        <f aca="false">B527&amp;"|"&amp;C527</f>
        <v>R_26_624|4</v>
      </c>
      <c r="B527" s="4" t="s">
        <v>43</v>
      </c>
      <c r="C527" s="4" t="s">
        <v>64</v>
      </c>
      <c r="D527" s="4" t="n">
        <v>4</v>
      </c>
      <c r="E527" s="16" t="s">
        <v>62</v>
      </c>
      <c r="F527" s="17" t="s">
        <v>60</v>
      </c>
    </row>
    <row r="528" customFormat="false" ht="15" hidden="false" customHeight="false" outlineLevel="0" collapsed="false">
      <c r="A528" s="4" t="str">
        <f aca="false">B528&amp;"|"&amp;C528</f>
        <v>R_26_624|5</v>
      </c>
      <c r="B528" s="4" t="s">
        <v>43</v>
      </c>
      <c r="C528" s="4" t="s">
        <v>65</v>
      </c>
      <c r="D528" s="4" t="n">
        <v>5</v>
      </c>
      <c r="E528" s="16" t="s">
        <v>62</v>
      </c>
      <c r="F528" s="17" t="s">
        <v>60</v>
      </c>
    </row>
    <row r="529" customFormat="false" ht="15" hidden="false" customHeight="false" outlineLevel="0" collapsed="false">
      <c r="A529" s="4" t="str">
        <f aca="false">B529&amp;"|"&amp;C529</f>
        <v>R_26_624|6</v>
      </c>
      <c r="B529" s="4" t="s">
        <v>43</v>
      </c>
      <c r="C529" s="4" t="s">
        <v>66</v>
      </c>
      <c r="D529" s="4" t="n">
        <v>6</v>
      </c>
      <c r="E529" s="16" t="s">
        <v>59</v>
      </c>
      <c r="F529" s="17" t="s">
        <v>60</v>
      </c>
    </row>
    <row r="530" customFormat="false" ht="15" hidden="false" customHeight="false" outlineLevel="0" collapsed="false">
      <c r="A530" s="4" t="str">
        <f aca="false">B530&amp;"|"&amp;C530</f>
        <v>R_26_624|7</v>
      </c>
      <c r="B530" s="4" t="s">
        <v>43</v>
      </c>
      <c r="C530" s="4" t="s">
        <v>67</v>
      </c>
      <c r="D530" s="4" t="n">
        <v>7</v>
      </c>
      <c r="E530" s="16" t="s">
        <v>72</v>
      </c>
      <c r="F530" s="17" t="s">
        <v>60</v>
      </c>
    </row>
    <row r="531" customFormat="false" ht="15" hidden="false" customHeight="false" outlineLevel="0" collapsed="false">
      <c r="A531" s="4" t="str">
        <f aca="false">B531&amp;"|"&amp;C531</f>
        <v>R_26_624|8</v>
      </c>
      <c r="B531" s="4" t="s">
        <v>43</v>
      </c>
      <c r="C531" s="4" t="s">
        <v>69</v>
      </c>
      <c r="D531" s="4" t="n">
        <v>8</v>
      </c>
      <c r="E531" s="3" t="s">
        <v>59</v>
      </c>
      <c r="F531" s="4" t="s">
        <v>70</v>
      </c>
    </row>
    <row r="532" customFormat="false" ht="15" hidden="false" customHeight="false" outlineLevel="0" collapsed="false">
      <c r="A532" s="4" t="str">
        <f aca="false">B532&amp;"|"&amp;C532</f>
        <v>R_26_624|9</v>
      </c>
      <c r="B532" s="4" t="s">
        <v>43</v>
      </c>
      <c r="C532" s="4" t="s">
        <v>71</v>
      </c>
      <c r="D532" s="4" t="n">
        <v>9</v>
      </c>
      <c r="E532" s="3" t="s">
        <v>62</v>
      </c>
      <c r="F532" s="4" t="s">
        <v>73</v>
      </c>
    </row>
    <row r="533" customFormat="false" ht="15" hidden="false" customHeight="false" outlineLevel="0" collapsed="false">
      <c r="A533" s="4" t="str">
        <f aca="false">B533&amp;"|"&amp;C533</f>
        <v>R_26_624|10</v>
      </c>
      <c r="B533" s="4" t="s">
        <v>43</v>
      </c>
      <c r="C533" s="4" t="s">
        <v>74</v>
      </c>
      <c r="D533" s="4" t="n">
        <v>10</v>
      </c>
      <c r="E533" s="8" t="s">
        <v>72</v>
      </c>
      <c r="F533" s="7" t="s">
        <v>75</v>
      </c>
    </row>
    <row r="534" customFormat="false" ht="15" hidden="false" customHeight="false" outlineLevel="0" collapsed="false">
      <c r="A534" s="4" t="str">
        <f aca="false">B534&amp;"|"&amp;C534</f>
        <v>R_26_624|11</v>
      </c>
      <c r="B534" s="4" t="s">
        <v>43</v>
      </c>
      <c r="C534" s="4" t="s">
        <v>76</v>
      </c>
      <c r="D534" s="4" t="n">
        <v>11</v>
      </c>
      <c r="E534" s="8" t="s">
        <v>59</v>
      </c>
      <c r="F534" s="7" t="s">
        <v>75</v>
      </c>
    </row>
    <row r="535" customFormat="false" ht="15" hidden="false" customHeight="false" outlineLevel="0" collapsed="false">
      <c r="A535" s="4" t="str">
        <f aca="false">B535&amp;"|"&amp;C535</f>
        <v>R_26_624|12</v>
      </c>
      <c r="B535" s="4" t="s">
        <v>43</v>
      </c>
      <c r="C535" s="4" t="s">
        <v>77</v>
      </c>
      <c r="D535" s="4" t="n">
        <v>12</v>
      </c>
      <c r="E535" s="8" t="s">
        <v>59</v>
      </c>
      <c r="F535" s="7" t="s">
        <v>75</v>
      </c>
    </row>
    <row r="536" customFormat="false" ht="15" hidden="false" customHeight="false" outlineLevel="0" collapsed="false">
      <c r="A536" s="4" t="str">
        <f aca="false">B536&amp;"|"&amp;C536</f>
        <v>R_26_624|13</v>
      </c>
      <c r="B536" s="4" t="s">
        <v>43</v>
      </c>
      <c r="C536" s="4" t="s">
        <v>78</v>
      </c>
      <c r="D536" s="4" t="n">
        <v>13</v>
      </c>
      <c r="E536" s="8" t="s">
        <v>59</v>
      </c>
      <c r="F536" s="7" t="s">
        <v>75</v>
      </c>
    </row>
    <row r="537" customFormat="false" ht="15" hidden="false" customHeight="false" outlineLevel="0" collapsed="false">
      <c r="A537" s="4" t="str">
        <f aca="false">B537&amp;"|"&amp;C537</f>
        <v>R_26_624|14</v>
      </c>
      <c r="B537" s="4" t="s">
        <v>43</v>
      </c>
      <c r="C537" s="4" t="s">
        <v>79</v>
      </c>
      <c r="D537" s="4" t="n">
        <v>14</v>
      </c>
      <c r="E537" s="18" t="s">
        <v>62</v>
      </c>
      <c r="F537" s="19" t="s">
        <v>80</v>
      </c>
    </row>
    <row r="538" customFormat="false" ht="15" hidden="false" customHeight="false" outlineLevel="0" collapsed="false">
      <c r="A538" s="4" t="str">
        <f aca="false">B538&amp;"|"&amp;C538</f>
        <v>R_26_624|15</v>
      </c>
      <c r="B538" s="4" t="s">
        <v>43</v>
      </c>
      <c r="C538" s="4" t="s">
        <v>81</v>
      </c>
      <c r="D538" s="4" t="n">
        <v>15</v>
      </c>
      <c r="E538" s="18" t="s">
        <v>59</v>
      </c>
      <c r="F538" s="19" t="s">
        <v>80</v>
      </c>
    </row>
    <row r="539" customFormat="false" ht="15" hidden="false" customHeight="false" outlineLevel="0" collapsed="false">
      <c r="A539" s="4" t="str">
        <f aca="false">B539&amp;"|"&amp;C539</f>
        <v>R_26_624|16</v>
      </c>
      <c r="B539" s="4" t="s">
        <v>43</v>
      </c>
      <c r="C539" s="4" t="s">
        <v>82</v>
      </c>
      <c r="D539" s="4" t="n">
        <v>16</v>
      </c>
      <c r="E539" s="18" t="s">
        <v>62</v>
      </c>
      <c r="F539" s="19" t="s">
        <v>80</v>
      </c>
    </row>
    <row r="540" customFormat="false" ht="15" hidden="false" customHeight="false" outlineLevel="0" collapsed="false">
      <c r="A540" s="4" t="str">
        <f aca="false">B540&amp;"|"&amp;C540</f>
        <v>R_26_624|17</v>
      </c>
      <c r="B540" s="4" t="s">
        <v>43</v>
      </c>
      <c r="C540" s="4" t="s">
        <v>151</v>
      </c>
      <c r="D540" s="4" t="n">
        <v>17</v>
      </c>
      <c r="E540" s="18" t="s">
        <v>62</v>
      </c>
      <c r="F540" s="19" t="s">
        <v>80</v>
      </c>
    </row>
    <row r="541" customFormat="false" ht="15" hidden="false" customHeight="false" outlineLevel="0" collapsed="false">
      <c r="A541" s="4" t="str">
        <f aca="false">B541&amp;"|"&amp;C541</f>
        <v>R_26_624|18</v>
      </c>
      <c r="B541" s="4" t="s">
        <v>43</v>
      </c>
      <c r="C541" s="4" t="s">
        <v>83</v>
      </c>
      <c r="D541" s="4" t="n">
        <v>18</v>
      </c>
      <c r="E541" s="18" t="s">
        <v>72</v>
      </c>
      <c r="F541" s="19" t="s">
        <v>80</v>
      </c>
    </row>
    <row r="542" customFormat="false" ht="15" hidden="false" customHeight="false" outlineLevel="0" collapsed="false">
      <c r="A542" s="4" t="str">
        <f aca="false">B542&amp;"|"&amp;C542</f>
        <v>R_26_624|19</v>
      </c>
      <c r="B542" s="4" t="s">
        <v>43</v>
      </c>
      <c r="C542" s="4" t="s">
        <v>84</v>
      </c>
      <c r="D542" s="4" t="n">
        <v>19</v>
      </c>
      <c r="E542" s="18" t="s">
        <v>72</v>
      </c>
      <c r="F542" s="19" t="s">
        <v>80</v>
      </c>
    </row>
    <row r="543" customFormat="false" ht="15" hidden="false" customHeight="false" outlineLevel="0" collapsed="false">
      <c r="A543" s="4" t="str">
        <f aca="false">B543&amp;"|"&amp;C543</f>
        <v>R_26_624|20</v>
      </c>
      <c r="B543" s="4" t="s">
        <v>43</v>
      </c>
      <c r="C543" s="4" t="s">
        <v>85</v>
      </c>
      <c r="D543" s="4" t="n">
        <v>20</v>
      </c>
      <c r="E543" s="18" t="s">
        <v>72</v>
      </c>
      <c r="F543" s="19" t="s">
        <v>80</v>
      </c>
    </row>
    <row r="544" customFormat="false" ht="15" hidden="false" customHeight="false" outlineLevel="0" collapsed="false">
      <c r="A544" s="4" t="str">
        <f aca="false">B544&amp;"|"&amp;C544</f>
        <v>R_26_624|21</v>
      </c>
      <c r="B544" s="4" t="s">
        <v>43</v>
      </c>
      <c r="C544" s="4" t="s">
        <v>88</v>
      </c>
      <c r="D544" s="4" t="n">
        <v>21</v>
      </c>
      <c r="E544" s="18" t="s">
        <v>59</v>
      </c>
      <c r="F544" s="19" t="s">
        <v>80</v>
      </c>
    </row>
    <row r="545" customFormat="false" ht="15" hidden="false" customHeight="false" outlineLevel="0" collapsed="false">
      <c r="A545" s="4" t="str">
        <f aca="false">B545&amp;"|"&amp;C545</f>
        <v>R_26_624|22</v>
      </c>
      <c r="B545" s="4" t="s">
        <v>43</v>
      </c>
      <c r="C545" s="4" t="s">
        <v>89</v>
      </c>
      <c r="D545" s="4" t="n">
        <v>22</v>
      </c>
      <c r="E545" s="8" t="s">
        <v>72</v>
      </c>
      <c r="F545" s="7" t="s">
        <v>75</v>
      </c>
    </row>
    <row r="546" customFormat="false" ht="15" hidden="false" customHeight="false" outlineLevel="0" collapsed="false">
      <c r="A546" s="4" t="str">
        <f aca="false">B546&amp;"|"&amp;C546</f>
        <v>R_26_624|23</v>
      </c>
      <c r="B546" s="4" t="s">
        <v>43</v>
      </c>
      <c r="C546" s="4" t="s">
        <v>90</v>
      </c>
      <c r="D546" s="4" t="n">
        <v>23</v>
      </c>
      <c r="E546" s="8" t="s">
        <v>62</v>
      </c>
      <c r="F546" s="7" t="s">
        <v>75</v>
      </c>
    </row>
    <row r="547" customFormat="false" ht="15" hidden="false" customHeight="false" outlineLevel="0" collapsed="false">
      <c r="A547" s="4" t="str">
        <f aca="false">B547&amp;"|"&amp;C547</f>
        <v>R_26_624|24</v>
      </c>
      <c r="B547" s="4" t="s">
        <v>43</v>
      </c>
      <c r="C547" s="4" t="s">
        <v>91</v>
      </c>
      <c r="D547" s="4" t="n">
        <v>24</v>
      </c>
      <c r="E547" s="8" t="s">
        <v>62</v>
      </c>
      <c r="F547" s="7" t="s">
        <v>75</v>
      </c>
    </row>
    <row r="548" customFormat="false" ht="15" hidden="false" customHeight="false" outlineLevel="0" collapsed="false">
      <c r="A548" s="4" t="str">
        <f aca="false">B548&amp;"|"&amp;C548</f>
        <v>R_26_624|25</v>
      </c>
      <c r="B548" s="4" t="s">
        <v>43</v>
      </c>
      <c r="C548" s="4" t="s">
        <v>92</v>
      </c>
      <c r="D548" s="4" t="n">
        <v>25</v>
      </c>
      <c r="E548" s="8" t="s">
        <v>59</v>
      </c>
      <c r="F548" s="7" t="s">
        <v>75</v>
      </c>
    </row>
    <row r="549" customFormat="false" ht="15" hidden="false" customHeight="false" outlineLevel="0" collapsed="false">
      <c r="A549" s="4" t="str">
        <f aca="false">B549&amp;"|"&amp;C549</f>
        <v>R_26_624|26</v>
      </c>
      <c r="B549" s="4" t="s">
        <v>43</v>
      </c>
      <c r="C549" s="4" t="s">
        <v>93</v>
      </c>
      <c r="D549" s="4" t="n">
        <v>26</v>
      </c>
      <c r="E549" s="3" t="s">
        <v>72</v>
      </c>
      <c r="F549" s="4" t="s">
        <v>94</v>
      </c>
    </row>
    <row r="550" customFormat="false" ht="15" hidden="false" customHeight="false" outlineLevel="0" collapsed="false">
      <c r="A550" s="4" t="str">
        <f aca="false">B550&amp;"|"&amp;C550</f>
        <v>R_26_624|27</v>
      </c>
      <c r="B550" s="4" t="s">
        <v>43</v>
      </c>
      <c r="C550" s="4" t="s">
        <v>95</v>
      </c>
      <c r="D550" s="4" t="n">
        <v>27</v>
      </c>
      <c r="E550" s="20" t="s">
        <v>59</v>
      </c>
      <c r="F550" s="21" t="s">
        <v>96</v>
      </c>
    </row>
    <row r="551" customFormat="false" ht="15" hidden="false" customHeight="false" outlineLevel="0" collapsed="false">
      <c r="A551" s="4" t="str">
        <f aca="false">B551&amp;"|"&amp;C551</f>
        <v>R_26_624|28</v>
      </c>
      <c r="B551" s="4" t="s">
        <v>43</v>
      </c>
      <c r="C551" s="4" t="s">
        <v>97</v>
      </c>
      <c r="D551" s="4" t="n">
        <v>28</v>
      </c>
      <c r="E551" s="20" t="s">
        <v>59</v>
      </c>
      <c r="F551" s="21" t="s">
        <v>96</v>
      </c>
    </row>
    <row r="552" customFormat="false" ht="15" hidden="false" customHeight="false" outlineLevel="0" collapsed="false">
      <c r="A552" s="4" t="str">
        <f aca="false">B552&amp;"|"&amp;C552</f>
        <v>R_26_624|29</v>
      </c>
      <c r="B552" s="4" t="s">
        <v>43</v>
      </c>
      <c r="C552" s="4" t="s">
        <v>98</v>
      </c>
      <c r="D552" s="4" t="n">
        <v>29</v>
      </c>
      <c r="E552" s="20" t="s">
        <v>59</v>
      </c>
      <c r="F552" s="21" t="s">
        <v>96</v>
      </c>
    </row>
    <row r="553" customFormat="false" ht="15" hidden="false" customHeight="false" outlineLevel="0" collapsed="false">
      <c r="A553" s="4" t="str">
        <f aca="false">B553&amp;"|"&amp;C553</f>
        <v>R_26_624|30</v>
      </c>
      <c r="B553" s="4" t="s">
        <v>43</v>
      </c>
      <c r="C553" s="4" t="s">
        <v>99</v>
      </c>
      <c r="D553" s="4" t="n">
        <v>30</v>
      </c>
      <c r="E553" s="20" t="s">
        <v>59</v>
      </c>
      <c r="F553" s="21" t="s">
        <v>96</v>
      </c>
    </row>
    <row r="554" customFormat="false" ht="15" hidden="false" customHeight="false" outlineLevel="0" collapsed="false">
      <c r="A554" s="4" t="str">
        <f aca="false">B554&amp;"|"&amp;C554</f>
        <v>R_26_624|31</v>
      </c>
      <c r="B554" s="4" t="s">
        <v>43</v>
      </c>
      <c r="C554" s="4" t="s">
        <v>100</v>
      </c>
      <c r="D554" s="4" t="n">
        <v>31</v>
      </c>
      <c r="E554" s="20" t="s">
        <v>62</v>
      </c>
      <c r="F554" s="21" t="s">
        <v>96</v>
      </c>
    </row>
    <row r="555" customFormat="false" ht="15" hidden="false" customHeight="false" outlineLevel="0" collapsed="false">
      <c r="A555" s="4" t="str">
        <f aca="false">B555&amp;"|"&amp;C555</f>
        <v>R_26_624|32</v>
      </c>
      <c r="B555" s="4" t="s">
        <v>43</v>
      </c>
      <c r="C555" s="4" t="s">
        <v>101</v>
      </c>
      <c r="D555" s="4" t="n">
        <v>32</v>
      </c>
      <c r="E555" s="18" t="s">
        <v>59</v>
      </c>
      <c r="F555" s="19" t="s">
        <v>102</v>
      </c>
    </row>
    <row r="556" customFormat="false" ht="15" hidden="false" customHeight="false" outlineLevel="0" collapsed="false">
      <c r="A556" s="4" t="str">
        <f aca="false">B556&amp;"|"&amp;C556</f>
        <v>R_26_624|33</v>
      </c>
      <c r="B556" s="4" t="s">
        <v>43</v>
      </c>
      <c r="C556" s="4" t="s">
        <v>103</v>
      </c>
      <c r="D556" s="4" t="n">
        <v>33</v>
      </c>
      <c r="E556" s="18" t="s">
        <v>59</v>
      </c>
      <c r="F556" s="19" t="s">
        <v>102</v>
      </c>
    </row>
    <row r="557" customFormat="false" ht="15" hidden="false" customHeight="false" outlineLevel="0" collapsed="false">
      <c r="A557" s="4" t="str">
        <f aca="false">B557&amp;"|"&amp;C557</f>
        <v>R_26_624|34</v>
      </c>
      <c r="B557" s="4" t="s">
        <v>43</v>
      </c>
      <c r="C557" s="4" t="s">
        <v>104</v>
      </c>
      <c r="D557" s="4" t="n">
        <v>34</v>
      </c>
      <c r="E557" s="18" t="s">
        <v>59</v>
      </c>
      <c r="F557" s="19" t="s">
        <v>102</v>
      </c>
    </row>
    <row r="558" customFormat="false" ht="15" hidden="false" customHeight="false" outlineLevel="0" collapsed="false">
      <c r="A558" s="4" t="str">
        <f aca="false">B558&amp;"|"&amp;C558</f>
        <v>R_26_624|35</v>
      </c>
      <c r="B558" s="4" t="s">
        <v>43</v>
      </c>
      <c r="C558" s="4" t="s">
        <v>105</v>
      </c>
      <c r="D558" s="4" t="n">
        <v>35</v>
      </c>
      <c r="E558" s="18" t="s">
        <v>59</v>
      </c>
      <c r="F558" s="19" t="s">
        <v>102</v>
      </c>
    </row>
    <row r="559" customFormat="false" ht="15" hidden="false" customHeight="false" outlineLevel="0" collapsed="false">
      <c r="A559" s="4" t="str">
        <f aca="false">B559&amp;"|"&amp;C559</f>
        <v>R_26_624|36</v>
      </c>
      <c r="B559" s="4" t="s">
        <v>43</v>
      </c>
      <c r="C559" s="4" t="s">
        <v>106</v>
      </c>
      <c r="D559" s="4" t="n">
        <v>36</v>
      </c>
      <c r="E559" s="18" t="s">
        <v>62</v>
      </c>
      <c r="F559" s="19" t="s">
        <v>102</v>
      </c>
    </row>
    <row r="560" customFormat="false" ht="15" hidden="false" customHeight="false" outlineLevel="0" collapsed="false">
      <c r="A560" s="4" t="str">
        <f aca="false">B560&amp;"|"&amp;C560</f>
        <v>R_26_624|37</v>
      </c>
      <c r="B560" s="4" t="s">
        <v>43</v>
      </c>
      <c r="C560" s="4" t="s">
        <v>107</v>
      </c>
      <c r="D560" s="4" t="n">
        <v>37</v>
      </c>
      <c r="E560" s="18" t="s">
        <v>72</v>
      </c>
      <c r="F560" s="19" t="s">
        <v>102</v>
      </c>
    </row>
    <row r="561" customFormat="false" ht="15" hidden="false" customHeight="false" outlineLevel="0" collapsed="false">
      <c r="A561" s="4" t="str">
        <f aca="false">B561&amp;"|"&amp;C561</f>
        <v>R_26_624|38</v>
      </c>
      <c r="B561" s="4" t="s">
        <v>43</v>
      </c>
      <c r="C561" s="4" t="s">
        <v>108</v>
      </c>
      <c r="D561" s="4" t="n">
        <v>38</v>
      </c>
      <c r="E561" s="18" t="s">
        <v>62</v>
      </c>
      <c r="F561" s="19" t="s">
        <v>102</v>
      </c>
    </row>
    <row r="562" customFormat="false" ht="15" hidden="false" customHeight="false" outlineLevel="0" collapsed="false">
      <c r="A562" s="4" t="str">
        <f aca="false">B562&amp;"|"&amp;C562</f>
        <v>R_26_624|39</v>
      </c>
      <c r="B562" s="4" t="s">
        <v>43</v>
      </c>
      <c r="C562" s="4" t="s">
        <v>109</v>
      </c>
      <c r="D562" s="4" t="n">
        <v>39</v>
      </c>
      <c r="E562" s="20" t="s">
        <v>59</v>
      </c>
      <c r="F562" s="21" t="s">
        <v>96</v>
      </c>
    </row>
    <row r="563" customFormat="false" ht="15" hidden="false" customHeight="false" outlineLevel="0" collapsed="false">
      <c r="A563" s="4" t="str">
        <f aca="false">B563&amp;"|"&amp;C563</f>
        <v>R_26_624|40</v>
      </c>
      <c r="B563" s="4" t="s">
        <v>43</v>
      </c>
      <c r="C563" s="4" t="s">
        <v>110</v>
      </c>
      <c r="D563" s="4" t="n">
        <v>40</v>
      </c>
      <c r="E563" s="20" t="s">
        <v>62</v>
      </c>
      <c r="F563" s="21" t="s">
        <v>96</v>
      </c>
    </row>
    <row r="564" customFormat="false" ht="15" hidden="false" customHeight="false" outlineLevel="0" collapsed="false">
      <c r="A564" s="4" t="str">
        <f aca="false">B564&amp;"|"&amp;C564</f>
        <v>R_26_624|41</v>
      </c>
      <c r="B564" s="4" t="s">
        <v>43</v>
      </c>
      <c r="C564" s="4" t="s">
        <v>111</v>
      </c>
      <c r="D564" s="4" t="n">
        <v>41</v>
      </c>
      <c r="E564" s="20" t="s">
        <v>62</v>
      </c>
      <c r="F564" s="21" t="s">
        <v>96</v>
      </c>
    </row>
    <row r="565" customFormat="false" ht="15" hidden="false" customHeight="false" outlineLevel="0" collapsed="false">
      <c r="A565" s="4" t="str">
        <f aca="false">B565&amp;"|"&amp;C565</f>
        <v>R_26_624|42</v>
      </c>
      <c r="B565" s="4" t="s">
        <v>43</v>
      </c>
      <c r="C565" s="4" t="s">
        <v>112</v>
      </c>
      <c r="D565" s="4" t="n">
        <v>42</v>
      </c>
      <c r="E565" s="20" t="s">
        <v>62</v>
      </c>
      <c r="F565" s="21" t="s">
        <v>96</v>
      </c>
    </row>
    <row r="566" customFormat="false" ht="15" hidden="false" customHeight="false" outlineLevel="0" collapsed="false">
      <c r="A566" s="4" t="str">
        <f aca="false">B566&amp;"|"&amp;C566</f>
        <v>R_26_624|43</v>
      </c>
      <c r="B566" s="4" t="s">
        <v>43</v>
      </c>
      <c r="C566" s="4" t="s">
        <v>113</v>
      </c>
      <c r="D566" s="4" t="n">
        <v>43</v>
      </c>
      <c r="E566" s="20" t="s">
        <v>68</v>
      </c>
      <c r="F566" s="21" t="s">
        <v>96</v>
      </c>
    </row>
    <row r="567" customFormat="false" ht="15" hidden="false" customHeight="false" outlineLevel="0" collapsed="false">
      <c r="A567" s="4" t="str">
        <f aca="false">B567&amp;"|"&amp;C567</f>
        <v>R_26_624|44</v>
      </c>
      <c r="B567" s="4" t="s">
        <v>43</v>
      </c>
      <c r="C567" s="4" t="s">
        <v>114</v>
      </c>
      <c r="D567" s="4" t="n">
        <v>44</v>
      </c>
      <c r="E567" s="18" t="s">
        <v>59</v>
      </c>
      <c r="F567" s="19" t="s">
        <v>115</v>
      </c>
    </row>
    <row r="568" customFormat="false" ht="15" hidden="false" customHeight="false" outlineLevel="0" collapsed="false">
      <c r="A568" s="4" t="str">
        <f aca="false">B568&amp;"|"&amp;C568</f>
        <v>R_26_624|45</v>
      </c>
      <c r="B568" s="4" t="s">
        <v>43</v>
      </c>
      <c r="C568" s="4" t="s">
        <v>116</v>
      </c>
      <c r="D568" s="4" t="n">
        <v>45</v>
      </c>
      <c r="E568" s="18" t="s">
        <v>68</v>
      </c>
      <c r="F568" s="19" t="s">
        <v>115</v>
      </c>
    </row>
    <row r="569" customFormat="false" ht="15" hidden="false" customHeight="false" outlineLevel="0" collapsed="false">
      <c r="A569" s="4" t="str">
        <f aca="false">B569&amp;"|"&amp;C569</f>
        <v>R_26_624|e1</v>
      </c>
      <c r="B569" s="4" t="s">
        <v>43</v>
      </c>
      <c r="C569" s="4" t="s">
        <v>117</v>
      </c>
      <c r="D569" s="4" t="n">
        <v>46</v>
      </c>
      <c r="E569" s="18" t="s">
        <v>62</v>
      </c>
      <c r="F569" s="19" t="s">
        <v>115</v>
      </c>
    </row>
    <row r="570" customFormat="false" ht="15" hidden="false" customHeight="false" outlineLevel="0" collapsed="false">
      <c r="A570" s="4" t="str">
        <f aca="false">B570&amp;"|"&amp;C570</f>
        <v>R_26_624|e2</v>
      </c>
      <c r="B570" s="4" t="s">
        <v>43</v>
      </c>
      <c r="C570" s="4" t="s">
        <v>118</v>
      </c>
      <c r="D570" s="4" t="n">
        <v>47</v>
      </c>
      <c r="E570" s="18" t="s">
        <v>59</v>
      </c>
      <c r="F570" s="19" t="s">
        <v>115</v>
      </c>
    </row>
    <row r="571" customFormat="false" ht="15" hidden="false" customHeight="false" outlineLevel="0" collapsed="false">
      <c r="A571" s="4" t="str">
        <f aca="false">B571&amp;"|"&amp;C571</f>
        <v>R_26_624|e3</v>
      </c>
      <c r="B571" s="4" t="s">
        <v>43</v>
      </c>
      <c r="C571" s="4" t="s">
        <v>119</v>
      </c>
      <c r="D571" s="4" t="n">
        <v>48</v>
      </c>
      <c r="E571" s="18" t="s">
        <v>59</v>
      </c>
      <c r="F571" s="19" t="s">
        <v>115</v>
      </c>
    </row>
    <row r="572" customFormat="false" ht="15" hidden="false" customHeight="false" outlineLevel="0" collapsed="false">
      <c r="A572" s="4" t="str">
        <f aca="false">B572&amp;"|"&amp;C572</f>
        <v>R_26_624|e4</v>
      </c>
      <c r="B572" s="4" t="s">
        <v>43</v>
      </c>
      <c r="C572" s="4" t="s">
        <v>120</v>
      </c>
      <c r="D572" s="4" t="n">
        <v>49</v>
      </c>
      <c r="E572" s="18" t="s">
        <v>59</v>
      </c>
      <c r="F572" s="19" t="s">
        <v>115</v>
      </c>
    </row>
    <row r="573" customFormat="false" ht="15" hidden="false" customHeight="false" outlineLevel="0" collapsed="false">
      <c r="A573" s="4" t="str">
        <f aca="false">B573&amp;"|"&amp;C573</f>
        <v>R_26_624|e5</v>
      </c>
      <c r="B573" s="4" t="s">
        <v>43</v>
      </c>
      <c r="C573" s="4" t="s">
        <v>121</v>
      </c>
      <c r="D573" s="4" t="n">
        <v>50</v>
      </c>
      <c r="E573" s="18" t="s">
        <v>68</v>
      </c>
      <c r="F573" s="19" t="s">
        <v>115</v>
      </c>
    </row>
    <row r="574" customFormat="false" ht="15" hidden="false" customHeight="false" outlineLevel="0" collapsed="false">
      <c r="A574" s="4" t="str">
        <f aca="false">B574&amp;"|"&amp;C574</f>
        <v>R_26_624|e6</v>
      </c>
      <c r="B574" s="4" t="s">
        <v>43</v>
      </c>
      <c r="C574" s="4" t="s">
        <v>153</v>
      </c>
      <c r="D574" s="4" t="n">
        <v>51</v>
      </c>
      <c r="E574" s="18" t="s">
        <v>62</v>
      </c>
      <c r="F574" s="19" t="s">
        <v>115</v>
      </c>
    </row>
    <row r="575" customFormat="false" ht="15" hidden="false" customHeight="false" outlineLevel="0" collapsed="false">
      <c r="A575" s="4" t="str">
        <f aca="false">B575&amp;"|"&amp;C575</f>
        <v>R_26_624|46</v>
      </c>
      <c r="B575" s="4" t="s">
        <v>43</v>
      </c>
      <c r="C575" s="4" t="s">
        <v>122</v>
      </c>
      <c r="D575" s="4" t="n">
        <v>52</v>
      </c>
      <c r="E575" s="18" t="s">
        <v>59</v>
      </c>
      <c r="F575" s="19" t="s">
        <v>115</v>
      </c>
    </row>
    <row r="576" customFormat="false" ht="15" hidden="false" customHeight="false" outlineLevel="0" collapsed="false">
      <c r="A576" s="4" t="str">
        <f aca="false">B576&amp;"|"&amp;C576</f>
        <v>R_26_624|47</v>
      </c>
      <c r="B576" s="4" t="s">
        <v>43</v>
      </c>
      <c r="C576" s="4" t="s">
        <v>123</v>
      </c>
      <c r="D576" s="4" t="n">
        <v>53</v>
      </c>
      <c r="E576" s="18" t="s">
        <v>68</v>
      </c>
      <c r="F576" s="19" t="s">
        <v>115</v>
      </c>
    </row>
    <row r="577" customFormat="false" ht="15" hidden="false" customHeight="false" outlineLevel="0" collapsed="false">
      <c r="A577" s="4" t="str">
        <f aca="false">B577&amp;"|"&amp;C577</f>
        <v>R_26_624|48</v>
      </c>
      <c r="B577" s="4" t="s">
        <v>43</v>
      </c>
      <c r="C577" s="4" t="s">
        <v>124</v>
      </c>
      <c r="D577" s="4" t="n">
        <v>54</v>
      </c>
      <c r="E577" s="18" t="s">
        <v>72</v>
      </c>
      <c r="F577" s="19" t="s">
        <v>115</v>
      </c>
    </row>
    <row r="578" customFormat="false" ht="15" hidden="false" customHeight="false" outlineLevel="0" collapsed="false">
      <c r="A578" s="4" t="str">
        <f aca="false">B578&amp;"|"&amp;C578</f>
        <v>R_26_624|49</v>
      </c>
      <c r="B578" s="4" t="s">
        <v>43</v>
      </c>
      <c r="C578" s="4" t="s">
        <v>125</v>
      </c>
      <c r="D578" s="4" t="n">
        <v>55</v>
      </c>
      <c r="E578" s="22" t="s">
        <v>68</v>
      </c>
      <c r="F578" s="10" t="s">
        <v>126</v>
      </c>
    </row>
    <row r="579" customFormat="false" ht="15" hidden="false" customHeight="false" outlineLevel="0" collapsed="false">
      <c r="A579" s="4" t="str">
        <f aca="false">B579&amp;"|"&amp;C579</f>
        <v>R_26_624|50</v>
      </c>
      <c r="B579" s="4" t="s">
        <v>43</v>
      </c>
      <c r="C579" s="4" t="s">
        <v>127</v>
      </c>
      <c r="D579" s="4" t="n">
        <v>56</v>
      </c>
      <c r="E579" s="22" t="s">
        <v>62</v>
      </c>
      <c r="F579" s="10" t="s">
        <v>126</v>
      </c>
    </row>
    <row r="580" customFormat="false" ht="15" hidden="false" customHeight="false" outlineLevel="0" collapsed="false">
      <c r="A580" s="4" t="str">
        <f aca="false">B580&amp;"|"&amp;C580</f>
        <v>R_26_624|51</v>
      </c>
      <c r="B580" s="4" t="s">
        <v>43</v>
      </c>
      <c r="C580" s="4" t="s">
        <v>128</v>
      </c>
      <c r="D580" s="4" t="n">
        <v>57</v>
      </c>
      <c r="E580" s="22" t="s">
        <v>59</v>
      </c>
      <c r="F580" s="10" t="s">
        <v>126</v>
      </c>
    </row>
    <row r="581" customFormat="false" ht="15" hidden="false" customHeight="false" outlineLevel="0" collapsed="false">
      <c r="A581" s="4" t="str">
        <f aca="false">B581&amp;"|"&amp;C581</f>
        <v>R_26_624|52</v>
      </c>
      <c r="B581" s="4" t="s">
        <v>43</v>
      </c>
      <c r="C581" s="4" t="s">
        <v>129</v>
      </c>
      <c r="D581" s="4" t="n">
        <v>58</v>
      </c>
      <c r="E581" s="22" t="s">
        <v>59</v>
      </c>
      <c r="F581" s="10" t="s">
        <v>126</v>
      </c>
    </row>
    <row r="582" customFormat="false" ht="15" hidden="false" customHeight="false" outlineLevel="0" collapsed="false">
      <c r="A582" s="4" t="str">
        <f aca="false">B582&amp;"|"&amp;C582</f>
        <v>R_26_624|53</v>
      </c>
      <c r="B582" s="4" t="s">
        <v>43</v>
      </c>
      <c r="C582" s="4" t="s">
        <v>130</v>
      </c>
      <c r="D582" s="4" t="n">
        <v>59</v>
      </c>
      <c r="E582" s="22" t="s">
        <v>72</v>
      </c>
      <c r="F582" s="10" t="s">
        <v>126</v>
      </c>
    </row>
    <row r="583" customFormat="false" ht="15" hidden="false" customHeight="false" outlineLevel="0" collapsed="false">
      <c r="A583" s="4" t="str">
        <f aca="false">B583&amp;"|"&amp;C583</f>
        <v>R_26_624|54</v>
      </c>
      <c r="B583" s="4" t="s">
        <v>43</v>
      </c>
      <c r="C583" s="4" t="s">
        <v>131</v>
      </c>
      <c r="D583" s="4" t="n">
        <v>60</v>
      </c>
      <c r="E583" s="18" t="s">
        <v>59</v>
      </c>
      <c r="F583" s="19" t="s">
        <v>132</v>
      </c>
    </row>
    <row r="584" customFormat="false" ht="15" hidden="false" customHeight="false" outlineLevel="0" collapsed="false">
      <c r="A584" s="4" t="str">
        <f aca="false">B584&amp;"|"&amp;C584</f>
        <v>R_26_624|55</v>
      </c>
      <c r="B584" s="4" t="s">
        <v>43</v>
      </c>
      <c r="C584" s="4" t="s">
        <v>133</v>
      </c>
      <c r="D584" s="4" t="n">
        <v>61</v>
      </c>
      <c r="E584" s="18" t="s">
        <v>59</v>
      </c>
      <c r="F584" s="19" t="s">
        <v>132</v>
      </c>
    </row>
    <row r="585" customFormat="false" ht="15" hidden="false" customHeight="false" outlineLevel="0" collapsed="false">
      <c r="A585" s="4" t="str">
        <f aca="false">B585&amp;"|"&amp;C585</f>
        <v>R_26_624|56</v>
      </c>
      <c r="B585" s="4" t="s">
        <v>43</v>
      </c>
      <c r="C585" s="4" t="s">
        <v>134</v>
      </c>
      <c r="D585" s="4" t="n">
        <v>62</v>
      </c>
      <c r="E585" s="18" t="s">
        <v>68</v>
      </c>
      <c r="F585" s="19" t="s">
        <v>132</v>
      </c>
    </row>
    <row r="586" customFormat="false" ht="15" hidden="false" customHeight="false" outlineLevel="0" collapsed="false">
      <c r="A586" s="4" t="str">
        <f aca="false">B586&amp;"|"&amp;C586</f>
        <v>R_26_624|57</v>
      </c>
      <c r="B586" s="4" t="s">
        <v>43</v>
      </c>
      <c r="C586" s="4" t="s">
        <v>135</v>
      </c>
      <c r="D586" s="4" t="n">
        <v>63</v>
      </c>
      <c r="E586" s="18" t="s">
        <v>59</v>
      </c>
      <c r="F586" s="19" t="s">
        <v>132</v>
      </c>
    </row>
    <row r="587" customFormat="false" ht="15" hidden="false" customHeight="false" outlineLevel="0" collapsed="false">
      <c r="A587" s="4" t="str">
        <f aca="false">B587&amp;"|"&amp;C587</f>
        <v>R_26_624|58</v>
      </c>
      <c r="B587" s="4" t="s">
        <v>43</v>
      </c>
      <c r="C587" s="4" t="s">
        <v>136</v>
      </c>
      <c r="D587" s="4" t="n">
        <v>64</v>
      </c>
      <c r="E587" s="18" t="s">
        <v>62</v>
      </c>
      <c r="F587" s="19" t="s">
        <v>132</v>
      </c>
    </row>
    <row r="588" customFormat="false" ht="15" hidden="false" customHeight="false" outlineLevel="0" collapsed="false">
      <c r="A588" s="4" t="str">
        <f aca="false">B588&amp;"|"&amp;C588</f>
        <v>R_26_624|59</v>
      </c>
      <c r="B588" s="4" t="s">
        <v>43</v>
      </c>
      <c r="C588" s="4" t="s">
        <v>137</v>
      </c>
      <c r="D588" s="4" t="n">
        <v>65</v>
      </c>
      <c r="E588" s="18" t="s">
        <v>62</v>
      </c>
      <c r="F588" s="19" t="s">
        <v>132</v>
      </c>
    </row>
    <row r="589" customFormat="false" ht="15" hidden="false" customHeight="false" outlineLevel="0" collapsed="false">
      <c r="A589" s="4" t="str">
        <f aca="false">B589&amp;"|"&amp;C589</f>
        <v>R_26_624|60</v>
      </c>
      <c r="B589" s="4" t="s">
        <v>43</v>
      </c>
      <c r="C589" s="4" t="s">
        <v>138</v>
      </c>
      <c r="D589" s="4" t="n">
        <v>66</v>
      </c>
      <c r="E589" s="18" t="s">
        <v>72</v>
      </c>
      <c r="F589" s="19" t="s">
        <v>132</v>
      </c>
    </row>
    <row r="590" customFormat="false" ht="15" hidden="false" customHeight="false" outlineLevel="0" collapsed="false">
      <c r="A590" s="4" t="str">
        <f aca="false">B590&amp;"|"&amp;C590</f>
        <v>R_26_624|61</v>
      </c>
      <c r="B590" s="4" t="s">
        <v>43</v>
      </c>
      <c r="C590" s="4" t="s">
        <v>139</v>
      </c>
      <c r="D590" s="4" t="n">
        <v>67</v>
      </c>
      <c r="E590" s="22" t="s">
        <v>68</v>
      </c>
      <c r="F590" s="10" t="s">
        <v>126</v>
      </c>
    </row>
    <row r="591" customFormat="false" ht="15" hidden="false" customHeight="false" outlineLevel="0" collapsed="false">
      <c r="A591" s="4" t="str">
        <f aca="false">B591&amp;"|"&amp;C591</f>
        <v>R_26_624|62</v>
      </c>
      <c r="B591" s="4" t="s">
        <v>43</v>
      </c>
      <c r="C591" s="4" t="s">
        <v>140</v>
      </c>
      <c r="D591" s="4" t="n">
        <v>68</v>
      </c>
      <c r="E591" s="22" t="s">
        <v>72</v>
      </c>
      <c r="F591" s="10" t="s">
        <v>126</v>
      </c>
    </row>
    <row r="592" customFormat="false" ht="15" hidden="false" customHeight="false" outlineLevel="0" collapsed="false">
      <c r="A592" s="4" t="str">
        <f aca="false">B592&amp;"|"&amp;C592</f>
        <v>R_26_624|63</v>
      </c>
      <c r="B592" s="4" t="s">
        <v>43</v>
      </c>
      <c r="C592" s="4" t="s">
        <v>141</v>
      </c>
      <c r="D592" s="4" t="n">
        <v>69</v>
      </c>
      <c r="E592" s="22" t="s">
        <v>62</v>
      </c>
      <c r="F592" s="10" t="s">
        <v>126</v>
      </c>
    </row>
    <row r="593" customFormat="false" ht="15" hidden="false" customHeight="false" outlineLevel="0" collapsed="false">
      <c r="A593" s="4" t="str">
        <f aca="false">B593&amp;"|"&amp;C593</f>
        <v>R_26_624|64</v>
      </c>
      <c r="B593" s="4" t="s">
        <v>43</v>
      </c>
      <c r="C593" s="4" t="s">
        <v>142</v>
      </c>
      <c r="D593" s="4" t="n">
        <v>70</v>
      </c>
      <c r="E593" s="22" t="s">
        <v>68</v>
      </c>
      <c r="F593" s="10" t="s">
        <v>126</v>
      </c>
    </row>
    <row r="594" customFormat="false" ht="15" hidden="false" customHeight="false" outlineLevel="0" collapsed="false">
      <c r="A594" s="4" t="str">
        <f aca="false">B594&amp;"|"&amp;C594</f>
        <v>R_26_624|65</v>
      </c>
      <c r="B594" s="4" t="s">
        <v>43</v>
      </c>
      <c r="C594" s="4" t="s">
        <v>143</v>
      </c>
      <c r="D594" s="4" t="n">
        <v>71</v>
      </c>
      <c r="E594" s="22" t="s">
        <v>72</v>
      </c>
      <c r="F594" s="10" t="s">
        <v>126</v>
      </c>
    </row>
    <row r="595" customFormat="false" ht="15" hidden="false" customHeight="false" outlineLevel="0" collapsed="false">
      <c r="A595" s="4" t="str">
        <f aca="false">B595&amp;"|"&amp;C595</f>
        <v>R_26_624|66</v>
      </c>
      <c r="B595" s="4" t="s">
        <v>43</v>
      </c>
      <c r="C595" s="4" t="s">
        <v>144</v>
      </c>
      <c r="D595" s="4" t="n">
        <v>72</v>
      </c>
      <c r="E595" s="16" t="s">
        <v>68</v>
      </c>
      <c r="F595" s="17" t="s">
        <v>60</v>
      </c>
    </row>
    <row r="596" customFormat="false" ht="15" hidden="false" customHeight="false" outlineLevel="0" collapsed="false">
      <c r="A596" s="4" t="str">
        <f aca="false">B596&amp;"|"&amp;C596</f>
        <v>R_26_624|67</v>
      </c>
      <c r="B596" s="4" t="s">
        <v>43</v>
      </c>
      <c r="C596" s="4" t="s">
        <v>145</v>
      </c>
      <c r="D596" s="4" t="n">
        <v>73</v>
      </c>
      <c r="E596" s="16" t="s">
        <v>62</v>
      </c>
      <c r="F596" s="17" t="s">
        <v>60</v>
      </c>
    </row>
    <row r="597" customFormat="false" ht="15" hidden="false" customHeight="false" outlineLevel="0" collapsed="false">
      <c r="A597" s="4" t="str">
        <f aca="false">B597&amp;"|"&amp;C597</f>
        <v>R_26_624|68</v>
      </c>
      <c r="B597" s="4" t="s">
        <v>43</v>
      </c>
      <c r="C597" s="4" t="s">
        <v>146</v>
      </c>
      <c r="D597" s="4" t="n">
        <v>74</v>
      </c>
      <c r="E597" s="16" t="s">
        <v>59</v>
      </c>
      <c r="F597" s="17" t="s">
        <v>60</v>
      </c>
    </row>
    <row r="598" customFormat="false" ht="15" hidden="false" customHeight="false" outlineLevel="0" collapsed="false">
      <c r="A598" s="4" t="str">
        <f aca="false">B598&amp;"|"&amp;C598</f>
        <v>R_26_624|69</v>
      </c>
      <c r="B598" s="4" t="s">
        <v>43</v>
      </c>
      <c r="C598" s="4" t="s">
        <v>147</v>
      </c>
      <c r="D598" s="4" t="n">
        <v>75</v>
      </c>
      <c r="E598" s="16" t="s">
        <v>59</v>
      </c>
      <c r="F598" s="17" t="s">
        <v>60</v>
      </c>
    </row>
    <row r="599" customFormat="false" ht="15" hidden="false" customHeight="false" outlineLevel="0" collapsed="false">
      <c r="A599" s="4" t="str">
        <f aca="false">B599&amp;"|"&amp;C599</f>
        <v>R_26_624|70</v>
      </c>
      <c r="B599" s="4" t="s">
        <v>43</v>
      </c>
      <c r="C599" s="4" t="s">
        <v>148</v>
      </c>
      <c r="D599" s="4" t="n">
        <v>76</v>
      </c>
      <c r="E599" s="16" t="s">
        <v>62</v>
      </c>
      <c r="F599" s="17" t="s">
        <v>60</v>
      </c>
    </row>
    <row r="600" customFormat="false" ht="15" hidden="false" customHeight="false" outlineLevel="0" collapsed="false">
      <c r="A600" s="4" t="str">
        <f aca="false">B600&amp;"|"&amp;C600</f>
        <v>R_26_624|71</v>
      </c>
      <c r="B600" s="4" t="s">
        <v>43</v>
      </c>
      <c r="C600" s="4" t="s">
        <v>149</v>
      </c>
      <c r="D600" s="4" t="n">
        <v>77</v>
      </c>
      <c r="E600" s="16" t="s">
        <v>72</v>
      </c>
      <c r="F600" s="17" t="s">
        <v>60</v>
      </c>
    </row>
    <row r="601" customFormat="false" ht="15" hidden="false" customHeight="false" outlineLevel="0" collapsed="false">
      <c r="A601" s="4" t="str">
        <f aca="false">B601&amp;"|"&amp;C601</f>
        <v>R_26_624|72</v>
      </c>
      <c r="B601" s="4" t="s">
        <v>43</v>
      </c>
      <c r="C601" s="4" t="s">
        <v>150</v>
      </c>
      <c r="D601" s="4" t="n">
        <v>78</v>
      </c>
      <c r="E601" s="16" t="s">
        <v>62</v>
      </c>
      <c r="F601" s="17" t="s">
        <v>60</v>
      </c>
    </row>
    <row r="602" customFormat="false" ht="15" hidden="false" customHeight="false" outlineLevel="0" collapsed="false">
      <c r="A602" s="4" t="str">
        <f aca="false">B602&amp;"|"&amp;C602</f>
        <v>R_27_667|1</v>
      </c>
      <c r="B602" s="4" t="s">
        <v>44</v>
      </c>
      <c r="C602" s="4" t="s">
        <v>58</v>
      </c>
      <c r="D602" s="4" t="n">
        <v>1</v>
      </c>
      <c r="E602" s="16" t="s">
        <v>62</v>
      </c>
      <c r="F602" s="17" t="s">
        <v>60</v>
      </c>
    </row>
    <row r="603" customFormat="false" ht="15" hidden="false" customHeight="false" outlineLevel="0" collapsed="false">
      <c r="A603" s="4" t="str">
        <f aca="false">B603&amp;"|"&amp;C603</f>
        <v>R_27_667|2</v>
      </c>
      <c r="B603" s="4" t="s">
        <v>44</v>
      </c>
      <c r="C603" s="4" t="s">
        <v>61</v>
      </c>
      <c r="D603" s="4" t="n">
        <v>2</v>
      </c>
      <c r="E603" s="16" t="s">
        <v>59</v>
      </c>
      <c r="F603" s="17" t="s">
        <v>60</v>
      </c>
    </row>
    <row r="604" customFormat="false" ht="15" hidden="false" customHeight="false" outlineLevel="0" collapsed="false">
      <c r="A604" s="4" t="str">
        <f aca="false">B604&amp;"|"&amp;C604</f>
        <v>R_27_667|3</v>
      </c>
      <c r="B604" s="4" t="s">
        <v>44</v>
      </c>
      <c r="C604" s="4" t="s">
        <v>63</v>
      </c>
      <c r="D604" s="4" t="n">
        <v>3</v>
      </c>
      <c r="E604" s="16" t="s">
        <v>62</v>
      </c>
      <c r="F604" s="17" t="s">
        <v>60</v>
      </c>
    </row>
    <row r="605" customFormat="false" ht="15" hidden="false" customHeight="false" outlineLevel="0" collapsed="false">
      <c r="A605" s="4" t="str">
        <f aca="false">B605&amp;"|"&amp;C605</f>
        <v>R_27_667|4</v>
      </c>
      <c r="B605" s="4" t="s">
        <v>44</v>
      </c>
      <c r="C605" s="4" t="s">
        <v>64</v>
      </c>
      <c r="D605" s="4" t="n">
        <v>4</v>
      </c>
      <c r="E605" s="16" t="s">
        <v>59</v>
      </c>
      <c r="F605" s="17" t="s">
        <v>60</v>
      </c>
    </row>
    <row r="606" customFormat="false" ht="15" hidden="false" customHeight="false" outlineLevel="0" collapsed="false">
      <c r="A606" s="4" t="str">
        <f aca="false">B606&amp;"|"&amp;C606</f>
        <v>R_27_667|5</v>
      </c>
      <c r="B606" s="4" t="s">
        <v>44</v>
      </c>
      <c r="C606" s="4" t="s">
        <v>65</v>
      </c>
      <c r="D606" s="4" t="n">
        <v>5</v>
      </c>
      <c r="E606" s="16" t="s">
        <v>62</v>
      </c>
      <c r="F606" s="17" t="s">
        <v>60</v>
      </c>
    </row>
    <row r="607" customFormat="false" ht="15" hidden="false" customHeight="false" outlineLevel="0" collapsed="false">
      <c r="A607" s="4" t="str">
        <f aca="false">B607&amp;"|"&amp;C607</f>
        <v>R_27_667|6</v>
      </c>
      <c r="B607" s="4" t="s">
        <v>44</v>
      </c>
      <c r="C607" s="4" t="s">
        <v>66</v>
      </c>
      <c r="D607" s="4" t="n">
        <v>6</v>
      </c>
      <c r="E607" s="16" t="s">
        <v>62</v>
      </c>
      <c r="F607" s="17" t="s">
        <v>60</v>
      </c>
    </row>
    <row r="608" customFormat="false" ht="15" hidden="false" customHeight="false" outlineLevel="0" collapsed="false">
      <c r="A608" s="4" t="str">
        <f aca="false">B608&amp;"|"&amp;C608</f>
        <v>R_27_667|7</v>
      </c>
      <c r="B608" s="4" t="s">
        <v>44</v>
      </c>
      <c r="C608" s="4" t="s">
        <v>67</v>
      </c>
      <c r="D608" s="4" t="n">
        <v>7</v>
      </c>
      <c r="E608" s="16" t="s">
        <v>62</v>
      </c>
      <c r="F608" s="17" t="s">
        <v>60</v>
      </c>
    </row>
    <row r="609" customFormat="false" ht="15" hidden="false" customHeight="false" outlineLevel="0" collapsed="false">
      <c r="A609" s="4" t="str">
        <f aca="false">B609&amp;"|"&amp;C609</f>
        <v>R_27_667|8</v>
      </c>
      <c r="B609" s="4" t="s">
        <v>44</v>
      </c>
      <c r="C609" s="4" t="s">
        <v>69</v>
      </c>
      <c r="D609" s="4" t="n">
        <v>8</v>
      </c>
      <c r="E609" s="3" t="s">
        <v>59</v>
      </c>
      <c r="F609" s="4" t="s">
        <v>70</v>
      </c>
    </row>
    <row r="610" customFormat="false" ht="15" hidden="false" customHeight="false" outlineLevel="0" collapsed="false">
      <c r="A610" s="4" t="str">
        <f aca="false">B610&amp;"|"&amp;C610</f>
        <v>R_27_667|9</v>
      </c>
      <c r="B610" s="4" t="s">
        <v>44</v>
      </c>
      <c r="C610" s="4" t="s">
        <v>71</v>
      </c>
      <c r="D610" s="4" t="n">
        <v>9</v>
      </c>
      <c r="E610" s="3" t="s">
        <v>62</v>
      </c>
      <c r="F610" s="4" t="s">
        <v>73</v>
      </c>
    </row>
    <row r="611" customFormat="false" ht="15" hidden="false" customHeight="false" outlineLevel="0" collapsed="false">
      <c r="A611" s="4" t="str">
        <f aca="false">B611&amp;"|"&amp;C611</f>
        <v>R_27_667|10</v>
      </c>
      <c r="B611" s="4" t="s">
        <v>44</v>
      </c>
      <c r="C611" s="4" t="s">
        <v>74</v>
      </c>
      <c r="D611" s="4" t="n">
        <v>10</v>
      </c>
      <c r="E611" s="8" t="s">
        <v>62</v>
      </c>
      <c r="F611" s="7" t="s">
        <v>75</v>
      </c>
    </row>
    <row r="612" customFormat="false" ht="15" hidden="false" customHeight="false" outlineLevel="0" collapsed="false">
      <c r="A612" s="4" t="str">
        <f aca="false">B612&amp;"|"&amp;C612</f>
        <v>R_27_667|11</v>
      </c>
      <c r="B612" s="4" t="s">
        <v>44</v>
      </c>
      <c r="C612" s="4" t="s">
        <v>76</v>
      </c>
      <c r="D612" s="4" t="n">
        <v>11</v>
      </c>
      <c r="E612" s="8" t="s">
        <v>62</v>
      </c>
      <c r="F612" s="7" t="s">
        <v>75</v>
      </c>
    </row>
    <row r="613" customFormat="false" ht="15" hidden="false" customHeight="false" outlineLevel="0" collapsed="false">
      <c r="A613" s="4" t="str">
        <f aca="false">B613&amp;"|"&amp;C613</f>
        <v>R_27_667|12</v>
      </c>
      <c r="B613" s="4" t="s">
        <v>44</v>
      </c>
      <c r="C613" s="4" t="s">
        <v>77</v>
      </c>
      <c r="D613" s="4" t="n">
        <v>12</v>
      </c>
      <c r="E613" s="8" t="s">
        <v>59</v>
      </c>
      <c r="F613" s="7" t="s">
        <v>75</v>
      </c>
    </row>
    <row r="614" customFormat="false" ht="15" hidden="false" customHeight="false" outlineLevel="0" collapsed="false">
      <c r="A614" s="4" t="str">
        <f aca="false">B614&amp;"|"&amp;C614</f>
        <v>R_27_667|13</v>
      </c>
      <c r="B614" s="4" t="s">
        <v>44</v>
      </c>
      <c r="C614" s="4" t="s">
        <v>78</v>
      </c>
      <c r="D614" s="4" t="n">
        <v>13</v>
      </c>
      <c r="E614" s="8" t="s">
        <v>59</v>
      </c>
      <c r="F614" s="7" t="s">
        <v>75</v>
      </c>
    </row>
    <row r="615" customFormat="false" ht="15" hidden="false" customHeight="false" outlineLevel="0" collapsed="false">
      <c r="A615" s="4" t="str">
        <f aca="false">B615&amp;"|"&amp;C615</f>
        <v>R_27_667|14</v>
      </c>
      <c r="B615" s="4" t="s">
        <v>44</v>
      </c>
      <c r="C615" s="4" t="s">
        <v>79</v>
      </c>
      <c r="D615" s="4" t="n">
        <v>14</v>
      </c>
      <c r="E615" s="18" t="s">
        <v>62</v>
      </c>
      <c r="F615" s="19" t="s">
        <v>80</v>
      </c>
    </row>
    <row r="616" customFormat="false" ht="15" hidden="false" customHeight="false" outlineLevel="0" collapsed="false">
      <c r="A616" s="4" t="str">
        <f aca="false">B616&amp;"|"&amp;C616</f>
        <v>R_27_667|15</v>
      </c>
      <c r="B616" s="4" t="s">
        <v>44</v>
      </c>
      <c r="C616" s="4" t="s">
        <v>81</v>
      </c>
      <c r="D616" s="4" t="n">
        <v>15</v>
      </c>
      <c r="E616" s="18" t="s">
        <v>68</v>
      </c>
      <c r="F616" s="19" t="s">
        <v>80</v>
      </c>
    </row>
    <row r="617" customFormat="false" ht="15" hidden="false" customHeight="false" outlineLevel="0" collapsed="false">
      <c r="A617" s="4" t="str">
        <f aca="false">B617&amp;"|"&amp;C617</f>
        <v>R_27_667|16</v>
      </c>
      <c r="B617" s="4" t="s">
        <v>44</v>
      </c>
      <c r="C617" s="4" t="s">
        <v>82</v>
      </c>
      <c r="D617" s="4" t="n">
        <v>16</v>
      </c>
      <c r="E617" s="18" t="s">
        <v>59</v>
      </c>
      <c r="F617" s="19" t="s">
        <v>80</v>
      </c>
    </row>
    <row r="618" customFormat="false" ht="15" hidden="false" customHeight="false" outlineLevel="0" collapsed="false">
      <c r="A618" s="4" t="str">
        <f aca="false">B618&amp;"|"&amp;C618</f>
        <v>R_27_667|17</v>
      </c>
      <c r="B618" s="4" t="s">
        <v>44</v>
      </c>
      <c r="C618" s="4" t="s">
        <v>151</v>
      </c>
      <c r="D618" s="4" t="n">
        <v>17</v>
      </c>
      <c r="E618" s="18" t="s">
        <v>68</v>
      </c>
      <c r="F618" s="19" t="s">
        <v>80</v>
      </c>
    </row>
    <row r="619" customFormat="false" ht="15" hidden="false" customHeight="false" outlineLevel="0" collapsed="false">
      <c r="A619" s="4" t="str">
        <f aca="false">B619&amp;"|"&amp;C619</f>
        <v>R_27_667|18</v>
      </c>
      <c r="B619" s="4" t="s">
        <v>44</v>
      </c>
      <c r="C619" s="4" t="s">
        <v>83</v>
      </c>
      <c r="D619" s="4" t="n">
        <v>18</v>
      </c>
      <c r="E619" s="18" t="s">
        <v>72</v>
      </c>
      <c r="F619" s="19" t="s">
        <v>80</v>
      </c>
    </row>
    <row r="620" customFormat="false" ht="15" hidden="false" customHeight="false" outlineLevel="0" collapsed="false">
      <c r="A620" s="4" t="str">
        <f aca="false">B620&amp;"|"&amp;C620</f>
        <v>R_27_667|19</v>
      </c>
      <c r="B620" s="4" t="s">
        <v>44</v>
      </c>
      <c r="C620" s="4" t="s">
        <v>84</v>
      </c>
      <c r="D620" s="4" t="n">
        <v>19</v>
      </c>
      <c r="E620" s="18" t="s">
        <v>72</v>
      </c>
      <c r="F620" s="19" t="s">
        <v>80</v>
      </c>
    </row>
    <row r="621" customFormat="false" ht="15" hidden="false" customHeight="false" outlineLevel="0" collapsed="false">
      <c r="A621" s="4" t="str">
        <f aca="false">B621&amp;"|"&amp;C621</f>
        <v>R_27_667|20</v>
      </c>
      <c r="B621" s="4" t="s">
        <v>44</v>
      </c>
      <c r="C621" s="4" t="s">
        <v>85</v>
      </c>
      <c r="D621" s="4" t="n">
        <v>20</v>
      </c>
      <c r="E621" s="18" t="s">
        <v>62</v>
      </c>
      <c r="F621" s="19" t="s">
        <v>80</v>
      </c>
    </row>
    <row r="622" customFormat="false" ht="15" hidden="false" customHeight="false" outlineLevel="0" collapsed="false">
      <c r="A622" s="4" t="str">
        <f aca="false">B622&amp;"|"&amp;C622</f>
        <v>R_27_667|21</v>
      </c>
      <c r="B622" s="4" t="s">
        <v>44</v>
      </c>
      <c r="C622" s="4" t="s">
        <v>88</v>
      </c>
      <c r="D622" s="4" t="n">
        <v>21</v>
      </c>
      <c r="E622" s="18" t="s">
        <v>62</v>
      </c>
      <c r="F622" s="19" t="s">
        <v>80</v>
      </c>
    </row>
    <row r="623" customFormat="false" ht="15" hidden="false" customHeight="false" outlineLevel="0" collapsed="false">
      <c r="A623" s="4" t="str">
        <f aca="false">B623&amp;"|"&amp;C623</f>
        <v>R_27_667|22</v>
      </c>
      <c r="B623" s="4" t="s">
        <v>44</v>
      </c>
      <c r="C623" s="4" t="s">
        <v>89</v>
      </c>
      <c r="D623" s="4" t="n">
        <v>22</v>
      </c>
      <c r="E623" s="8" t="s">
        <v>72</v>
      </c>
      <c r="F623" s="7" t="s">
        <v>75</v>
      </c>
    </row>
    <row r="624" customFormat="false" ht="15" hidden="false" customHeight="false" outlineLevel="0" collapsed="false">
      <c r="A624" s="4" t="str">
        <f aca="false">B624&amp;"|"&amp;C624</f>
        <v>R_27_667|23</v>
      </c>
      <c r="B624" s="4" t="s">
        <v>44</v>
      </c>
      <c r="C624" s="4" t="s">
        <v>90</v>
      </c>
      <c r="D624" s="4" t="n">
        <v>23</v>
      </c>
      <c r="E624" s="8" t="s">
        <v>72</v>
      </c>
      <c r="F624" s="7" t="s">
        <v>75</v>
      </c>
    </row>
    <row r="625" customFormat="false" ht="15" hidden="false" customHeight="false" outlineLevel="0" collapsed="false">
      <c r="A625" s="4" t="str">
        <f aca="false">B625&amp;"|"&amp;C625</f>
        <v>R_27_667|24</v>
      </c>
      <c r="B625" s="4" t="s">
        <v>44</v>
      </c>
      <c r="C625" s="4" t="s">
        <v>91</v>
      </c>
      <c r="D625" s="4" t="n">
        <v>24</v>
      </c>
      <c r="E625" s="8" t="s">
        <v>72</v>
      </c>
      <c r="F625" s="7" t="s">
        <v>75</v>
      </c>
    </row>
    <row r="626" customFormat="false" ht="15" hidden="false" customHeight="false" outlineLevel="0" collapsed="false">
      <c r="A626" s="4" t="str">
        <f aca="false">B626&amp;"|"&amp;C626</f>
        <v>R_27_667|25</v>
      </c>
      <c r="B626" s="4" t="s">
        <v>44</v>
      </c>
      <c r="C626" s="4" t="s">
        <v>92</v>
      </c>
      <c r="D626" s="4" t="n">
        <v>25</v>
      </c>
      <c r="E626" s="8" t="s">
        <v>59</v>
      </c>
      <c r="F626" s="7" t="s">
        <v>75</v>
      </c>
    </row>
    <row r="627" customFormat="false" ht="15" hidden="false" customHeight="false" outlineLevel="0" collapsed="false">
      <c r="A627" s="4" t="str">
        <f aca="false">B627&amp;"|"&amp;C627</f>
        <v>R_27_667|26</v>
      </c>
      <c r="B627" s="4" t="s">
        <v>44</v>
      </c>
      <c r="C627" s="4" t="s">
        <v>93</v>
      </c>
      <c r="D627" s="4" t="n">
        <v>26</v>
      </c>
      <c r="E627" s="3" t="s">
        <v>59</v>
      </c>
      <c r="F627" s="4" t="s">
        <v>94</v>
      </c>
    </row>
    <row r="628" customFormat="false" ht="15" hidden="false" customHeight="false" outlineLevel="0" collapsed="false">
      <c r="A628" s="4" t="str">
        <f aca="false">B628&amp;"|"&amp;C628</f>
        <v>R_27_667|27</v>
      </c>
      <c r="B628" s="4" t="s">
        <v>44</v>
      </c>
      <c r="C628" s="4" t="s">
        <v>95</v>
      </c>
      <c r="D628" s="4" t="n">
        <v>27</v>
      </c>
      <c r="E628" s="20" t="s">
        <v>62</v>
      </c>
      <c r="F628" s="21" t="s">
        <v>96</v>
      </c>
    </row>
    <row r="629" customFormat="false" ht="15" hidden="false" customHeight="false" outlineLevel="0" collapsed="false">
      <c r="A629" s="4" t="str">
        <f aca="false">B629&amp;"|"&amp;C629</f>
        <v>R_27_667|28</v>
      </c>
      <c r="B629" s="4" t="s">
        <v>44</v>
      </c>
      <c r="C629" s="4" t="s">
        <v>97</v>
      </c>
      <c r="D629" s="4" t="n">
        <v>28</v>
      </c>
      <c r="E629" s="20" t="s">
        <v>59</v>
      </c>
      <c r="F629" s="21" t="s">
        <v>96</v>
      </c>
    </row>
    <row r="630" customFormat="false" ht="15" hidden="false" customHeight="false" outlineLevel="0" collapsed="false">
      <c r="A630" s="4" t="str">
        <f aca="false">B630&amp;"|"&amp;C630</f>
        <v>R_27_667|29</v>
      </c>
      <c r="B630" s="4" t="s">
        <v>44</v>
      </c>
      <c r="C630" s="4" t="s">
        <v>98</v>
      </c>
      <c r="D630" s="4" t="n">
        <v>29</v>
      </c>
      <c r="E630" s="20" t="s">
        <v>62</v>
      </c>
      <c r="F630" s="21" t="s">
        <v>96</v>
      </c>
    </row>
    <row r="631" customFormat="false" ht="15" hidden="false" customHeight="false" outlineLevel="0" collapsed="false">
      <c r="A631" s="4" t="str">
        <f aca="false">B631&amp;"|"&amp;C631</f>
        <v>R_27_667|30</v>
      </c>
      <c r="B631" s="4" t="s">
        <v>44</v>
      </c>
      <c r="C631" s="4" t="s">
        <v>99</v>
      </c>
      <c r="D631" s="4" t="n">
        <v>30</v>
      </c>
      <c r="E631" s="20" t="s">
        <v>59</v>
      </c>
      <c r="F631" s="21" t="s">
        <v>96</v>
      </c>
    </row>
    <row r="632" customFormat="false" ht="15" hidden="false" customHeight="false" outlineLevel="0" collapsed="false">
      <c r="A632" s="4" t="str">
        <f aca="false">B632&amp;"|"&amp;C632</f>
        <v>R_27_667|31</v>
      </c>
      <c r="B632" s="4" t="s">
        <v>44</v>
      </c>
      <c r="C632" s="4" t="s">
        <v>100</v>
      </c>
      <c r="D632" s="4" t="n">
        <v>31</v>
      </c>
      <c r="E632" s="20" t="s">
        <v>59</v>
      </c>
      <c r="F632" s="21" t="s">
        <v>96</v>
      </c>
    </row>
    <row r="633" customFormat="false" ht="15" hidden="false" customHeight="false" outlineLevel="0" collapsed="false">
      <c r="A633" s="4" t="str">
        <f aca="false">B633&amp;"|"&amp;C633</f>
        <v>R_27_667|32</v>
      </c>
      <c r="B633" s="4" t="s">
        <v>44</v>
      </c>
      <c r="C633" s="4" t="s">
        <v>101</v>
      </c>
      <c r="D633" s="4" t="n">
        <v>32</v>
      </c>
      <c r="E633" s="18" t="s">
        <v>62</v>
      </c>
      <c r="F633" s="19" t="s">
        <v>102</v>
      </c>
    </row>
    <row r="634" customFormat="false" ht="15" hidden="false" customHeight="false" outlineLevel="0" collapsed="false">
      <c r="A634" s="4" t="str">
        <f aca="false">B634&amp;"|"&amp;C634</f>
        <v>R_27_667|33</v>
      </c>
      <c r="B634" s="4" t="s">
        <v>44</v>
      </c>
      <c r="C634" s="4" t="s">
        <v>103</v>
      </c>
      <c r="D634" s="4" t="n">
        <v>33</v>
      </c>
      <c r="E634" s="18" t="s">
        <v>59</v>
      </c>
      <c r="F634" s="19" t="s">
        <v>102</v>
      </c>
    </row>
    <row r="635" customFormat="false" ht="15" hidden="false" customHeight="false" outlineLevel="0" collapsed="false">
      <c r="A635" s="4" t="str">
        <f aca="false">B635&amp;"|"&amp;C635</f>
        <v>R_27_667|34</v>
      </c>
      <c r="B635" s="4" t="s">
        <v>44</v>
      </c>
      <c r="C635" s="4" t="s">
        <v>104</v>
      </c>
      <c r="D635" s="4" t="n">
        <v>34</v>
      </c>
      <c r="E635" s="18" t="s">
        <v>59</v>
      </c>
      <c r="F635" s="19" t="s">
        <v>102</v>
      </c>
    </row>
    <row r="636" customFormat="false" ht="15" hidden="false" customHeight="false" outlineLevel="0" collapsed="false">
      <c r="A636" s="4" t="str">
        <f aca="false">B636&amp;"|"&amp;C636</f>
        <v>R_27_667|35</v>
      </c>
      <c r="B636" s="4" t="s">
        <v>44</v>
      </c>
      <c r="C636" s="4" t="s">
        <v>105</v>
      </c>
      <c r="D636" s="4" t="n">
        <v>35</v>
      </c>
      <c r="E636" s="18" t="s">
        <v>59</v>
      </c>
      <c r="F636" s="19" t="s">
        <v>102</v>
      </c>
    </row>
    <row r="637" customFormat="false" ht="15" hidden="false" customHeight="false" outlineLevel="0" collapsed="false">
      <c r="A637" s="4" t="str">
        <f aca="false">B637&amp;"|"&amp;C637</f>
        <v>R_27_667|36</v>
      </c>
      <c r="B637" s="4" t="s">
        <v>44</v>
      </c>
      <c r="C637" s="4" t="s">
        <v>106</v>
      </c>
      <c r="D637" s="4" t="n">
        <v>36</v>
      </c>
      <c r="E637" s="18" t="s">
        <v>62</v>
      </c>
      <c r="F637" s="19" t="s">
        <v>102</v>
      </c>
    </row>
    <row r="638" customFormat="false" ht="15" hidden="false" customHeight="false" outlineLevel="0" collapsed="false">
      <c r="A638" s="4" t="str">
        <f aca="false">B638&amp;"|"&amp;C638</f>
        <v>R_27_667|37</v>
      </c>
      <c r="B638" s="4" t="s">
        <v>44</v>
      </c>
      <c r="C638" s="4" t="s">
        <v>107</v>
      </c>
      <c r="D638" s="4" t="n">
        <v>37</v>
      </c>
      <c r="E638" s="18" t="s">
        <v>62</v>
      </c>
      <c r="F638" s="19" t="s">
        <v>102</v>
      </c>
    </row>
    <row r="639" customFormat="false" ht="15" hidden="false" customHeight="false" outlineLevel="0" collapsed="false">
      <c r="A639" s="4" t="str">
        <f aca="false">B639&amp;"|"&amp;C639</f>
        <v>R_27_667|38</v>
      </c>
      <c r="B639" s="4" t="s">
        <v>44</v>
      </c>
      <c r="C639" s="4" t="s">
        <v>108</v>
      </c>
      <c r="D639" s="4" t="n">
        <v>38</v>
      </c>
      <c r="E639" s="18" t="s">
        <v>59</v>
      </c>
      <c r="F639" s="19" t="s">
        <v>102</v>
      </c>
    </row>
    <row r="640" customFormat="false" ht="15" hidden="false" customHeight="false" outlineLevel="0" collapsed="false">
      <c r="A640" s="4" t="str">
        <f aca="false">B640&amp;"|"&amp;C640</f>
        <v>R_27_667|39</v>
      </c>
      <c r="B640" s="4" t="s">
        <v>44</v>
      </c>
      <c r="C640" s="4" t="s">
        <v>109</v>
      </c>
      <c r="D640" s="4" t="n">
        <v>39</v>
      </c>
      <c r="E640" s="20" t="s">
        <v>62</v>
      </c>
      <c r="F640" s="21" t="s">
        <v>96</v>
      </c>
    </row>
    <row r="641" customFormat="false" ht="15" hidden="false" customHeight="false" outlineLevel="0" collapsed="false">
      <c r="A641" s="4" t="str">
        <f aca="false">B641&amp;"|"&amp;C641</f>
        <v>R_27_667|40</v>
      </c>
      <c r="B641" s="4" t="s">
        <v>44</v>
      </c>
      <c r="C641" s="4" t="s">
        <v>110</v>
      </c>
      <c r="D641" s="4" t="n">
        <v>40</v>
      </c>
      <c r="E641" s="20" t="s">
        <v>62</v>
      </c>
      <c r="F641" s="21" t="s">
        <v>96</v>
      </c>
    </row>
    <row r="642" customFormat="false" ht="15" hidden="false" customHeight="false" outlineLevel="0" collapsed="false">
      <c r="A642" s="4" t="str">
        <f aca="false">B642&amp;"|"&amp;C642</f>
        <v>R_27_667|41</v>
      </c>
      <c r="B642" s="4" t="s">
        <v>44</v>
      </c>
      <c r="C642" s="4" t="s">
        <v>111</v>
      </c>
      <c r="D642" s="4" t="n">
        <v>41</v>
      </c>
      <c r="E642" s="20" t="s">
        <v>59</v>
      </c>
      <c r="F642" s="21" t="s">
        <v>96</v>
      </c>
    </row>
    <row r="643" customFormat="false" ht="15" hidden="false" customHeight="false" outlineLevel="0" collapsed="false">
      <c r="A643" s="4" t="str">
        <f aca="false">B643&amp;"|"&amp;C643</f>
        <v>R_27_667|42</v>
      </c>
      <c r="B643" s="4" t="s">
        <v>44</v>
      </c>
      <c r="C643" s="4" t="s">
        <v>112</v>
      </c>
      <c r="D643" s="4" t="n">
        <v>42</v>
      </c>
      <c r="E643" s="20" t="s">
        <v>72</v>
      </c>
      <c r="F643" s="21" t="s">
        <v>96</v>
      </c>
    </row>
    <row r="644" customFormat="false" ht="15" hidden="false" customHeight="false" outlineLevel="0" collapsed="false">
      <c r="A644" s="4" t="str">
        <f aca="false">B644&amp;"|"&amp;C644</f>
        <v>R_27_667|43</v>
      </c>
      <c r="B644" s="4" t="s">
        <v>44</v>
      </c>
      <c r="C644" s="4" t="s">
        <v>113</v>
      </c>
      <c r="D644" s="4" t="n">
        <v>43</v>
      </c>
      <c r="E644" s="20" t="s">
        <v>59</v>
      </c>
      <c r="F644" s="21" t="s">
        <v>96</v>
      </c>
    </row>
    <row r="645" customFormat="false" ht="15" hidden="false" customHeight="false" outlineLevel="0" collapsed="false">
      <c r="A645" s="4" t="str">
        <f aca="false">B645&amp;"|"&amp;C645</f>
        <v>R_27_667|44</v>
      </c>
      <c r="B645" s="4" t="s">
        <v>44</v>
      </c>
      <c r="C645" s="4" t="s">
        <v>114</v>
      </c>
      <c r="D645" s="4" t="n">
        <v>44</v>
      </c>
      <c r="E645" s="18" t="s">
        <v>62</v>
      </c>
      <c r="F645" s="19" t="s">
        <v>115</v>
      </c>
    </row>
    <row r="646" customFormat="false" ht="15" hidden="false" customHeight="false" outlineLevel="0" collapsed="false">
      <c r="A646" s="4" t="str">
        <f aca="false">B646&amp;"|"&amp;C646</f>
        <v>R_27_667|45</v>
      </c>
      <c r="B646" s="4" t="s">
        <v>44</v>
      </c>
      <c r="C646" s="4" t="s">
        <v>116</v>
      </c>
      <c r="D646" s="4" t="n">
        <v>45</v>
      </c>
      <c r="E646" s="18" t="s">
        <v>59</v>
      </c>
      <c r="F646" s="19" t="s">
        <v>115</v>
      </c>
    </row>
    <row r="647" customFormat="false" ht="15" hidden="false" customHeight="false" outlineLevel="0" collapsed="false">
      <c r="A647" s="4" t="str">
        <f aca="false">B647&amp;"|"&amp;C647</f>
        <v>R_27_667|46</v>
      </c>
      <c r="B647" s="4" t="s">
        <v>44</v>
      </c>
      <c r="C647" s="4" t="s">
        <v>122</v>
      </c>
      <c r="D647" s="4" t="n">
        <v>46</v>
      </c>
      <c r="E647" s="18" t="s">
        <v>72</v>
      </c>
      <c r="F647" s="19" t="s">
        <v>115</v>
      </c>
    </row>
    <row r="648" customFormat="false" ht="15" hidden="false" customHeight="false" outlineLevel="0" collapsed="false">
      <c r="A648" s="4" t="str">
        <f aca="false">B648&amp;"|"&amp;C648</f>
        <v>R_27_667|48</v>
      </c>
      <c r="B648" s="4" t="s">
        <v>44</v>
      </c>
      <c r="C648" s="4" t="s">
        <v>124</v>
      </c>
      <c r="D648" s="4" t="n">
        <v>47</v>
      </c>
      <c r="E648" s="18" t="s">
        <v>72</v>
      </c>
      <c r="F648" s="19" t="s">
        <v>115</v>
      </c>
    </row>
    <row r="649" customFormat="false" ht="15" hidden="false" customHeight="false" outlineLevel="0" collapsed="false">
      <c r="A649" s="4" t="str">
        <f aca="false">B649&amp;"|"&amp;C649</f>
        <v>R_27_667|49</v>
      </c>
      <c r="B649" s="4" t="s">
        <v>44</v>
      </c>
      <c r="C649" s="4" t="s">
        <v>125</v>
      </c>
      <c r="D649" s="4" t="n">
        <v>48</v>
      </c>
      <c r="E649" s="22" t="s">
        <v>62</v>
      </c>
      <c r="F649" s="10" t="s">
        <v>126</v>
      </c>
    </row>
    <row r="650" customFormat="false" ht="15" hidden="false" customHeight="false" outlineLevel="0" collapsed="false">
      <c r="A650" s="4" t="str">
        <f aca="false">B650&amp;"|"&amp;C650</f>
        <v>R_27_667|50</v>
      </c>
      <c r="B650" s="4" t="s">
        <v>44</v>
      </c>
      <c r="C650" s="4" t="s">
        <v>127</v>
      </c>
      <c r="D650" s="4" t="n">
        <v>49</v>
      </c>
      <c r="E650" s="22" t="s">
        <v>62</v>
      </c>
      <c r="F650" s="10" t="s">
        <v>126</v>
      </c>
    </row>
    <row r="651" customFormat="false" ht="15" hidden="false" customHeight="false" outlineLevel="0" collapsed="false">
      <c r="A651" s="4" t="str">
        <f aca="false">B651&amp;"|"&amp;C651</f>
        <v>R_27_667|51</v>
      </c>
      <c r="B651" s="4" t="s">
        <v>44</v>
      </c>
      <c r="C651" s="4" t="s">
        <v>128</v>
      </c>
      <c r="D651" s="4" t="n">
        <v>50</v>
      </c>
      <c r="E651" s="22" t="s">
        <v>62</v>
      </c>
      <c r="F651" s="10" t="s">
        <v>126</v>
      </c>
    </row>
    <row r="652" customFormat="false" ht="15" hidden="false" customHeight="false" outlineLevel="0" collapsed="false">
      <c r="A652" s="4" t="str">
        <f aca="false">B652&amp;"|"&amp;C652</f>
        <v>R_27_667|52</v>
      </c>
      <c r="B652" s="4" t="s">
        <v>44</v>
      </c>
      <c r="C652" s="4" t="s">
        <v>129</v>
      </c>
      <c r="D652" s="4" t="n">
        <v>51</v>
      </c>
      <c r="E652" s="22" t="s">
        <v>72</v>
      </c>
      <c r="F652" s="10" t="s">
        <v>126</v>
      </c>
    </row>
    <row r="653" customFormat="false" ht="15" hidden="false" customHeight="false" outlineLevel="0" collapsed="false">
      <c r="A653" s="4" t="str">
        <f aca="false">B653&amp;"|"&amp;C653</f>
        <v>R_27_667|53</v>
      </c>
      <c r="B653" s="4" t="s">
        <v>44</v>
      </c>
      <c r="C653" s="4" t="s">
        <v>130</v>
      </c>
      <c r="D653" s="4" t="n">
        <v>52</v>
      </c>
      <c r="E653" s="22" t="s">
        <v>72</v>
      </c>
      <c r="F653" s="10" t="s">
        <v>126</v>
      </c>
    </row>
    <row r="654" customFormat="false" ht="15" hidden="false" customHeight="false" outlineLevel="0" collapsed="false">
      <c r="A654" s="4" t="str">
        <f aca="false">B654&amp;"|"&amp;C654</f>
        <v>R_27_667|54</v>
      </c>
      <c r="B654" s="4" t="s">
        <v>44</v>
      </c>
      <c r="C654" s="4" t="s">
        <v>131</v>
      </c>
      <c r="D654" s="4" t="n">
        <v>53</v>
      </c>
      <c r="E654" s="18" t="s">
        <v>62</v>
      </c>
      <c r="F654" s="19" t="s">
        <v>132</v>
      </c>
    </row>
    <row r="655" customFormat="false" ht="15" hidden="false" customHeight="false" outlineLevel="0" collapsed="false">
      <c r="A655" s="4" t="str">
        <f aca="false">B655&amp;"|"&amp;C655</f>
        <v>R_27_667|55</v>
      </c>
      <c r="B655" s="4" t="s">
        <v>44</v>
      </c>
      <c r="C655" s="4" t="s">
        <v>133</v>
      </c>
      <c r="D655" s="4" t="n">
        <v>54</v>
      </c>
      <c r="E655" s="18" t="s">
        <v>59</v>
      </c>
      <c r="F655" s="19" t="s">
        <v>132</v>
      </c>
    </row>
    <row r="656" customFormat="false" ht="15" hidden="false" customHeight="false" outlineLevel="0" collapsed="false">
      <c r="A656" s="4" t="str">
        <f aca="false">B656&amp;"|"&amp;C656</f>
        <v>R_27_667|56</v>
      </c>
      <c r="B656" s="4" t="s">
        <v>44</v>
      </c>
      <c r="C656" s="4" t="s">
        <v>134</v>
      </c>
      <c r="D656" s="4" t="n">
        <v>55</v>
      </c>
      <c r="E656" s="18" t="s">
        <v>68</v>
      </c>
      <c r="F656" s="19" t="s">
        <v>132</v>
      </c>
    </row>
    <row r="657" customFormat="false" ht="15" hidden="false" customHeight="false" outlineLevel="0" collapsed="false">
      <c r="A657" s="4" t="str">
        <f aca="false">B657&amp;"|"&amp;C657</f>
        <v>R_27_667|57</v>
      </c>
      <c r="B657" s="4" t="s">
        <v>44</v>
      </c>
      <c r="C657" s="4" t="s">
        <v>135</v>
      </c>
      <c r="D657" s="4" t="n">
        <v>56</v>
      </c>
      <c r="E657" s="18" t="s">
        <v>72</v>
      </c>
      <c r="F657" s="19" t="s">
        <v>132</v>
      </c>
    </row>
    <row r="658" customFormat="false" ht="15" hidden="false" customHeight="false" outlineLevel="0" collapsed="false">
      <c r="A658" s="4" t="str">
        <f aca="false">B658&amp;"|"&amp;C658</f>
        <v>R_27_667|58</v>
      </c>
      <c r="B658" s="4" t="s">
        <v>44</v>
      </c>
      <c r="C658" s="4" t="s">
        <v>136</v>
      </c>
      <c r="D658" s="4" t="n">
        <v>57</v>
      </c>
      <c r="E658" s="18" t="s">
        <v>59</v>
      </c>
      <c r="F658" s="19" t="s">
        <v>132</v>
      </c>
    </row>
    <row r="659" customFormat="false" ht="15" hidden="false" customHeight="false" outlineLevel="0" collapsed="false">
      <c r="A659" s="4" t="str">
        <f aca="false">B659&amp;"|"&amp;C659</f>
        <v>R_27_667|59</v>
      </c>
      <c r="B659" s="4" t="s">
        <v>44</v>
      </c>
      <c r="C659" s="4" t="s">
        <v>137</v>
      </c>
      <c r="D659" s="4" t="n">
        <v>58</v>
      </c>
      <c r="E659" s="18" t="s">
        <v>68</v>
      </c>
      <c r="F659" s="19" t="s">
        <v>132</v>
      </c>
    </row>
    <row r="660" customFormat="false" ht="15" hidden="false" customHeight="false" outlineLevel="0" collapsed="false">
      <c r="A660" s="4" t="str">
        <f aca="false">B660&amp;"|"&amp;C660</f>
        <v>R_27_667|60</v>
      </c>
      <c r="B660" s="4" t="s">
        <v>44</v>
      </c>
      <c r="C660" s="4" t="s">
        <v>138</v>
      </c>
      <c r="D660" s="4" t="n">
        <v>59</v>
      </c>
      <c r="E660" s="18" t="s">
        <v>59</v>
      </c>
      <c r="F660" s="19" t="s">
        <v>132</v>
      </c>
    </row>
    <row r="661" customFormat="false" ht="15" hidden="false" customHeight="false" outlineLevel="0" collapsed="false">
      <c r="A661" s="4" t="str">
        <f aca="false">B661&amp;"|"&amp;C661</f>
        <v>R_27_667|61</v>
      </c>
      <c r="B661" s="4" t="s">
        <v>44</v>
      </c>
      <c r="C661" s="4" t="s">
        <v>139</v>
      </c>
      <c r="D661" s="4" t="n">
        <v>60</v>
      </c>
      <c r="E661" s="22" t="s">
        <v>68</v>
      </c>
      <c r="F661" s="10" t="s">
        <v>126</v>
      </c>
    </row>
    <row r="662" customFormat="false" ht="15" hidden="false" customHeight="false" outlineLevel="0" collapsed="false">
      <c r="A662" s="4" t="str">
        <f aca="false">B662&amp;"|"&amp;C662</f>
        <v>R_27_667|62</v>
      </c>
      <c r="B662" s="4" t="s">
        <v>44</v>
      </c>
      <c r="C662" s="4" t="s">
        <v>140</v>
      </c>
      <c r="D662" s="4" t="n">
        <v>61</v>
      </c>
      <c r="E662" s="22" t="s">
        <v>59</v>
      </c>
      <c r="F662" s="10" t="s">
        <v>126</v>
      </c>
    </row>
    <row r="663" customFormat="false" ht="15" hidden="false" customHeight="false" outlineLevel="0" collapsed="false">
      <c r="A663" s="4" t="str">
        <f aca="false">B663&amp;"|"&amp;C663</f>
        <v>R_27_667|63</v>
      </c>
      <c r="B663" s="4" t="s">
        <v>44</v>
      </c>
      <c r="C663" s="4" t="s">
        <v>141</v>
      </c>
      <c r="D663" s="4" t="n">
        <v>62</v>
      </c>
      <c r="E663" s="22" t="s">
        <v>59</v>
      </c>
      <c r="F663" s="10" t="s">
        <v>126</v>
      </c>
    </row>
    <row r="664" customFormat="false" ht="15" hidden="false" customHeight="false" outlineLevel="0" collapsed="false">
      <c r="A664" s="4" t="str">
        <f aca="false">B664&amp;"|"&amp;C664</f>
        <v>R_27_667|64</v>
      </c>
      <c r="B664" s="4" t="s">
        <v>44</v>
      </c>
      <c r="C664" s="4" t="s">
        <v>142</v>
      </c>
      <c r="D664" s="4" t="n">
        <v>63</v>
      </c>
      <c r="E664" s="22" t="s">
        <v>59</v>
      </c>
      <c r="F664" s="10" t="s">
        <v>126</v>
      </c>
    </row>
    <row r="665" customFormat="false" ht="15" hidden="false" customHeight="false" outlineLevel="0" collapsed="false">
      <c r="A665" s="4" t="str">
        <f aca="false">B665&amp;"|"&amp;C665</f>
        <v>R_27_667|65</v>
      </c>
      <c r="B665" s="4" t="s">
        <v>44</v>
      </c>
      <c r="C665" s="4" t="s">
        <v>143</v>
      </c>
      <c r="D665" s="4" t="n">
        <v>64</v>
      </c>
      <c r="E665" s="22" t="s">
        <v>59</v>
      </c>
      <c r="F665" s="10" t="s">
        <v>126</v>
      </c>
    </row>
    <row r="666" customFormat="false" ht="15" hidden="false" customHeight="false" outlineLevel="0" collapsed="false">
      <c r="A666" s="4" t="str">
        <f aca="false">B666&amp;"|"&amp;C666</f>
        <v>R_27_667|66</v>
      </c>
      <c r="B666" s="4" t="s">
        <v>44</v>
      </c>
      <c r="C666" s="4" t="s">
        <v>144</v>
      </c>
      <c r="D666" s="4" t="n">
        <v>65</v>
      </c>
      <c r="E666" s="16" t="s">
        <v>59</v>
      </c>
      <c r="F666" s="17" t="s">
        <v>60</v>
      </c>
    </row>
    <row r="667" customFormat="false" ht="15" hidden="false" customHeight="false" outlineLevel="0" collapsed="false">
      <c r="A667" s="4" t="str">
        <f aca="false">B667&amp;"|"&amp;C667</f>
        <v>R_27_667|67</v>
      </c>
      <c r="B667" s="4" t="s">
        <v>44</v>
      </c>
      <c r="C667" s="4" t="s">
        <v>145</v>
      </c>
      <c r="D667" s="4" t="n">
        <v>66</v>
      </c>
      <c r="E667" s="16" t="s">
        <v>59</v>
      </c>
      <c r="F667" s="17" t="s">
        <v>60</v>
      </c>
    </row>
    <row r="668" customFormat="false" ht="15" hidden="false" customHeight="false" outlineLevel="0" collapsed="false">
      <c r="A668" s="4" t="str">
        <f aca="false">B668&amp;"|"&amp;C668</f>
        <v>R_27_667|68</v>
      </c>
      <c r="B668" s="4" t="s">
        <v>44</v>
      </c>
      <c r="C668" s="4" t="s">
        <v>146</v>
      </c>
      <c r="D668" s="4" t="n">
        <v>67</v>
      </c>
      <c r="E668" s="16" t="s">
        <v>62</v>
      </c>
      <c r="F668" s="17" t="s">
        <v>60</v>
      </c>
    </row>
    <row r="669" customFormat="false" ht="15" hidden="false" customHeight="false" outlineLevel="0" collapsed="false">
      <c r="A669" s="4" t="str">
        <f aca="false">B669&amp;"|"&amp;C669</f>
        <v>R_27_667|69</v>
      </c>
      <c r="B669" s="4" t="s">
        <v>44</v>
      </c>
      <c r="C669" s="4" t="s">
        <v>147</v>
      </c>
      <c r="D669" s="4" t="n">
        <v>68</v>
      </c>
      <c r="E669" s="16" t="s">
        <v>62</v>
      </c>
      <c r="F669" s="17" t="s">
        <v>60</v>
      </c>
    </row>
    <row r="670" customFormat="false" ht="15" hidden="false" customHeight="false" outlineLevel="0" collapsed="false">
      <c r="A670" s="4" t="str">
        <f aca="false">B670&amp;"|"&amp;C670</f>
        <v>R_27_667|70</v>
      </c>
      <c r="B670" s="4" t="s">
        <v>44</v>
      </c>
      <c r="C670" s="4" t="s">
        <v>148</v>
      </c>
      <c r="D670" s="4" t="n">
        <v>69</v>
      </c>
      <c r="E670" s="16" t="s">
        <v>59</v>
      </c>
      <c r="F670" s="17" t="s">
        <v>60</v>
      </c>
    </row>
    <row r="671" customFormat="false" ht="15" hidden="false" customHeight="false" outlineLevel="0" collapsed="false">
      <c r="A671" s="4" t="str">
        <f aca="false">B671&amp;"|"&amp;C671</f>
        <v>R_27_667|71</v>
      </c>
      <c r="B671" s="4" t="s">
        <v>44</v>
      </c>
      <c r="C671" s="4" t="s">
        <v>149</v>
      </c>
      <c r="D671" s="4" t="n">
        <v>70</v>
      </c>
      <c r="E671" s="16" t="s">
        <v>62</v>
      </c>
      <c r="F671" s="17" t="s">
        <v>60</v>
      </c>
    </row>
    <row r="672" customFormat="false" ht="15" hidden="false" customHeight="false" outlineLevel="0" collapsed="false">
      <c r="A672" s="4" t="str">
        <f aca="false">B672&amp;"|"&amp;C672</f>
        <v>R_27_667|72</v>
      </c>
      <c r="B672" s="4" t="s">
        <v>44</v>
      </c>
      <c r="C672" s="4" t="s">
        <v>150</v>
      </c>
      <c r="D672" s="4" t="n">
        <v>71</v>
      </c>
      <c r="E672" s="16" t="s">
        <v>59</v>
      </c>
      <c r="F672" s="17" t="s">
        <v>60</v>
      </c>
    </row>
    <row r="673" customFormat="false" ht="15" hidden="false" customHeight="false" outlineLevel="0" collapsed="false">
      <c r="A673" s="4" t="str">
        <f aca="false">B673&amp;"|"&amp;C673</f>
        <v>R_28_773|1</v>
      </c>
      <c r="B673" s="4" t="s">
        <v>45</v>
      </c>
      <c r="C673" s="4" t="s">
        <v>58</v>
      </c>
      <c r="D673" s="4" t="n">
        <v>1</v>
      </c>
      <c r="E673" s="16" t="s">
        <v>68</v>
      </c>
      <c r="F673" s="17" t="s">
        <v>60</v>
      </c>
    </row>
    <row r="674" customFormat="false" ht="15" hidden="false" customHeight="false" outlineLevel="0" collapsed="false">
      <c r="A674" s="4" t="str">
        <f aca="false">B674&amp;"|"&amp;C674</f>
        <v>R_28_773|2</v>
      </c>
      <c r="B674" s="4" t="s">
        <v>45</v>
      </c>
      <c r="C674" s="4" t="s">
        <v>61</v>
      </c>
      <c r="D674" s="4" t="n">
        <v>2</v>
      </c>
      <c r="E674" s="16" t="s">
        <v>68</v>
      </c>
      <c r="F674" s="17" t="s">
        <v>60</v>
      </c>
    </row>
    <row r="675" customFormat="false" ht="15" hidden="false" customHeight="false" outlineLevel="0" collapsed="false">
      <c r="A675" s="4" t="str">
        <f aca="false">B675&amp;"|"&amp;C675</f>
        <v>R_28_773|3</v>
      </c>
      <c r="B675" s="4" t="s">
        <v>45</v>
      </c>
      <c r="C675" s="4" t="s">
        <v>63</v>
      </c>
      <c r="D675" s="4" t="n">
        <v>3</v>
      </c>
      <c r="E675" s="16" t="s">
        <v>59</v>
      </c>
      <c r="F675" s="17" t="s">
        <v>60</v>
      </c>
    </row>
    <row r="676" customFormat="false" ht="15" hidden="false" customHeight="false" outlineLevel="0" collapsed="false">
      <c r="A676" s="4" t="str">
        <f aca="false">B676&amp;"|"&amp;C676</f>
        <v>R_28_773|4</v>
      </c>
      <c r="B676" s="4" t="s">
        <v>45</v>
      </c>
      <c r="C676" s="4" t="s">
        <v>64</v>
      </c>
      <c r="D676" s="4" t="n">
        <v>4</v>
      </c>
      <c r="E676" s="16" t="s">
        <v>59</v>
      </c>
      <c r="F676" s="17" t="s">
        <v>60</v>
      </c>
    </row>
    <row r="677" customFormat="false" ht="15" hidden="false" customHeight="false" outlineLevel="0" collapsed="false">
      <c r="A677" s="4" t="str">
        <f aca="false">B677&amp;"|"&amp;C677</f>
        <v>R_28_773|5</v>
      </c>
      <c r="B677" s="4" t="s">
        <v>45</v>
      </c>
      <c r="C677" s="4" t="s">
        <v>65</v>
      </c>
      <c r="D677" s="4" t="n">
        <v>5</v>
      </c>
      <c r="E677" s="16" t="s">
        <v>59</v>
      </c>
      <c r="F677" s="17" t="s">
        <v>60</v>
      </c>
    </row>
    <row r="678" customFormat="false" ht="15" hidden="false" customHeight="false" outlineLevel="0" collapsed="false">
      <c r="A678" s="4" t="str">
        <f aca="false">B678&amp;"|"&amp;C678</f>
        <v>R_28_773|6</v>
      </c>
      <c r="B678" s="4" t="s">
        <v>45</v>
      </c>
      <c r="C678" s="4" t="s">
        <v>66</v>
      </c>
      <c r="D678" s="4" t="n">
        <v>6</v>
      </c>
      <c r="E678" s="16" t="s">
        <v>62</v>
      </c>
      <c r="F678" s="17" t="s">
        <v>60</v>
      </c>
    </row>
    <row r="679" customFormat="false" ht="15" hidden="false" customHeight="false" outlineLevel="0" collapsed="false">
      <c r="A679" s="4" t="str">
        <f aca="false">B679&amp;"|"&amp;C679</f>
        <v>R_28_773|7</v>
      </c>
      <c r="B679" s="4" t="s">
        <v>45</v>
      </c>
      <c r="C679" s="4" t="s">
        <v>67</v>
      </c>
      <c r="D679" s="4" t="n">
        <v>7</v>
      </c>
      <c r="E679" s="16" t="s">
        <v>59</v>
      </c>
      <c r="F679" s="17" t="s">
        <v>60</v>
      </c>
    </row>
    <row r="680" customFormat="false" ht="15" hidden="false" customHeight="false" outlineLevel="0" collapsed="false">
      <c r="A680" s="4" t="str">
        <f aca="false">B680&amp;"|"&amp;C680</f>
        <v>R_28_773|8</v>
      </c>
      <c r="B680" s="4" t="s">
        <v>45</v>
      </c>
      <c r="C680" s="4" t="s">
        <v>69</v>
      </c>
      <c r="D680" s="4" t="n">
        <v>8</v>
      </c>
      <c r="E680" s="3" t="s">
        <v>59</v>
      </c>
      <c r="F680" s="4" t="s">
        <v>70</v>
      </c>
    </row>
    <row r="681" customFormat="false" ht="15" hidden="false" customHeight="false" outlineLevel="0" collapsed="false">
      <c r="A681" s="4" t="str">
        <f aca="false">B681&amp;"|"&amp;C681</f>
        <v>R_28_773|9</v>
      </c>
      <c r="B681" s="4" t="s">
        <v>45</v>
      </c>
      <c r="C681" s="4" t="s">
        <v>71</v>
      </c>
      <c r="D681" s="4" t="n">
        <v>9</v>
      </c>
      <c r="E681" s="3" t="s">
        <v>62</v>
      </c>
      <c r="F681" s="4" t="s">
        <v>73</v>
      </c>
    </row>
    <row r="682" customFormat="false" ht="15" hidden="false" customHeight="false" outlineLevel="0" collapsed="false">
      <c r="A682" s="4" t="str">
        <f aca="false">B682&amp;"|"&amp;C682</f>
        <v>R_28_773|10</v>
      </c>
      <c r="B682" s="4" t="s">
        <v>45</v>
      </c>
      <c r="C682" s="4" t="s">
        <v>74</v>
      </c>
      <c r="D682" s="4" t="n">
        <v>10</v>
      </c>
      <c r="E682" s="8" t="s">
        <v>62</v>
      </c>
      <c r="F682" s="7" t="s">
        <v>75</v>
      </c>
    </row>
    <row r="683" customFormat="false" ht="15" hidden="false" customHeight="false" outlineLevel="0" collapsed="false">
      <c r="A683" s="4" t="str">
        <f aca="false">B683&amp;"|"&amp;C683</f>
        <v>R_28_773|11</v>
      </c>
      <c r="B683" s="4" t="s">
        <v>45</v>
      </c>
      <c r="C683" s="4" t="s">
        <v>76</v>
      </c>
      <c r="D683" s="4" t="n">
        <v>11</v>
      </c>
      <c r="E683" s="8" t="s">
        <v>62</v>
      </c>
      <c r="F683" s="7" t="s">
        <v>75</v>
      </c>
    </row>
    <row r="684" customFormat="false" ht="15" hidden="false" customHeight="false" outlineLevel="0" collapsed="false">
      <c r="A684" s="4" t="str">
        <f aca="false">B684&amp;"|"&amp;C684</f>
        <v>R_28_773|12</v>
      </c>
      <c r="B684" s="4" t="s">
        <v>45</v>
      </c>
      <c r="C684" s="4" t="s">
        <v>77</v>
      </c>
      <c r="D684" s="4" t="n">
        <v>12</v>
      </c>
      <c r="E684" s="8" t="s">
        <v>72</v>
      </c>
      <c r="F684" s="7" t="s">
        <v>75</v>
      </c>
    </row>
    <row r="685" customFormat="false" ht="15" hidden="false" customHeight="false" outlineLevel="0" collapsed="false">
      <c r="A685" s="4" t="str">
        <f aca="false">B685&amp;"|"&amp;C685</f>
        <v>R_28_773|13</v>
      </c>
      <c r="B685" s="4" t="s">
        <v>45</v>
      </c>
      <c r="C685" s="4" t="s">
        <v>78</v>
      </c>
      <c r="D685" s="4" t="n">
        <v>13</v>
      </c>
      <c r="E685" s="8" t="s">
        <v>72</v>
      </c>
      <c r="F685" s="7" t="s">
        <v>75</v>
      </c>
    </row>
    <row r="686" customFormat="false" ht="15" hidden="false" customHeight="false" outlineLevel="0" collapsed="false">
      <c r="A686" s="4" t="str">
        <f aca="false">B686&amp;"|"&amp;C686</f>
        <v>R_28_773|14</v>
      </c>
      <c r="B686" s="4" t="s">
        <v>45</v>
      </c>
      <c r="C686" s="4" t="s">
        <v>79</v>
      </c>
      <c r="D686" s="4" t="n">
        <v>14</v>
      </c>
      <c r="E686" s="18" t="s">
        <v>59</v>
      </c>
      <c r="F686" s="19" t="s">
        <v>80</v>
      </c>
    </row>
    <row r="687" customFormat="false" ht="15" hidden="false" customHeight="false" outlineLevel="0" collapsed="false">
      <c r="A687" s="4" t="str">
        <f aca="false">B687&amp;"|"&amp;C687</f>
        <v>R_28_773|15</v>
      </c>
      <c r="B687" s="4" t="s">
        <v>45</v>
      </c>
      <c r="C687" s="4" t="s">
        <v>81</v>
      </c>
      <c r="D687" s="4" t="n">
        <v>15</v>
      </c>
      <c r="E687" s="18" t="s">
        <v>59</v>
      </c>
      <c r="F687" s="19" t="s">
        <v>80</v>
      </c>
    </row>
    <row r="688" customFormat="false" ht="15" hidden="false" customHeight="false" outlineLevel="0" collapsed="false">
      <c r="A688" s="4" t="str">
        <f aca="false">B688&amp;"|"&amp;C688</f>
        <v>R_28_773|16</v>
      </c>
      <c r="B688" s="4" t="s">
        <v>45</v>
      </c>
      <c r="C688" s="4" t="s">
        <v>82</v>
      </c>
      <c r="D688" s="4" t="n">
        <v>16</v>
      </c>
      <c r="E688" s="18" t="s">
        <v>59</v>
      </c>
      <c r="F688" s="19" t="s">
        <v>80</v>
      </c>
    </row>
    <row r="689" customFormat="false" ht="15" hidden="false" customHeight="false" outlineLevel="0" collapsed="false">
      <c r="A689" s="4" t="str">
        <f aca="false">B689&amp;"|"&amp;C689</f>
        <v>R_28_773|17</v>
      </c>
      <c r="B689" s="4" t="s">
        <v>45</v>
      </c>
      <c r="C689" s="4" t="s">
        <v>151</v>
      </c>
      <c r="D689" s="4" t="n">
        <v>17</v>
      </c>
      <c r="E689" s="18" t="s">
        <v>68</v>
      </c>
      <c r="F689" s="19" t="s">
        <v>80</v>
      </c>
    </row>
    <row r="690" customFormat="false" ht="15" hidden="false" customHeight="false" outlineLevel="0" collapsed="false">
      <c r="A690" s="4" t="str">
        <f aca="false">B690&amp;"|"&amp;C690</f>
        <v>R_28_773|17a</v>
      </c>
      <c r="B690" s="4" t="s">
        <v>45</v>
      </c>
      <c r="C690" s="4" t="s">
        <v>152</v>
      </c>
      <c r="D690" s="4" t="n">
        <v>18</v>
      </c>
      <c r="E690" s="18" t="s">
        <v>68</v>
      </c>
      <c r="F690" s="19" t="s">
        <v>80</v>
      </c>
    </row>
    <row r="691" customFormat="false" ht="15" hidden="false" customHeight="false" outlineLevel="0" collapsed="false">
      <c r="A691" s="4" t="str">
        <f aca="false">B691&amp;"|"&amp;C691</f>
        <v>R_28_773|18</v>
      </c>
      <c r="B691" s="4" t="s">
        <v>45</v>
      </c>
      <c r="C691" s="4" t="s">
        <v>83</v>
      </c>
      <c r="D691" s="4" t="n">
        <v>19</v>
      </c>
      <c r="E691" s="18" t="s">
        <v>72</v>
      </c>
      <c r="F691" s="19" t="s">
        <v>80</v>
      </c>
    </row>
    <row r="692" customFormat="false" ht="15" hidden="false" customHeight="false" outlineLevel="0" collapsed="false">
      <c r="A692" s="4" t="str">
        <f aca="false">B692&amp;"|"&amp;C692</f>
        <v>R_28_773|19</v>
      </c>
      <c r="B692" s="4" t="s">
        <v>45</v>
      </c>
      <c r="C692" s="4" t="s">
        <v>84</v>
      </c>
      <c r="D692" s="4" t="n">
        <v>20</v>
      </c>
      <c r="E692" s="18" t="s">
        <v>72</v>
      </c>
      <c r="F692" s="19" t="s">
        <v>80</v>
      </c>
    </row>
    <row r="693" customFormat="false" ht="15" hidden="false" customHeight="false" outlineLevel="0" collapsed="false">
      <c r="A693" s="4" t="str">
        <f aca="false">B693&amp;"|"&amp;C693</f>
        <v>R_28_773|20</v>
      </c>
      <c r="B693" s="4" t="s">
        <v>45</v>
      </c>
      <c r="C693" s="4" t="s">
        <v>85</v>
      </c>
      <c r="D693" s="4" t="n">
        <v>21</v>
      </c>
      <c r="E693" s="18" t="s">
        <v>62</v>
      </c>
      <c r="F693" s="19" t="s">
        <v>80</v>
      </c>
    </row>
    <row r="694" customFormat="false" ht="15" hidden="false" customHeight="false" outlineLevel="0" collapsed="false">
      <c r="A694" s="4" t="str">
        <f aca="false">B694&amp;"|"&amp;C694</f>
        <v>R_28_773|21</v>
      </c>
      <c r="B694" s="4" t="s">
        <v>45</v>
      </c>
      <c r="C694" s="4" t="s">
        <v>88</v>
      </c>
      <c r="D694" s="4" t="n">
        <v>22</v>
      </c>
      <c r="E694" s="18" t="s">
        <v>62</v>
      </c>
      <c r="F694" s="19" t="s">
        <v>80</v>
      </c>
    </row>
    <row r="695" customFormat="false" ht="15" hidden="false" customHeight="false" outlineLevel="0" collapsed="false">
      <c r="A695" s="4" t="str">
        <f aca="false">B695&amp;"|"&amp;C695</f>
        <v>R_28_773|22</v>
      </c>
      <c r="B695" s="4" t="s">
        <v>45</v>
      </c>
      <c r="C695" s="4" t="s">
        <v>89</v>
      </c>
      <c r="D695" s="4" t="n">
        <v>23</v>
      </c>
      <c r="E695" s="8" t="s">
        <v>59</v>
      </c>
      <c r="F695" s="7" t="s">
        <v>75</v>
      </c>
    </row>
    <row r="696" customFormat="false" ht="15" hidden="false" customHeight="false" outlineLevel="0" collapsed="false">
      <c r="A696" s="4" t="str">
        <f aca="false">B696&amp;"|"&amp;C696</f>
        <v>R_28_773|23</v>
      </c>
      <c r="B696" s="4" t="s">
        <v>45</v>
      </c>
      <c r="C696" s="4" t="s">
        <v>90</v>
      </c>
      <c r="D696" s="4" t="n">
        <v>24</v>
      </c>
      <c r="E696" s="8" t="s">
        <v>59</v>
      </c>
      <c r="F696" s="7" t="s">
        <v>75</v>
      </c>
    </row>
    <row r="697" customFormat="false" ht="15" hidden="false" customHeight="false" outlineLevel="0" collapsed="false">
      <c r="A697" s="4" t="str">
        <f aca="false">B697&amp;"|"&amp;C697</f>
        <v>R_28_773|24</v>
      </c>
      <c r="B697" s="4" t="s">
        <v>45</v>
      </c>
      <c r="C697" s="4" t="s">
        <v>91</v>
      </c>
      <c r="D697" s="4" t="n">
        <v>25</v>
      </c>
      <c r="E697" s="8" t="s">
        <v>59</v>
      </c>
      <c r="F697" s="7" t="s">
        <v>75</v>
      </c>
    </row>
    <row r="698" customFormat="false" ht="15" hidden="false" customHeight="false" outlineLevel="0" collapsed="false">
      <c r="A698" s="4" t="str">
        <f aca="false">B698&amp;"|"&amp;C698</f>
        <v>R_28_773|25</v>
      </c>
      <c r="B698" s="4" t="s">
        <v>45</v>
      </c>
      <c r="C698" s="4" t="s">
        <v>92</v>
      </c>
      <c r="D698" s="4" t="n">
        <v>26</v>
      </c>
      <c r="E698" s="8" t="s">
        <v>68</v>
      </c>
      <c r="F698" s="7" t="s">
        <v>75</v>
      </c>
    </row>
    <row r="699" customFormat="false" ht="15" hidden="false" customHeight="false" outlineLevel="0" collapsed="false">
      <c r="A699" s="4" t="str">
        <f aca="false">B699&amp;"|"&amp;C699</f>
        <v>R_28_773|26</v>
      </c>
      <c r="B699" s="4" t="s">
        <v>45</v>
      </c>
      <c r="C699" s="4" t="s">
        <v>93</v>
      </c>
      <c r="D699" s="4" t="n">
        <v>27</v>
      </c>
      <c r="E699" s="3" t="s">
        <v>59</v>
      </c>
      <c r="F699" s="4" t="s">
        <v>94</v>
      </c>
    </row>
    <row r="700" customFormat="false" ht="15" hidden="false" customHeight="false" outlineLevel="0" collapsed="false">
      <c r="A700" s="4" t="str">
        <f aca="false">B700&amp;"|"&amp;C700</f>
        <v>R_28_773|27</v>
      </c>
      <c r="B700" s="4" t="s">
        <v>45</v>
      </c>
      <c r="C700" s="4" t="s">
        <v>95</v>
      </c>
      <c r="D700" s="4" t="n">
        <v>28</v>
      </c>
      <c r="E700" s="20" t="s">
        <v>59</v>
      </c>
      <c r="F700" s="21" t="s">
        <v>96</v>
      </c>
    </row>
    <row r="701" customFormat="false" ht="15" hidden="false" customHeight="false" outlineLevel="0" collapsed="false">
      <c r="A701" s="4" t="str">
        <f aca="false">B701&amp;"|"&amp;C701</f>
        <v>R_28_773|28</v>
      </c>
      <c r="B701" s="4" t="s">
        <v>45</v>
      </c>
      <c r="C701" s="4" t="s">
        <v>97</v>
      </c>
      <c r="D701" s="4" t="n">
        <v>29</v>
      </c>
      <c r="E701" s="20" t="s">
        <v>62</v>
      </c>
      <c r="F701" s="21" t="s">
        <v>96</v>
      </c>
    </row>
    <row r="702" customFormat="false" ht="15" hidden="false" customHeight="false" outlineLevel="0" collapsed="false">
      <c r="A702" s="4" t="str">
        <f aca="false">B702&amp;"|"&amp;C702</f>
        <v>R_28_773|29</v>
      </c>
      <c r="B702" s="4" t="s">
        <v>45</v>
      </c>
      <c r="C702" s="4" t="s">
        <v>98</v>
      </c>
      <c r="D702" s="4" t="n">
        <v>30</v>
      </c>
      <c r="E702" s="20" t="s">
        <v>62</v>
      </c>
      <c r="F702" s="21" t="s">
        <v>96</v>
      </c>
    </row>
    <row r="703" customFormat="false" ht="15" hidden="false" customHeight="false" outlineLevel="0" collapsed="false">
      <c r="A703" s="4" t="str">
        <f aca="false">B703&amp;"|"&amp;C703</f>
        <v>R_28_773|30</v>
      </c>
      <c r="B703" s="4" t="s">
        <v>45</v>
      </c>
      <c r="C703" s="4" t="s">
        <v>99</v>
      </c>
      <c r="D703" s="4" t="n">
        <v>31</v>
      </c>
      <c r="E703" s="20" t="s">
        <v>59</v>
      </c>
      <c r="F703" s="21" t="s">
        <v>96</v>
      </c>
    </row>
    <row r="704" customFormat="false" ht="15" hidden="false" customHeight="false" outlineLevel="0" collapsed="false">
      <c r="A704" s="4" t="str">
        <f aca="false">B704&amp;"|"&amp;C704</f>
        <v>R_28_773|31</v>
      </c>
      <c r="B704" s="4" t="s">
        <v>45</v>
      </c>
      <c r="C704" s="4" t="s">
        <v>100</v>
      </c>
      <c r="D704" s="4" t="n">
        <v>32</v>
      </c>
      <c r="E704" s="20" t="s">
        <v>62</v>
      </c>
      <c r="F704" s="21" t="s">
        <v>96</v>
      </c>
    </row>
    <row r="705" customFormat="false" ht="15" hidden="false" customHeight="false" outlineLevel="0" collapsed="false">
      <c r="A705" s="4" t="str">
        <f aca="false">B705&amp;"|"&amp;C705</f>
        <v>R_28_773|32</v>
      </c>
      <c r="B705" s="4" t="s">
        <v>45</v>
      </c>
      <c r="C705" s="4" t="s">
        <v>101</v>
      </c>
      <c r="D705" s="4" t="n">
        <v>33</v>
      </c>
      <c r="E705" s="18" t="s">
        <v>59</v>
      </c>
      <c r="F705" s="19" t="s">
        <v>102</v>
      </c>
    </row>
    <row r="706" customFormat="false" ht="15" hidden="false" customHeight="false" outlineLevel="0" collapsed="false">
      <c r="A706" s="4" t="str">
        <f aca="false">B706&amp;"|"&amp;C706</f>
        <v>R_28_773|33</v>
      </c>
      <c r="B706" s="4" t="s">
        <v>45</v>
      </c>
      <c r="C706" s="4" t="s">
        <v>103</v>
      </c>
      <c r="D706" s="4" t="n">
        <v>34</v>
      </c>
      <c r="E706" s="18" t="s">
        <v>59</v>
      </c>
      <c r="F706" s="19" t="s">
        <v>102</v>
      </c>
    </row>
    <row r="707" customFormat="false" ht="15" hidden="false" customHeight="false" outlineLevel="0" collapsed="false">
      <c r="A707" s="4" t="str">
        <f aca="false">B707&amp;"|"&amp;C707</f>
        <v>R_28_773|34</v>
      </c>
      <c r="B707" s="4" t="s">
        <v>45</v>
      </c>
      <c r="C707" s="4" t="s">
        <v>104</v>
      </c>
      <c r="D707" s="4" t="n">
        <v>35</v>
      </c>
      <c r="E707" s="18" t="s">
        <v>68</v>
      </c>
      <c r="F707" s="19" t="s">
        <v>102</v>
      </c>
    </row>
    <row r="708" customFormat="false" ht="15" hidden="false" customHeight="false" outlineLevel="0" collapsed="false">
      <c r="A708" s="4" t="str">
        <f aca="false">B708&amp;"|"&amp;C708</f>
        <v>R_28_773|35</v>
      </c>
      <c r="B708" s="4" t="s">
        <v>45</v>
      </c>
      <c r="C708" s="4" t="s">
        <v>105</v>
      </c>
      <c r="D708" s="4" t="n">
        <v>36</v>
      </c>
      <c r="E708" s="18" t="s">
        <v>59</v>
      </c>
      <c r="F708" s="19" t="s">
        <v>102</v>
      </c>
    </row>
    <row r="709" customFormat="false" ht="15" hidden="false" customHeight="false" outlineLevel="0" collapsed="false">
      <c r="A709" s="4" t="str">
        <f aca="false">B709&amp;"|"&amp;C709</f>
        <v>R_28_773|36</v>
      </c>
      <c r="B709" s="4" t="s">
        <v>45</v>
      </c>
      <c r="C709" s="4" t="s">
        <v>106</v>
      </c>
      <c r="D709" s="4" t="n">
        <v>37</v>
      </c>
      <c r="E709" s="18" t="s">
        <v>62</v>
      </c>
      <c r="F709" s="19" t="s">
        <v>102</v>
      </c>
    </row>
    <row r="710" customFormat="false" ht="15" hidden="false" customHeight="false" outlineLevel="0" collapsed="false">
      <c r="A710" s="4" t="str">
        <f aca="false">B710&amp;"|"&amp;C710</f>
        <v>R_28_773|37</v>
      </c>
      <c r="B710" s="4" t="s">
        <v>45</v>
      </c>
      <c r="C710" s="4" t="s">
        <v>107</v>
      </c>
      <c r="D710" s="4" t="n">
        <v>38</v>
      </c>
      <c r="E710" s="18" t="s">
        <v>62</v>
      </c>
      <c r="F710" s="19" t="s">
        <v>102</v>
      </c>
    </row>
    <row r="711" customFormat="false" ht="15" hidden="false" customHeight="false" outlineLevel="0" collapsed="false">
      <c r="A711" s="4" t="str">
        <f aca="false">B711&amp;"|"&amp;C711</f>
        <v>R_28_773|38</v>
      </c>
      <c r="B711" s="4" t="s">
        <v>45</v>
      </c>
      <c r="C711" s="4" t="s">
        <v>108</v>
      </c>
      <c r="D711" s="4" t="n">
        <v>39</v>
      </c>
      <c r="E711" s="18" t="s">
        <v>62</v>
      </c>
      <c r="F711" s="19" t="s">
        <v>102</v>
      </c>
    </row>
    <row r="712" customFormat="false" ht="15" hidden="false" customHeight="false" outlineLevel="0" collapsed="false">
      <c r="A712" s="4" t="str">
        <f aca="false">B712&amp;"|"&amp;C712</f>
        <v>R_28_773|39</v>
      </c>
      <c r="B712" s="4" t="s">
        <v>45</v>
      </c>
      <c r="C712" s="4" t="s">
        <v>109</v>
      </c>
      <c r="D712" s="4" t="n">
        <v>40</v>
      </c>
      <c r="E712" s="20" t="s">
        <v>62</v>
      </c>
      <c r="F712" s="21" t="s">
        <v>96</v>
      </c>
    </row>
    <row r="713" customFormat="false" ht="15" hidden="false" customHeight="false" outlineLevel="0" collapsed="false">
      <c r="A713" s="4" t="str">
        <f aca="false">B713&amp;"|"&amp;C713</f>
        <v>R_28_773|40</v>
      </c>
      <c r="B713" s="4" t="s">
        <v>45</v>
      </c>
      <c r="C713" s="4" t="s">
        <v>110</v>
      </c>
      <c r="D713" s="4" t="n">
        <v>41</v>
      </c>
      <c r="E713" s="20" t="s">
        <v>62</v>
      </c>
      <c r="F713" s="21" t="s">
        <v>96</v>
      </c>
    </row>
    <row r="714" customFormat="false" ht="15" hidden="false" customHeight="false" outlineLevel="0" collapsed="false">
      <c r="A714" s="4" t="str">
        <f aca="false">B714&amp;"|"&amp;C714</f>
        <v>R_28_773|41</v>
      </c>
      <c r="B714" s="4" t="s">
        <v>45</v>
      </c>
      <c r="C714" s="4" t="s">
        <v>111</v>
      </c>
      <c r="D714" s="4" t="n">
        <v>42</v>
      </c>
      <c r="E714" s="20" t="s">
        <v>59</v>
      </c>
      <c r="F714" s="21" t="s">
        <v>96</v>
      </c>
    </row>
    <row r="715" customFormat="false" ht="15" hidden="false" customHeight="false" outlineLevel="0" collapsed="false">
      <c r="A715" s="4" t="str">
        <f aca="false">B715&amp;"|"&amp;C715</f>
        <v>R_28_773|42</v>
      </c>
      <c r="B715" s="4" t="s">
        <v>45</v>
      </c>
      <c r="C715" s="4" t="s">
        <v>112</v>
      </c>
      <c r="D715" s="4" t="n">
        <v>43</v>
      </c>
      <c r="E715" s="20" t="s">
        <v>59</v>
      </c>
      <c r="F715" s="21" t="s">
        <v>96</v>
      </c>
    </row>
    <row r="716" customFormat="false" ht="15" hidden="false" customHeight="false" outlineLevel="0" collapsed="false">
      <c r="A716" s="4" t="str">
        <f aca="false">B716&amp;"|"&amp;C716</f>
        <v>R_28_773|43</v>
      </c>
      <c r="B716" s="4" t="s">
        <v>45</v>
      </c>
      <c r="C716" s="4" t="s">
        <v>113</v>
      </c>
      <c r="D716" s="4" t="n">
        <v>44</v>
      </c>
      <c r="E716" s="20" t="s">
        <v>62</v>
      </c>
      <c r="F716" s="21" t="s">
        <v>96</v>
      </c>
    </row>
    <row r="717" customFormat="false" ht="15" hidden="false" customHeight="false" outlineLevel="0" collapsed="false">
      <c r="A717" s="4" t="str">
        <f aca="false">B717&amp;"|"&amp;C717</f>
        <v>R_28_773|44</v>
      </c>
      <c r="B717" s="4" t="s">
        <v>45</v>
      </c>
      <c r="C717" s="4" t="s">
        <v>114</v>
      </c>
      <c r="D717" s="4" t="n">
        <v>45</v>
      </c>
      <c r="E717" s="18" t="s">
        <v>62</v>
      </c>
      <c r="F717" s="19" t="s">
        <v>115</v>
      </c>
    </row>
    <row r="718" customFormat="false" ht="15" hidden="false" customHeight="false" outlineLevel="0" collapsed="false">
      <c r="A718" s="4" t="str">
        <f aca="false">B718&amp;"|"&amp;C718</f>
        <v>R_28_773|45</v>
      </c>
      <c r="B718" s="4" t="s">
        <v>45</v>
      </c>
      <c r="C718" s="4" t="s">
        <v>116</v>
      </c>
      <c r="D718" s="4" t="n">
        <v>46</v>
      </c>
      <c r="E718" s="18" t="s">
        <v>72</v>
      </c>
      <c r="F718" s="19" t="s">
        <v>115</v>
      </c>
    </row>
    <row r="719" customFormat="false" ht="15" hidden="false" customHeight="false" outlineLevel="0" collapsed="false">
      <c r="A719" s="4" t="str">
        <f aca="false">B719&amp;"|"&amp;C719</f>
        <v>R_28_773|e1</v>
      </c>
      <c r="B719" s="4" t="s">
        <v>45</v>
      </c>
      <c r="C719" s="4" t="s">
        <v>117</v>
      </c>
      <c r="D719" s="4" t="n">
        <v>47</v>
      </c>
      <c r="E719" s="18" t="s">
        <v>59</v>
      </c>
      <c r="F719" s="19" t="s">
        <v>115</v>
      </c>
    </row>
    <row r="720" customFormat="false" ht="15" hidden="false" customHeight="false" outlineLevel="0" collapsed="false">
      <c r="A720" s="4" t="str">
        <f aca="false">B720&amp;"|"&amp;C720</f>
        <v>R_28_773|e2</v>
      </c>
      <c r="B720" s="4" t="s">
        <v>45</v>
      </c>
      <c r="C720" s="4" t="s">
        <v>118</v>
      </c>
      <c r="D720" s="4" t="n">
        <v>48</v>
      </c>
      <c r="E720" s="18" t="s">
        <v>59</v>
      </c>
      <c r="F720" s="19" t="s">
        <v>115</v>
      </c>
    </row>
    <row r="721" customFormat="false" ht="15" hidden="false" customHeight="false" outlineLevel="0" collapsed="false">
      <c r="A721" s="4" t="str">
        <f aca="false">B721&amp;"|"&amp;C721</f>
        <v>R_28_773|e3</v>
      </c>
      <c r="B721" s="4" t="s">
        <v>45</v>
      </c>
      <c r="C721" s="4" t="s">
        <v>119</v>
      </c>
      <c r="D721" s="4" t="n">
        <v>49</v>
      </c>
      <c r="E721" s="18" t="s">
        <v>59</v>
      </c>
      <c r="F721" s="19" t="s">
        <v>115</v>
      </c>
    </row>
    <row r="722" customFormat="false" ht="15" hidden="false" customHeight="false" outlineLevel="0" collapsed="false">
      <c r="A722" s="4" t="str">
        <f aca="false">B722&amp;"|"&amp;C722</f>
        <v>R_28_773|e4</v>
      </c>
      <c r="B722" s="4" t="s">
        <v>45</v>
      </c>
      <c r="C722" s="4" t="s">
        <v>120</v>
      </c>
      <c r="D722" s="4" t="n">
        <v>50</v>
      </c>
      <c r="E722" s="18" t="s">
        <v>59</v>
      </c>
      <c r="F722" s="19" t="s">
        <v>115</v>
      </c>
    </row>
    <row r="723" customFormat="false" ht="15" hidden="false" customHeight="false" outlineLevel="0" collapsed="false">
      <c r="A723" s="4" t="str">
        <f aca="false">B723&amp;"|"&amp;C723</f>
        <v>R_28_773|e5</v>
      </c>
      <c r="B723" s="4" t="s">
        <v>45</v>
      </c>
      <c r="C723" s="4" t="s">
        <v>121</v>
      </c>
      <c r="D723" s="4" t="n">
        <v>51</v>
      </c>
      <c r="E723" s="18" t="s">
        <v>62</v>
      </c>
      <c r="F723" s="19" t="s">
        <v>115</v>
      </c>
    </row>
    <row r="724" customFormat="false" ht="15" hidden="false" customHeight="false" outlineLevel="0" collapsed="false">
      <c r="A724" s="4" t="str">
        <f aca="false">B724&amp;"|"&amp;C724</f>
        <v>R_28_773|e6</v>
      </c>
      <c r="B724" s="4" t="s">
        <v>45</v>
      </c>
      <c r="C724" s="4" t="s">
        <v>153</v>
      </c>
      <c r="D724" s="4" t="n">
        <v>52</v>
      </c>
      <c r="E724" s="18" t="s">
        <v>62</v>
      </c>
      <c r="F724" s="19" t="s">
        <v>115</v>
      </c>
    </row>
    <row r="725" customFormat="false" ht="15" hidden="false" customHeight="false" outlineLevel="0" collapsed="false">
      <c r="A725" s="4" t="str">
        <f aca="false">B725&amp;"|"&amp;C725</f>
        <v>R_28_773|e7</v>
      </c>
      <c r="B725" s="4" t="s">
        <v>45</v>
      </c>
      <c r="C725" s="4" t="s">
        <v>154</v>
      </c>
      <c r="D725" s="4" t="n">
        <v>53</v>
      </c>
      <c r="E725" s="18" t="s">
        <v>68</v>
      </c>
      <c r="F725" s="19" t="s">
        <v>115</v>
      </c>
    </row>
    <row r="726" customFormat="false" ht="15" hidden="false" customHeight="false" outlineLevel="0" collapsed="false">
      <c r="A726" s="4" t="str">
        <f aca="false">B726&amp;"|"&amp;C726</f>
        <v>R_28_773|e8</v>
      </c>
      <c r="B726" s="4" t="s">
        <v>45</v>
      </c>
      <c r="C726" s="4" t="s">
        <v>155</v>
      </c>
      <c r="D726" s="4" t="n">
        <v>54</v>
      </c>
      <c r="E726" s="18" t="s">
        <v>59</v>
      </c>
      <c r="F726" s="19" t="s">
        <v>115</v>
      </c>
    </row>
    <row r="727" customFormat="false" ht="15" hidden="false" customHeight="false" outlineLevel="0" collapsed="false">
      <c r="A727" s="4" t="str">
        <f aca="false">B727&amp;"|"&amp;C727</f>
        <v>R_28_773|e9</v>
      </c>
      <c r="B727" s="4" t="s">
        <v>45</v>
      </c>
      <c r="C727" s="4" t="s">
        <v>156</v>
      </c>
      <c r="D727" s="4" t="n">
        <v>55</v>
      </c>
      <c r="E727" s="18" t="s">
        <v>68</v>
      </c>
      <c r="F727" s="19" t="s">
        <v>115</v>
      </c>
    </row>
    <row r="728" customFormat="false" ht="15" hidden="false" customHeight="false" outlineLevel="0" collapsed="false">
      <c r="A728" s="4" t="str">
        <f aca="false">B728&amp;"|"&amp;C728</f>
        <v>R_28_773|e10</v>
      </c>
      <c r="B728" s="4" t="s">
        <v>45</v>
      </c>
      <c r="C728" s="4" t="s">
        <v>157</v>
      </c>
      <c r="D728" s="4" t="n">
        <v>56</v>
      </c>
      <c r="E728" s="18" t="s">
        <v>59</v>
      </c>
      <c r="F728" s="19" t="s">
        <v>115</v>
      </c>
    </row>
    <row r="729" customFormat="false" ht="15" hidden="false" customHeight="false" outlineLevel="0" collapsed="false">
      <c r="A729" s="4" t="str">
        <f aca="false">B729&amp;"|"&amp;C729</f>
        <v>R_28_773|e11</v>
      </c>
      <c r="B729" s="4" t="s">
        <v>45</v>
      </c>
      <c r="C729" s="4" t="s">
        <v>158</v>
      </c>
      <c r="D729" s="4" t="n">
        <v>57</v>
      </c>
      <c r="E729" s="18" t="s">
        <v>68</v>
      </c>
      <c r="F729" s="19" t="s">
        <v>115</v>
      </c>
    </row>
    <row r="730" customFormat="false" ht="15" hidden="false" customHeight="false" outlineLevel="0" collapsed="false">
      <c r="A730" s="4" t="str">
        <f aca="false">B730&amp;"|"&amp;C730</f>
        <v>R_28_773|e12</v>
      </c>
      <c r="B730" s="4" t="s">
        <v>45</v>
      </c>
      <c r="C730" s="4" t="s">
        <v>159</v>
      </c>
      <c r="D730" s="4" t="n">
        <v>58</v>
      </c>
      <c r="E730" s="18" t="s">
        <v>62</v>
      </c>
      <c r="F730" s="19" t="s">
        <v>115</v>
      </c>
    </row>
    <row r="731" customFormat="false" ht="15" hidden="false" customHeight="false" outlineLevel="0" collapsed="false">
      <c r="A731" s="4" t="str">
        <f aca="false">B731&amp;"|"&amp;C731</f>
        <v>R_28_773|46</v>
      </c>
      <c r="B731" s="4" t="s">
        <v>45</v>
      </c>
      <c r="C731" s="4" t="s">
        <v>122</v>
      </c>
      <c r="D731" s="4" t="n">
        <v>59</v>
      </c>
      <c r="E731" s="18" t="s">
        <v>68</v>
      </c>
      <c r="F731" s="19" t="s">
        <v>115</v>
      </c>
    </row>
    <row r="732" customFormat="false" ht="15" hidden="false" customHeight="false" outlineLevel="0" collapsed="false">
      <c r="A732" s="4" t="str">
        <f aca="false">B732&amp;"|"&amp;C732</f>
        <v>R_28_773|47</v>
      </c>
      <c r="B732" s="4" t="s">
        <v>45</v>
      </c>
      <c r="C732" s="4" t="s">
        <v>123</v>
      </c>
      <c r="D732" s="4" t="n">
        <v>60</v>
      </c>
      <c r="E732" s="18" t="s">
        <v>59</v>
      </c>
      <c r="F732" s="19" t="s">
        <v>115</v>
      </c>
    </row>
    <row r="733" customFormat="false" ht="15" hidden="false" customHeight="false" outlineLevel="0" collapsed="false">
      <c r="A733" s="4" t="str">
        <f aca="false">B733&amp;"|"&amp;C733</f>
        <v>R_28_773|48</v>
      </c>
      <c r="B733" s="4" t="s">
        <v>45</v>
      </c>
      <c r="C733" s="4" t="s">
        <v>124</v>
      </c>
      <c r="D733" s="4" t="n">
        <v>61</v>
      </c>
      <c r="E733" s="18" t="s">
        <v>72</v>
      </c>
      <c r="F733" s="19" t="s">
        <v>115</v>
      </c>
    </row>
    <row r="734" customFormat="false" ht="15" hidden="false" customHeight="false" outlineLevel="0" collapsed="false">
      <c r="A734" s="4" t="str">
        <f aca="false">B734&amp;"|"&amp;C734</f>
        <v>R_28_773|49</v>
      </c>
      <c r="B734" s="4" t="s">
        <v>45</v>
      </c>
      <c r="C734" s="4" t="s">
        <v>125</v>
      </c>
      <c r="D734" s="4" t="n">
        <v>62</v>
      </c>
      <c r="E734" s="22" t="s">
        <v>59</v>
      </c>
      <c r="F734" s="10" t="s">
        <v>126</v>
      </c>
    </row>
    <row r="735" customFormat="false" ht="15" hidden="false" customHeight="false" outlineLevel="0" collapsed="false">
      <c r="A735" s="4" t="str">
        <f aca="false">B735&amp;"|"&amp;C735</f>
        <v>R_28_773|50</v>
      </c>
      <c r="B735" s="4" t="s">
        <v>45</v>
      </c>
      <c r="C735" s="4" t="s">
        <v>127</v>
      </c>
      <c r="D735" s="4" t="n">
        <v>63</v>
      </c>
      <c r="E735" s="22" t="s">
        <v>59</v>
      </c>
      <c r="F735" s="10" t="s">
        <v>126</v>
      </c>
    </row>
    <row r="736" customFormat="false" ht="15" hidden="false" customHeight="false" outlineLevel="0" collapsed="false">
      <c r="A736" s="4" t="str">
        <f aca="false">B736&amp;"|"&amp;C736</f>
        <v>R_28_773|51</v>
      </c>
      <c r="B736" s="4" t="s">
        <v>45</v>
      </c>
      <c r="C736" s="4" t="s">
        <v>128</v>
      </c>
      <c r="D736" s="4" t="n">
        <v>64</v>
      </c>
      <c r="E736" s="22" t="s">
        <v>59</v>
      </c>
      <c r="F736" s="10" t="s">
        <v>126</v>
      </c>
    </row>
    <row r="737" customFormat="false" ht="15" hidden="false" customHeight="false" outlineLevel="0" collapsed="false">
      <c r="A737" s="4" t="str">
        <f aca="false">B737&amp;"|"&amp;C737</f>
        <v>R_28_773|52</v>
      </c>
      <c r="B737" s="4" t="s">
        <v>45</v>
      </c>
      <c r="C737" s="4" t="s">
        <v>129</v>
      </c>
      <c r="D737" s="4" t="n">
        <v>65</v>
      </c>
      <c r="E737" s="22" t="s">
        <v>68</v>
      </c>
      <c r="F737" s="10" t="s">
        <v>126</v>
      </c>
    </row>
    <row r="738" customFormat="false" ht="15" hidden="false" customHeight="false" outlineLevel="0" collapsed="false">
      <c r="A738" s="4" t="str">
        <f aca="false">B738&amp;"|"&amp;C738</f>
        <v>R_28_773|53</v>
      </c>
      <c r="B738" s="4" t="s">
        <v>45</v>
      </c>
      <c r="C738" s="4" t="s">
        <v>130</v>
      </c>
      <c r="D738" s="4" t="n">
        <v>66</v>
      </c>
      <c r="E738" s="22" t="s">
        <v>72</v>
      </c>
      <c r="F738" s="10" t="s">
        <v>126</v>
      </c>
    </row>
    <row r="739" customFormat="false" ht="15" hidden="false" customHeight="false" outlineLevel="0" collapsed="false">
      <c r="A739" s="4" t="str">
        <f aca="false">B739&amp;"|"&amp;C739</f>
        <v>R_28_773|54</v>
      </c>
      <c r="B739" s="4" t="s">
        <v>45</v>
      </c>
      <c r="C739" s="4" t="s">
        <v>131</v>
      </c>
      <c r="D739" s="4" t="n">
        <v>67</v>
      </c>
      <c r="E739" s="18" t="s">
        <v>62</v>
      </c>
      <c r="F739" s="19" t="s">
        <v>132</v>
      </c>
    </row>
    <row r="740" customFormat="false" ht="15" hidden="false" customHeight="false" outlineLevel="0" collapsed="false">
      <c r="A740" s="4" t="str">
        <f aca="false">B740&amp;"|"&amp;C740</f>
        <v>R_28_773|55</v>
      </c>
      <c r="B740" s="4" t="s">
        <v>45</v>
      </c>
      <c r="C740" s="4" t="s">
        <v>133</v>
      </c>
      <c r="D740" s="4" t="n">
        <v>68</v>
      </c>
      <c r="E740" s="18" t="s">
        <v>59</v>
      </c>
      <c r="F740" s="19" t="s">
        <v>132</v>
      </c>
    </row>
    <row r="741" customFormat="false" ht="15" hidden="false" customHeight="false" outlineLevel="0" collapsed="false">
      <c r="A741" s="4" t="str">
        <f aca="false">B741&amp;"|"&amp;C741</f>
        <v>R_28_773|56</v>
      </c>
      <c r="B741" s="4" t="s">
        <v>45</v>
      </c>
      <c r="C741" s="4" t="s">
        <v>134</v>
      </c>
      <c r="D741" s="4" t="n">
        <v>69</v>
      </c>
      <c r="E741" s="18" t="s">
        <v>68</v>
      </c>
      <c r="F741" s="19" t="s">
        <v>132</v>
      </c>
    </row>
    <row r="742" customFormat="false" ht="15" hidden="false" customHeight="false" outlineLevel="0" collapsed="false">
      <c r="A742" s="4" t="str">
        <f aca="false">B742&amp;"|"&amp;C742</f>
        <v>R_28_773|57</v>
      </c>
      <c r="B742" s="4" t="s">
        <v>45</v>
      </c>
      <c r="C742" s="4" t="s">
        <v>135</v>
      </c>
      <c r="D742" s="4" t="n">
        <v>70</v>
      </c>
      <c r="E742" s="18" t="s">
        <v>72</v>
      </c>
      <c r="F742" s="19" t="s">
        <v>132</v>
      </c>
    </row>
    <row r="743" customFormat="false" ht="15" hidden="false" customHeight="false" outlineLevel="0" collapsed="false">
      <c r="A743" s="4" t="str">
        <f aca="false">B743&amp;"|"&amp;C743</f>
        <v>R_28_773|58</v>
      </c>
      <c r="B743" s="4" t="s">
        <v>45</v>
      </c>
      <c r="C743" s="4" t="s">
        <v>136</v>
      </c>
      <c r="D743" s="4" t="n">
        <v>71</v>
      </c>
      <c r="E743" s="18" t="s">
        <v>59</v>
      </c>
      <c r="F743" s="19" t="s">
        <v>132</v>
      </c>
    </row>
    <row r="744" customFormat="false" ht="15" hidden="false" customHeight="false" outlineLevel="0" collapsed="false">
      <c r="A744" s="4" t="str">
        <f aca="false">B744&amp;"|"&amp;C744</f>
        <v>R_28_773|59</v>
      </c>
      <c r="B744" s="4" t="s">
        <v>45</v>
      </c>
      <c r="C744" s="4" t="s">
        <v>137</v>
      </c>
      <c r="D744" s="4" t="n">
        <v>72</v>
      </c>
      <c r="E744" s="18" t="s">
        <v>59</v>
      </c>
      <c r="F744" s="19" t="s">
        <v>132</v>
      </c>
    </row>
    <row r="745" customFormat="false" ht="15" hidden="false" customHeight="false" outlineLevel="0" collapsed="false">
      <c r="A745" s="4" t="str">
        <f aca="false">B745&amp;"|"&amp;C745</f>
        <v>R_28_773|60</v>
      </c>
      <c r="B745" s="4" t="s">
        <v>45</v>
      </c>
      <c r="C745" s="4" t="s">
        <v>138</v>
      </c>
      <c r="D745" s="4" t="n">
        <v>73</v>
      </c>
      <c r="E745" s="18" t="s">
        <v>59</v>
      </c>
      <c r="F745" s="19" t="s">
        <v>132</v>
      </c>
    </row>
    <row r="746" customFormat="false" ht="15" hidden="false" customHeight="false" outlineLevel="0" collapsed="false">
      <c r="A746" s="4" t="str">
        <f aca="false">B746&amp;"|"&amp;C746</f>
        <v>R_28_773|61</v>
      </c>
      <c r="B746" s="4" t="s">
        <v>45</v>
      </c>
      <c r="C746" s="4" t="s">
        <v>139</v>
      </c>
      <c r="D746" s="4" t="n">
        <v>74</v>
      </c>
      <c r="E746" s="22" t="s">
        <v>68</v>
      </c>
      <c r="F746" s="10" t="s">
        <v>126</v>
      </c>
    </row>
    <row r="747" customFormat="false" ht="15" hidden="false" customHeight="false" outlineLevel="0" collapsed="false">
      <c r="A747" s="4" t="str">
        <f aca="false">B747&amp;"|"&amp;C747</f>
        <v>R_28_773|62</v>
      </c>
      <c r="B747" s="4" t="s">
        <v>45</v>
      </c>
      <c r="C747" s="4" t="s">
        <v>140</v>
      </c>
      <c r="D747" s="4" t="n">
        <v>75</v>
      </c>
      <c r="E747" s="22" t="s">
        <v>72</v>
      </c>
      <c r="F747" s="10" t="s">
        <v>126</v>
      </c>
    </row>
    <row r="748" customFormat="false" ht="15" hidden="false" customHeight="false" outlineLevel="0" collapsed="false">
      <c r="A748" s="4" t="str">
        <f aca="false">B748&amp;"|"&amp;C748</f>
        <v>R_28_773|63</v>
      </c>
      <c r="B748" s="4" t="s">
        <v>45</v>
      </c>
      <c r="C748" s="4" t="s">
        <v>141</v>
      </c>
      <c r="D748" s="4" t="n">
        <v>76</v>
      </c>
      <c r="E748" s="22" t="s">
        <v>62</v>
      </c>
      <c r="F748" s="10" t="s">
        <v>126</v>
      </c>
    </row>
    <row r="749" customFormat="false" ht="15" hidden="false" customHeight="false" outlineLevel="0" collapsed="false">
      <c r="A749" s="4" t="str">
        <f aca="false">B749&amp;"|"&amp;C749</f>
        <v>R_28_773|64</v>
      </c>
      <c r="B749" s="4" t="s">
        <v>45</v>
      </c>
      <c r="C749" s="4" t="s">
        <v>142</v>
      </c>
      <c r="D749" s="4" t="n">
        <v>77</v>
      </c>
      <c r="E749" s="22" t="s">
        <v>62</v>
      </c>
      <c r="F749" s="10" t="s">
        <v>126</v>
      </c>
    </row>
    <row r="750" customFormat="false" ht="15" hidden="false" customHeight="false" outlineLevel="0" collapsed="false">
      <c r="A750" s="4" t="str">
        <f aca="false">B750&amp;"|"&amp;C750</f>
        <v>R_28_773|65</v>
      </c>
      <c r="B750" s="4" t="s">
        <v>45</v>
      </c>
      <c r="C750" s="4" t="s">
        <v>143</v>
      </c>
      <c r="D750" s="4" t="n">
        <v>78</v>
      </c>
      <c r="E750" s="22" t="s">
        <v>62</v>
      </c>
      <c r="F750" s="10" t="s">
        <v>126</v>
      </c>
    </row>
    <row r="751" customFormat="false" ht="15" hidden="false" customHeight="false" outlineLevel="0" collapsed="false">
      <c r="A751" s="4" t="str">
        <f aca="false">B751&amp;"|"&amp;C751</f>
        <v>R_28_773|66</v>
      </c>
      <c r="B751" s="4" t="s">
        <v>45</v>
      </c>
      <c r="C751" s="4" t="s">
        <v>144</v>
      </c>
      <c r="D751" s="4" t="n">
        <v>79</v>
      </c>
      <c r="E751" s="16" t="s">
        <v>62</v>
      </c>
      <c r="F751" s="17" t="s">
        <v>60</v>
      </c>
    </row>
    <row r="752" customFormat="false" ht="15" hidden="false" customHeight="false" outlineLevel="0" collapsed="false">
      <c r="A752" s="4" t="str">
        <f aca="false">B752&amp;"|"&amp;C752</f>
        <v>R_28_773|67</v>
      </c>
      <c r="B752" s="4" t="s">
        <v>45</v>
      </c>
      <c r="C752" s="4" t="s">
        <v>145</v>
      </c>
      <c r="D752" s="4" t="n">
        <v>80</v>
      </c>
      <c r="E752" s="16" t="s">
        <v>59</v>
      </c>
      <c r="F752" s="17" t="s">
        <v>60</v>
      </c>
    </row>
    <row r="753" customFormat="false" ht="15" hidden="false" customHeight="false" outlineLevel="0" collapsed="false">
      <c r="A753" s="4" t="str">
        <f aca="false">B753&amp;"|"&amp;C753</f>
        <v>R_28_773|68</v>
      </c>
      <c r="B753" s="4" t="s">
        <v>45</v>
      </c>
      <c r="C753" s="4" t="s">
        <v>146</v>
      </c>
      <c r="D753" s="4" t="n">
        <v>81</v>
      </c>
      <c r="E753" s="16" t="s">
        <v>72</v>
      </c>
      <c r="F753" s="17" t="s">
        <v>60</v>
      </c>
    </row>
    <row r="754" customFormat="false" ht="15" hidden="false" customHeight="false" outlineLevel="0" collapsed="false">
      <c r="A754" s="4" t="str">
        <f aca="false">B754&amp;"|"&amp;C754</f>
        <v>R_28_773|69</v>
      </c>
      <c r="B754" s="4" t="s">
        <v>45</v>
      </c>
      <c r="C754" s="4" t="s">
        <v>147</v>
      </c>
      <c r="D754" s="4" t="n">
        <v>82</v>
      </c>
      <c r="E754" s="16" t="s">
        <v>62</v>
      </c>
      <c r="F754" s="17" t="s">
        <v>60</v>
      </c>
    </row>
    <row r="755" customFormat="false" ht="15" hidden="false" customHeight="false" outlineLevel="0" collapsed="false">
      <c r="A755" s="4" t="str">
        <f aca="false">B755&amp;"|"&amp;C755</f>
        <v>R_28_773|70</v>
      </c>
      <c r="B755" s="4" t="s">
        <v>45</v>
      </c>
      <c r="C755" s="4" t="s">
        <v>148</v>
      </c>
      <c r="D755" s="4" t="n">
        <v>83</v>
      </c>
      <c r="E755" s="16" t="s">
        <v>62</v>
      </c>
      <c r="F755" s="17" t="s">
        <v>60</v>
      </c>
    </row>
    <row r="756" customFormat="false" ht="15" hidden="false" customHeight="false" outlineLevel="0" collapsed="false">
      <c r="A756" s="4" t="str">
        <f aca="false">B756&amp;"|"&amp;C756</f>
        <v>R_28_773|71</v>
      </c>
      <c r="B756" s="4" t="s">
        <v>45</v>
      </c>
      <c r="C756" s="4" t="s">
        <v>149</v>
      </c>
      <c r="D756" s="4" t="n">
        <v>84</v>
      </c>
      <c r="E756" s="16" t="s">
        <v>72</v>
      </c>
      <c r="F756" s="17" t="s">
        <v>60</v>
      </c>
    </row>
    <row r="757" customFormat="false" ht="15" hidden="false" customHeight="false" outlineLevel="0" collapsed="false">
      <c r="A757" s="4" t="str">
        <f aca="false">B757&amp;"|"&amp;C757</f>
        <v>R_28_773|72</v>
      </c>
      <c r="B757" s="4" t="s">
        <v>45</v>
      </c>
      <c r="C757" s="4" t="s">
        <v>150</v>
      </c>
      <c r="D757" s="4" t="n">
        <v>85</v>
      </c>
      <c r="E757" s="16" t="s">
        <v>72</v>
      </c>
      <c r="F757" s="17" t="s">
        <v>60</v>
      </c>
    </row>
    <row r="758" customFormat="false" ht="15" hidden="false" customHeight="false" outlineLevel="0" collapsed="false">
      <c r="A758" s="4" t="str">
        <f aca="false">B758&amp;"|"&amp;C758</f>
        <v>R_43_1746|1</v>
      </c>
      <c r="B758" s="4" t="s">
        <v>46</v>
      </c>
      <c r="C758" s="4" t="s">
        <v>58</v>
      </c>
      <c r="D758" s="4" t="n">
        <v>1</v>
      </c>
      <c r="E758" s="16" t="s">
        <v>72</v>
      </c>
      <c r="F758" s="17" t="s">
        <v>60</v>
      </c>
    </row>
    <row r="759" customFormat="false" ht="15" hidden="false" customHeight="false" outlineLevel="0" collapsed="false">
      <c r="A759" s="4" t="str">
        <f aca="false">B759&amp;"|"&amp;C759</f>
        <v>R_43_1746|2</v>
      </c>
      <c r="B759" s="4" t="s">
        <v>46</v>
      </c>
      <c r="C759" s="4" t="s">
        <v>61</v>
      </c>
      <c r="D759" s="4" t="n">
        <v>2</v>
      </c>
      <c r="E759" s="16" t="s">
        <v>62</v>
      </c>
      <c r="F759" s="17" t="s">
        <v>60</v>
      </c>
    </row>
    <row r="760" customFormat="false" ht="15" hidden="false" customHeight="false" outlineLevel="0" collapsed="false">
      <c r="A760" s="4" t="str">
        <f aca="false">B760&amp;"|"&amp;C760</f>
        <v>R_43_1746|3</v>
      </c>
      <c r="B760" s="4" t="s">
        <v>46</v>
      </c>
      <c r="C760" s="4" t="s">
        <v>63</v>
      </c>
      <c r="D760" s="4" t="n">
        <v>3</v>
      </c>
      <c r="E760" s="16" t="s">
        <v>62</v>
      </c>
      <c r="F760" s="17" t="s">
        <v>60</v>
      </c>
    </row>
    <row r="761" customFormat="false" ht="15" hidden="false" customHeight="false" outlineLevel="0" collapsed="false">
      <c r="A761" s="4" t="str">
        <f aca="false">B761&amp;"|"&amp;C761</f>
        <v>R_43_1746|4</v>
      </c>
      <c r="B761" s="4" t="s">
        <v>46</v>
      </c>
      <c r="C761" s="4" t="s">
        <v>64</v>
      </c>
      <c r="D761" s="4" t="n">
        <v>4</v>
      </c>
      <c r="E761" s="16" t="s">
        <v>62</v>
      </c>
      <c r="F761" s="17" t="s">
        <v>60</v>
      </c>
    </row>
    <row r="762" customFormat="false" ht="15" hidden="false" customHeight="false" outlineLevel="0" collapsed="false">
      <c r="A762" s="4" t="str">
        <f aca="false">B762&amp;"|"&amp;C762</f>
        <v>R_43_1746|5</v>
      </c>
      <c r="B762" s="4" t="s">
        <v>46</v>
      </c>
      <c r="C762" s="4" t="s">
        <v>65</v>
      </c>
      <c r="D762" s="4" t="n">
        <v>5</v>
      </c>
      <c r="E762" s="16" t="s">
        <v>59</v>
      </c>
      <c r="F762" s="17" t="s">
        <v>60</v>
      </c>
    </row>
    <row r="763" customFormat="false" ht="15" hidden="false" customHeight="false" outlineLevel="0" collapsed="false">
      <c r="A763" s="4" t="str">
        <f aca="false">B763&amp;"|"&amp;C763</f>
        <v>R_43_1746|6</v>
      </c>
      <c r="B763" s="4" t="s">
        <v>46</v>
      </c>
      <c r="C763" s="4" t="s">
        <v>66</v>
      </c>
      <c r="D763" s="4" t="n">
        <v>6</v>
      </c>
      <c r="E763" s="16" t="s">
        <v>59</v>
      </c>
      <c r="F763" s="17" t="s">
        <v>60</v>
      </c>
    </row>
    <row r="764" customFormat="false" ht="15" hidden="false" customHeight="false" outlineLevel="0" collapsed="false">
      <c r="A764" s="4" t="str">
        <f aca="false">B764&amp;"|"&amp;C764</f>
        <v>R_43_1746|7</v>
      </c>
      <c r="B764" s="4" t="s">
        <v>46</v>
      </c>
      <c r="C764" s="4" t="s">
        <v>67</v>
      </c>
      <c r="D764" s="4" t="n">
        <v>7</v>
      </c>
      <c r="E764" s="16" t="s">
        <v>59</v>
      </c>
      <c r="F764" s="17" t="s">
        <v>60</v>
      </c>
    </row>
    <row r="765" customFormat="false" ht="15" hidden="false" customHeight="false" outlineLevel="0" collapsed="false">
      <c r="A765" s="4" t="str">
        <f aca="false">B765&amp;"|"&amp;C765</f>
        <v>R_43_1746|8</v>
      </c>
      <c r="B765" s="4" t="s">
        <v>46</v>
      </c>
      <c r="C765" s="4" t="s">
        <v>69</v>
      </c>
      <c r="D765" s="4" t="n">
        <v>8</v>
      </c>
      <c r="E765" s="3" t="s">
        <v>59</v>
      </c>
      <c r="F765" s="4" t="s">
        <v>70</v>
      </c>
    </row>
    <row r="766" customFormat="false" ht="15" hidden="false" customHeight="false" outlineLevel="0" collapsed="false">
      <c r="A766" s="4" t="str">
        <f aca="false">B766&amp;"|"&amp;C766</f>
        <v>R_43_1746|9</v>
      </c>
      <c r="B766" s="4" t="s">
        <v>46</v>
      </c>
      <c r="C766" s="4" t="s">
        <v>71</v>
      </c>
      <c r="D766" s="4" t="n">
        <v>9</v>
      </c>
      <c r="E766" s="3" t="s">
        <v>59</v>
      </c>
      <c r="F766" s="4" t="s">
        <v>73</v>
      </c>
    </row>
    <row r="767" customFormat="false" ht="15" hidden="false" customHeight="false" outlineLevel="0" collapsed="false">
      <c r="A767" s="4" t="str">
        <f aca="false">B767&amp;"|"&amp;C767</f>
        <v>R_43_1746|10</v>
      </c>
      <c r="B767" s="4" t="s">
        <v>46</v>
      </c>
      <c r="C767" s="4" t="s">
        <v>74</v>
      </c>
      <c r="D767" s="4" t="n">
        <v>10</v>
      </c>
      <c r="E767" s="8" t="s">
        <v>62</v>
      </c>
      <c r="F767" s="7" t="s">
        <v>75</v>
      </c>
    </row>
    <row r="768" customFormat="false" ht="15" hidden="false" customHeight="false" outlineLevel="0" collapsed="false">
      <c r="A768" s="4" t="str">
        <f aca="false">B768&amp;"|"&amp;C768</f>
        <v>R_43_1746|11</v>
      </c>
      <c r="B768" s="4" t="s">
        <v>46</v>
      </c>
      <c r="C768" s="4" t="s">
        <v>76</v>
      </c>
      <c r="D768" s="4" t="n">
        <v>11</v>
      </c>
      <c r="E768" s="8" t="s">
        <v>59</v>
      </c>
      <c r="F768" s="7" t="s">
        <v>75</v>
      </c>
    </row>
    <row r="769" customFormat="false" ht="15" hidden="false" customHeight="false" outlineLevel="0" collapsed="false">
      <c r="A769" s="4" t="str">
        <f aca="false">B769&amp;"|"&amp;C769</f>
        <v>R_43_1746|12</v>
      </c>
      <c r="B769" s="4" t="s">
        <v>46</v>
      </c>
      <c r="C769" s="4" t="s">
        <v>77</v>
      </c>
      <c r="D769" s="4" t="n">
        <v>12</v>
      </c>
      <c r="E769" s="8" t="s">
        <v>59</v>
      </c>
      <c r="F769" s="7" t="s">
        <v>75</v>
      </c>
    </row>
    <row r="770" customFormat="false" ht="15" hidden="false" customHeight="false" outlineLevel="0" collapsed="false">
      <c r="A770" s="4" t="str">
        <f aca="false">B770&amp;"|"&amp;C770</f>
        <v>R_43_1746|13</v>
      </c>
      <c r="B770" s="4" t="s">
        <v>46</v>
      </c>
      <c r="C770" s="4" t="s">
        <v>78</v>
      </c>
      <c r="D770" s="4" t="n">
        <v>13</v>
      </c>
      <c r="E770" s="8" t="s">
        <v>59</v>
      </c>
      <c r="F770" s="7" t="s">
        <v>75</v>
      </c>
    </row>
    <row r="771" customFormat="false" ht="15" hidden="false" customHeight="false" outlineLevel="0" collapsed="false">
      <c r="A771" s="4" t="str">
        <f aca="false">B771&amp;"|"&amp;C771</f>
        <v>R_43_1746|14</v>
      </c>
      <c r="B771" s="4" t="s">
        <v>46</v>
      </c>
      <c r="C771" s="4" t="s">
        <v>79</v>
      </c>
      <c r="D771" s="4" t="n">
        <v>14</v>
      </c>
      <c r="E771" s="18" t="s">
        <v>62</v>
      </c>
      <c r="F771" s="19" t="s">
        <v>80</v>
      </c>
    </row>
    <row r="772" customFormat="false" ht="15" hidden="false" customHeight="false" outlineLevel="0" collapsed="false">
      <c r="A772" s="4" t="str">
        <f aca="false">B772&amp;"|"&amp;C772</f>
        <v>R_43_1746|15</v>
      </c>
      <c r="B772" s="4" t="s">
        <v>46</v>
      </c>
      <c r="C772" s="4" t="s">
        <v>81</v>
      </c>
      <c r="D772" s="4" t="n">
        <v>15</v>
      </c>
      <c r="E772" s="18" t="s">
        <v>59</v>
      </c>
      <c r="F772" s="19" t="s">
        <v>80</v>
      </c>
    </row>
    <row r="773" customFormat="false" ht="15" hidden="false" customHeight="false" outlineLevel="0" collapsed="false">
      <c r="A773" s="4" t="str">
        <f aca="false">B773&amp;"|"&amp;C773</f>
        <v>R_43_1746|16</v>
      </c>
      <c r="B773" s="4" t="s">
        <v>46</v>
      </c>
      <c r="C773" s="4" t="s">
        <v>82</v>
      </c>
      <c r="D773" s="4" t="n">
        <v>16</v>
      </c>
      <c r="E773" s="18" t="s">
        <v>59</v>
      </c>
      <c r="F773" s="19" t="s">
        <v>80</v>
      </c>
    </row>
    <row r="774" customFormat="false" ht="15" hidden="false" customHeight="false" outlineLevel="0" collapsed="false">
      <c r="A774" s="4" t="str">
        <f aca="false">B774&amp;"|"&amp;C774</f>
        <v>R_43_1746|18</v>
      </c>
      <c r="B774" s="4" t="s">
        <v>46</v>
      </c>
      <c r="C774" s="4" t="s">
        <v>83</v>
      </c>
      <c r="D774" s="4" t="n">
        <v>17</v>
      </c>
      <c r="E774" s="18" t="s">
        <v>72</v>
      </c>
      <c r="F774" s="19" t="s">
        <v>80</v>
      </c>
    </row>
    <row r="775" customFormat="false" ht="15" hidden="false" customHeight="false" outlineLevel="0" collapsed="false">
      <c r="A775" s="4" t="str">
        <f aca="false">B775&amp;"|"&amp;C775</f>
        <v>R_43_1746|19</v>
      </c>
      <c r="B775" s="4" t="s">
        <v>46</v>
      </c>
      <c r="C775" s="4" t="s">
        <v>84</v>
      </c>
      <c r="D775" s="4" t="n">
        <v>18</v>
      </c>
      <c r="E775" s="18" t="s">
        <v>72</v>
      </c>
      <c r="F775" s="19" t="s">
        <v>80</v>
      </c>
    </row>
    <row r="776" customFormat="false" ht="15" hidden="false" customHeight="false" outlineLevel="0" collapsed="false">
      <c r="A776" s="4" t="str">
        <f aca="false">B776&amp;"|"&amp;C776</f>
        <v>R_43_1746|20</v>
      </c>
      <c r="B776" s="4" t="s">
        <v>46</v>
      </c>
      <c r="C776" s="4" t="s">
        <v>85</v>
      </c>
      <c r="D776" s="4" t="n">
        <v>19</v>
      </c>
      <c r="E776" s="18" t="s">
        <v>72</v>
      </c>
      <c r="F776" s="19" t="s">
        <v>80</v>
      </c>
    </row>
    <row r="777" customFormat="false" ht="15" hidden="false" customHeight="false" outlineLevel="0" collapsed="false">
      <c r="A777" s="4" t="str">
        <f aca="false">B777&amp;"|"&amp;C777</f>
        <v>R_43_1746|20a</v>
      </c>
      <c r="B777" s="4" t="s">
        <v>46</v>
      </c>
      <c r="C777" s="4" t="s">
        <v>86</v>
      </c>
      <c r="D777" s="4" t="n">
        <v>20</v>
      </c>
      <c r="E777" s="18" t="s">
        <v>62</v>
      </c>
      <c r="F777" s="19" t="s">
        <v>80</v>
      </c>
    </row>
    <row r="778" customFormat="false" ht="15" hidden="false" customHeight="false" outlineLevel="0" collapsed="false">
      <c r="A778" s="4" t="str">
        <f aca="false">B778&amp;"|"&amp;C778</f>
        <v>R_43_1746|20b</v>
      </c>
      <c r="B778" s="4" t="s">
        <v>46</v>
      </c>
      <c r="C778" s="4" t="s">
        <v>87</v>
      </c>
      <c r="D778" s="4" t="n">
        <v>21</v>
      </c>
      <c r="E778" s="18" t="s">
        <v>59</v>
      </c>
      <c r="F778" s="19" t="s">
        <v>80</v>
      </c>
    </row>
    <row r="779" customFormat="false" ht="15" hidden="false" customHeight="false" outlineLevel="0" collapsed="false">
      <c r="A779" s="4" t="str">
        <f aca="false">B779&amp;"|"&amp;C779</f>
        <v>R_43_1746|20c</v>
      </c>
      <c r="B779" s="4" t="s">
        <v>46</v>
      </c>
      <c r="C779" s="4" t="s">
        <v>169</v>
      </c>
      <c r="D779" s="4" t="n">
        <v>22</v>
      </c>
      <c r="E779" s="18" t="s">
        <v>62</v>
      </c>
      <c r="F779" s="19" t="s">
        <v>80</v>
      </c>
    </row>
    <row r="780" customFormat="false" ht="15" hidden="false" customHeight="false" outlineLevel="0" collapsed="false">
      <c r="A780" s="4" t="str">
        <f aca="false">B780&amp;"|"&amp;C780</f>
        <v>R_43_1746|21</v>
      </c>
      <c r="B780" s="4" t="s">
        <v>46</v>
      </c>
      <c r="C780" s="4" t="s">
        <v>88</v>
      </c>
      <c r="D780" s="4" t="n">
        <v>23</v>
      </c>
      <c r="E780" s="18" t="s">
        <v>68</v>
      </c>
      <c r="F780" s="19" t="s">
        <v>80</v>
      </c>
    </row>
    <row r="781" customFormat="false" ht="15" hidden="false" customHeight="false" outlineLevel="0" collapsed="false">
      <c r="A781" s="4" t="str">
        <f aca="false">B781&amp;"|"&amp;C781</f>
        <v>R_43_1746|22</v>
      </c>
      <c r="B781" s="4" t="s">
        <v>46</v>
      </c>
      <c r="C781" s="4" t="s">
        <v>89</v>
      </c>
      <c r="D781" s="4" t="n">
        <v>24</v>
      </c>
      <c r="E781" s="8" t="s">
        <v>62</v>
      </c>
      <c r="F781" s="7" t="s">
        <v>75</v>
      </c>
    </row>
    <row r="782" customFormat="false" ht="15" hidden="false" customHeight="false" outlineLevel="0" collapsed="false">
      <c r="A782" s="4" t="str">
        <f aca="false">B782&amp;"|"&amp;C782</f>
        <v>R_43_1746|23</v>
      </c>
      <c r="B782" s="4" t="s">
        <v>46</v>
      </c>
      <c r="C782" s="4" t="s">
        <v>90</v>
      </c>
      <c r="D782" s="4" t="n">
        <v>25</v>
      </c>
      <c r="E782" s="8" t="s">
        <v>62</v>
      </c>
      <c r="F782" s="7" t="s">
        <v>75</v>
      </c>
    </row>
    <row r="783" customFormat="false" ht="15" hidden="false" customHeight="false" outlineLevel="0" collapsed="false">
      <c r="A783" s="4" t="str">
        <f aca="false">B783&amp;"|"&amp;C783</f>
        <v>R_43_1746|24</v>
      </c>
      <c r="B783" s="4" t="s">
        <v>46</v>
      </c>
      <c r="C783" s="4" t="s">
        <v>91</v>
      </c>
      <c r="D783" s="4" t="n">
        <v>26</v>
      </c>
      <c r="E783" s="8" t="s">
        <v>62</v>
      </c>
      <c r="F783" s="7" t="s">
        <v>75</v>
      </c>
    </row>
    <row r="784" customFormat="false" ht="15" hidden="false" customHeight="false" outlineLevel="0" collapsed="false">
      <c r="A784" s="4" t="str">
        <f aca="false">B784&amp;"|"&amp;C784</f>
        <v>R_43_1746|25</v>
      </c>
      <c r="B784" s="4" t="s">
        <v>46</v>
      </c>
      <c r="C784" s="4" t="s">
        <v>92</v>
      </c>
      <c r="D784" s="4" t="n">
        <v>27</v>
      </c>
      <c r="E784" s="8" t="s">
        <v>59</v>
      </c>
      <c r="F784" s="7" t="s">
        <v>75</v>
      </c>
    </row>
    <row r="785" customFormat="false" ht="15" hidden="false" customHeight="false" outlineLevel="0" collapsed="false">
      <c r="A785" s="4" t="str">
        <f aca="false">B785&amp;"|"&amp;C785</f>
        <v>R_43_1746|26</v>
      </c>
      <c r="B785" s="4" t="s">
        <v>46</v>
      </c>
      <c r="C785" s="4" t="s">
        <v>93</v>
      </c>
      <c r="D785" s="4" t="n">
        <v>28</v>
      </c>
      <c r="E785" s="3" t="s">
        <v>59</v>
      </c>
      <c r="F785" s="4" t="s">
        <v>94</v>
      </c>
    </row>
    <row r="786" customFormat="false" ht="15" hidden="false" customHeight="false" outlineLevel="0" collapsed="false">
      <c r="A786" s="4" t="str">
        <f aca="false">B786&amp;"|"&amp;C786</f>
        <v>R_43_1746|27</v>
      </c>
      <c r="B786" s="4" t="s">
        <v>46</v>
      </c>
      <c r="C786" s="4" t="s">
        <v>95</v>
      </c>
      <c r="D786" s="4" t="n">
        <v>29</v>
      </c>
      <c r="E786" s="20" t="s">
        <v>59</v>
      </c>
      <c r="F786" s="21" t="s">
        <v>96</v>
      </c>
    </row>
    <row r="787" customFormat="false" ht="15" hidden="false" customHeight="false" outlineLevel="0" collapsed="false">
      <c r="A787" s="4" t="str">
        <f aca="false">B787&amp;"|"&amp;C787</f>
        <v>R_43_1746|28</v>
      </c>
      <c r="B787" s="4" t="s">
        <v>46</v>
      </c>
      <c r="C787" s="4" t="s">
        <v>97</v>
      </c>
      <c r="D787" s="4" t="n">
        <v>30</v>
      </c>
      <c r="E787" s="20" t="s">
        <v>59</v>
      </c>
      <c r="F787" s="21" t="s">
        <v>96</v>
      </c>
    </row>
    <row r="788" customFormat="false" ht="15" hidden="false" customHeight="false" outlineLevel="0" collapsed="false">
      <c r="A788" s="4" t="str">
        <f aca="false">B788&amp;"|"&amp;C788</f>
        <v>R_43_1746|29</v>
      </c>
      <c r="B788" s="4" t="s">
        <v>46</v>
      </c>
      <c r="C788" s="4" t="s">
        <v>98</v>
      </c>
      <c r="D788" s="4" t="n">
        <v>31</v>
      </c>
      <c r="E788" s="20" t="s">
        <v>72</v>
      </c>
      <c r="F788" s="21" t="s">
        <v>96</v>
      </c>
    </row>
    <row r="789" customFormat="false" ht="15" hidden="false" customHeight="false" outlineLevel="0" collapsed="false">
      <c r="A789" s="4" t="str">
        <f aca="false">B789&amp;"|"&amp;C789</f>
        <v>R_43_1746|30</v>
      </c>
      <c r="B789" s="4" t="s">
        <v>46</v>
      </c>
      <c r="C789" s="4" t="s">
        <v>99</v>
      </c>
      <c r="D789" s="4" t="n">
        <v>32</v>
      </c>
      <c r="E789" s="20" t="s">
        <v>62</v>
      </c>
      <c r="F789" s="21" t="s">
        <v>96</v>
      </c>
    </row>
    <row r="790" customFormat="false" ht="15" hidden="false" customHeight="false" outlineLevel="0" collapsed="false">
      <c r="A790" s="4" t="str">
        <f aca="false">B790&amp;"|"&amp;C790</f>
        <v>R_43_1746|31</v>
      </c>
      <c r="B790" s="4" t="s">
        <v>46</v>
      </c>
      <c r="C790" s="4" t="s">
        <v>100</v>
      </c>
      <c r="D790" s="4" t="n">
        <v>33</v>
      </c>
      <c r="E790" s="20" t="s">
        <v>62</v>
      </c>
      <c r="F790" s="21" t="s">
        <v>96</v>
      </c>
    </row>
    <row r="791" customFormat="false" ht="15" hidden="false" customHeight="false" outlineLevel="0" collapsed="false">
      <c r="A791" s="4" t="str">
        <f aca="false">B791&amp;"|"&amp;C791</f>
        <v>R_43_1746|32</v>
      </c>
      <c r="B791" s="4" t="s">
        <v>46</v>
      </c>
      <c r="C791" s="4" t="s">
        <v>101</v>
      </c>
      <c r="D791" s="4" t="n">
        <v>34</v>
      </c>
      <c r="E791" s="18" t="s">
        <v>72</v>
      </c>
      <c r="F791" s="19" t="s">
        <v>102</v>
      </c>
    </row>
    <row r="792" customFormat="false" ht="15" hidden="false" customHeight="false" outlineLevel="0" collapsed="false">
      <c r="A792" s="4" t="str">
        <f aca="false">B792&amp;"|"&amp;C792</f>
        <v>R_43_1746|33</v>
      </c>
      <c r="B792" s="4" t="s">
        <v>46</v>
      </c>
      <c r="C792" s="4" t="s">
        <v>103</v>
      </c>
      <c r="D792" s="4" t="n">
        <v>35</v>
      </c>
      <c r="E792" s="18" t="s">
        <v>59</v>
      </c>
      <c r="F792" s="19" t="s">
        <v>102</v>
      </c>
    </row>
    <row r="793" customFormat="false" ht="15" hidden="false" customHeight="false" outlineLevel="0" collapsed="false">
      <c r="A793" s="4" t="str">
        <f aca="false">B793&amp;"|"&amp;C793</f>
        <v>R_43_1746|34</v>
      </c>
      <c r="B793" s="4" t="s">
        <v>46</v>
      </c>
      <c r="C793" s="4" t="s">
        <v>104</v>
      </c>
      <c r="D793" s="4" t="n">
        <v>36</v>
      </c>
      <c r="E793" s="18" t="s">
        <v>59</v>
      </c>
      <c r="F793" s="19" t="s">
        <v>102</v>
      </c>
    </row>
    <row r="794" customFormat="false" ht="15" hidden="false" customHeight="false" outlineLevel="0" collapsed="false">
      <c r="A794" s="4" t="str">
        <f aca="false">B794&amp;"|"&amp;C794</f>
        <v>R_43_1746|35</v>
      </c>
      <c r="B794" s="4" t="s">
        <v>46</v>
      </c>
      <c r="C794" s="4" t="s">
        <v>105</v>
      </c>
      <c r="D794" s="4" t="n">
        <v>37</v>
      </c>
      <c r="E794" s="18" t="s">
        <v>59</v>
      </c>
      <c r="F794" s="19" t="s">
        <v>102</v>
      </c>
    </row>
    <row r="795" customFormat="false" ht="15" hidden="false" customHeight="false" outlineLevel="0" collapsed="false">
      <c r="A795" s="4" t="str">
        <f aca="false">B795&amp;"|"&amp;C795</f>
        <v>R_43_1746|36</v>
      </c>
      <c r="B795" s="4" t="s">
        <v>46</v>
      </c>
      <c r="C795" s="4" t="s">
        <v>106</v>
      </c>
      <c r="D795" s="4" t="n">
        <v>38</v>
      </c>
      <c r="E795" s="18" t="s">
        <v>62</v>
      </c>
      <c r="F795" s="19" t="s">
        <v>102</v>
      </c>
    </row>
    <row r="796" customFormat="false" ht="15" hidden="false" customHeight="false" outlineLevel="0" collapsed="false">
      <c r="A796" s="4" t="str">
        <f aca="false">B796&amp;"|"&amp;C796</f>
        <v>R_43_1746|37</v>
      </c>
      <c r="B796" s="4" t="s">
        <v>46</v>
      </c>
      <c r="C796" s="4" t="s">
        <v>107</v>
      </c>
      <c r="D796" s="4" t="n">
        <v>39</v>
      </c>
      <c r="E796" s="18" t="s">
        <v>62</v>
      </c>
      <c r="F796" s="19" t="s">
        <v>102</v>
      </c>
    </row>
    <row r="797" customFormat="false" ht="15" hidden="false" customHeight="false" outlineLevel="0" collapsed="false">
      <c r="A797" s="4" t="str">
        <f aca="false">B797&amp;"|"&amp;C797</f>
        <v>R_43_1746|38</v>
      </c>
      <c r="B797" s="4" t="s">
        <v>46</v>
      </c>
      <c r="C797" s="4" t="s">
        <v>108</v>
      </c>
      <c r="D797" s="4" t="n">
        <v>40</v>
      </c>
      <c r="E797" s="18" t="s">
        <v>68</v>
      </c>
      <c r="F797" s="19" t="s">
        <v>102</v>
      </c>
    </row>
    <row r="798" customFormat="false" ht="15" hidden="false" customHeight="false" outlineLevel="0" collapsed="false">
      <c r="A798" s="4" t="str">
        <f aca="false">B798&amp;"|"&amp;C798</f>
        <v>R_43_1746|39</v>
      </c>
      <c r="B798" s="4" t="s">
        <v>46</v>
      </c>
      <c r="C798" s="4" t="s">
        <v>109</v>
      </c>
      <c r="D798" s="4" t="n">
        <v>41</v>
      </c>
      <c r="E798" s="20" t="s">
        <v>68</v>
      </c>
      <c r="F798" s="21" t="s">
        <v>96</v>
      </c>
    </row>
    <row r="799" customFormat="false" ht="15" hidden="false" customHeight="false" outlineLevel="0" collapsed="false">
      <c r="A799" s="4" t="str">
        <f aca="false">B799&amp;"|"&amp;C799</f>
        <v>R_43_1746|40</v>
      </c>
      <c r="B799" s="4" t="s">
        <v>46</v>
      </c>
      <c r="C799" s="4" t="s">
        <v>110</v>
      </c>
      <c r="D799" s="4" t="n">
        <v>42</v>
      </c>
      <c r="E799" s="20" t="s">
        <v>59</v>
      </c>
      <c r="F799" s="21" t="s">
        <v>96</v>
      </c>
    </row>
    <row r="800" customFormat="false" ht="15" hidden="false" customHeight="false" outlineLevel="0" collapsed="false">
      <c r="A800" s="4" t="str">
        <f aca="false">B800&amp;"|"&amp;C800</f>
        <v>R_43_1746|41</v>
      </c>
      <c r="B800" s="4" t="s">
        <v>46</v>
      </c>
      <c r="C800" s="4" t="s">
        <v>111</v>
      </c>
      <c r="D800" s="4" t="n">
        <v>43</v>
      </c>
      <c r="E800" s="20" t="s">
        <v>59</v>
      </c>
      <c r="F800" s="21" t="s">
        <v>96</v>
      </c>
    </row>
    <row r="801" customFormat="false" ht="15" hidden="false" customHeight="false" outlineLevel="0" collapsed="false">
      <c r="A801" s="4" t="str">
        <f aca="false">B801&amp;"|"&amp;C801</f>
        <v>R_43_1746|42</v>
      </c>
      <c r="B801" s="4" t="s">
        <v>46</v>
      </c>
      <c r="C801" s="4" t="s">
        <v>112</v>
      </c>
      <c r="D801" s="4" t="n">
        <v>44</v>
      </c>
      <c r="E801" s="20" t="s">
        <v>62</v>
      </c>
      <c r="F801" s="21" t="s">
        <v>96</v>
      </c>
    </row>
    <row r="802" customFormat="false" ht="15" hidden="false" customHeight="false" outlineLevel="0" collapsed="false">
      <c r="A802" s="4" t="str">
        <f aca="false">B802&amp;"|"&amp;C802</f>
        <v>R_43_1746|43</v>
      </c>
      <c r="B802" s="4" t="s">
        <v>46</v>
      </c>
      <c r="C802" s="4" t="s">
        <v>113</v>
      </c>
      <c r="D802" s="4" t="n">
        <v>45</v>
      </c>
      <c r="E802" s="20" t="s">
        <v>62</v>
      </c>
      <c r="F802" s="21" t="s">
        <v>96</v>
      </c>
    </row>
    <row r="803" customFormat="false" ht="15" hidden="false" customHeight="false" outlineLevel="0" collapsed="false">
      <c r="A803" s="4" t="str">
        <f aca="false">B803&amp;"|"&amp;C803</f>
        <v>R_43_1746|44</v>
      </c>
      <c r="B803" s="4" t="s">
        <v>46</v>
      </c>
      <c r="C803" s="4" t="s">
        <v>114</v>
      </c>
      <c r="D803" s="4" t="n">
        <v>46</v>
      </c>
      <c r="E803" s="18" t="s">
        <v>62</v>
      </c>
      <c r="F803" s="19" t="s">
        <v>115</v>
      </c>
    </row>
    <row r="804" customFormat="false" ht="15" hidden="false" customHeight="false" outlineLevel="0" collapsed="false">
      <c r="A804" s="4" t="str">
        <f aca="false">B804&amp;"|"&amp;C804</f>
        <v>R_43_1746|45</v>
      </c>
      <c r="B804" s="4" t="s">
        <v>46</v>
      </c>
      <c r="C804" s="4" t="s">
        <v>116</v>
      </c>
      <c r="D804" s="4" t="n">
        <v>47</v>
      </c>
      <c r="E804" s="18" t="s">
        <v>62</v>
      </c>
      <c r="F804" s="19" t="s">
        <v>115</v>
      </c>
    </row>
    <row r="805" customFormat="false" ht="15" hidden="false" customHeight="false" outlineLevel="0" collapsed="false">
      <c r="A805" s="4" t="str">
        <f aca="false">B805&amp;"|"&amp;C805</f>
        <v>R_43_1746|46</v>
      </c>
      <c r="B805" s="4" t="s">
        <v>46</v>
      </c>
      <c r="C805" s="4" t="s">
        <v>122</v>
      </c>
      <c r="D805" s="4" t="n">
        <v>48</v>
      </c>
      <c r="E805" s="18" t="s">
        <v>59</v>
      </c>
      <c r="F805" s="19" t="s">
        <v>115</v>
      </c>
    </row>
    <row r="806" customFormat="false" ht="15" hidden="false" customHeight="false" outlineLevel="0" collapsed="false">
      <c r="A806" s="4" t="str">
        <f aca="false">B806&amp;"|"&amp;C806</f>
        <v>R_43_1746|48</v>
      </c>
      <c r="B806" s="4" t="s">
        <v>46</v>
      </c>
      <c r="C806" s="4" t="s">
        <v>124</v>
      </c>
      <c r="D806" s="4" t="n">
        <v>49</v>
      </c>
      <c r="E806" s="18" t="s">
        <v>62</v>
      </c>
      <c r="F806" s="19" t="s">
        <v>115</v>
      </c>
    </row>
    <row r="807" customFormat="false" ht="15" hidden="false" customHeight="false" outlineLevel="0" collapsed="false">
      <c r="A807" s="4" t="str">
        <f aca="false">B807&amp;"|"&amp;C807</f>
        <v>R_43_1746|49</v>
      </c>
      <c r="B807" s="4" t="s">
        <v>46</v>
      </c>
      <c r="C807" s="4" t="s">
        <v>125</v>
      </c>
      <c r="D807" s="4" t="n">
        <v>50</v>
      </c>
      <c r="E807" s="22" t="s">
        <v>59</v>
      </c>
      <c r="F807" s="10" t="s">
        <v>126</v>
      </c>
    </row>
    <row r="808" customFormat="false" ht="15" hidden="false" customHeight="false" outlineLevel="0" collapsed="false">
      <c r="A808" s="4" t="str">
        <f aca="false">B808&amp;"|"&amp;C808</f>
        <v>R_43_1746|50</v>
      </c>
      <c r="B808" s="4" t="s">
        <v>46</v>
      </c>
      <c r="C808" s="4" t="s">
        <v>127</v>
      </c>
      <c r="D808" s="4" t="n">
        <v>51</v>
      </c>
      <c r="E808" s="22" t="s">
        <v>59</v>
      </c>
      <c r="F808" s="10" t="s">
        <v>126</v>
      </c>
    </row>
    <row r="809" customFormat="false" ht="15" hidden="false" customHeight="false" outlineLevel="0" collapsed="false">
      <c r="A809" s="4" t="str">
        <f aca="false">B809&amp;"|"&amp;C809</f>
        <v>R_43_1746|51</v>
      </c>
      <c r="B809" s="4" t="s">
        <v>46</v>
      </c>
      <c r="C809" s="4" t="s">
        <v>128</v>
      </c>
      <c r="D809" s="4" t="n">
        <v>52</v>
      </c>
      <c r="E809" s="22" t="s">
        <v>62</v>
      </c>
      <c r="F809" s="10" t="s">
        <v>126</v>
      </c>
    </row>
    <row r="810" customFormat="false" ht="15" hidden="false" customHeight="false" outlineLevel="0" collapsed="false">
      <c r="A810" s="4" t="str">
        <f aca="false">B810&amp;"|"&amp;C810</f>
        <v>R_43_1746|52</v>
      </c>
      <c r="B810" s="4" t="s">
        <v>46</v>
      </c>
      <c r="C810" s="4" t="s">
        <v>129</v>
      </c>
      <c r="D810" s="4" t="n">
        <v>53</v>
      </c>
      <c r="E810" s="22" t="s">
        <v>62</v>
      </c>
      <c r="F810" s="10" t="s">
        <v>126</v>
      </c>
    </row>
    <row r="811" customFormat="false" ht="15" hidden="false" customHeight="false" outlineLevel="0" collapsed="false">
      <c r="A811" s="4" t="str">
        <f aca="false">B811&amp;"|"&amp;C811</f>
        <v>R_43_1746|53</v>
      </c>
      <c r="B811" s="4" t="s">
        <v>46</v>
      </c>
      <c r="C811" s="4" t="s">
        <v>130</v>
      </c>
      <c r="D811" s="4" t="n">
        <v>54</v>
      </c>
      <c r="E811" s="22" t="s">
        <v>72</v>
      </c>
      <c r="F811" s="10" t="s">
        <v>126</v>
      </c>
    </row>
    <row r="812" customFormat="false" ht="15" hidden="false" customHeight="false" outlineLevel="0" collapsed="false">
      <c r="A812" s="4" t="str">
        <f aca="false">B812&amp;"|"&amp;C812</f>
        <v>R_43_1746|54</v>
      </c>
      <c r="B812" s="4" t="s">
        <v>46</v>
      </c>
      <c r="C812" s="4" t="s">
        <v>131</v>
      </c>
      <c r="D812" s="4" t="n">
        <v>55</v>
      </c>
      <c r="E812" s="18" t="s">
        <v>62</v>
      </c>
      <c r="F812" s="19" t="s">
        <v>132</v>
      </c>
    </row>
    <row r="813" customFormat="false" ht="15" hidden="false" customHeight="false" outlineLevel="0" collapsed="false">
      <c r="A813" s="4" t="str">
        <f aca="false">B813&amp;"|"&amp;C813</f>
        <v>R_43_1746|55</v>
      </c>
      <c r="B813" s="4" t="s">
        <v>46</v>
      </c>
      <c r="C813" s="4" t="s">
        <v>133</v>
      </c>
      <c r="D813" s="4" t="n">
        <v>56</v>
      </c>
      <c r="E813" s="18" t="s">
        <v>59</v>
      </c>
      <c r="F813" s="19" t="s">
        <v>132</v>
      </c>
    </row>
    <row r="814" customFormat="false" ht="15" hidden="false" customHeight="false" outlineLevel="0" collapsed="false">
      <c r="A814" s="4" t="str">
        <f aca="false">B814&amp;"|"&amp;C814</f>
        <v>R_43_1746|56</v>
      </c>
      <c r="B814" s="4" t="s">
        <v>46</v>
      </c>
      <c r="C814" s="4" t="s">
        <v>134</v>
      </c>
      <c r="D814" s="4" t="n">
        <v>57</v>
      </c>
      <c r="E814" s="18" t="s">
        <v>68</v>
      </c>
      <c r="F814" s="19" t="s">
        <v>132</v>
      </c>
    </row>
    <row r="815" customFormat="false" ht="15" hidden="false" customHeight="false" outlineLevel="0" collapsed="false">
      <c r="A815" s="4" t="str">
        <f aca="false">B815&amp;"|"&amp;C815</f>
        <v>R_43_1746|57</v>
      </c>
      <c r="B815" s="4" t="s">
        <v>46</v>
      </c>
      <c r="C815" s="4" t="s">
        <v>135</v>
      </c>
      <c r="D815" s="4" t="n">
        <v>58</v>
      </c>
      <c r="E815" s="18" t="s">
        <v>62</v>
      </c>
      <c r="F815" s="19" t="s">
        <v>132</v>
      </c>
    </row>
    <row r="816" customFormat="false" ht="15" hidden="false" customHeight="false" outlineLevel="0" collapsed="false">
      <c r="A816" s="4" t="str">
        <f aca="false">B816&amp;"|"&amp;C816</f>
        <v>R_43_1746|58</v>
      </c>
      <c r="B816" s="4" t="s">
        <v>46</v>
      </c>
      <c r="C816" s="4" t="s">
        <v>136</v>
      </c>
      <c r="D816" s="4" t="n">
        <v>59</v>
      </c>
      <c r="E816" s="18" t="s">
        <v>59</v>
      </c>
      <c r="F816" s="19" t="s">
        <v>132</v>
      </c>
    </row>
    <row r="817" customFormat="false" ht="15" hidden="false" customHeight="false" outlineLevel="0" collapsed="false">
      <c r="A817" s="4" t="str">
        <f aca="false">B817&amp;"|"&amp;C817</f>
        <v>R_43_1746|59</v>
      </c>
      <c r="B817" s="4" t="s">
        <v>46</v>
      </c>
      <c r="C817" s="4" t="s">
        <v>137</v>
      </c>
      <c r="D817" s="4" t="n">
        <v>60</v>
      </c>
      <c r="E817" s="18" t="s">
        <v>62</v>
      </c>
      <c r="F817" s="19" t="s">
        <v>132</v>
      </c>
    </row>
    <row r="818" customFormat="false" ht="15" hidden="false" customHeight="false" outlineLevel="0" collapsed="false">
      <c r="A818" s="4" t="str">
        <f aca="false">B818&amp;"|"&amp;C818</f>
        <v>R_43_1746|60</v>
      </c>
      <c r="B818" s="4" t="s">
        <v>46</v>
      </c>
      <c r="C818" s="4" t="s">
        <v>138</v>
      </c>
      <c r="D818" s="4" t="n">
        <v>61</v>
      </c>
      <c r="E818" s="18" t="s">
        <v>59</v>
      </c>
      <c r="F818" s="19" t="s">
        <v>132</v>
      </c>
    </row>
    <row r="819" customFormat="false" ht="15" hidden="false" customHeight="false" outlineLevel="0" collapsed="false">
      <c r="A819" s="4" t="str">
        <f aca="false">B819&amp;"|"&amp;C819</f>
        <v>R_43_1746|61</v>
      </c>
      <c r="B819" s="4" t="s">
        <v>46</v>
      </c>
      <c r="C819" s="4" t="s">
        <v>139</v>
      </c>
      <c r="D819" s="4" t="n">
        <v>62</v>
      </c>
      <c r="E819" s="22" t="s">
        <v>68</v>
      </c>
      <c r="F819" s="10" t="s">
        <v>126</v>
      </c>
    </row>
    <row r="820" customFormat="false" ht="15" hidden="false" customHeight="false" outlineLevel="0" collapsed="false">
      <c r="A820" s="4" t="str">
        <f aca="false">B820&amp;"|"&amp;C820</f>
        <v>R_43_1746|62</v>
      </c>
      <c r="B820" s="4" t="s">
        <v>46</v>
      </c>
      <c r="C820" s="4" t="s">
        <v>140</v>
      </c>
      <c r="D820" s="4" t="n">
        <v>63</v>
      </c>
      <c r="E820" s="22" t="s">
        <v>59</v>
      </c>
      <c r="F820" s="10" t="s">
        <v>126</v>
      </c>
    </row>
    <row r="821" customFormat="false" ht="15" hidden="false" customHeight="false" outlineLevel="0" collapsed="false">
      <c r="A821" s="4" t="str">
        <f aca="false">B821&amp;"|"&amp;C821</f>
        <v>R_43_1746|63</v>
      </c>
      <c r="B821" s="4" t="s">
        <v>46</v>
      </c>
      <c r="C821" s="4" t="s">
        <v>141</v>
      </c>
      <c r="D821" s="4" t="n">
        <v>64</v>
      </c>
      <c r="E821" s="22" t="s">
        <v>59</v>
      </c>
      <c r="F821" s="10" t="s">
        <v>126</v>
      </c>
    </row>
    <row r="822" customFormat="false" ht="15" hidden="false" customHeight="false" outlineLevel="0" collapsed="false">
      <c r="A822" s="4" t="str">
        <f aca="false">B822&amp;"|"&amp;C822</f>
        <v>R_43_1746|64</v>
      </c>
      <c r="B822" s="4" t="s">
        <v>46</v>
      </c>
      <c r="C822" s="4" t="s">
        <v>142</v>
      </c>
      <c r="D822" s="4" t="n">
        <v>65</v>
      </c>
      <c r="E822" s="22" t="s">
        <v>72</v>
      </c>
      <c r="F822" s="10" t="s">
        <v>126</v>
      </c>
    </row>
    <row r="823" customFormat="false" ht="15" hidden="false" customHeight="false" outlineLevel="0" collapsed="false">
      <c r="A823" s="4" t="str">
        <f aca="false">B823&amp;"|"&amp;C823</f>
        <v>R_43_1746|65</v>
      </c>
      <c r="B823" s="4" t="s">
        <v>46</v>
      </c>
      <c r="C823" s="4" t="s">
        <v>143</v>
      </c>
      <c r="D823" s="4" t="n">
        <v>66</v>
      </c>
      <c r="E823" s="22" t="s">
        <v>62</v>
      </c>
      <c r="F823" s="10" t="s">
        <v>126</v>
      </c>
    </row>
    <row r="824" customFormat="false" ht="15" hidden="false" customHeight="false" outlineLevel="0" collapsed="false">
      <c r="A824" s="4" t="str">
        <f aca="false">B824&amp;"|"&amp;C824</f>
        <v>R_43_1746|66</v>
      </c>
      <c r="B824" s="4" t="s">
        <v>46</v>
      </c>
      <c r="C824" s="4" t="s">
        <v>144</v>
      </c>
      <c r="D824" s="4" t="n">
        <v>67</v>
      </c>
      <c r="E824" s="16" t="s">
        <v>72</v>
      </c>
      <c r="F824" s="17" t="s">
        <v>60</v>
      </c>
    </row>
    <row r="825" customFormat="false" ht="15" hidden="false" customHeight="false" outlineLevel="0" collapsed="false">
      <c r="A825" s="4" t="str">
        <f aca="false">B825&amp;"|"&amp;C825</f>
        <v>R_43_1746|67</v>
      </c>
      <c r="B825" s="4" t="s">
        <v>46</v>
      </c>
      <c r="C825" s="4" t="s">
        <v>145</v>
      </c>
      <c r="D825" s="4" t="n">
        <v>68</v>
      </c>
      <c r="E825" s="16" t="s">
        <v>62</v>
      </c>
      <c r="F825" s="17" t="s">
        <v>60</v>
      </c>
    </row>
    <row r="826" customFormat="false" ht="15" hidden="false" customHeight="false" outlineLevel="0" collapsed="false">
      <c r="A826" s="4" t="str">
        <f aca="false">B826&amp;"|"&amp;C826</f>
        <v>R_43_1746|68</v>
      </c>
      <c r="B826" s="4" t="s">
        <v>46</v>
      </c>
      <c r="C826" s="4" t="s">
        <v>146</v>
      </c>
      <c r="D826" s="4" t="n">
        <v>69</v>
      </c>
      <c r="E826" s="16" t="s">
        <v>62</v>
      </c>
      <c r="F826" s="17" t="s">
        <v>60</v>
      </c>
    </row>
    <row r="827" customFormat="false" ht="15" hidden="false" customHeight="false" outlineLevel="0" collapsed="false">
      <c r="A827" s="4" t="str">
        <f aca="false">B827&amp;"|"&amp;C827</f>
        <v>R_43_1746|69</v>
      </c>
      <c r="B827" s="4" t="s">
        <v>46</v>
      </c>
      <c r="C827" s="4" t="s">
        <v>147</v>
      </c>
      <c r="D827" s="4" t="n">
        <v>70</v>
      </c>
      <c r="E827" s="16" t="s">
        <v>59</v>
      </c>
      <c r="F827" s="17" t="s">
        <v>60</v>
      </c>
    </row>
    <row r="828" customFormat="false" ht="15" hidden="false" customHeight="false" outlineLevel="0" collapsed="false">
      <c r="A828" s="4" t="str">
        <f aca="false">B828&amp;"|"&amp;C828</f>
        <v>R_43_1746|70</v>
      </c>
      <c r="B828" s="4" t="s">
        <v>46</v>
      </c>
      <c r="C828" s="4" t="s">
        <v>148</v>
      </c>
      <c r="D828" s="4" t="n">
        <v>71</v>
      </c>
      <c r="E828" s="16" t="s">
        <v>59</v>
      </c>
      <c r="F828" s="17" t="s">
        <v>60</v>
      </c>
    </row>
    <row r="829" customFormat="false" ht="15" hidden="false" customHeight="false" outlineLevel="0" collapsed="false">
      <c r="A829" s="4" t="str">
        <f aca="false">B829&amp;"|"&amp;C829</f>
        <v>R_43_1746|71</v>
      </c>
      <c r="B829" s="4" t="s">
        <v>46</v>
      </c>
      <c r="C829" s="4" t="s">
        <v>149</v>
      </c>
      <c r="D829" s="4" t="n">
        <v>72</v>
      </c>
      <c r="E829" s="16" t="s">
        <v>59</v>
      </c>
      <c r="F829" s="17" t="s">
        <v>60</v>
      </c>
    </row>
    <row r="830" customFormat="false" ht="15" hidden="false" customHeight="false" outlineLevel="0" collapsed="false">
      <c r="A830" s="4" t="str">
        <f aca="false">B830&amp;"|"&amp;C830</f>
        <v>R_43_1746|72</v>
      </c>
      <c r="B830" s="4" t="s">
        <v>46</v>
      </c>
      <c r="C830" s="4" t="s">
        <v>150</v>
      </c>
      <c r="D830" s="4" t="n">
        <v>73</v>
      </c>
      <c r="E830" s="16" t="s">
        <v>72</v>
      </c>
      <c r="F830" s="17" t="s">
        <v>60</v>
      </c>
    </row>
    <row r="831" customFormat="false" ht="15" hidden="false" customHeight="false" outlineLevel="0" collapsed="false">
      <c r="A831" s="4" t="str">
        <f aca="false">B831&amp;"|"&amp;C831</f>
        <v>R_43_1753|1</v>
      </c>
      <c r="B831" s="4" t="s">
        <v>47</v>
      </c>
      <c r="C831" s="4" t="s">
        <v>58</v>
      </c>
      <c r="D831" s="4" t="n">
        <v>1</v>
      </c>
      <c r="E831" s="16" t="s">
        <v>68</v>
      </c>
      <c r="F831" s="17" t="s">
        <v>60</v>
      </c>
    </row>
    <row r="832" customFormat="false" ht="15" hidden="false" customHeight="false" outlineLevel="0" collapsed="false">
      <c r="A832" s="4" t="str">
        <f aca="false">B832&amp;"|"&amp;C832</f>
        <v>R_43_1753|2</v>
      </c>
      <c r="B832" s="4" t="s">
        <v>47</v>
      </c>
      <c r="C832" s="4" t="s">
        <v>61</v>
      </c>
      <c r="D832" s="4" t="n">
        <v>2</v>
      </c>
      <c r="E832" s="16" t="s">
        <v>68</v>
      </c>
      <c r="F832" s="17" t="s">
        <v>60</v>
      </c>
    </row>
    <row r="833" customFormat="false" ht="15" hidden="false" customHeight="false" outlineLevel="0" collapsed="false">
      <c r="A833" s="4" t="str">
        <f aca="false">B833&amp;"|"&amp;C833</f>
        <v>R_43_1753|3</v>
      </c>
      <c r="B833" s="4" t="s">
        <v>47</v>
      </c>
      <c r="C833" s="4" t="s">
        <v>63</v>
      </c>
      <c r="D833" s="4" t="n">
        <v>3</v>
      </c>
      <c r="E833" s="16" t="s">
        <v>62</v>
      </c>
      <c r="F833" s="17" t="s">
        <v>60</v>
      </c>
    </row>
    <row r="834" customFormat="false" ht="15" hidden="false" customHeight="false" outlineLevel="0" collapsed="false">
      <c r="A834" s="4" t="str">
        <f aca="false">B834&amp;"|"&amp;C834</f>
        <v>R_43_1753|4</v>
      </c>
      <c r="B834" s="4" t="s">
        <v>47</v>
      </c>
      <c r="C834" s="4" t="s">
        <v>64</v>
      </c>
      <c r="D834" s="4" t="n">
        <v>4</v>
      </c>
      <c r="E834" s="16" t="s">
        <v>68</v>
      </c>
      <c r="F834" s="17" t="s">
        <v>60</v>
      </c>
    </row>
    <row r="835" customFormat="false" ht="15" hidden="false" customHeight="false" outlineLevel="0" collapsed="false">
      <c r="A835" s="4" t="str">
        <f aca="false">B835&amp;"|"&amp;C835</f>
        <v>R_43_1753|5</v>
      </c>
      <c r="B835" s="4" t="s">
        <v>47</v>
      </c>
      <c r="C835" s="4" t="s">
        <v>65</v>
      </c>
      <c r="D835" s="4" t="n">
        <v>5</v>
      </c>
      <c r="E835" s="16" t="s">
        <v>59</v>
      </c>
      <c r="F835" s="17" t="s">
        <v>60</v>
      </c>
    </row>
    <row r="836" customFormat="false" ht="15" hidden="false" customHeight="false" outlineLevel="0" collapsed="false">
      <c r="A836" s="4" t="str">
        <f aca="false">B836&amp;"|"&amp;C836</f>
        <v>R_43_1753|6</v>
      </c>
      <c r="B836" s="4" t="s">
        <v>47</v>
      </c>
      <c r="C836" s="4" t="s">
        <v>66</v>
      </c>
      <c r="D836" s="4" t="n">
        <v>6</v>
      </c>
      <c r="E836" s="16" t="s">
        <v>62</v>
      </c>
      <c r="F836" s="17" t="s">
        <v>60</v>
      </c>
    </row>
    <row r="837" customFormat="false" ht="15" hidden="false" customHeight="false" outlineLevel="0" collapsed="false">
      <c r="A837" s="4" t="str">
        <f aca="false">B837&amp;"|"&amp;C837</f>
        <v>R_43_1753|7</v>
      </c>
      <c r="B837" s="4" t="s">
        <v>47</v>
      </c>
      <c r="C837" s="4" t="s">
        <v>67</v>
      </c>
      <c r="D837" s="4" t="n">
        <v>7</v>
      </c>
      <c r="E837" s="16" t="s">
        <v>68</v>
      </c>
      <c r="F837" s="17" t="s">
        <v>60</v>
      </c>
    </row>
    <row r="838" customFormat="false" ht="15" hidden="false" customHeight="false" outlineLevel="0" collapsed="false">
      <c r="A838" s="4" t="str">
        <f aca="false">B838&amp;"|"&amp;C838</f>
        <v>R_43_1753|8</v>
      </c>
      <c r="B838" s="4" t="s">
        <v>47</v>
      </c>
      <c r="C838" s="4" t="s">
        <v>69</v>
      </c>
      <c r="D838" s="4" t="n">
        <v>8</v>
      </c>
      <c r="E838" s="3" t="s">
        <v>59</v>
      </c>
      <c r="F838" s="4" t="s">
        <v>70</v>
      </c>
    </row>
    <row r="839" customFormat="false" ht="15" hidden="false" customHeight="false" outlineLevel="0" collapsed="false">
      <c r="A839" s="4" t="str">
        <f aca="false">B839&amp;"|"&amp;C839</f>
        <v>R_43_1753|9</v>
      </c>
      <c r="B839" s="4" t="s">
        <v>47</v>
      </c>
      <c r="C839" s="4" t="s">
        <v>71</v>
      </c>
      <c r="D839" s="4" t="n">
        <v>9</v>
      </c>
      <c r="E839" s="3" t="s">
        <v>59</v>
      </c>
      <c r="F839" s="4" t="s">
        <v>73</v>
      </c>
    </row>
    <row r="840" customFormat="false" ht="15" hidden="false" customHeight="false" outlineLevel="0" collapsed="false">
      <c r="A840" s="4" t="str">
        <f aca="false">B840&amp;"|"&amp;C840</f>
        <v>R_43_1753|10</v>
      </c>
      <c r="B840" s="4" t="s">
        <v>47</v>
      </c>
      <c r="C840" s="4" t="s">
        <v>74</v>
      </c>
      <c r="D840" s="4" t="n">
        <v>10</v>
      </c>
      <c r="E840" s="8" t="s">
        <v>62</v>
      </c>
      <c r="F840" s="7" t="s">
        <v>75</v>
      </c>
    </row>
    <row r="841" customFormat="false" ht="15" hidden="false" customHeight="false" outlineLevel="0" collapsed="false">
      <c r="A841" s="4" t="str">
        <f aca="false">B841&amp;"|"&amp;C841</f>
        <v>R_43_1753|11</v>
      </c>
      <c r="B841" s="4" t="s">
        <v>47</v>
      </c>
      <c r="C841" s="4" t="s">
        <v>76</v>
      </c>
      <c r="D841" s="4" t="n">
        <v>11</v>
      </c>
      <c r="E841" s="8" t="s">
        <v>59</v>
      </c>
      <c r="F841" s="7" t="s">
        <v>75</v>
      </c>
    </row>
    <row r="842" customFormat="false" ht="15" hidden="false" customHeight="false" outlineLevel="0" collapsed="false">
      <c r="A842" s="4" t="str">
        <f aca="false">B842&amp;"|"&amp;C842</f>
        <v>R_43_1753|12</v>
      </c>
      <c r="B842" s="4" t="s">
        <v>47</v>
      </c>
      <c r="C842" s="4" t="s">
        <v>77</v>
      </c>
      <c r="D842" s="4" t="n">
        <v>12</v>
      </c>
      <c r="E842" s="8" t="s">
        <v>72</v>
      </c>
      <c r="F842" s="7" t="s">
        <v>75</v>
      </c>
    </row>
    <row r="843" customFormat="false" ht="15" hidden="false" customHeight="false" outlineLevel="0" collapsed="false">
      <c r="A843" s="4" t="str">
        <f aca="false">B843&amp;"|"&amp;C843</f>
        <v>R_43_1753|13</v>
      </c>
      <c r="B843" s="4" t="s">
        <v>47</v>
      </c>
      <c r="C843" s="4" t="s">
        <v>78</v>
      </c>
      <c r="D843" s="4" t="n">
        <v>13</v>
      </c>
      <c r="E843" s="8" t="s">
        <v>62</v>
      </c>
      <c r="F843" s="7" t="s">
        <v>75</v>
      </c>
    </row>
    <row r="844" customFormat="false" ht="15" hidden="false" customHeight="false" outlineLevel="0" collapsed="false">
      <c r="A844" s="4" t="str">
        <f aca="false">B844&amp;"|"&amp;C844</f>
        <v>R_43_1753|14</v>
      </c>
      <c r="B844" s="4" t="s">
        <v>47</v>
      </c>
      <c r="C844" s="4" t="s">
        <v>79</v>
      </c>
      <c r="D844" s="4" t="n">
        <v>14</v>
      </c>
      <c r="E844" s="18" t="s">
        <v>62</v>
      </c>
      <c r="F844" s="19" t="s">
        <v>80</v>
      </c>
    </row>
    <row r="845" customFormat="false" ht="15" hidden="false" customHeight="false" outlineLevel="0" collapsed="false">
      <c r="A845" s="4" t="str">
        <f aca="false">B845&amp;"|"&amp;C845</f>
        <v>R_43_1753|15</v>
      </c>
      <c r="B845" s="4" t="s">
        <v>47</v>
      </c>
      <c r="C845" s="4" t="s">
        <v>81</v>
      </c>
      <c r="D845" s="4" t="n">
        <v>15</v>
      </c>
      <c r="E845" s="18" t="s">
        <v>59</v>
      </c>
      <c r="F845" s="19" t="s">
        <v>80</v>
      </c>
    </row>
    <row r="846" customFormat="false" ht="15" hidden="false" customHeight="false" outlineLevel="0" collapsed="false">
      <c r="A846" s="4" t="str">
        <f aca="false">B846&amp;"|"&amp;C846</f>
        <v>R_43_1753|16</v>
      </c>
      <c r="B846" s="4" t="s">
        <v>47</v>
      </c>
      <c r="C846" s="4" t="s">
        <v>82</v>
      </c>
      <c r="D846" s="4" t="n">
        <v>16</v>
      </c>
      <c r="E846" s="18" t="s">
        <v>68</v>
      </c>
      <c r="F846" s="19" t="s">
        <v>80</v>
      </c>
    </row>
    <row r="847" customFormat="false" ht="15" hidden="false" customHeight="false" outlineLevel="0" collapsed="false">
      <c r="A847" s="4" t="str">
        <f aca="false">B847&amp;"|"&amp;C847</f>
        <v>R_43_1753|17</v>
      </c>
      <c r="B847" s="4" t="s">
        <v>47</v>
      </c>
      <c r="C847" s="4" t="s">
        <v>151</v>
      </c>
      <c r="D847" s="4" t="n">
        <v>17</v>
      </c>
      <c r="E847" s="18" t="s">
        <v>68</v>
      </c>
      <c r="F847" s="19" t="s">
        <v>80</v>
      </c>
    </row>
    <row r="848" customFormat="false" ht="15" hidden="false" customHeight="false" outlineLevel="0" collapsed="false">
      <c r="A848" s="4" t="str">
        <f aca="false">B848&amp;"|"&amp;C848</f>
        <v>R_43_1753|18</v>
      </c>
      <c r="B848" s="4" t="s">
        <v>47</v>
      </c>
      <c r="C848" s="4" t="s">
        <v>83</v>
      </c>
      <c r="D848" s="4" t="n">
        <v>18</v>
      </c>
      <c r="E848" s="18" t="s">
        <v>72</v>
      </c>
      <c r="F848" s="19" t="s">
        <v>80</v>
      </c>
    </row>
    <row r="849" customFormat="false" ht="15" hidden="false" customHeight="false" outlineLevel="0" collapsed="false">
      <c r="A849" s="4" t="str">
        <f aca="false">B849&amp;"|"&amp;C849</f>
        <v>R_43_1753|19</v>
      </c>
      <c r="B849" s="4" t="s">
        <v>47</v>
      </c>
      <c r="C849" s="4" t="s">
        <v>84</v>
      </c>
      <c r="D849" s="4" t="n">
        <v>19</v>
      </c>
      <c r="E849" s="18" t="s">
        <v>72</v>
      </c>
      <c r="F849" s="19" t="s">
        <v>80</v>
      </c>
    </row>
    <row r="850" customFormat="false" ht="15" hidden="false" customHeight="false" outlineLevel="0" collapsed="false">
      <c r="A850" s="4" t="str">
        <f aca="false">B850&amp;"|"&amp;C850</f>
        <v>R_43_1753|20</v>
      </c>
      <c r="B850" s="4" t="s">
        <v>47</v>
      </c>
      <c r="C850" s="4" t="s">
        <v>85</v>
      </c>
      <c r="D850" s="4" t="n">
        <v>20</v>
      </c>
      <c r="E850" s="18" t="s">
        <v>68</v>
      </c>
      <c r="F850" s="19" t="s">
        <v>80</v>
      </c>
    </row>
    <row r="851" customFormat="false" ht="15" hidden="false" customHeight="false" outlineLevel="0" collapsed="false">
      <c r="A851" s="4" t="str">
        <f aca="false">B851&amp;"|"&amp;C851</f>
        <v>R_43_1753|20a</v>
      </c>
      <c r="B851" s="4" t="s">
        <v>47</v>
      </c>
      <c r="C851" s="4" t="s">
        <v>86</v>
      </c>
      <c r="D851" s="4" t="n">
        <v>21</v>
      </c>
      <c r="E851" s="18" t="s">
        <v>59</v>
      </c>
      <c r="F851" s="19" t="s">
        <v>80</v>
      </c>
    </row>
    <row r="852" customFormat="false" ht="15" hidden="false" customHeight="false" outlineLevel="0" collapsed="false">
      <c r="A852" s="4" t="str">
        <f aca="false">B852&amp;"|"&amp;C852</f>
        <v>R_43_1753|21</v>
      </c>
      <c r="B852" s="4" t="s">
        <v>47</v>
      </c>
      <c r="C852" s="4" t="s">
        <v>88</v>
      </c>
      <c r="D852" s="4" t="n">
        <v>22</v>
      </c>
      <c r="E852" s="18" t="s">
        <v>68</v>
      </c>
      <c r="F852" s="19" t="s">
        <v>80</v>
      </c>
    </row>
    <row r="853" customFormat="false" ht="15" hidden="false" customHeight="false" outlineLevel="0" collapsed="false">
      <c r="A853" s="4" t="str">
        <f aca="false">B853&amp;"|"&amp;C853</f>
        <v>R_43_1753|22</v>
      </c>
      <c r="B853" s="4" t="s">
        <v>47</v>
      </c>
      <c r="C853" s="4" t="s">
        <v>89</v>
      </c>
      <c r="D853" s="4" t="n">
        <v>23</v>
      </c>
      <c r="E853" s="8" t="s">
        <v>59</v>
      </c>
      <c r="F853" s="7" t="s">
        <v>75</v>
      </c>
    </row>
    <row r="854" customFormat="false" ht="15" hidden="false" customHeight="false" outlineLevel="0" collapsed="false">
      <c r="A854" s="4" t="str">
        <f aca="false">B854&amp;"|"&amp;C854</f>
        <v>R_43_1753|23</v>
      </c>
      <c r="B854" s="4" t="s">
        <v>47</v>
      </c>
      <c r="C854" s="4" t="s">
        <v>90</v>
      </c>
      <c r="D854" s="4" t="n">
        <v>24</v>
      </c>
      <c r="E854" s="8" t="s">
        <v>59</v>
      </c>
      <c r="F854" s="7" t="s">
        <v>75</v>
      </c>
    </row>
    <row r="855" customFormat="false" ht="15" hidden="false" customHeight="false" outlineLevel="0" collapsed="false">
      <c r="A855" s="4" t="str">
        <f aca="false">B855&amp;"|"&amp;C855</f>
        <v>R_43_1753|24</v>
      </c>
      <c r="B855" s="4" t="s">
        <v>47</v>
      </c>
      <c r="C855" s="4" t="s">
        <v>91</v>
      </c>
      <c r="D855" s="4" t="n">
        <v>25</v>
      </c>
      <c r="E855" s="8" t="s">
        <v>62</v>
      </c>
      <c r="F855" s="7" t="s">
        <v>75</v>
      </c>
    </row>
    <row r="856" customFormat="false" ht="15" hidden="false" customHeight="false" outlineLevel="0" collapsed="false">
      <c r="A856" s="4" t="str">
        <f aca="false">B856&amp;"|"&amp;C856</f>
        <v>R_43_1753|25</v>
      </c>
      <c r="B856" s="4" t="s">
        <v>47</v>
      </c>
      <c r="C856" s="4" t="s">
        <v>92</v>
      </c>
      <c r="D856" s="4" t="n">
        <v>26</v>
      </c>
      <c r="E856" s="8" t="s">
        <v>59</v>
      </c>
      <c r="F856" s="7" t="s">
        <v>75</v>
      </c>
    </row>
    <row r="857" customFormat="false" ht="15" hidden="false" customHeight="false" outlineLevel="0" collapsed="false">
      <c r="A857" s="4" t="str">
        <f aca="false">B857&amp;"|"&amp;C857</f>
        <v>R_43_1753|26</v>
      </c>
      <c r="B857" s="4" t="s">
        <v>47</v>
      </c>
      <c r="C857" s="4" t="s">
        <v>93</v>
      </c>
      <c r="D857" s="4" t="n">
        <v>27</v>
      </c>
      <c r="E857" s="3" t="s">
        <v>59</v>
      </c>
      <c r="F857" s="4" t="s">
        <v>94</v>
      </c>
    </row>
    <row r="858" customFormat="false" ht="15" hidden="false" customHeight="false" outlineLevel="0" collapsed="false">
      <c r="A858" s="4" t="str">
        <f aca="false">B858&amp;"|"&amp;C858</f>
        <v>R_43_1753|27</v>
      </c>
      <c r="B858" s="4" t="s">
        <v>47</v>
      </c>
      <c r="C858" s="4" t="s">
        <v>95</v>
      </c>
      <c r="D858" s="4" t="n">
        <v>28</v>
      </c>
      <c r="E858" s="20" t="s">
        <v>72</v>
      </c>
      <c r="F858" s="21" t="s">
        <v>96</v>
      </c>
    </row>
    <row r="859" customFormat="false" ht="15" hidden="false" customHeight="false" outlineLevel="0" collapsed="false">
      <c r="A859" s="4" t="str">
        <f aca="false">B859&amp;"|"&amp;C859</f>
        <v>R_43_1753|28</v>
      </c>
      <c r="B859" s="4" t="s">
        <v>47</v>
      </c>
      <c r="C859" s="4" t="s">
        <v>97</v>
      </c>
      <c r="D859" s="4" t="n">
        <v>29</v>
      </c>
      <c r="E859" s="20" t="s">
        <v>62</v>
      </c>
      <c r="F859" s="21" t="s">
        <v>96</v>
      </c>
    </row>
    <row r="860" customFormat="false" ht="15" hidden="false" customHeight="false" outlineLevel="0" collapsed="false">
      <c r="A860" s="4" t="str">
        <f aca="false">B860&amp;"|"&amp;C860</f>
        <v>R_43_1753|29</v>
      </c>
      <c r="B860" s="4" t="s">
        <v>47</v>
      </c>
      <c r="C860" s="4" t="s">
        <v>98</v>
      </c>
      <c r="D860" s="4" t="n">
        <v>30</v>
      </c>
      <c r="E860" s="20" t="s">
        <v>59</v>
      </c>
      <c r="F860" s="21" t="s">
        <v>96</v>
      </c>
    </row>
    <row r="861" customFormat="false" ht="15" hidden="false" customHeight="false" outlineLevel="0" collapsed="false">
      <c r="A861" s="4" t="str">
        <f aca="false">B861&amp;"|"&amp;C861</f>
        <v>R_43_1753|30</v>
      </c>
      <c r="B861" s="4" t="s">
        <v>47</v>
      </c>
      <c r="C861" s="4" t="s">
        <v>99</v>
      </c>
      <c r="D861" s="4" t="n">
        <v>31</v>
      </c>
      <c r="E861" s="20" t="s">
        <v>59</v>
      </c>
      <c r="F861" s="21" t="s">
        <v>96</v>
      </c>
    </row>
    <row r="862" customFormat="false" ht="15" hidden="false" customHeight="false" outlineLevel="0" collapsed="false">
      <c r="A862" s="4" t="str">
        <f aca="false">B862&amp;"|"&amp;C862</f>
        <v>R_43_1753|31</v>
      </c>
      <c r="B862" s="4" t="s">
        <v>47</v>
      </c>
      <c r="C862" s="4" t="s">
        <v>100</v>
      </c>
      <c r="D862" s="4" t="n">
        <v>32</v>
      </c>
      <c r="E862" s="20" t="s">
        <v>62</v>
      </c>
      <c r="F862" s="21" t="s">
        <v>96</v>
      </c>
    </row>
    <row r="863" customFormat="false" ht="15" hidden="false" customHeight="false" outlineLevel="0" collapsed="false">
      <c r="A863" s="4" t="str">
        <f aca="false">B863&amp;"|"&amp;C863</f>
        <v>R_43_1753|32</v>
      </c>
      <c r="B863" s="4" t="s">
        <v>47</v>
      </c>
      <c r="C863" s="4" t="s">
        <v>101</v>
      </c>
      <c r="D863" s="4" t="n">
        <v>33</v>
      </c>
      <c r="E863" s="18" t="s">
        <v>72</v>
      </c>
      <c r="F863" s="19" t="s">
        <v>102</v>
      </c>
    </row>
    <row r="864" customFormat="false" ht="15" hidden="false" customHeight="false" outlineLevel="0" collapsed="false">
      <c r="A864" s="4" t="str">
        <f aca="false">B864&amp;"|"&amp;C864</f>
        <v>R_43_1753|33</v>
      </c>
      <c r="B864" s="4" t="s">
        <v>47</v>
      </c>
      <c r="C864" s="4" t="s">
        <v>103</v>
      </c>
      <c r="D864" s="4" t="n">
        <v>34</v>
      </c>
      <c r="E864" s="18" t="s">
        <v>59</v>
      </c>
      <c r="F864" s="19" t="s">
        <v>102</v>
      </c>
    </row>
    <row r="865" customFormat="false" ht="15" hidden="false" customHeight="false" outlineLevel="0" collapsed="false">
      <c r="A865" s="4" t="str">
        <f aca="false">B865&amp;"|"&amp;C865</f>
        <v>R_43_1753|34</v>
      </c>
      <c r="B865" s="4" t="s">
        <v>47</v>
      </c>
      <c r="C865" s="4" t="s">
        <v>104</v>
      </c>
      <c r="D865" s="4" t="n">
        <v>35</v>
      </c>
      <c r="E865" s="18" t="s">
        <v>59</v>
      </c>
      <c r="F865" s="19" t="s">
        <v>102</v>
      </c>
    </row>
    <row r="866" customFormat="false" ht="15" hidden="false" customHeight="false" outlineLevel="0" collapsed="false">
      <c r="A866" s="4" t="str">
        <f aca="false">B866&amp;"|"&amp;C866</f>
        <v>R_43_1753|35</v>
      </c>
      <c r="B866" s="4" t="s">
        <v>47</v>
      </c>
      <c r="C866" s="4" t="s">
        <v>105</v>
      </c>
      <c r="D866" s="4" t="n">
        <v>36</v>
      </c>
      <c r="E866" s="18" t="s">
        <v>59</v>
      </c>
      <c r="F866" s="19" t="s">
        <v>102</v>
      </c>
    </row>
    <row r="867" customFormat="false" ht="15" hidden="false" customHeight="false" outlineLevel="0" collapsed="false">
      <c r="A867" s="4" t="str">
        <f aca="false">B867&amp;"|"&amp;C867</f>
        <v>R_43_1753|36</v>
      </c>
      <c r="B867" s="4" t="s">
        <v>47</v>
      </c>
      <c r="C867" s="4" t="s">
        <v>106</v>
      </c>
      <c r="D867" s="4" t="n">
        <v>37</v>
      </c>
      <c r="E867" s="18" t="s">
        <v>62</v>
      </c>
      <c r="F867" s="19" t="s">
        <v>102</v>
      </c>
    </row>
    <row r="868" customFormat="false" ht="15" hidden="false" customHeight="false" outlineLevel="0" collapsed="false">
      <c r="A868" s="4" t="str">
        <f aca="false">B868&amp;"|"&amp;C868</f>
        <v>R_43_1753|37</v>
      </c>
      <c r="B868" s="4" t="s">
        <v>47</v>
      </c>
      <c r="C868" s="4" t="s">
        <v>107</v>
      </c>
      <c r="D868" s="4" t="n">
        <v>38</v>
      </c>
      <c r="E868" s="18" t="s">
        <v>59</v>
      </c>
      <c r="F868" s="19" t="s">
        <v>102</v>
      </c>
    </row>
    <row r="869" customFormat="false" ht="15" hidden="false" customHeight="false" outlineLevel="0" collapsed="false">
      <c r="A869" s="4" t="str">
        <f aca="false">B869&amp;"|"&amp;C869</f>
        <v>R_43_1753|38</v>
      </c>
      <c r="B869" s="4" t="s">
        <v>47</v>
      </c>
      <c r="C869" s="4" t="s">
        <v>108</v>
      </c>
      <c r="D869" s="4" t="n">
        <v>39</v>
      </c>
      <c r="E869" s="18" t="s">
        <v>59</v>
      </c>
      <c r="F869" s="19" t="s">
        <v>102</v>
      </c>
    </row>
    <row r="870" customFormat="false" ht="15" hidden="false" customHeight="false" outlineLevel="0" collapsed="false">
      <c r="A870" s="4" t="str">
        <f aca="false">B870&amp;"|"&amp;C870</f>
        <v>R_43_1753|39</v>
      </c>
      <c r="B870" s="4" t="s">
        <v>47</v>
      </c>
      <c r="C870" s="4" t="s">
        <v>109</v>
      </c>
      <c r="D870" s="4" t="n">
        <v>40</v>
      </c>
      <c r="E870" s="20" t="s">
        <v>59</v>
      </c>
      <c r="F870" s="21" t="s">
        <v>96</v>
      </c>
    </row>
    <row r="871" customFormat="false" ht="15" hidden="false" customHeight="false" outlineLevel="0" collapsed="false">
      <c r="A871" s="4" t="str">
        <f aca="false">B871&amp;"|"&amp;C871</f>
        <v>R_43_1753|40</v>
      </c>
      <c r="B871" s="4" t="s">
        <v>47</v>
      </c>
      <c r="C871" s="4" t="s">
        <v>110</v>
      </c>
      <c r="D871" s="4" t="n">
        <v>41</v>
      </c>
      <c r="E871" s="20" t="s">
        <v>62</v>
      </c>
      <c r="F871" s="21" t="s">
        <v>96</v>
      </c>
    </row>
    <row r="872" customFormat="false" ht="15" hidden="false" customHeight="false" outlineLevel="0" collapsed="false">
      <c r="A872" s="4" t="str">
        <f aca="false">B872&amp;"|"&amp;C872</f>
        <v>R_43_1753|41</v>
      </c>
      <c r="B872" s="4" t="s">
        <v>47</v>
      </c>
      <c r="C872" s="4" t="s">
        <v>111</v>
      </c>
      <c r="D872" s="4" t="n">
        <v>42</v>
      </c>
      <c r="E872" s="20" t="s">
        <v>62</v>
      </c>
      <c r="F872" s="21" t="s">
        <v>96</v>
      </c>
    </row>
    <row r="873" customFormat="false" ht="15" hidden="false" customHeight="false" outlineLevel="0" collapsed="false">
      <c r="A873" s="4" t="str">
        <f aca="false">B873&amp;"|"&amp;C873</f>
        <v>R_43_1753|42</v>
      </c>
      <c r="B873" s="4" t="s">
        <v>47</v>
      </c>
      <c r="C873" s="4" t="s">
        <v>112</v>
      </c>
      <c r="D873" s="4" t="n">
        <v>43</v>
      </c>
      <c r="E873" s="20" t="s">
        <v>59</v>
      </c>
      <c r="F873" s="21" t="s">
        <v>96</v>
      </c>
    </row>
    <row r="874" customFormat="false" ht="15" hidden="false" customHeight="false" outlineLevel="0" collapsed="false">
      <c r="A874" s="4" t="str">
        <f aca="false">B874&amp;"|"&amp;C874</f>
        <v>R_43_1753|43</v>
      </c>
      <c r="B874" s="4" t="s">
        <v>47</v>
      </c>
      <c r="C874" s="4" t="s">
        <v>113</v>
      </c>
      <c r="D874" s="4" t="n">
        <v>44</v>
      </c>
      <c r="E874" s="20" t="s">
        <v>59</v>
      </c>
      <c r="F874" s="21" t="s">
        <v>96</v>
      </c>
    </row>
    <row r="875" customFormat="false" ht="15" hidden="false" customHeight="false" outlineLevel="0" collapsed="false">
      <c r="A875" s="4" t="str">
        <f aca="false">B875&amp;"|"&amp;C875</f>
        <v>R_43_1753|44</v>
      </c>
      <c r="B875" s="4" t="s">
        <v>47</v>
      </c>
      <c r="C875" s="4" t="s">
        <v>114</v>
      </c>
      <c r="D875" s="4" t="n">
        <v>45</v>
      </c>
      <c r="E875" s="18" t="s">
        <v>62</v>
      </c>
      <c r="F875" s="19" t="s">
        <v>115</v>
      </c>
    </row>
    <row r="876" customFormat="false" ht="15" hidden="false" customHeight="false" outlineLevel="0" collapsed="false">
      <c r="A876" s="4" t="str">
        <f aca="false">B876&amp;"|"&amp;C876</f>
        <v>R_43_1753|45</v>
      </c>
      <c r="B876" s="4" t="s">
        <v>47</v>
      </c>
      <c r="C876" s="4" t="s">
        <v>116</v>
      </c>
      <c r="D876" s="4" t="n">
        <v>46</v>
      </c>
      <c r="E876" s="18" t="s">
        <v>59</v>
      </c>
      <c r="F876" s="19" t="s">
        <v>115</v>
      </c>
    </row>
    <row r="877" customFormat="false" ht="15" hidden="false" customHeight="false" outlineLevel="0" collapsed="false">
      <c r="A877" s="4" t="str">
        <f aca="false">B877&amp;"|"&amp;C877</f>
        <v>R_43_1753|e1</v>
      </c>
      <c r="B877" s="4" t="s">
        <v>47</v>
      </c>
      <c r="C877" s="4" t="s">
        <v>117</v>
      </c>
      <c r="D877" s="4" t="n">
        <v>47</v>
      </c>
      <c r="E877" s="18" t="s">
        <v>59</v>
      </c>
      <c r="F877" s="19" t="s">
        <v>115</v>
      </c>
    </row>
    <row r="878" customFormat="false" ht="15" hidden="false" customHeight="false" outlineLevel="0" collapsed="false">
      <c r="A878" s="4" t="str">
        <f aca="false">B878&amp;"|"&amp;C878</f>
        <v>R_43_1753|46</v>
      </c>
      <c r="B878" s="4" t="s">
        <v>47</v>
      </c>
      <c r="C878" s="4" t="s">
        <v>122</v>
      </c>
      <c r="D878" s="4" t="n">
        <v>48</v>
      </c>
      <c r="E878" s="18" t="s">
        <v>62</v>
      </c>
      <c r="F878" s="19" t="s">
        <v>115</v>
      </c>
    </row>
    <row r="879" customFormat="false" ht="15" hidden="false" customHeight="false" outlineLevel="0" collapsed="false">
      <c r="A879" s="4" t="str">
        <f aca="false">B879&amp;"|"&amp;C879</f>
        <v>R_43_1753|47</v>
      </c>
      <c r="B879" s="4" t="s">
        <v>47</v>
      </c>
      <c r="C879" s="4" t="s">
        <v>123</v>
      </c>
      <c r="D879" s="4" t="n">
        <v>49</v>
      </c>
      <c r="E879" s="18" t="s">
        <v>62</v>
      </c>
      <c r="F879" s="19" t="s">
        <v>115</v>
      </c>
    </row>
    <row r="880" customFormat="false" ht="15" hidden="false" customHeight="false" outlineLevel="0" collapsed="false">
      <c r="A880" s="4" t="str">
        <f aca="false">B880&amp;"|"&amp;C880</f>
        <v>R_43_1753|48</v>
      </c>
      <c r="B880" s="4" t="s">
        <v>47</v>
      </c>
      <c r="C880" s="4" t="s">
        <v>124</v>
      </c>
      <c r="D880" s="4" t="n">
        <v>50</v>
      </c>
      <c r="E880" s="18" t="s">
        <v>72</v>
      </c>
      <c r="F880" s="19" t="s">
        <v>115</v>
      </c>
    </row>
    <row r="881" customFormat="false" ht="15" hidden="false" customHeight="false" outlineLevel="0" collapsed="false">
      <c r="A881" s="4" t="str">
        <f aca="false">B881&amp;"|"&amp;C881</f>
        <v>R_43_1753|49</v>
      </c>
      <c r="B881" s="4" t="s">
        <v>47</v>
      </c>
      <c r="C881" s="4" t="s">
        <v>125</v>
      </c>
      <c r="D881" s="4" t="n">
        <v>51</v>
      </c>
      <c r="E881" s="22" t="s">
        <v>62</v>
      </c>
      <c r="F881" s="10" t="s">
        <v>126</v>
      </c>
    </row>
    <row r="882" customFormat="false" ht="15" hidden="false" customHeight="false" outlineLevel="0" collapsed="false">
      <c r="A882" s="4" t="str">
        <f aca="false">B882&amp;"|"&amp;C882</f>
        <v>R_43_1753|50</v>
      </c>
      <c r="B882" s="4" t="s">
        <v>47</v>
      </c>
      <c r="C882" s="4" t="s">
        <v>127</v>
      </c>
      <c r="D882" s="4" t="n">
        <v>52</v>
      </c>
      <c r="E882" s="22" t="s">
        <v>59</v>
      </c>
      <c r="F882" s="10" t="s">
        <v>126</v>
      </c>
    </row>
    <row r="883" customFormat="false" ht="15" hidden="false" customHeight="false" outlineLevel="0" collapsed="false">
      <c r="A883" s="4" t="str">
        <f aca="false">B883&amp;"|"&amp;C883</f>
        <v>R_43_1753|51</v>
      </c>
      <c r="B883" s="4" t="s">
        <v>47</v>
      </c>
      <c r="C883" s="4" t="s">
        <v>128</v>
      </c>
      <c r="D883" s="4" t="n">
        <v>53</v>
      </c>
      <c r="E883" s="22" t="s">
        <v>59</v>
      </c>
      <c r="F883" s="10" t="s">
        <v>126</v>
      </c>
    </row>
    <row r="884" customFormat="false" ht="15" hidden="false" customHeight="false" outlineLevel="0" collapsed="false">
      <c r="A884" s="4" t="str">
        <f aca="false">B884&amp;"|"&amp;C884</f>
        <v>R_43_1753|52</v>
      </c>
      <c r="B884" s="4" t="s">
        <v>47</v>
      </c>
      <c r="C884" s="4" t="s">
        <v>129</v>
      </c>
      <c r="D884" s="4" t="n">
        <v>54</v>
      </c>
      <c r="E884" s="22" t="s">
        <v>68</v>
      </c>
      <c r="F884" s="10" t="s">
        <v>126</v>
      </c>
    </row>
    <row r="885" customFormat="false" ht="15" hidden="false" customHeight="false" outlineLevel="0" collapsed="false">
      <c r="A885" s="4" t="str">
        <f aca="false">B885&amp;"|"&amp;C885</f>
        <v>R_43_1753|53</v>
      </c>
      <c r="B885" s="4" t="s">
        <v>47</v>
      </c>
      <c r="C885" s="4" t="s">
        <v>130</v>
      </c>
      <c r="D885" s="4" t="n">
        <v>55</v>
      </c>
      <c r="E885" s="22" t="s">
        <v>72</v>
      </c>
      <c r="F885" s="10" t="s">
        <v>126</v>
      </c>
    </row>
    <row r="886" customFormat="false" ht="15" hidden="false" customHeight="false" outlineLevel="0" collapsed="false">
      <c r="A886" s="4" t="str">
        <f aca="false">B886&amp;"|"&amp;C886</f>
        <v>R_43_1753|54</v>
      </c>
      <c r="B886" s="4" t="s">
        <v>47</v>
      </c>
      <c r="C886" s="4" t="s">
        <v>131</v>
      </c>
      <c r="D886" s="4" t="n">
        <v>56</v>
      </c>
      <c r="E886" s="18" t="s">
        <v>59</v>
      </c>
      <c r="F886" s="19" t="s">
        <v>132</v>
      </c>
    </row>
    <row r="887" customFormat="false" ht="15" hidden="false" customHeight="false" outlineLevel="0" collapsed="false">
      <c r="A887" s="4" t="str">
        <f aca="false">B887&amp;"|"&amp;C887</f>
        <v>R_43_1753|55</v>
      </c>
      <c r="B887" s="4" t="s">
        <v>47</v>
      </c>
      <c r="C887" s="4" t="s">
        <v>133</v>
      </c>
      <c r="D887" s="4" t="n">
        <v>57</v>
      </c>
      <c r="E887" s="18" t="s">
        <v>59</v>
      </c>
      <c r="F887" s="19" t="s">
        <v>132</v>
      </c>
    </row>
    <row r="888" customFormat="false" ht="15" hidden="false" customHeight="false" outlineLevel="0" collapsed="false">
      <c r="A888" s="4" t="str">
        <f aca="false">B888&amp;"|"&amp;C888</f>
        <v>R_43_1753|56</v>
      </c>
      <c r="B888" s="4" t="s">
        <v>47</v>
      </c>
      <c r="C888" s="4" t="s">
        <v>134</v>
      </c>
      <c r="D888" s="4" t="n">
        <v>58</v>
      </c>
      <c r="E888" s="18" t="s">
        <v>68</v>
      </c>
      <c r="F888" s="19" t="s">
        <v>132</v>
      </c>
    </row>
    <row r="889" customFormat="false" ht="15" hidden="false" customHeight="false" outlineLevel="0" collapsed="false">
      <c r="A889" s="4" t="str">
        <f aca="false">B889&amp;"|"&amp;C889</f>
        <v>R_43_1753|57</v>
      </c>
      <c r="B889" s="4" t="s">
        <v>47</v>
      </c>
      <c r="C889" s="4" t="s">
        <v>135</v>
      </c>
      <c r="D889" s="4" t="n">
        <v>59</v>
      </c>
      <c r="E889" s="18" t="s">
        <v>59</v>
      </c>
      <c r="F889" s="19" t="s">
        <v>132</v>
      </c>
    </row>
    <row r="890" customFormat="false" ht="15" hidden="false" customHeight="false" outlineLevel="0" collapsed="false">
      <c r="A890" s="4" t="str">
        <f aca="false">B890&amp;"|"&amp;C890</f>
        <v>R_43_1753|58</v>
      </c>
      <c r="B890" s="4" t="s">
        <v>47</v>
      </c>
      <c r="C890" s="4" t="s">
        <v>136</v>
      </c>
      <c r="D890" s="4" t="n">
        <v>60</v>
      </c>
      <c r="E890" s="18" t="s">
        <v>62</v>
      </c>
      <c r="F890" s="19" t="s">
        <v>132</v>
      </c>
    </row>
    <row r="891" customFormat="false" ht="15" hidden="false" customHeight="false" outlineLevel="0" collapsed="false">
      <c r="A891" s="4" t="str">
        <f aca="false">B891&amp;"|"&amp;C891</f>
        <v>R_43_1753|59</v>
      </c>
      <c r="B891" s="4" t="s">
        <v>47</v>
      </c>
      <c r="C891" s="4" t="s">
        <v>137</v>
      </c>
      <c r="D891" s="4" t="n">
        <v>61</v>
      </c>
      <c r="E891" s="18" t="s">
        <v>59</v>
      </c>
      <c r="F891" s="19" t="s">
        <v>132</v>
      </c>
    </row>
    <row r="892" customFormat="false" ht="15" hidden="false" customHeight="false" outlineLevel="0" collapsed="false">
      <c r="A892" s="4" t="str">
        <f aca="false">B892&amp;"|"&amp;C892</f>
        <v>R_43_1753|60</v>
      </c>
      <c r="B892" s="4" t="s">
        <v>47</v>
      </c>
      <c r="C892" s="4" t="s">
        <v>138</v>
      </c>
      <c r="D892" s="4" t="n">
        <v>62</v>
      </c>
      <c r="E892" s="18" t="s">
        <v>62</v>
      </c>
      <c r="F892" s="19" t="s">
        <v>132</v>
      </c>
    </row>
    <row r="893" customFormat="false" ht="15" hidden="false" customHeight="false" outlineLevel="0" collapsed="false">
      <c r="A893" s="4" t="str">
        <f aca="false">B893&amp;"|"&amp;C893</f>
        <v>R_43_1753|61</v>
      </c>
      <c r="B893" s="4" t="s">
        <v>47</v>
      </c>
      <c r="C893" s="4" t="s">
        <v>139</v>
      </c>
      <c r="D893" s="4" t="n">
        <v>63</v>
      </c>
      <c r="E893" s="22" t="s">
        <v>68</v>
      </c>
      <c r="F893" s="10" t="s">
        <v>126</v>
      </c>
    </row>
    <row r="894" customFormat="false" ht="15" hidden="false" customHeight="false" outlineLevel="0" collapsed="false">
      <c r="A894" s="4" t="str">
        <f aca="false">B894&amp;"|"&amp;C894</f>
        <v>R_43_1753|62</v>
      </c>
      <c r="B894" s="4" t="s">
        <v>47</v>
      </c>
      <c r="C894" s="4" t="s">
        <v>140</v>
      </c>
      <c r="D894" s="4" t="n">
        <v>64</v>
      </c>
      <c r="E894" s="22" t="s">
        <v>59</v>
      </c>
      <c r="F894" s="10" t="s">
        <v>126</v>
      </c>
    </row>
    <row r="895" customFormat="false" ht="15" hidden="false" customHeight="false" outlineLevel="0" collapsed="false">
      <c r="A895" s="4" t="str">
        <f aca="false">B895&amp;"|"&amp;C895</f>
        <v>R_43_1753|63</v>
      </c>
      <c r="B895" s="4" t="s">
        <v>47</v>
      </c>
      <c r="C895" s="4" t="s">
        <v>141</v>
      </c>
      <c r="D895" s="4" t="n">
        <v>65</v>
      </c>
      <c r="E895" s="22" t="s">
        <v>62</v>
      </c>
      <c r="F895" s="10" t="s">
        <v>126</v>
      </c>
    </row>
    <row r="896" customFormat="false" ht="15" hidden="false" customHeight="false" outlineLevel="0" collapsed="false">
      <c r="A896" s="4" t="str">
        <f aca="false">B896&amp;"|"&amp;C896</f>
        <v>R_43_1753|64</v>
      </c>
      <c r="B896" s="4" t="s">
        <v>47</v>
      </c>
      <c r="C896" s="4" t="s">
        <v>142</v>
      </c>
      <c r="D896" s="4" t="n">
        <v>66</v>
      </c>
      <c r="E896" s="22" t="s">
        <v>72</v>
      </c>
      <c r="F896" s="10" t="s">
        <v>126</v>
      </c>
    </row>
    <row r="897" customFormat="false" ht="15" hidden="false" customHeight="false" outlineLevel="0" collapsed="false">
      <c r="A897" s="4" t="str">
        <f aca="false">B897&amp;"|"&amp;C897</f>
        <v>R_43_1753|65</v>
      </c>
      <c r="B897" s="4" t="s">
        <v>47</v>
      </c>
      <c r="C897" s="4" t="s">
        <v>143</v>
      </c>
      <c r="D897" s="4" t="n">
        <v>67</v>
      </c>
      <c r="E897" s="22" t="s">
        <v>59</v>
      </c>
      <c r="F897" s="10" t="s">
        <v>126</v>
      </c>
    </row>
    <row r="898" customFormat="false" ht="15" hidden="false" customHeight="false" outlineLevel="0" collapsed="false">
      <c r="A898" s="4" t="str">
        <f aca="false">B898&amp;"|"&amp;C898</f>
        <v>R_43_1753|66</v>
      </c>
      <c r="B898" s="4" t="s">
        <v>47</v>
      </c>
      <c r="C898" s="4" t="s">
        <v>144</v>
      </c>
      <c r="D898" s="4" t="n">
        <v>68</v>
      </c>
      <c r="E898" s="16" t="s">
        <v>72</v>
      </c>
      <c r="F898" s="17" t="s">
        <v>60</v>
      </c>
    </row>
    <row r="899" customFormat="false" ht="15" hidden="false" customHeight="false" outlineLevel="0" collapsed="false">
      <c r="A899" s="4" t="str">
        <f aca="false">B899&amp;"|"&amp;C899</f>
        <v>R_43_1753|67</v>
      </c>
      <c r="B899" s="4" t="s">
        <v>47</v>
      </c>
      <c r="C899" s="4" t="s">
        <v>145</v>
      </c>
      <c r="D899" s="4" t="n">
        <v>69</v>
      </c>
      <c r="E899" s="16" t="s">
        <v>59</v>
      </c>
      <c r="F899" s="17" t="s">
        <v>60</v>
      </c>
    </row>
    <row r="900" customFormat="false" ht="15" hidden="false" customHeight="false" outlineLevel="0" collapsed="false">
      <c r="A900" s="4" t="str">
        <f aca="false">B900&amp;"|"&amp;C900</f>
        <v>R_43_1753|68</v>
      </c>
      <c r="B900" s="4" t="s">
        <v>47</v>
      </c>
      <c r="C900" s="4" t="s">
        <v>146</v>
      </c>
      <c r="D900" s="4" t="n">
        <v>70</v>
      </c>
      <c r="E900" s="16" t="s">
        <v>62</v>
      </c>
      <c r="F900" s="17" t="s">
        <v>60</v>
      </c>
    </row>
    <row r="901" customFormat="false" ht="15" hidden="false" customHeight="false" outlineLevel="0" collapsed="false">
      <c r="A901" s="4" t="str">
        <f aca="false">B901&amp;"|"&amp;C901</f>
        <v>R_43_1753|69</v>
      </c>
      <c r="B901" s="4" t="s">
        <v>47</v>
      </c>
      <c r="C901" s="4" t="s">
        <v>147</v>
      </c>
      <c r="D901" s="4" t="n">
        <v>71</v>
      </c>
      <c r="E901" s="16" t="s">
        <v>72</v>
      </c>
      <c r="F901" s="17" t="s">
        <v>60</v>
      </c>
    </row>
    <row r="902" customFormat="false" ht="15" hidden="false" customHeight="false" outlineLevel="0" collapsed="false">
      <c r="A902" s="4" t="str">
        <f aca="false">B902&amp;"|"&amp;C902</f>
        <v>R_43_1753|70</v>
      </c>
      <c r="B902" s="4" t="s">
        <v>47</v>
      </c>
      <c r="C902" s="4" t="s">
        <v>148</v>
      </c>
      <c r="D902" s="4" t="n">
        <v>72</v>
      </c>
      <c r="E902" s="16" t="s">
        <v>59</v>
      </c>
      <c r="F902" s="17" t="s">
        <v>60</v>
      </c>
    </row>
    <row r="903" customFormat="false" ht="15" hidden="false" customHeight="false" outlineLevel="0" collapsed="false">
      <c r="A903" s="4" t="str">
        <f aca="false">B903&amp;"|"&amp;C903</f>
        <v>R_43_1753|71</v>
      </c>
      <c r="B903" s="4" t="s">
        <v>47</v>
      </c>
      <c r="C903" s="4" t="s">
        <v>149</v>
      </c>
      <c r="D903" s="4" t="n">
        <v>73</v>
      </c>
      <c r="E903" s="16" t="s">
        <v>72</v>
      </c>
      <c r="F903" s="17" t="s">
        <v>60</v>
      </c>
    </row>
    <row r="904" customFormat="false" ht="15" hidden="false" customHeight="false" outlineLevel="0" collapsed="false">
      <c r="A904" s="4" t="str">
        <f aca="false">B904&amp;"|"&amp;C904</f>
        <v>R_43_1753|72</v>
      </c>
      <c r="B904" s="4" t="s">
        <v>47</v>
      </c>
      <c r="C904" s="4" t="s">
        <v>150</v>
      </c>
      <c r="D904" s="4" t="n">
        <v>74</v>
      </c>
      <c r="E904" s="16" t="s">
        <v>62</v>
      </c>
      <c r="F904" s="17" t="s">
        <v>60</v>
      </c>
    </row>
    <row r="905" customFormat="false" ht="15" hidden="false" customHeight="false" outlineLevel="0" collapsed="false">
      <c r="A905" s="4" t="str">
        <f aca="false">B905&amp;"|"&amp;C905</f>
        <v>R_44_1837|1</v>
      </c>
      <c r="B905" s="4" t="s">
        <v>48</v>
      </c>
      <c r="C905" s="4" t="s">
        <v>58</v>
      </c>
      <c r="D905" s="4" t="n">
        <v>1</v>
      </c>
      <c r="E905" s="16" t="s">
        <v>62</v>
      </c>
      <c r="F905" s="17" t="s">
        <v>60</v>
      </c>
    </row>
    <row r="906" customFormat="false" ht="15" hidden="false" customHeight="false" outlineLevel="0" collapsed="false">
      <c r="A906" s="4" t="str">
        <f aca="false">B906&amp;"|"&amp;C906</f>
        <v>R_44_1837|2</v>
      </c>
      <c r="B906" s="4" t="s">
        <v>48</v>
      </c>
      <c r="C906" s="4" t="s">
        <v>61</v>
      </c>
      <c r="D906" s="4" t="n">
        <v>2</v>
      </c>
      <c r="E906" s="16" t="s">
        <v>72</v>
      </c>
      <c r="F906" s="17" t="s">
        <v>60</v>
      </c>
    </row>
    <row r="907" customFormat="false" ht="15" hidden="false" customHeight="false" outlineLevel="0" collapsed="false">
      <c r="A907" s="4" t="str">
        <f aca="false">B907&amp;"|"&amp;C907</f>
        <v>R_44_1837|3</v>
      </c>
      <c r="B907" s="4" t="s">
        <v>48</v>
      </c>
      <c r="C907" s="4" t="s">
        <v>63</v>
      </c>
      <c r="D907" s="4" t="n">
        <v>3</v>
      </c>
      <c r="E907" s="16" t="s">
        <v>68</v>
      </c>
      <c r="F907" s="17" t="s">
        <v>60</v>
      </c>
    </row>
    <row r="908" customFormat="false" ht="15" hidden="false" customHeight="false" outlineLevel="0" collapsed="false">
      <c r="A908" s="4" t="str">
        <f aca="false">B908&amp;"|"&amp;C908</f>
        <v>R_44_1837|4</v>
      </c>
      <c r="B908" s="4" t="s">
        <v>48</v>
      </c>
      <c r="C908" s="4" t="s">
        <v>64</v>
      </c>
      <c r="D908" s="4" t="n">
        <v>4</v>
      </c>
      <c r="E908" s="16" t="s">
        <v>62</v>
      </c>
      <c r="F908" s="17" t="s">
        <v>60</v>
      </c>
    </row>
    <row r="909" customFormat="false" ht="15" hidden="false" customHeight="false" outlineLevel="0" collapsed="false">
      <c r="A909" s="4" t="str">
        <f aca="false">B909&amp;"|"&amp;C909</f>
        <v>R_44_1837|5</v>
      </c>
      <c r="B909" s="4" t="s">
        <v>48</v>
      </c>
      <c r="C909" s="4" t="s">
        <v>65</v>
      </c>
      <c r="D909" s="4" t="n">
        <v>5</v>
      </c>
      <c r="E909" s="16" t="s">
        <v>72</v>
      </c>
      <c r="F909" s="17" t="s">
        <v>60</v>
      </c>
    </row>
    <row r="910" customFormat="false" ht="15" hidden="false" customHeight="false" outlineLevel="0" collapsed="false">
      <c r="A910" s="4" t="str">
        <f aca="false">B910&amp;"|"&amp;C910</f>
        <v>R_44_1837|6</v>
      </c>
      <c r="B910" s="4" t="s">
        <v>48</v>
      </c>
      <c r="C910" s="4" t="s">
        <v>66</v>
      </c>
      <c r="D910" s="4" t="n">
        <v>6</v>
      </c>
      <c r="E910" s="16" t="s">
        <v>72</v>
      </c>
      <c r="F910" s="17" t="s">
        <v>60</v>
      </c>
    </row>
    <row r="911" customFormat="false" ht="15" hidden="false" customHeight="false" outlineLevel="0" collapsed="false">
      <c r="A911" s="4" t="str">
        <f aca="false">B911&amp;"|"&amp;C911</f>
        <v>R_44_1837|7</v>
      </c>
      <c r="B911" s="4" t="s">
        <v>48</v>
      </c>
      <c r="C911" s="4" t="s">
        <v>67</v>
      </c>
      <c r="D911" s="4" t="n">
        <v>7</v>
      </c>
      <c r="E911" s="16" t="s">
        <v>59</v>
      </c>
      <c r="F911" s="17" t="s">
        <v>60</v>
      </c>
    </row>
    <row r="912" customFormat="false" ht="15" hidden="false" customHeight="false" outlineLevel="0" collapsed="false">
      <c r="A912" s="4" t="str">
        <f aca="false">B912&amp;"|"&amp;C912</f>
        <v>R_44_1837|8</v>
      </c>
      <c r="B912" s="4" t="s">
        <v>48</v>
      </c>
      <c r="C912" s="4" t="s">
        <v>69</v>
      </c>
      <c r="D912" s="4" t="n">
        <v>8</v>
      </c>
      <c r="E912" s="3" t="s">
        <v>59</v>
      </c>
      <c r="F912" s="4" t="s">
        <v>70</v>
      </c>
    </row>
    <row r="913" customFormat="false" ht="15" hidden="false" customHeight="false" outlineLevel="0" collapsed="false">
      <c r="A913" s="4" t="str">
        <f aca="false">B913&amp;"|"&amp;C913</f>
        <v>R_44_1837|9</v>
      </c>
      <c r="B913" s="4" t="s">
        <v>48</v>
      </c>
      <c r="C913" s="4" t="s">
        <v>71</v>
      </c>
      <c r="D913" s="4" t="n">
        <v>9</v>
      </c>
      <c r="E913" s="3" t="s">
        <v>62</v>
      </c>
      <c r="F913" s="4" t="s">
        <v>73</v>
      </c>
    </row>
    <row r="914" customFormat="false" ht="15" hidden="false" customHeight="false" outlineLevel="0" collapsed="false">
      <c r="A914" s="4" t="str">
        <f aca="false">B914&amp;"|"&amp;C914</f>
        <v>R_44_1837|10</v>
      </c>
      <c r="B914" s="4" t="s">
        <v>48</v>
      </c>
      <c r="C914" s="4" t="s">
        <v>74</v>
      </c>
      <c r="D914" s="4" t="n">
        <v>10</v>
      </c>
      <c r="E914" s="8" t="s">
        <v>72</v>
      </c>
      <c r="F914" s="7" t="s">
        <v>75</v>
      </c>
    </row>
    <row r="915" customFormat="false" ht="15" hidden="false" customHeight="false" outlineLevel="0" collapsed="false">
      <c r="A915" s="4" t="str">
        <f aca="false">B915&amp;"|"&amp;C915</f>
        <v>R_44_1837|11</v>
      </c>
      <c r="B915" s="4" t="s">
        <v>48</v>
      </c>
      <c r="C915" s="4" t="s">
        <v>76</v>
      </c>
      <c r="D915" s="4" t="n">
        <v>11</v>
      </c>
      <c r="E915" s="8" t="s">
        <v>72</v>
      </c>
      <c r="F915" s="7" t="s">
        <v>75</v>
      </c>
    </row>
    <row r="916" customFormat="false" ht="15" hidden="false" customHeight="false" outlineLevel="0" collapsed="false">
      <c r="A916" s="4" t="str">
        <f aca="false">B916&amp;"|"&amp;C916</f>
        <v>R_44_1837|12</v>
      </c>
      <c r="B916" s="4" t="s">
        <v>48</v>
      </c>
      <c r="C916" s="4" t="s">
        <v>77</v>
      </c>
      <c r="D916" s="4" t="n">
        <v>12</v>
      </c>
      <c r="E916" s="8" t="s">
        <v>59</v>
      </c>
      <c r="F916" s="7" t="s">
        <v>75</v>
      </c>
    </row>
    <row r="917" customFormat="false" ht="15" hidden="false" customHeight="false" outlineLevel="0" collapsed="false">
      <c r="A917" s="4" t="str">
        <f aca="false">B917&amp;"|"&amp;C917</f>
        <v>R_44_1837|13</v>
      </c>
      <c r="B917" s="4" t="s">
        <v>48</v>
      </c>
      <c r="C917" s="4" t="s">
        <v>78</v>
      </c>
      <c r="D917" s="4" t="n">
        <v>13</v>
      </c>
      <c r="E917" s="8" t="s">
        <v>59</v>
      </c>
      <c r="F917" s="7" t="s">
        <v>75</v>
      </c>
    </row>
    <row r="918" customFormat="false" ht="15" hidden="false" customHeight="false" outlineLevel="0" collapsed="false">
      <c r="A918" s="4" t="str">
        <f aca="false">B918&amp;"|"&amp;C918</f>
        <v>R_44_1837|14</v>
      </c>
      <c r="B918" s="4" t="s">
        <v>48</v>
      </c>
      <c r="C918" s="4" t="s">
        <v>79</v>
      </c>
      <c r="D918" s="4" t="n">
        <v>14</v>
      </c>
      <c r="E918" s="18" t="s">
        <v>72</v>
      </c>
      <c r="F918" s="19" t="s">
        <v>80</v>
      </c>
    </row>
    <row r="919" customFormat="false" ht="15" hidden="false" customHeight="false" outlineLevel="0" collapsed="false">
      <c r="A919" s="4" t="str">
        <f aca="false">B919&amp;"|"&amp;C919</f>
        <v>R_44_1837|15</v>
      </c>
      <c r="B919" s="4" t="s">
        <v>48</v>
      </c>
      <c r="C919" s="4" t="s">
        <v>81</v>
      </c>
      <c r="D919" s="4" t="n">
        <v>15</v>
      </c>
      <c r="E919" s="18" t="s">
        <v>68</v>
      </c>
      <c r="F919" s="19" t="s">
        <v>80</v>
      </c>
    </row>
    <row r="920" customFormat="false" ht="15" hidden="false" customHeight="false" outlineLevel="0" collapsed="false">
      <c r="A920" s="4" t="str">
        <f aca="false">B920&amp;"|"&amp;C920</f>
        <v>R_44_1837|16</v>
      </c>
      <c r="B920" s="4" t="s">
        <v>48</v>
      </c>
      <c r="C920" s="4" t="s">
        <v>82</v>
      </c>
      <c r="D920" s="4" t="n">
        <v>16</v>
      </c>
      <c r="E920" s="18" t="s">
        <v>59</v>
      </c>
      <c r="F920" s="19" t="s">
        <v>80</v>
      </c>
    </row>
    <row r="921" customFormat="false" ht="15" hidden="false" customHeight="false" outlineLevel="0" collapsed="false">
      <c r="A921" s="4" t="str">
        <f aca="false">B921&amp;"|"&amp;C921</f>
        <v>R_44_1837|17</v>
      </c>
      <c r="B921" s="4" t="s">
        <v>48</v>
      </c>
      <c r="C921" s="4" t="s">
        <v>151</v>
      </c>
      <c r="D921" s="4" t="n">
        <v>17</v>
      </c>
      <c r="E921" s="18" t="s">
        <v>62</v>
      </c>
      <c r="F921" s="19" t="s">
        <v>80</v>
      </c>
    </row>
    <row r="922" customFormat="false" ht="15" hidden="false" customHeight="false" outlineLevel="0" collapsed="false">
      <c r="A922" s="4" t="str">
        <f aca="false">B922&amp;"|"&amp;C922</f>
        <v>R_44_1837|18</v>
      </c>
      <c r="B922" s="4" t="s">
        <v>48</v>
      </c>
      <c r="C922" s="4" t="s">
        <v>83</v>
      </c>
      <c r="D922" s="4" t="n">
        <v>18</v>
      </c>
      <c r="E922" s="18" t="s">
        <v>72</v>
      </c>
      <c r="F922" s="19" t="s">
        <v>80</v>
      </c>
    </row>
    <row r="923" customFormat="false" ht="15" hidden="false" customHeight="false" outlineLevel="0" collapsed="false">
      <c r="A923" s="4" t="str">
        <f aca="false">B923&amp;"|"&amp;C923</f>
        <v>R_44_1837|19</v>
      </c>
      <c r="B923" s="4" t="s">
        <v>48</v>
      </c>
      <c r="C923" s="4" t="s">
        <v>84</v>
      </c>
      <c r="D923" s="4" t="n">
        <v>19</v>
      </c>
      <c r="E923" s="18" t="s">
        <v>72</v>
      </c>
      <c r="F923" s="19" t="s">
        <v>80</v>
      </c>
    </row>
    <row r="924" customFormat="false" ht="15" hidden="false" customHeight="false" outlineLevel="0" collapsed="false">
      <c r="A924" s="4" t="str">
        <f aca="false">B924&amp;"|"&amp;C924</f>
        <v>R_44_1837|20</v>
      </c>
      <c r="B924" s="4" t="s">
        <v>48</v>
      </c>
      <c r="C924" s="4" t="s">
        <v>85</v>
      </c>
      <c r="D924" s="4" t="n">
        <v>20</v>
      </c>
      <c r="E924" s="18" t="s">
        <v>62</v>
      </c>
      <c r="F924" s="19" t="s">
        <v>80</v>
      </c>
    </row>
    <row r="925" customFormat="false" ht="15" hidden="false" customHeight="false" outlineLevel="0" collapsed="false">
      <c r="A925" s="4" t="str">
        <f aca="false">B925&amp;"|"&amp;C925</f>
        <v>R_44_1837|20a</v>
      </c>
      <c r="B925" s="4" t="s">
        <v>48</v>
      </c>
      <c r="C925" s="4" t="s">
        <v>86</v>
      </c>
      <c r="D925" s="4" t="n">
        <v>21</v>
      </c>
      <c r="E925" s="18" t="s">
        <v>59</v>
      </c>
      <c r="F925" s="19" t="s">
        <v>80</v>
      </c>
    </row>
    <row r="926" customFormat="false" ht="15" hidden="false" customHeight="false" outlineLevel="0" collapsed="false">
      <c r="A926" s="4" t="str">
        <f aca="false">B926&amp;"|"&amp;C926</f>
        <v>R_44_1837|20b</v>
      </c>
      <c r="B926" s="4" t="s">
        <v>48</v>
      </c>
      <c r="C926" s="4" t="s">
        <v>87</v>
      </c>
      <c r="D926" s="4" t="n">
        <v>22</v>
      </c>
      <c r="E926" s="18" t="s">
        <v>59</v>
      </c>
      <c r="F926" s="19" t="s">
        <v>80</v>
      </c>
    </row>
    <row r="927" customFormat="false" ht="15" hidden="false" customHeight="false" outlineLevel="0" collapsed="false">
      <c r="A927" s="4" t="str">
        <f aca="false">B927&amp;"|"&amp;C927</f>
        <v>R_44_1837|21</v>
      </c>
      <c r="B927" s="4" t="s">
        <v>48</v>
      </c>
      <c r="C927" s="4" t="s">
        <v>88</v>
      </c>
      <c r="D927" s="4" t="n">
        <v>23</v>
      </c>
      <c r="E927" s="18" t="s">
        <v>62</v>
      </c>
      <c r="F927" s="19" t="s">
        <v>80</v>
      </c>
    </row>
    <row r="928" customFormat="false" ht="15" hidden="false" customHeight="false" outlineLevel="0" collapsed="false">
      <c r="A928" s="4" t="str">
        <f aca="false">B928&amp;"|"&amp;C928</f>
        <v>R_44_1837|22</v>
      </c>
      <c r="B928" s="4" t="s">
        <v>48</v>
      </c>
      <c r="C928" s="4" t="s">
        <v>89</v>
      </c>
      <c r="D928" s="4" t="n">
        <v>24</v>
      </c>
      <c r="E928" s="8" t="s">
        <v>62</v>
      </c>
      <c r="F928" s="7" t="s">
        <v>75</v>
      </c>
    </row>
    <row r="929" customFormat="false" ht="15" hidden="false" customHeight="false" outlineLevel="0" collapsed="false">
      <c r="A929" s="4" t="str">
        <f aca="false">B929&amp;"|"&amp;C929</f>
        <v>R_44_1837|23</v>
      </c>
      <c r="B929" s="4" t="s">
        <v>48</v>
      </c>
      <c r="C929" s="4" t="s">
        <v>90</v>
      </c>
      <c r="D929" s="4" t="n">
        <v>25</v>
      </c>
      <c r="E929" s="8" t="s">
        <v>62</v>
      </c>
      <c r="F929" s="7" t="s">
        <v>75</v>
      </c>
    </row>
    <row r="930" customFormat="false" ht="15" hidden="false" customHeight="false" outlineLevel="0" collapsed="false">
      <c r="A930" s="4" t="str">
        <f aca="false">B930&amp;"|"&amp;C930</f>
        <v>R_44_1837|24</v>
      </c>
      <c r="B930" s="4" t="s">
        <v>48</v>
      </c>
      <c r="C930" s="4" t="s">
        <v>91</v>
      </c>
      <c r="D930" s="4" t="n">
        <v>26</v>
      </c>
      <c r="E930" s="8" t="s">
        <v>59</v>
      </c>
      <c r="F930" s="7" t="s">
        <v>75</v>
      </c>
    </row>
    <row r="931" customFormat="false" ht="15" hidden="false" customHeight="false" outlineLevel="0" collapsed="false">
      <c r="A931" s="4" t="str">
        <f aca="false">B931&amp;"|"&amp;C931</f>
        <v>R_44_1837|25</v>
      </c>
      <c r="B931" s="4" t="s">
        <v>48</v>
      </c>
      <c r="C931" s="4" t="s">
        <v>92</v>
      </c>
      <c r="D931" s="4" t="n">
        <v>27</v>
      </c>
      <c r="E931" s="8" t="s">
        <v>59</v>
      </c>
      <c r="F931" s="7" t="s">
        <v>75</v>
      </c>
    </row>
    <row r="932" customFormat="false" ht="15" hidden="false" customHeight="false" outlineLevel="0" collapsed="false">
      <c r="A932" s="4" t="str">
        <f aca="false">B932&amp;"|"&amp;C932</f>
        <v>R_44_1837|26</v>
      </c>
      <c r="B932" s="4" t="s">
        <v>48</v>
      </c>
      <c r="C932" s="4" t="s">
        <v>93</v>
      </c>
      <c r="D932" s="4" t="n">
        <v>28</v>
      </c>
      <c r="E932" s="3" t="s">
        <v>59</v>
      </c>
      <c r="F932" s="4" t="s">
        <v>94</v>
      </c>
    </row>
    <row r="933" customFormat="false" ht="15" hidden="false" customHeight="false" outlineLevel="0" collapsed="false">
      <c r="A933" s="4" t="str">
        <f aca="false">B933&amp;"|"&amp;C933</f>
        <v>R_44_1837|27</v>
      </c>
      <c r="B933" s="4" t="s">
        <v>48</v>
      </c>
      <c r="C933" s="4" t="s">
        <v>95</v>
      </c>
      <c r="D933" s="4" t="n">
        <v>29</v>
      </c>
      <c r="E933" s="20" t="s">
        <v>59</v>
      </c>
      <c r="F933" s="21" t="s">
        <v>96</v>
      </c>
    </row>
    <row r="934" customFormat="false" ht="15" hidden="false" customHeight="false" outlineLevel="0" collapsed="false">
      <c r="A934" s="4" t="str">
        <f aca="false">B934&amp;"|"&amp;C934</f>
        <v>R_44_1837|28</v>
      </c>
      <c r="B934" s="4" t="s">
        <v>48</v>
      </c>
      <c r="C934" s="4" t="s">
        <v>97</v>
      </c>
      <c r="D934" s="4" t="n">
        <v>30</v>
      </c>
      <c r="E934" s="20" t="s">
        <v>62</v>
      </c>
      <c r="F934" s="21" t="s">
        <v>96</v>
      </c>
    </row>
    <row r="935" customFormat="false" ht="15" hidden="false" customHeight="false" outlineLevel="0" collapsed="false">
      <c r="A935" s="4" t="str">
        <f aca="false">B935&amp;"|"&amp;C935</f>
        <v>R_44_1837|29</v>
      </c>
      <c r="B935" s="4" t="s">
        <v>48</v>
      </c>
      <c r="C935" s="4" t="s">
        <v>98</v>
      </c>
      <c r="D935" s="4" t="n">
        <v>31</v>
      </c>
      <c r="E935" s="20" t="s">
        <v>62</v>
      </c>
      <c r="F935" s="21" t="s">
        <v>96</v>
      </c>
    </row>
    <row r="936" customFormat="false" ht="15" hidden="false" customHeight="false" outlineLevel="0" collapsed="false">
      <c r="A936" s="4" t="str">
        <f aca="false">B936&amp;"|"&amp;C936</f>
        <v>R_44_1837|30</v>
      </c>
      <c r="B936" s="4" t="s">
        <v>48</v>
      </c>
      <c r="C936" s="4" t="s">
        <v>99</v>
      </c>
      <c r="D936" s="4" t="n">
        <v>32</v>
      </c>
      <c r="E936" s="20" t="s">
        <v>59</v>
      </c>
      <c r="F936" s="21" t="s">
        <v>96</v>
      </c>
    </row>
    <row r="937" customFormat="false" ht="15" hidden="false" customHeight="false" outlineLevel="0" collapsed="false">
      <c r="A937" s="4" t="str">
        <f aca="false">B937&amp;"|"&amp;C937</f>
        <v>R_44_1837|31</v>
      </c>
      <c r="B937" s="4" t="s">
        <v>48</v>
      </c>
      <c r="C937" s="4" t="s">
        <v>100</v>
      </c>
      <c r="D937" s="4" t="n">
        <v>33</v>
      </c>
      <c r="E937" s="20" t="s">
        <v>68</v>
      </c>
      <c r="F937" s="21" t="s">
        <v>96</v>
      </c>
    </row>
    <row r="938" customFormat="false" ht="15" hidden="false" customHeight="false" outlineLevel="0" collapsed="false">
      <c r="A938" s="4" t="str">
        <f aca="false">B938&amp;"|"&amp;C938</f>
        <v>R_44_1837|32</v>
      </c>
      <c r="B938" s="4" t="s">
        <v>48</v>
      </c>
      <c r="C938" s="4" t="s">
        <v>101</v>
      </c>
      <c r="D938" s="4" t="n">
        <v>34</v>
      </c>
      <c r="E938" s="18" t="s">
        <v>59</v>
      </c>
      <c r="F938" s="19" t="s">
        <v>102</v>
      </c>
    </row>
    <row r="939" customFormat="false" ht="15" hidden="false" customHeight="false" outlineLevel="0" collapsed="false">
      <c r="A939" s="4" t="str">
        <f aca="false">B939&amp;"|"&amp;C939</f>
        <v>R_44_1837|33</v>
      </c>
      <c r="B939" s="4" t="s">
        <v>48</v>
      </c>
      <c r="C939" s="4" t="s">
        <v>103</v>
      </c>
      <c r="D939" s="4" t="n">
        <v>35</v>
      </c>
      <c r="E939" s="18" t="s">
        <v>68</v>
      </c>
      <c r="F939" s="19" t="s">
        <v>102</v>
      </c>
    </row>
    <row r="940" customFormat="false" ht="15" hidden="false" customHeight="false" outlineLevel="0" collapsed="false">
      <c r="A940" s="4" t="str">
        <f aca="false">B940&amp;"|"&amp;C940</f>
        <v>R_44_1837|34</v>
      </c>
      <c r="B940" s="4" t="s">
        <v>48</v>
      </c>
      <c r="C940" s="4" t="s">
        <v>104</v>
      </c>
      <c r="D940" s="4" t="n">
        <v>36</v>
      </c>
      <c r="E940" s="18" t="s">
        <v>68</v>
      </c>
      <c r="F940" s="19" t="s">
        <v>102</v>
      </c>
    </row>
    <row r="941" customFormat="false" ht="15" hidden="false" customHeight="false" outlineLevel="0" collapsed="false">
      <c r="A941" s="4" t="str">
        <f aca="false">B941&amp;"|"&amp;C941</f>
        <v>R_44_1837|35</v>
      </c>
      <c r="B941" s="4" t="s">
        <v>48</v>
      </c>
      <c r="C941" s="4" t="s">
        <v>105</v>
      </c>
      <c r="D941" s="4" t="n">
        <v>37</v>
      </c>
      <c r="E941" s="18" t="s">
        <v>59</v>
      </c>
      <c r="F941" s="19" t="s">
        <v>102</v>
      </c>
    </row>
    <row r="942" customFormat="false" ht="15" hidden="false" customHeight="false" outlineLevel="0" collapsed="false">
      <c r="A942" s="4" t="str">
        <f aca="false">B942&amp;"|"&amp;C942</f>
        <v>R_44_1837|36</v>
      </c>
      <c r="B942" s="4" t="s">
        <v>48</v>
      </c>
      <c r="C942" s="4" t="s">
        <v>106</v>
      </c>
      <c r="D942" s="4" t="n">
        <v>38</v>
      </c>
      <c r="E942" s="18" t="s">
        <v>62</v>
      </c>
      <c r="F942" s="19" t="s">
        <v>102</v>
      </c>
    </row>
    <row r="943" customFormat="false" ht="15" hidden="false" customHeight="false" outlineLevel="0" collapsed="false">
      <c r="A943" s="4" t="str">
        <f aca="false">B943&amp;"|"&amp;C943</f>
        <v>R_44_1837|37</v>
      </c>
      <c r="B943" s="4" t="s">
        <v>48</v>
      </c>
      <c r="C943" s="4" t="s">
        <v>107</v>
      </c>
      <c r="D943" s="4" t="n">
        <v>39</v>
      </c>
      <c r="E943" s="18" t="s">
        <v>62</v>
      </c>
      <c r="F943" s="19" t="s">
        <v>102</v>
      </c>
    </row>
    <row r="944" customFormat="false" ht="15" hidden="false" customHeight="false" outlineLevel="0" collapsed="false">
      <c r="A944" s="4" t="str">
        <f aca="false">B944&amp;"|"&amp;C944</f>
        <v>R_44_1837|38</v>
      </c>
      <c r="B944" s="4" t="s">
        <v>48</v>
      </c>
      <c r="C944" s="4" t="s">
        <v>108</v>
      </c>
      <c r="D944" s="4" t="n">
        <v>40</v>
      </c>
      <c r="E944" s="18" t="s">
        <v>72</v>
      </c>
      <c r="F944" s="19" t="s">
        <v>102</v>
      </c>
    </row>
    <row r="945" customFormat="false" ht="15" hidden="false" customHeight="false" outlineLevel="0" collapsed="false">
      <c r="A945" s="4" t="str">
        <f aca="false">B945&amp;"|"&amp;C945</f>
        <v>R_44_1837|39</v>
      </c>
      <c r="B945" s="4" t="s">
        <v>48</v>
      </c>
      <c r="C945" s="4" t="s">
        <v>109</v>
      </c>
      <c r="D945" s="4" t="n">
        <v>41</v>
      </c>
      <c r="E945" s="20" t="s">
        <v>72</v>
      </c>
      <c r="F945" s="21" t="s">
        <v>96</v>
      </c>
    </row>
    <row r="946" customFormat="false" ht="15" hidden="false" customHeight="false" outlineLevel="0" collapsed="false">
      <c r="A946" s="4" t="str">
        <f aca="false">B946&amp;"|"&amp;C946</f>
        <v>R_44_1837|40</v>
      </c>
      <c r="B946" s="4" t="s">
        <v>48</v>
      </c>
      <c r="C946" s="4" t="s">
        <v>110</v>
      </c>
      <c r="D946" s="4" t="n">
        <v>42</v>
      </c>
      <c r="E946" s="20" t="s">
        <v>72</v>
      </c>
      <c r="F946" s="21" t="s">
        <v>96</v>
      </c>
    </row>
    <row r="947" customFormat="false" ht="15" hidden="false" customHeight="false" outlineLevel="0" collapsed="false">
      <c r="A947" s="4" t="str">
        <f aca="false">B947&amp;"|"&amp;C947</f>
        <v>R_44_1837|41</v>
      </c>
      <c r="B947" s="4" t="s">
        <v>48</v>
      </c>
      <c r="C947" s="4" t="s">
        <v>111</v>
      </c>
      <c r="D947" s="4" t="n">
        <v>43</v>
      </c>
      <c r="E947" s="20" t="s">
        <v>59</v>
      </c>
      <c r="F947" s="21" t="s">
        <v>96</v>
      </c>
    </row>
    <row r="948" customFormat="false" ht="15" hidden="false" customHeight="false" outlineLevel="0" collapsed="false">
      <c r="A948" s="4" t="str">
        <f aca="false">B948&amp;"|"&amp;C948</f>
        <v>R_44_1837|42</v>
      </c>
      <c r="B948" s="4" t="s">
        <v>48</v>
      </c>
      <c r="C948" s="4" t="s">
        <v>112</v>
      </c>
      <c r="D948" s="4" t="n">
        <v>44</v>
      </c>
      <c r="E948" s="20" t="s">
        <v>59</v>
      </c>
      <c r="F948" s="21" t="s">
        <v>96</v>
      </c>
    </row>
    <row r="949" customFormat="false" ht="15" hidden="false" customHeight="false" outlineLevel="0" collapsed="false">
      <c r="A949" s="4" t="str">
        <f aca="false">B949&amp;"|"&amp;C949</f>
        <v>R_44_1837|43</v>
      </c>
      <c r="B949" s="4" t="s">
        <v>48</v>
      </c>
      <c r="C949" s="4" t="s">
        <v>113</v>
      </c>
      <c r="D949" s="4" t="n">
        <v>45</v>
      </c>
      <c r="E949" s="20" t="s">
        <v>62</v>
      </c>
      <c r="F949" s="21" t="s">
        <v>96</v>
      </c>
    </row>
    <row r="950" customFormat="false" ht="15" hidden="false" customHeight="false" outlineLevel="0" collapsed="false">
      <c r="A950" s="4" t="str">
        <f aca="false">B950&amp;"|"&amp;C950</f>
        <v>R_44_1837|44</v>
      </c>
      <c r="B950" s="4" t="s">
        <v>48</v>
      </c>
      <c r="C950" s="4" t="s">
        <v>114</v>
      </c>
      <c r="D950" s="4" t="n">
        <v>46</v>
      </c>
      <c r="E950" s="18" t="s">
        <v>62</v>
      </c>
      <c r="F950" s="19" t="s">
        <v>115</v>
      </c>
    </row>
    <row r="951" customFormat="false" ht="15" hidden="false" customHeight="false" outlineLevel="0" collapsed="false">
      <c r="A951" s="4" t="str">
        <f aca="false">B951&amp;"|"&amp;C951</f>
        <v>R_44_1837|45</v>
      </c>
      <c r="B951" s="4" t="s">
        <v>48</v>
      </c>
      <c r="C951" s="4" t="s">
        <v>116</v>
      </c>
      <c r="D951" s="4" t="n">
        <v>47</v>
      </c>
      <c r="E951" s="18" t="s">
        <v>72</v>
      </c>
      <c r="F951" s="19" t="s">
        <v>115</v>
      </c>
    </row>
    <row r="952" customFormat="false" ht="15" hidden="false" customHeight="false" outlineLevel="0" collapsed="false">
      <c r="A952" s="4" t="str">
        <f aca="false">B952&amp;"|"&amp;C952</f>
        <v>R_44_1837|e1</v>
      </c>
      <c r="B952" s="4" t="s">
        <v>48</v>
      </c>
      <c r="C952" s="4" t="s">
        <v>117</v>
      </c>
      <c r="D952" s="4" t="n">
        <v>48</v>
      </c>
      <c r="E952" s="18" t="s">
        <v>68</v>
      </c>
      <c r="F952" s="19" t="s">
        <v>115</v>
      </c>
    </row>
    <row r="953" customFormat="false" ht="15" hidden="false" customHeight="false" outlineLevel="0" collapsed="false">
      <c r="A953" s="4" t="str">
        <f aca="false">B953&amp;"|"&amp;C953</f>
        <v>R_44_1837|e2</v>
      </c>
      <c r="B953" s="4" t="s">
        <v>48</v>
      </c>
      <c r="C953" s="4" t="s">
        <v>118</v>
      </c>
      <c r="D953" s="4" t="n">
        <v>49</v>
      </c>
      <c r="E953" s="18" t="s">
        <v>68</v>
      </c>
      <c r="F953" s="19" t="s">
        <v>115</v>
      </c>
    </row>
    <row r="954" customFormat="false" ht="15" hidden="false" customHeight="false" outlineLevel="0" collapsed="false">
      <c r="A954" s="4" t="str">
        <f aca="false">B954&amp;"|"&amp;C954</f>
        <v>R_44_1837|e3</v>
      </c>
      <c r="B954" s="4" t="s">
        <v>48</v>
      </c>
      <c r="C954" s="4" t="s">
        <v>119</v>
      </c>
      <c r="D954" s="4" t="n">
        <v>50</v>
      </c>
      <c r="E954" s="18" t="s">
        <v>62</v>
      </c>
      <c r="F954" s="19" t="s">
        <v>115</v>
      </c>
    </row>
    <row r="955" customFormat="false" ht="15" hidden="false" customHeight="false" outlineLevel="0" collapsed="false">
      <c r="A955" s="4" t="str">
        <f aca="false">B955&amp;"|"&amp;C955</f>
        <v>R_44_1837|e4</v>
      </c>
      <c r="B955" s="4" t="s">
        <v>48</v>
      </c>
      <c r="C955" s="4" t="s">
        <v>120</v>
      </c>
      <c r="D955" s="4" t="n">
        <v>51</v>
      </c>
      <c r="E955" s="18" t="s">
        <v>62</v>
      </c>
      <c r="F955" s="19" t="s">
        <v>115</v>
      </c>
    </row>
    <row r="956" customFormat="false" ht="15" hidden="false" customHeight="false" outlineLevel="0" collapsed="false">
      <c r="A956" s="4" t="str">
        <f aca="false">B956&amp;"|"&amp;C956</f>
        <v>R_44_1837|e5</v>
      </c>
      <c r="B956" s="4" t="s">
        <v>48</v>
      </c>
      <c r="C956" s="4" t="s">
        <v>121</v>
      </c>
      <c r="D956" s="4" t="n">
        <v>52</v>
      </c>
      <c r="E956" s="18" t="s">
        <v>59</v>
      </c>
      <c r="F956" s="19" t="s">
        <v>115</v>
      </c>
    </row>
    <row r="957" customFormat="false" ht="15" hidden="false" customHeight="false" outlineLevel="0" collapsed="false">
      <c r="A957" s="4" t="str">
        <f aca="false">B957&amp;"|"&amp;C957</f>
        <v>R_44_1837|e6</v>
      </c>
      <c r="B957" s="4" t="s">
        <v>48</v>
      </c>
      <c r="C957" s="4" t="s">
        <v>153</v>
      </c>
      <c r="D957" s="4" t="n">
        <v>53</v>
      </c>
      <c r="E957" s="18" t="s">
        <v>59</v>
      </c>
      <c r="F957" s="19" t="s">
        <v>115</v>
      </c>
    </row>
    <row r="958" customFormat="false" ht="15" hidden="false" customHeight="false" outlineLevel="0" collapsed="false">
      <c r="A958" s="4" t="str">
        <f aca="false">B958&amp;"|"&amp;C958</f>
        <v>R_44_1837|e7</v>
      </c>
      <c r="B958" s="4" t="s">
        <v>48</v>
      </c>
      <c r="C958" s="4" t="s">
        <v>154</v>
      </c>
      <c r="D958" s="4" t="n">
        <v>54</v>
      </c>
      <c r="E958" s="18" t="s">
        <v>59</v>
      </c>
      <c r="F958" s="19" t="s">
        <v>115</v>
      </c>
    </row>
    <row r="959" customFormat="false" ht="15" hidden="false" customHeight="false" outlineLevel="0" collapsed="false">
      <c r="A959" s="4" t="str">
        <f aca="false">B959&amp;"|"&amp;C959</f>
        <v>R_44_1837|e8</v>
      </c>
      <c r="B959" s="4" t="s">
        <v>48</v>
      </c>
      <c r="C959" s="4" t="s">
        <v>155</v>
      </c>
      <c r="D959" s="4" t="n">
        <v>55</v>
      </c>
      <c r="E959" s="18" t="s">
        <v>62</v>
      </c>
      <c r="F959" s="19" t="s">
        <v>115</v>
      </c>
    </row>
    <row r="960" customFormat="false" ht="15" hidden="false" customHeight="false" outlineLevel="0" collapsed="false">
      <c r="A960" s="4" t="str">
        <f aca="false">B960&amp;"|"&amp;C960</f>
        <v>R_44_1837|46</v>
      </c>
      <c r="B960" s="4" t="s">
        <v>48</v>
      </c>
      <c r="C960" s="4" t="s">
        <v>122</v>
      </c>
      <c r="D960" s="4" t="n">
        <v>56</v>
      </c>
      <c r="E960" s="18" t="s">
        <v>72</v>
      </c>
      <c r="F960" s="19" t="s">
        <v>115</v>
      </c>
    </row>
    <row r="961" customFormat="false" ht="15" hidden="false" customHeight="false" outlineLevel="0" collapsed="false">
      <c r="A961" s="4" t="str">
        <f aca="false">B961&amp;"|"&amp;C961</f>
        <v>R_44_1837|47</v>
      </c>
      <c r="B961" s="4" t="s">
        <v>48</v>
      </c>
      <c r="C961" s="4" t="s">
        <v>123</v>
      </c>
      <c r="D961" s="4" t="n">
        <v>57</v>
      </c>
      <c r="E961" s="18" t="s">
        <v>62</v>
      </c>
      <c r="F961" s="19" t="s">
        <v>115</v>
      </c>
    </row>
    <row r="962" customFormat="false" ht="15" hidden="false" customHeight="false" outlineLevel="0" collapsed="false">
      <c r="A962" s="4" t="str">
        <f aca="false">B962&amp;"|"&amp;C962</f>
        <v>R_44_1837|48</v>
      </c>
      <c r="B962" s="4" t="s">
        <v>48</v>
      </c>
      <c r="C962" s="4" t="s">
        <v>124</v>
      </c>
      <c r="D962" s="4" t="n">
        <v>58</v>
      </c>
      <c r="E962" s="18" t="s">
        <v>59</v>
      </c>
      <c r="F962" s="19" t="s">
        <v>115</v>
      </c>
    </row>
    <row r="963" customFormat="false" ht="15" hidden="false" customHeight="false" outlineLevel="0" collapsed="false">
      <c r="A963" s="4" t="str">
        <f aca="false">B963&amp;"|"&amp;C963</f>
        <v>R_44_1837|49</v>
      </c>
      <c r="B963" s="4" t="s">
        <v>48</v>
      </c>
      <c r="C963" s="4" t="s">
        <v>125</v>
      </c>
      <c r="D963" s="4" t="n">
        <v>59</v>
      </c>
      <c r="E963" s="22" t="s">
        <v>68</v>
      </c>
      <c r="F963" s="10" t="s">
        <v>126</v>
      </c>
    </row>
    <row r="964" customFormat="false" ht="15" hidden="false" customHeight="false" outlineLevel="0" collapsed="false">
      <c r="A964" s="4" t="str">
        <f aca="false">B964&amp;"|"&amp;C964</f>
        <v>R_44_1837|50</v>
      </c>
      <c r="B964" s="4" t="s">
        <v>48</v>
      </c>
      <c r="C964" s="4" t="s">
        <v>127</v>
      </c>
      <c r="D964" s="4" t="n">
        <v>60</v>
      </c>
      <c r="E964" s="22" t="s">
        <v>59</v>
      </c>
      <c r="F964" s="10" t="s">
        <v>126</v>
      </c>
    </row>
    <row r="965" customFormat="false" ht="15" hidden="false" customHeight="false" outlineLevel="0" collapsed="false">
      <c r="A965" s="4" t="str">
        <f aca="false">B965&amp;"|"&amp;C965</f>
        <v>R_44_1837|51</v>
      </c>
      <c r="B965" s="4" t="s">
        <v>48</v>
      </c>
      <c r="C965" s="4" t="s">
        <v>128</v>
      </c>
      <c r="D965" s="4" t="n">
        <v>61</v>
      </c>
      <c r="E965" s="22" t="s">
        <v>59</v>
      </c>
      <c r="F965" s="10" t="s">
        <v>126</v>
      </c>
    </row>
    <row r="966" customFormat="false" ht="15" hidden="false" customHeight="false" outlineLevel="0" collapsed="false">
      <c r="A966" s="4" t="str">
        <f aca="false">B966&amp;"|"&amp;C966</f>
        <v>R_44_1837|52</v>
      </c>
      <c r="B966" s="4" t="s">
        <v>48</v>
      </c>
      <c r="C966" s="4" t="s">
        <v>129</v>
      </c>
      <c r="D966" s="4" t="n">
        <v>62</v>
      </c>
      <c r="E966" s="22" t="s">
        <v>59</v>
      </c>
      <c r="F966" s="10" t="s">
        <v>126</v>
      </c>
    </row>
    <row r="967" customFormat="false" ht="15" hidden="false" customHeight="false" outlineLevel="0" collapsed="false">
      <c r="A967" s="4" t="str">
        <f aca="false">B967&amp;"|"&amp;C967</f>
        <v>R_44_1837|53</v>
      </c>
      <c r="B967" s="4" t="s">
        <v>48</v>
      </c>
      <c r="C967" s="4" t="s">
        <v>130</v>
      </c>
      <c r="D967" s="4" t="n">
        <v>63</v>
      </c>
      <c r="E967" s="22" t="s">
        <v>72</v>
      </c>
      <c r="F967" s="10" t="s">
        <v>126</v>
      </c>
    </row>
    <row r="968" customFormat="false" ht="15" hidden="false" customHeight="false" outlineLevel="0" collapsed="false">
      <c r="A968" s="4" t="str">
        <f aca="false">B968&amp;"|"&amp;C968</f>
        <v>R_44_1837|54</v>
      </c>
      <c r="B968" s="4" t="s">
        <v>48</v>
      </c>
      <c r="C968" s="4" t="s">
        <v>131</v>
      </c>
      <c r="D968" s="4" t="n">
        <v>64</v>
      </c>
      <c r="E968" s="18" t="s">
        <v>59</v>
      </c>
      <c r="F968" s="19" t="s">
        <v>132</v>
      </c>
    </row>
    <row r="969" customFormat="false" ht="15" hidden="false" customHeight="false" outlineLevel="0" collapsed="false">
      <c r="A969" s="4" t="str">
        <f aca="false">B969&amp;"|"&amp;C969</f>
        <v>R_44_1837|55</v>
      </c>
      <c r="B969" s="4" t="s">
        <v>48</v>
      </c>
      <c r="C969" s="4" t="s">
        <v>133</v>
      </c>
      <c r="D969" s="4" t="n">
        <v>65</v>
      </c>
      <c r="E969" s="18" t="s">
        <v>68</v>
      </c>
      <c r="F969" s="19" t="s">
        <v>132</v>
      </c>
    </row>
    <row r="970" customFormat="false" ht="15" hidden="false" customHeight="false" outlineLevel="0" collapsed="false">
      <c r="A970" s="4" t="str">
        <f aca="false">B970&amp;"|"&amp;C970</f>
        <v>R_44_1837|56</v>
      </c>
      <c r="B970" s="4" t="s">
        <v>48</v>
      </c>
      <c r="C970" s="4" t="s">
        <v>134</v>
      </c>
      <c r="D970" s="4" t="n">
        <v>66</v>
      </c>
      <c r="E970" s="18" t="s">
        <v>68</v>
      </c>
      <c r="F970" s="19" t="s">
        <v>132</v>
      </c>
    </row>
    <row r="971" customFormat="false" ht="15" hidden="false" customHeight="false" outlineLevel="0" collapsed="false">
      <c r="A971" s="4" t="str">
        <f aca="false">B971&amp;"|"&amp;C971</f>
        <v>R_44_1837|57</v>
      </c>
      <c r="B971" s="4" t="s">
        <v>48</v>
      </c>
      <c r="C971" s="4" t="s">
        <v>135</v>
      </c>
      <c r="D971" s="4" t="n">
        <v>67</v>
      </c>
      <c r="E971" s="18" t="s">
        <v>72</v>
      </c>
      <c r="F971" s="19" t="s">
        <v>132</v>
      </c>
    </row>
    <row r="972" customFormat="false" ht="15" hidden="false" customHeight="false" outlineLevel="0" collapsed="false">
      <c r="A972" s="4" t="str">
        <f aca="false">B972&amp;"|"&amp;C972</f>
        <v>R_44_1837|58</v>
      </c>
      <c r="B972" s="4" t="s">
        <v>48</v>
      </c>
      <c r="C972" s="4" t="s">
        <v>136</v>
      </c>
      <c r="D972" s="4" t="n">
        <v>68</v>
      </c>
      <c r="E972" s="18" t="s">
        <v>62</v>
      </c>
      <c r="F972" s="19" t="s">
        <v>132</v>
      </c>
    </row>
    <row r="973" customFormat="false" ht="15" hidden="false" customHeight="false" outlineLevel="0" collapsed="false">
      <c r="A973" s="4" t="str">
        <f aca="false">B973&amp;"|"&amp;C973</f>
        <v>R_44_1837|59</v>
      </c>
      <c r="B973" s="4" t="s">
        <v>48</v>
      </c>
      <c r="C973" s="4" t="s">
        <v>137</v>
      </c>
      <c r="D973" s="4" t="n">
        <v>69</v>
      </c>
      <c r="E973" s="18" t="s">
        <v>59</v>
      </c>
      <c r="F973" s="19" t="s">
        <v>132</v>
      </c>
    </row>
    <row r="974" customFormat="false" ht="15" hidden="false" customHeight="false" outlineLevel="0" collapsed="false">
      <c r="A974" s="4" t="str">
        <f aca="false">B974&amp;"|"&amp;C974</f>
        <v>R_44_1837|60</v>
      </c>
      <c r="B974" s="4" t="s">
        <v>48</v>
      </c>
      <c r="C974" s="4" t="s">
        <v>138</v>
      </c>
      <c r="D974" s="4" t="n">
        <v>70</v>
      </c>
      <c r="E974" s="18" t="s">
        <v>68</v>
      </c>
      <c r="F974" s="19" t="s">
        <v>132</v>
      </c>
    </row>
    <row r="975" customFormat="false" ht="15" hidden="false" customHeight="false" outlineLevel="0" collapsed="false">
      <c r="A975" s="4" t="str">
        <f aca="false">B975&amp;"|"&amp;C975</f>
        <v>R_44_1837|61</v>
      </c>
      <c r="B975" s="4" t="s">
        <v>48</v>
      </c>
      <c r="C975" s="4" t="s">
        <v>139</v>
      </c>
      <c r="D975" s="4" t="n">
        <v>71</v>
      </c>
      <c r="E975" s="22" t="s">
        <v>68</v>
      </c>
      <c r="F975" s="10" t="s">
        <v>126</v>
      </c>
    </row>
    <row r="976" customFormat="false" ht="15" hidden="false" customHeight="false" outlineLevel="0" collapsed="false">
      <c r="A976" s="4" t="str">
        <f aca="false">B976&amp;"|"&amp;C976</f>
        <v>R_44_1837|62</v>
      </c>
      <c r="B976" s="4" t="s">
        <v>48</v>
      </c>
      <c r="C976" s="4" t="s">
        <v>140</v>
      </c>
      <c r="D976" s="4" t="n">
        <v>72</v>
      </c>
      <c r="E976" s="22" t="s">
        <v>68</v>
      </c>
      <c r="F976" s="10" t="s">
        <v>126</v>
      </c>
    </row>
    <row r="977" customFormat="false" ht="15" hidden="false" customHeight="false" outlineLevel="0" collapsed="false">
      <c r="A977" s="4" t="str">
        <f aca="false">B977&amp;"|"&amp;C977</f>
        <v>R_44_1837|63</v>
      </c>
      <c r="B977" s="4" t="s">
        <v>48</v>
      </c>
      <c r="C977" s="4" t="s">
        <v>141</v>
      </c>
      <c r="D977" s="4" t="n">
        <v>73</v>
      </c>
      <c r="E977" s="22" t="s">
        <v>62</v>
      </c>
      <c r="F977" s="10" t="s">
        <v>126</v>
      </c>
    </row>
    <row r="978" customFormat="false" ht="15" hidden="false" customHeight="false" outlineLevel="0" collapsed="false">
      <c r="A978" s="4" t="str">
        <f aca="false">B978&amp;"|"&amp;C978</f>
        <v>R_44_1837|64</v>
      </c>
      <c r="B978" s="4" t="s">
        <v>48</v>
      </c>
      <c r="C978" s="4" t="s">
        <v>142</v>
      </c>
      <c r="D978" s="4" t="n">
        <v>74</v>
      </c>
      <c r="E978" s="22" t="s">
        <v>72</v>
      </c>
      <c r="F978" s="10" t="s">
        <v>126</v>
      </c>
    </row>
    <row r="979" customFormat="false" ht="15" hidden="false" customHeight="false" outlineLevel="0" collapsed="false">
      <c r="A979" s="4" t="str">
        <f aca="false">B979&amp;"|"&amp;C979</f>
        <v>R_44_1837|65</v>
      </c>
      <c r="B979" s="4" t="s">
        <v>48</v>
      </c>
      <c r="C979" s="4" t="s">
        <v>143</v>
      </c>
      <c r="D979" s="4" t="n">
        <v>75</v>
      </c>
      <c r="E979" s="22" t="s">
        <v>72</v>
      </c>
      <c r="F979" s="10" t="s">
        <v>126</v>
      </c>
    </row>
    <row r="980" customFormat="false" ht="15" hidden="false" customHeight="false" outlineLevel="0" collapsed="false">
      <c r="A980" s="4" t="str">
        <f aca="false">B980&amp;"|"&amp;C980</f>
        <v>R_44_1837|66</v>
      </c>
      <c r="B980" s="4" t="s">
        <v>48</v>
      </c>
      <c r="C980" s="4" t="s">
        <v>144</v>
      </c>
      <c r="D980" s="4" t="n">
        <v>76</v>
      </c>
      <c r="E980" s="16" t="s">
        <v>59</v>
      </c>
      <c r="F980" s="17" t="s">
        <v>60</v>
      </c>
    </row>
    <row r="981" customFormat="false" ht="15" hidden="false" customHeight="false" outlineLevel="0" collapsed="false">
      <c r="A981" s="4" t="str">
        <f aca="false">B981&amp;"|"&amp;C981</f>
        <v>R_44_1837|67</v>
      </c>
      <c r="B981" s="4" t="s">
        <v>48</v>
      </c>
      <c r="C981" s="4" t="s">
        <v>145</v>
      </c>
      <c r="D981" s="4" t="n">
        <v>77</v>
      </c>
      <c r="E981" s="16" t="s">
        <v>59</v>
      </c>
      <c r="F981" s="17" t="s">
        <v>60</v>
      </c>
    </row>
    <row r="982" customFormat="false" ht="15" hidden="false" customHeight="false" outlineLevel="0" collapsed="false">
      <c r="A982" s="4" t="str">
        <f aca="false">B982&amp;"|"&amp;C982</f>
        <v>R_44_1837|68</v>
      </c>
      <c r="B982" s="4" t="s">
        <v>48</v>
      </c>
      <c r="C982" s="4" t="s">
        <v>146</v>
      </c>
      <c r="D982" s="4" t="n">
        <v>78</v>
      </c>
      <c r="E982" s="16" t="s">
        <v>59</v>
      </c>
      <c r="F982" s="17" t="s">
        <v>60</v>
      </c>
    </row>
    <row r="983" customFormat="false" ht="15" hidden="false" customHeight="false" outlineLevel="0" collapsed="false">
      <c r="A983" s="4" t="str">
        <f aca="false">B983&amp;"|"&amp;C983</f>
        <v>R_44_1837|69</v>
      </c>
      <c r="B983" s="4" t="s">
        <v>48</v>
      </c>
      <c r="C983" s="4" t="s">
        <v>147</v>
      </c>
      <c r="D983" s="4" t="n">
        <v>79</v>
      </c>
      <c r="E983" s="16" t="s">
        <v>59</v>
      </c>
      <c r="F983" s="17" t="s">
        <v>60</v>
      </c>
    </row>
    <row r="984" customFormat="false" ht="15" hidden="false" customHeight="false" outlineLevel="0" collapsed="false">
      <c r="A984" s="4" t="str">
        <f aca="false">B984&amp;"|"&amp;C984</f>
        <v>R_44_1837|70</v>
      </c>
      <c r="B984" s="4" t="s">
        <v>48</v>
      </c>
      <c r="C984" s="4" t="s">
        <v>148</v>
      </c>
      <c r="D984" s="4" t="n">
        <v>80</v>
      </c>
      <c r="E984" s="16" t="s">
        <v>72</v>
      </c>
      <c r="F984" s="17" t="s">
        <v>60</v>
      </c>
    </row>
    <row r="985" customFormat="false" ht="15" hidden="false" customHeight="false" outlineLevel="0" collapsed="false">
      <c r="A985" s="4" t="str">
        <f aca="false">B985&amp;"|"&amp;C985</f>
        <v>R_44_1837|71</v>
      </c>
      <c r="B985" s="4" t="s">
        <v>48</v>
      </c>
      <c r="C985" s="4" t="s">
        <v>149</v>
      </c>
      <c r="D985" s="4" t="n">
        <v>81</v>
      </c>
      <c r="E985" s="16" t="s">
        <v>59</v>
      </c>
      <c r="F985" s="17" t="s">
        <v>60</v>
      </c>
    </row>
    <row r="986" customFormat="false" ht="15" hidden="false" customHeight="false" outlineLevel="0" collapsed="false">
      <c r="A986" s="4" t="str">
        <f aca="false">B986&amp;"|"&amp;C986</f>
        <v>R_44_1837|72</v>
      </c>
      <c r="B986" s="4" t="s">
        <v>48</v>
      </c>
      <c r="C986" s="4" t="s">
        <v>150</v>
      </c>
      <c r="D986" s="4" t="n">
        <v>82</v>
      </c>
      <c r="E986" s="16" t="s">
        <v>59</v>
      </c>
      <c r="F986" s="17" t="s">
        <v>60</v>
      </c>
    </row>
    <row r="987" customFormat="false" ht="15" hidden="false" customHeight="false" outlineLevel="0" collapsed="false">
      <c r="A987" s="4" t="str">
        <f aca="false">B987&amp;"|"&amp;C987</f>
        <v>R_49_2131|1</v>
      </c>
      <c r="B987" s="4" t="s">
        <v>49</v>
      </c>
      <c r="C987" s="4" t="s">
        <v>58</v>
      </c>
      <c r="D987" s="4" t="n">
        <v>1</v>
      </c>
      <c r="E987" s="16" t="s">
        <v>62</v>
      </c>
      <c r="F987" s="17" t="s">
        <v>60</v>
      </c>
    </row>
    <row r="988" customFormat="false" ht="15" hidden="false" customHeight="false" outlineLevel="0" collapsed="false">
      <c r="A988" s="4" t="str">
        <f aca="false">B988&amp;"|"&amp;C988</f>
        <v>R_49_2131|2</v>
      </c>
      <c r="B988" s="4" t="s">
        <v>49</v>
      </c>
      <c r="C988" s="4" t="s">
        <v>61</v>
      </c>
      <c r="D988" s="4" t="n">
        <v>2</v>
      </c>
      <c r="E988" s="16" t="s">
        <v>62</v>
      </c>
      <c r="F988" s="17" t="s">
        <v>60</v>
      </c>
    </row>
    <row r="989" customFormat="false" ht="15" hidden="false" customHeight="false" outlineLevel="0" collapsed="false">
      <c r="A989" s="4" t="str">
        <f aca="false">B989&amp;"|"&amp;C989</f>
        <v>R_49_2131|3</v>
      </c>
      <c r="B989" s="4" t="s">
        <v>49</v>
      </c>
      <c r="C989" s="4" t="s">
        <v>63</v>
      </c>
      <c r="D989" s="4" t="n">
        <v>3</v>
      </c>
      <c r="E989" s="16" t="s">
        <v>59</v>
      </c>
      <c r="F989" s="17" t="s">
        <v>60</v>
      </c>
    </row>
    <row r="990" customFormat="false" ht="15" hidden="false" customHeight="false" outlineLevel="0" collapsed="false">
      <c r="A990" s="4" t="str">
        <f aca="false">B990&amp;"|"&amp;C990</f>
        <v>R_49_2131|4</v>
      </c>
      <c r="B990" s="4" t="s">
        <v>49</v>
      </c>
      <c r="C990" s="4" t="s">
        <v>64</v>
      </c>
      <c r="D990" s="4" t="n">
        <v>4</v>
      </c>
      <c r="E990" s="16" t="s">
        <v>59</v>
      </c>
      <c r="F990" s="17" t="s">
        <v>60</v>
      </c>
    </row>
    <row r="991" customFormat="false" ht="15" hidden="false" customHeight="false" outlineLevel="0" collapsed="false">
      <c r="A991" s="4" t="str">
        <f aca="false">B991&amp;"|"&amp;C991</f>
        <v>R_49_2131|5</v>
      </c>
      <c r="B991" s="4" t="s">
        <v>49</v>
      </c>
      <c r="C991" s="4" t="s">
        <v>65</v>
      </c>
      <c r="D991" s="4" t="n">
        <v>5</v>
      </c>
      <c r="E991" s="16" t="s">
        <v>68</v>
      </c>
      <c r="F991" s="17" t="s">
        <v>60</v>
      </c>
    </row>
    <row r="992" customFormat="false" ht="15" hidden="false" customHeight="false" outlineLevel="0" collapsed="false">
      <c r="A992" s="4" t="str">
        <f aca="false">B992&amp;"|"&amp;C992</f>
        <v>R_49_2131|6</v>
      </c>
      <c r="B992" s="4" t="s">
        <v>49</v>
      </c>
      <c r="C992" s="4" t="s">
        <v>66</v>
      </c>
      <c r="D992" s="4" t="n">
        <v>6</v>
      </c>
      <c r="E992" s="16" t="s">
        <v>62</v>
      </c>
      <c r="F992" s="17" t="s">
        <v>60</v>
      </c>
    </row>
    <row r="993" customFormat="false" ht="15" hidden="false" customHeight="false" outlineLevel="0" collapsed="false">
      <c r="A993" s="4" t="str">
        <f aca="false">B993&amp;"|"&amp;C993</f>
        <v>R_49_2131|7</v>
      </c>
      <c r="B993" s="4" t="s">
        <v>49</v>
      </c>
      <c r="C993" s="4" t="s">
        <v>67</v>
      </c>
      <c r="D993" s="4" t="n">
        <v>7</v>
      </c>
      <c r="E993" s="16" t="s">
        <v>59</v>
      </c>
      <c r="F993" s="17" t="s">
        <v>60</v>
      </c>
    </row>
    <row r="994" customFormat="false" ht="15" hidden="false" customHeight="false" outlineLevel="0" collapsed="false">
      <c r="A994" s="4" t="str">
        <f aca="false">B994&amp;"|"&amp;C994</f>
        <v>R_49_2131|8</v>
      </c>
      <c r="B994" s="4" t="s">
        <v>49</v>
      </c>
      <c r="C994" s="4" t="s">
        <v>69</v>
      </c>
      <c r="D994" s="4" t="n">
        <v>8</v>
      </c>
      <c r="E994" s="3" t="s">
        <v>59</v>
      </c>
      <c r="F994" s="4" t="s">
        <v>70</v>
      </c>
    </row>
    <row r="995" customFormat="false" ht="15" hidden="false" customHeight="false" outlineLevel="0" collapsed="false">
      <c r="A995" s="4" t="str">
        <f aca="false">B995&amp;"|"&amp;C995</f>
        <v>R_49_2131|9</v>
      </c>
      <c r="B995" s="4" t="s">
        <v>49</v>
      </c>
      <c r="C995" s="4" t="s">
        <v>71</v>
      </c>
      <c r="D995" s="4" t="n">
        <v>9</v>
      </c>
      <c r="E995" s="3" t="s">
        <v>59</v>
      </c>
      <c r="F995" s="4" t="s">
        <v>73</v>
      </c>
    </row>
    <row r="996" customFormat="false" ht="15" hidden="false" customHeight="false" outlineLevel="0" collapsed="false">
      <c r="A996" s="4" t="str">
        <f aca="false">B996&amp;"|"&amp;C996</f>
        <v>R_49_2131|10</v>
      </c>
      <c r="B996" s="4" t="s">
        <v>49</v>
      </c>
      <c r="C996" s="4" t="s">
        <v>74</v>
      </c>
      <c r="D996" s="4" t="n">
        <v>10</v>
      </c>
      <c r="E996" s="8" t="s">
        <v>62</v>
      </c>
      <c r="F996" s="7" t="s">
        <v>75</v>
      </c>
    </row>
    <row r="997" customFormat="false" ht="15" hidden="false" customHeight="false" outlineLevel="0" collapsed="false">
      <c r="A997" s="4" t="str">
        <f aca="false">B997&amp;"|"&amp;C997</f>
        <v>R_49_2131|11</v>
      </c>
      <c r="B997" s="4" t="s">
        <v>49</v>
      </c>
      <c r="C997" s="4" t="s">
        <v>76</v>
      </c>
      <c r="D997" s="4" t="n">
        <v>11</v>
      </c>
      <c r="E997" s="8" t="s">
        <v>62</v>
      </c>
      <c r="F997" s="7" t="s">
        <v>75</v>
      </c>
    </row>
    <row r="998" customFormat="false" ht="15" hidden="false" customHeight="false" outlineLevel="0" collapsed="false">
      <c r="A998" s="4" t="str">
        <f aca="false">B998&amp;"|"&amp;C998</f>
        <v>R_49_2131|12</v>
      </c>
      <c r="B998" s="4" t="s">
        <v>49</v>
      </c>
      <c r="C998" s="4" t="s">
        <v>77</v>
      </c>
      <c r="D998" s="4" t="n">
        <v>12</v>
      </c>
      <c r="E998" s="8" t="s">
        <v>59</v>
      </c>
      <c r="F998" s="7" t="s">
        <v>75</v>
      </c>
    </row>
    <row r="999" customFormat="false" ht="15" hidden="false" customHeight="false" outlineLevel="0" collapsed="false">
      <c r="A999" s="4" t="str">
        <f aca="false">B999&amp;"|"&amp;C999</f>
        <v>R_49_2131|13</v>
      </c>
      <c r="B999" s="4" t="s">
        <v>49</v>
      </c>
      <c r="C999" s="4" t="s">
        <v>78</v>
      </c>
      <c r="D999" s="4" t="n">
        <v>13</v>
      </c>
      <c r="E999" s="8" t="s">
        <v>62</v>
      </c>
      <c r="F999" s="7" t="s">
        <v>75</v>
      </c>
    </row>
    <row r="1000" customFormat="false" ht="15" hidden="false" customHeight="false" outlineLevel="0" collapsed="false">
      <c r="A1000" s="4" t="str">
        <f aca="false">B1000&amp;"|"&amp;C1000</f>
        <v>R_49_2131|14</v>
      </c>
      <c r="B1000" s="4" t="s">
        <v>49</v>
      </c>
      <c r="C1000" s="4" t="s">
        <v>79</v>
      </c>
      <c r="D1000" s="4" t="n">
        <v>14</v>
      </c>
      <c r="E1000" s="18" t="s">
        <v>62</v>
      </c>
      <c r="F1000" s="19" t="s">
        <v>80</v>
      </c>
    </row>
    <row r="1001" customFormat="false" ht="15" hidden="false" customHeight="false" outlineLevel="0" collapsed="false">
      <c r="A1001" s="4" t="str">
        <f aca="false">B1001&amp;"|"&amp;C1001</f>
        <v>R_49_2131|15</v>
      </c>
      <c r="B1001" s="4" t="s">
        <v>49</v>
      </c>
      <c r="C1001" s="4" t="s">
        <v>81</v>
      </c>
      <c r="D1001" s="4" t="n">
        <v>15</v>
      </c>
      <c r="E1001" s="18" t="s">
        <v>59</v>
      </c>
      <c r="F1001" s="19" t="s">
        <v>80</v>
      </c>
    </row>
    <row r="1002" customFormat="false" ht="15" hidden="false" customHeight="false" outlineLevel="0" collapsed="false">
      <c r="A1002" s="4" t="str">
        <f aca="false">B1002&amp;"|"&amp;C1002</f>
        <v>R_49_2131|16</v>
      </c>
      <c r="B1002" s="4" t="s">
        <v>49</v>
      </c>
      <c r="C1002" s="4" t="s">
        <v>82</v>
      </c>
      <c r="D1002" s="4" t="n">
        <v>16</v>
      </c>
      <c r="E1002" s="18" t="s">
        <v>62</v>
      </c>
      <c r="F1002" s="19" t="s">
        <v>80</v>
      </c>
    </row>
    <row r="1003" customFormat="false" ht="15" hidden="false" customHeight="false" outlineLevel="0" collapsed="false">
      <c r="A1003" s="4" t="str">
        <f aca="false">B1003&amp;"|"&amp;C1003</f>
        <v>R_49_2131|17</v>
      </c>
      <c r="B1003" s="4" t="s">
        <v>49</v>
      </c>
      <c r="C1003" s="4" t="s">
        <v>151</v>
      </c>
      <c r="D1003" s="4" t="n">
        <v>17</v>
      </c>
      <c r="E1003" s="18" t="s">
        <v>62</v>
      </c>
      <c r="F1003" s="19" t="s">
        <v>80</v>
      </c>
    </row>
    <row r="1004" customFormat="false" ht="15" hidden="false" customHeight="false" outlineLevel="0" collapsed="false">
      <c r="A1004" s="4" t="str">
        <f aca="false">B1004&amp;"|"&amp;C1004</f>
        <v>R_49_2131|18</v>
      </c>
      <c r="B1004" s="4" t="s">
        <v>49</v>
      </c>
      <c r="C1004" s="4" t="s">
        <v>83</v>
      </c>
      <c r="D1004" s="4" t="n">
        <v>18</v>
      </c>
      <c r="E1004" s="18" t="s">
        <v>72</v>
      </c>
      <c r="F1004" s="19" t="s">
        <v>80</v>
      </c>
    </row>
    <row r="1005" customFormat="false" ht="15" hidden="false" customHeight="false" outlineLevel="0" collapsed="false">
      <c r="A1005" s="4" t="str">
        <f aca="false">B1005&amp;"|"&amp;C1005</f>
        <v>R_49_2131|19</v>
      </c>
      <c r="B1005" s="4" t="s">
        <v>49</v>
      </c>
      <c r="C1005" s="4" t="s">
        <v>84</v>
      </c>
      <c r="D1005" s="4" t="n">
        <v>19</v>
      </c>
      <c r="E1005" s="18" t="s">
        <v>72</v>
      </c>
      <c r="F1005" s="19" t="s">
        <v>80</v>
      </c>
    </row>
    <row r="1006" customFormat="false" ht="15" hidden="false" customHeight="false" outlineLevel="0" collapsed="false">
      <c r="A1006" s="4" t="str">
        <f aca="false">B1006&amp;"|"&amp;C1006</f>
        <v>R_49_2131|20</v>
      </c>
      <c r="B1006" s="4" t="s">
        <v>49</v>
      </c>
      <c r="C1006" s="4" t="s">
        <v>85</v>
      </c>
      <c r="D1006" s="4" t="n">
        <v>20</v>
      </c>
      <c r="E1006" s="18" t="s">
        <v>62</v>
      </c>
      <c r="F1006" s="19" t="s">
        <v>80</v>
      </c>
    </row>
    <row r="1007" customFormat="false" ht="15" hidden="false" customHeight="false" outlineLevel="0" collapsed="false">
      <c r="A1007" s="4" t="str">
        <f aca="false">B1007&amp;"|"&amp;C1007</f>
        <v>R_49_2131|21</v>
      </c>
      <c r="B1007" s="4" t="s">
        <v>49</v>
      </c>
      <c r="C1007" s="4" t="s">
        <v>88</v>
      </c>
      <c r="D1007" s="4" t="n">
        <v>21</v>
      </c>
      <c r="E1007" s="18" t="s">
        <v>59</v>
      </c>
      <c r="F1007" s="19" t="s">
        <v>80</v>
      </c>
    </row>
    <row r="1008" customFormat="false" ht="15" hidden="false" customHeight="false" outlineLevel="0" collapsed="false">
      <c r="A1008" s="4" t="str">
        <f aca="false">B1008&amp;"|"&amp;C1008</f>
        <v>R_49_2131|22</v>
      </c>
      <c r="B1008" s="4" t="s">
        <v>49</v>
      </c>
      <c r="C1008" s="4" t="s">
        <v>89</v>
      </c>
      <c r="D1008" s="4" t="n">
        <v>22</v>
      </c>
      <c r="E1008" s="8" t="s">
        <v>59</v>
      </c>
      <c r="F1008" s="7" t="s">
        <v>75</v>
      </c>
    </row>
    <row r="1009" customFormat="false" ht="15" hidden="false" customHeight="false" outlineLevel="0" collapsed="false">
      <c r="A1009" s="4" t="str">
        <f aca="false">B1009&amp;"|"&amp;C1009</f>
        <v>R_49_2131|23</v>
      </c>
      <c r="B1009" s="4" t="s">
        <v>49</v>
      </c>
      <c r="C1009" s="4" t="s">
        <v>90</v>
      </c>
      <c r="D1009" s="4" t="n">
        <v>23</v>
      </c>
      <c r="E1009" s="8" t="s">
        <v>62</v>
      </c>
      <c r="F1009" s="7" t="s">
        <v>75</v>
      </c>
    </row>
    <row r="1010" customFormat="false" ht="15" hidden="false" customHeight="false" outlineLevel="0" collapsed="false">
      <c r="A1010" s="4" t="str">
        <f aca="false">B1010&amp;"|"&amp;C1010</f>
        <v>R_49_2131|24</v>
      </c>
      <c r="B1010" s="4" t="s">
        <v>49</v>
      </c>
      <c r="C1010" s="4" t="s">
        <v>91</v>
      </c>
      <c r="D1010" s="4" t="n">
        <v>24</v>
      </c>
      <c r="E1010" s="8" t="s">
        <v>59</v>
      </c>
      <c r="F1010" s="7" t="s">
        <v>75</v>
      </c>
    </row>
    <row r="1011" customFormat="false" ht="15" hidden="false" customHeight="false" outlineLevel="0" collapsed="false">
      <c r="A1011" s="4" t="str">
        <f aca="false">B1011&amp;"|"&amp;C1011</f>
        <v>R_49_2131|25</v>
      </c>
      <c r="B1011" s="4" t="s">
        <v>49</v>
      </c>
      <c r="C1011" s="4" t="s">
        <v>92</v>
      </c>
      <c r="D1011" s="4" t="n">
        <v>25</v>
      </c>
      <c r="E1011" s="8" t="s">
        <v>59</v>
      </c>
      <c r="F1011" s="7" t="s">
        <v>75</v>
      </c>
    </row>
    <row r="1012" customFormat="false" ht="15" hidden="false" customHeight="false" outlineLevel="0" collapsed="false">
      <c r="A1012" s="4" t="str">
        <f aca="false">B1012&amp;"|"&amp;C1012</f>
        <v>R_49_2131|26</v>
      </c>
      <c r="B1012" s="4" t="s">
        <v>49</v>
      </c>
      <c r="C1012" s="4" t="s">
        <v>93</v>
      </c>
      <c r="D1012" s="4" t="n">
        <v>26</v>
      </c>
      <c r="E1012" s="3" t="s">
        <v>59</v>
      </c>
      <c r="F1012" s="4" t="s">
        <v>94</v>
      </c>
    </row>
    <row r="1013" customFormat="false" ht="15" hidden="false" customHeight="false" outlineLevel="0" collapsed="false">
      <c r="A1013" s="4" t="str">
        <f aca="false">B1013&amp;"|"&amp;C1013</f>
        <v>R_49_2131|27</v>
      </c>
      <c r="B1013" s="4" t="s">
        <v>49</v>
      </c>
      <c r="C1013" s="4" t="s">
        <v>95</v>
      </c>
      <c r="D1013" s="4" t="n">
        <v>27</v>
      </c>
      <c r="E1013" s="20" t="s">
        <v>72</v>
      </c>
      <c r="F1013" s="21" t="s">
        <v>96</v>
      </c>
    </row>
    <row r="1014" customFormat="false" ht="15" hidden="false" customHeight="false" outlineLevel="0" collapsed="false">
      <c r="A1014" s="4" t="str">
        <f aca="false">B1014&amp;"|"&amp;C1014</f>
        <v>R_49_2131|28</v>
      </c>
      <c r="B1014" s="4" t="s">
        <v>49</v>
      </c>
      <c r="C1014" s="4" t="s">
        <v>97</v>
      </c>
      <c r="D1014" s="4" t="n">
        <v>28</v>
      </c>
      <c r="E1014" s="20" t="s">
        <v>72</v>
      </c>
      <c r="F1014" s="21" t="s">
        <v>96</v>
      </c>
    </row>
    <row r="1015" customFormat="false" ht="15" hidden="false" customHeight="false" outlineLevel="0" collapsed="false">
      <c r="A1015" s="4" t="str">
        <f aca="false">B1015&amp;"|"&amp;C1015</f>
        <v>R_49_2131|29</v>
      </c>
      <c r="B1015" s="4" t="s">
        <v>49</v>
      </c>
      <c r="C1015" s="4" t="s">
        <v>98</v>
      </c>
      <c r="D1015" s="4" t="n">
        <v>29</v>
      </c>
      <c r="E1015" s="20" t="s">
        <v>62</v>
      </c>
      <c r="F1015" s="21" t="s">
        <v>96</v>
      </c>
    </row>
    <row r="1016" customFormat="false" ht="15" hidden="false" customHeight="false" outlineLevel="0" collapsed="false">
      <c r="A1016" s="4" t="str">
        <f aca="false">B1016&amp;"|"&amp;C1016</f>
        <v>R_49_2131|30</v>
      </c>
      <c r="B1016" s="4" t="s">
        <v>49</v>
      </c>
      <c r="C1016" s="4" t="s">
        <v>99</v>
      </c>
      <c r="D1016" s="4" t="n">
        <v>30</v>
      </c>
      <c r="E1016" s="20" t="s">
        <v>72</v>
      </c>
      <c r="F1016" s="21" t="s">
        <v>96</v>
      </c>
    </row>
    <row r="1017" customFormat="false" ht="15" hidden="false" customHeight="false" outlineLevel="0" collapsed="false">
      <c r="A1017" s="4" t="str">
        <f aca="false">B1017&amp;"|"&amp;C1017</f>
        <v>R_49_2131|31</v>
      </c>
      <c r="B1017" s="4" t="s">
        <v>49</v>
      </c>
      <c r="C1017" s="4" t="s">
        <v>100</v>
      </c>
      <c r="D1017" s="4" t="n">
        <v>31</v>
      </c>
      <c r="E1017" s="20" t="s">
        <v>59</v>
      </c>
      <c r="F1017" s="21" t="s">
        <v>96</v>
      </c>
    </row>
    <row r="1018" customFormat="false" ht="15" hidden="false" customHeight="false" outlineLevel="0" collapsed="false">
      <c r="A1018" s="4" t="str">
        <f aca="false">B1018&amp;"|"&amp;C1018</f>
        <v>R_49_2131|32</v>
      </c>
      <c r="B1018" s="4" t="s">
        <v>49</v>
      </c>
      <c r="C1018" s="4" t="s">
        <v>101</v>
      </c>
      <c r="D1018" s="4" t="n">
        <v>32</v>
      </c>
      <c r="E1018" s="18" t="s">
        <v>62</v>
      </c>
      <c r="F1018" s="19" t="s">
        <v>102</v>
      </c>
    </row>
    <row r="1019" customFormat="false" ht="15" hidden="false" customHeight="false" outlineLevel="0" collapsed="false">
      <c r="A1019" s="4" t="str">
        <f aca="false">B1019&amp;"|"&amp;C1019</f>
        <v>R_49_2131|33</v>
      </c>
      <c r="B1019" s="4" t="s">
        <v>49</v>
      </c>
      <c r="C1019" s="4" t="s">
        <v>103</v>
      </c>
      <c r="D1019" s="4" t="n">
        <v>33</v>
      </c>
      <c r="E1019" s="18" t="s">
        <v>59</v>
      </c>
      <c r="F1019" s="19" t="s">
        <v>102</v>
      </c>
    </row>
    <row r="1020" customFormat="false" ht="15" hidden="false" customHeight="false" outlineLevel="0" collapsed="false">
      <c r="A1020" s="4" t="str">
        <f aca="false">B1020&amp;"|"&amp;C1020</f>
        <v>R_49_2131|34</v>
      </c>
      <c r="B1020" s="4" t="s">
        <v>49</v>
      </c>
      <c r="C1020" s="4" t="s">
        <v>104</v>
      </c>
      <c r="D1020" s="4" t="n">
        <v>34</v>
      </c>
      <c r="E1020" s="18" t="s">
        <v>68</v>
      </c>
      <c r="F1020" s="19" t="s">
        <v>102</v>
      </c>
    </row>
    <row r="1021" customFormat="false" ht="15" hidden="false" customHeight="false" outlineLevel="0" collapsed="false">
      <c r="A1021" s="4" t="str">
        <f aca="false">B1021&amp;"|"&amp;C1021</f>
        <v>R_49_2131|35</v>
      </c>
      <c r="B1021" s="4" t="s">
        <v>49</v>
      </c>
      <c r="C1021" s="4" t="s">
        <v>105</v>
      </c>
      <c r="D1021" s="4" t="n">
        <v>35</v>
      </c>
      <c r="E1021" s="18" t="s">
        <v>59</v>
      </c>
      <c r="F1021" s="19" t="s">
        <v>102</v>
      </c>
    </row>
    <row r="1022" customFormat="false" ht="15" hidden="false" customHeight="false" outlineLevel="0" collapsed="false">
      <c r="A1022" s="4" t="str">
        <f aca="false">B1022&amp;"|"&amp;C1022</f>
        <v>R_49_2131|36</v>
      </c>
      <c r="B1022" s="4" t="s">
        <v>49</v>
      </c>
      <c r="C1022" s="4" t="s">
        <v>106</v>
      </c>
      <c r="D1022" s="4" t="n">
        <v>36</v>
      </c>
      <c r="E1022" s="18" t="s">
        <v>62</v>
      </c>
      <c r="F1022" s="19" t="s">
        <v>102</v>
      </c>
    </row>
    <row r="1023" customFormat="false" ht="15" hidden="false" customHeight="false" outlineLevel="0" collapsed="false">
      <c r="A1023" s="4" t="str">
        <f aca="false">B1023&amp;"|"&amp;C1023</f>
        <v>R_49_2131|37</v>
      </c>
      <c r="B1023" s="4" t="s">
        <v>49</v>
      </c>
      <c r="C1023" s="4" t="s">
        <v>107</v>
      </c>
      <c r="D1023" s="4" t="n">
        <v>37</v>
      </c>
      <c r="E1023" s="18" t="s">
        <v>68</v>
      </c>
      <c r="F1023" s="19" t="s">
        <v>102</v>
      </c>
    </row>
    <row r="1024" customFormat="false" ht="15" hidden="false" customHeight="false" outlineLevel="0" collapsed="false">
      <c r="A1024" s="4" t="str">
        <f aca="false">B1024&amp;"|"&amp;C1024</f>
        <v>R_49_2131|38</v>
      </c>
      <c r="B1024" s="4" t="s">
        <v>49</v>
      </c>
      <c r="C1024" s="4" t="s">
        <v>108</v>
      </c>
      <c r="D1024" s="4" t="n">
        <v>38</v>
      </c>
      <c r="E1024" s="18" t="s">
        <v>59</v>
      </c>
      <c r="F1024" s="19" t="s">
        <v>102</v>
      </c>
    </row>
    <row r="1025" customFormat="false" ht="15" hidden="false" customHeight="false" outlineLevel="0" collapsed="false">
      <c r="A1025" s="4" t="str">
        <f aca="false">B1025&amp;"|"&amp;C1025</f>
        <v>R_49_2131|39</v>
      </c>
      <c r="B1025" s="4" t="s">
        <v>49</v>
      </c>
      <c r="C1025" s="4" t="s">
        <v>109</v>
      </c>
      <c r="D1025" s="4" t="n">
        <v>39</v>
      </c>
      <c r="E1025" s="20" t="s">
        <v>72</v>
      </c>
      <c r="F1025" s="21" t="s">
        <v>96</v>
      </c>
    </row>
    <row r="1026" customFormat="false" ht="15" hidden="false" customHeight="false" outlineLevel="0" collapsed="false">
      <c r="A1026" s="4" t="str">
        <f aca="false">B1026&amp;"|"&amp;C1026</f>
        <v>R_49_2131|40</v>
      </c>
      <c r="B1026" s="4" t="s">
        <v>49</v>
      </c>
      <c r="C1026" s="4" t="s">
        <v>110</v>
      </c>
      <c r="D1026" s="4" t="n">
        <v>40</v>
      </c>
      <c r="E1026" s="20" t="s">
        <v>68</v>
      </c>
      <c r="F1026" s="21" t="s">
        <v>96</v>
      </c>
    </row>
    <row r="1027" customFormat="false" ht="15" hidden="false" customHeight="false" outlineLevel="0" collapsed="false">
      <c r="A1027" s="4" t="str">
        <f aca="false">B1027&amp;"|"&amp;C1027</f>
        <v>R_49_2131|41</v>
      </c>
      <c r="B1027" s="4" t="s">
        <v>49</v>
      </c>
      <c r="C1027" s="4" t="s">
        <v>111</v>
      </c>
      <c r="D1027" s="4" t="n">
        <v>41</v>
      </c>
      <c r="E1027" s="20" t="s">
        <v>59</v>
      </c>
      <c r="F1027" s="21" t="s">
        <v>96</v>
      </c>
    </row>
    <row r="1028" customFormat="false" ht="15" hidden="false" customHeight="false" outlineLevel="0" collapsed="false">
      <c r="A1028" s="4" t="str">
        <f aca="false">B1028&amp;"|"&amp;C1028</f>
        <v>R_49_2131|42</v>
      </c>
      <c r="B1028" s="4" t="s">
        <v>49</v>
      </c>
      <c r="C1028" s="4" t="s">
        <v>112</v>
      </c>
      <c r="D1028" s="4" t="n">
        <v>42</v>
      </c>
      <c r="E1028" s="20" t="s">
        <v>59</v>
      </c>
      <c r="F1028" s="21" t="s">
        <v>96</v>
      </c>
    </row>
    <row r="1029" customFormat="false" ht="15" hidden="false" customHeight="false" outlineLevel="0" collapsed="false">
      <c r="A1029" s="4" t="str">
        <f aca="false">B1029&amp;"|"&amp;C1029</f>
        <v>R_49_2131|43</v>
      </c>
      <c r="B1029" s="4" t="s">
        <v>49</v>
      </c>
      <c r="C1029" s="4" t="s">
        <v>113</v>
      </c>
      <c r="D1029" s="4" t="n">
        <v>43</v>
      </c>
      <c r="E1029" s="20" t="s">
        <v>59</v>
      </c>
      <c r="F1029" s="21" t="s">
        <v>96</v>
      </c>
    </row>
    <row r="1030" customFormat="false" ht="15" hidden="false" customHeight="false" outlineLevel="0" collapsed="false">
      <c r="A1030" s="4" t="str">
        <f aca="false">B1030&amp;"|"&amp;C1030</f>
        <v>R_49_2131|44</v>
      </c>
      <c r="B1030" s="4" t="s">
        <v>49</v>
      </c>
      <c r="C1030" s="4" t="s">
        <v>114</v>
      </c>
      <c r="D1030" s="4" t="n">
        <v>44</v>
      </c>
      <c r="E1030" s="18" t="s">
        <v>72</v>
      </c>
      <c r="F1030" s="19" t="s">
        <v>115</v>
      </c>
    </row>
    <row r="1031" customFormat="false" ht="15" hidden="false" customHeight="false" outlineLevel="0" collapsed="false">
      <c r="A1031" s="4" t="str">
        <f aca="false">B1031&amp;"|"&amp;C1031</f>
        <v>R_49_2131|45</v>
      </c>
      <c r="B1031" s="4" t="s">
        <v>49</v>
      </c>
      <c r="C1031" s="4" t="s">
        <v>116</v>
      </c>
      <c r="D1031" s="4" t="n">
        <v>45</v>
      </c>
      <c r="E1031" s="18" t="s">
        <v>59</v>
      </c>
      <c r="F1031" s="19" t="s">
        <v>115</v>
      </c>
    </row>
    <row r="1032" customFormat="false" ht="15" hidden="false" customHeight="false" outlineLevel="0" collapsed="false">
      <c r="A1032" s="4" t="str">
        <f aca="false">B1032&amp;"|"&amp;C1032</f>
        <v>R_49_2131|e1</v>
      </c>
      <c r="B1032" s="4" t="s">
        <v>49</v>
      </c>
      <c r="C1032" s="4" t="s">
        <v>117</v>
      </c>
      <c r="D1032" s="4" t="n">
        <v>46</v>
      </c>
      <c r="E1032" s="18" t="s">
        <v>62</v>
      </c>
      <c r="F1032" s="19" t="s">
        <v>115</v>
      </c>
    </row>
    <row r="1033" customFormat="false" ht="15" hidden="false" customHeight="false" outlineLevel="0" collapsed="false">
      <c r="A1033" s="4" t="str">
        <f aca="false">B1033&amp;"|"&amp;C1033</f>
        <v>R_49_2131|e2</v>
      </c>
      <c r="B1033" s="4" t="s">
        <v>49</v>
      </c>
      <c r="C1033" s="4" t="s">
        <v>118</v>
      </c>
      <c r="D1033" s="4" t="n">
        <v>47</v>
      </c>
      <c r="E1033" s="18" t="s">
        <v>59</v>
      </c>
      <c r="F1033" s="19" t="s">
        <v>115</v>
      </c>
    </row>
    <row r="1034" customFormat="false" ht="15" hidden="false" customHeight="false" outlineLevel="0" collapsed="false">
      <c r="A1034" s="4" t="str">
        <f aca="false">B1034&amp;"|"&amp;C1034</f>
        <v>R_49_2131|e3</v>
      </c>
      <c r="B1034" s="4" t="s">
        <v>49</v>
      </c>
      <c r="C1034" s="4" t="s">
        <v>119</v>
      </c>
      <c r="D1034" s="4" t="n">
        <v>48</v>
      </c>
      <c r="E1034" s="18" t="s">
        <v>68</v>
      </c>
      <c r="F1034" s="19" t="s">
        <v>115</v>
      </c>
    </row>
    <row r="1035" customFormat="false" ht="15" hidden="false" customHeight="false" outlineLevel="0" collapsed="false">
      <c r="A1035" s="4" t="str">
        <f aca="false">B1035&amp;"|"&amp;C1035</f>
        <v>R_49_2131|46</v>
      </c>
      <c r="B1035" s="4" t="s">
        <v>49</v>
      </c>
      <c r="C1035" s="4" t="s">
        <v>122</v>
      </c>
      <c r="D1035" s="4" t="n">
        <v>49</v>
      </c>
      <c r="E1035" s="18" t="s">
        <v>59</v>
      </c>
      <c r="F1035" s="19" t="s">
        <v>115</v>
      </c>
    </row>
    <row r="1036" customFormat="false" ht="15" hidden="false" customHeight="false" outlineLevel="0" collapsed="false">
      <c r="A1036" s="4" t="str">
        <f aca="false">B1036&amp;"|"&amp;C1036</f>
        <v>R_49_2131|47</v>
      </c>
      <c r="B1036" s="4" t="s">
        <v>49</v>
      </c>
      <c r="C1036" s="4" t="s">
        <v>123</v>
      </c>
      <c r="D1036" s="4" t="n">
        <v>50</v>
      </c>
      <c r="E1036" s="18" t="s">
        <v>59</v>
      </c>
      <c r="F1036" s="19" t="s">
        <v>115</v>
      </c>
    </row>
    <row r="1037" customFormat="false" ht="15" hidden="false" customHeight="false" outlineLevel="0" collapsed="false">
      <c r="A1037" s="4" t="str">
        <f aca="false">B1037&amp;"|"&amp;C1037</f>
        <v>R_49_2131|48</v>
      </c>
      <c r="B1037" s="4" t="s">
        <v>49</v>
      </c>
      <c r="C1037" s="4" t="s">
        <v>124</v>
      </c>
      <c r="D1037" s="4" t="n">
        <v>51</v>
      </c>
      <c r="E1037" s="18" t="s">
        <v>62</v>
      </c>
      <c r="F1037" s="19" t="s">
        <v>115</v>
      </c>
    </row>
    <row r="1038" customFormat="false" ht="15" hidden="false" customHeight="false" outlineLevel="0" collapsed="false">
      <c r="A1038" s="4" t="str">
        <f aca="false">B1038&amp;"|"&amp;C1038</f>
        <v>R_49_2131|49</v>
      </c>
      <c r="B1038" s="4" t="s">
        <v>49</v>
      </c>
      <c r="C1038" s="4" t="s">
        <v>125</v>
      </c>
      <c r="D1038" s="4" t="n">
        <v>52</v>
      </c>
      <c r="E1038" s="22" t="s">
        <v>72</v>
      </c>
      <c r="F1038" s="10" t="s">
        <v>126</v>
      </c>
    </row>
    <row r="1039" customFormat="false" ht="15" hidden="false" customHeight="false" outlineLevel="0" collapsed="false">
      <c r="A1039" s="4" t="str">
        <f aca="false">B1039&amp;"|"&amp;C1039</f>
        <v>R_49_2131|50</v>
      </c>
      <c r="B1039" s="4" t="s">
        <v>49</v>
      </c>
      <c r="C1039" s="4" t="s">
        <v>127</v>
      </c>
      <c r="D1039" s="4" t="n">
        <v>53</v>
      </c>
      <c r="E1039" s="22" t="s">
        <v>72</v>
      </c>
      <c r="F1039" s="10" t="s">
        <v>126</v>
      </c>
    </row>
    <row r="1040" customFormat="false" ht="15" hidden="false" customHeight="false" outlineLevel="0" collapsed="false">
      <c r="A1040" s="4" t="str">
        <f aca="false">B1040&amp;"|"&amp;C1040</f>
        <v>R_49_2131|51</v>
      </c>
      <c r="B1040" s="4" t="s">
        <v>49</v>
      </c>
      <c r="C1040" s="4" t="s">
        <v>128</v>
      </c>
      <c r="D1040" s="4" t="n">
        <v>54</v>
      </c>
      <c r="E1040" s="22" t="s">
        <v>68</v>
      </c>
      <c r="F1040" s="10" t="s">
        <v>126</v>
      </c>
    </row>
    <row r="1041" customFormat="false" ht="15" hidden="false" customHeight="false" outlineLevel="0" collapsed="false">
      <c r="A1041" s="4" t="str">
        <f aca="false">B1041&amp;"|"&amp;C1041</f>
        <v>R_49_2131|52</v>
      </c>
      <c r="B1041" s="4" t="s">
        <v>49</v>
      </c>
      <c r="C1041" s="4" t="s">
        <v>129</v>
      </c>
      <c r="D1041" s="4" t="n">
        <v>55</v>
      </c>
      <c r="E1041" s="22" t="s">
        <v>62</v>
      </c>
      <c r="F1041" s="10" t="s">
        <v>126</v>
      </c>
    </row>
    <row r="1042" customFormat="false" ht="15" hidden="false" customHeight="false" outlineLevel="0" collapsed="false">
      <c r="A1042" s="4" t="str">
        <f aca="false">B1042&amp;"|"&amp;C1042</f>
        <v>R_49_2131|53</v>
      </c>
      <c r="B1042" s="4" t="s">
        <v>49</v>
      </c>
      <c r="C1042" s="4" t="s">
        <v>130</v>
      </c>
      <c r="D1042" s="4" t="n">
        <v>56</v>
      </c>
      <c r="E1042" s="22" t="s">
        <v>72</v>
      </c>
      <c r="F1042" s="10" t="s">
        <v>126</v>
      </c>
    </row>
    <row r="1043" customFormat="false" ht="15" hidden="false" customHeight="false" outlineLevel="0" collapsed="false">
      <c r="A1043" s="4" t="str">
        <f aca="false">B1043&amp;"|"&amp;C1043</f>
        <v>R_49_2131|54</v>
      </c>
      <c r="B1043" s="4" t="s">
        <v>49</v>
      </c>
      <c r="C1043" s="4" t="s">
        <v>131</v>
      </c>
      <c r="D1043" s="4" t="n">
        <v>57</v>
      </c>
      <c r="E1043" s="18" t="s">
        <v>62</v>
      </c>
      <c r="F1043" s="19" t="s">
        <v>132</v>
      </c>
    </row>
    <row r="1044" customFormat="false" ht="15" hidden="false" customHeight="false" outlineLevel="0" collapsed="false">
      <c r="A1044" s="4" t="str">
        <f aca="false">B1044&amp;"|"&amp;C1044</f>
        <v>R_49_2131|55</v>
      </c>
      <c r="B1044" s="4" t="s">
        <v>49</v>
      </c>
      <c r="C1044" s="4" t="s">
        <v>133</v>
      </c>
      <c r="D1044" s="4" t="n">
        <v>58</v>
      </c>
      <c r="E1044" s="18" t="s">
        <v>59</v>
      </c>
      <c r="F1044" s="19" t="s">
        <v>132</v>
      </c>
    </row>
    <row r="1045" customFormat="false" ht="15" hidden="false" customHeight="false" outlineLevel="0" collapsed="false">
      <c r="A1045" s="4" t="str">
        <f aca="false">B1045&amp;"|"&amp;C1045</f>
        <v>R_49_2131|56</v>
      </c>
      <c r="B1045" s="4" t="s">
        <v>49</v>
      </c>
      <c r="C1045" s="4" t="s">
        <v>134</v>
      </c>
      <c r="D1045" s="4" t="n">
        <v>59</v>
      </c>
      <c r="E1045" s="18" t="s">
        <v>68</v>
      </c>
      <c r="F1045" s="19" t="s">
        <v>132</v>
      </c>
    </row>
    <row r="1046" customFormat="false" ht="15" hidden="false" customHeight="false" outlineLevel="0" collapsed="false">
      <c r="A1046" s="4" t="str">
        <f aca="false">B1046&amp;"|"&amp;C1046</f>
        <v>R_49_2131|57</v>
      </c>
      <c r="B1046" s="4" t="s">
        <v>49</v>
      </c>
      <c r="C1046" s="4" t="s">
        <v>135</v>
      </c>
      <c r="D1046" s="4" t="n">
        <v>60</v>
      </c>
      <c r="E1046" s="18" t="s">
        <v>59</v>
      </c>
      <c r="F1046" s="19" t="s">
        <v>132</v>
      </c>
    </row>
    <row r="1047" customFormat="false" ht="15" hidden="false" customHeight="false" outlineLevel="0" collapsed="false">
      <c r="A1047" s="4" t="str">
        <f aca="false">B1047&amp;"|"&amp;C1047</f>
        <v>R_49_2131|58</v>
      </c>
      <c r="B1047" s="4" t="s">
        <v>49</v>
      </c>
      <c r="C1047" s="4" t="s">
        <v>136</v>
      </c>
      <c r="D1047" s="4" t="n">
        <v>61</v>
      </c>
      <c r="E1047" s="18" t="s">
        <v>68</v>
      </c>
      <c r="F1047" s="19" t="s">
        <v>132</v>
      </c>
    </row>
    <row r="1048" customFormat="false" ht="15" hidden="false" customHeight="false" outlineLevel="0" collapsed="false">
      <c r="A1048" s="4" t="str">
        <f aca="false">B1048&amp;"|"&amp;C1048</f>
        <v>R_49_2131|59</v>
      </c>
      <c r="B1048" s="4" t="s">
        <v>49</v>
      </c>
      <c r="C1048" s="4" t="s">
        <v>137</v>
      </c>
      <c r="D1048" s="4" t="n">
        <v>62</v>
      </c>
      <c r="E1048" s="18" t="s">
        <v>59</v>
      </c>
      <c r="F1048" s="19" t="s">
        <v>132</v>
      </c>
    </row>
    <row r="1049" customFormat="false" ht="15" hidden="false" customHeight="false" outlineLevel="0" collapsed="false">
      <c r="A1049" s="4" t="str">
        <f aca="false">B1049&amp;"|"&amp;C1049</f>
        <v>R_49_2131|60</v>
      </c>
      <c r="B1049" s="4" t="s">
        <v>49</v>
      </c>
      <c r="C1049" s="4" t="s">
        <v>138</v>
      </c>
      <c r="D1049" s="4" t="n">
        <v>63</v>
      </c>
      <c r="E1049" s="18" t="s">
        <v>62</v>
      </c>
      <c r="F1049" s="19" t="s">
        <v>132</v>
      </c>
    </row>
    <row r="1050" customFormat="false" ht="15" hidden="false" customHeight="false" outlineLevel="0" collapsed="false">
      <c r="A1050" s="4" t="str">
        <f aca="false">B1050&amp;"|"&amp;C1050</f>
        <v>R_49_2131|61</v>
      </c>
      <c r="B1050" s="4" t="s">
        <v>49</v>
      </c>
      <c r="C1050" s="4" t="s">
        <v>139</v>
      </c>
      <c r="D1050" s="4" t="n">
        <v>64</v>
      </c>
      <c r="E1050" s="22" t="s">
        <v>68</v>
      </c>
      <c r="F1050" s="10" t="s">
        <v>126</v>
      </c>
    </row>
    <row r="1051" customFormat="false" ht="15" hidden="false" customHeight="false" outlineLevel="0" collapsed="false">
      <c r="A1051" s="4" t="str">
        <f aca="false">B1051&amp;"|"&amp;C1051</f>
        <v>R_49_2131|62</v>
      </c>
      <c r="B1051" s="4" t="s">
        <v>49</v>
      </c>
      <c r="C1051" s="4" t="s">
        <v>140</v>
      </c>
      <c r="D1051" s="4" t="n">
        <v>65</v>
      </c>
      <c r="E1051" s="22" t="s">
        <v>59</v>
      </c>
      <c r="F1051" s="10" t="s">
        <v>126</v>
      </c>
    </row>
    <row r="1052" customFormat="false" ht="15" hidden="false" customHeight="false" outlineLevel="0" collapsed="false">
      <c r="A1052" s="4" t="str">
        <f aca="false">B1052&amp;"|"&amp;C1052</f>
        <v>R_49_2131|63</v>
      </c>
      <c r="B1052" s="4" t="s">
        <v>49</v>
      </c>
      <c r="C1052" s="4" t="s">
        <v>141</v>
      </c>
      <c r="D1052" s="4" t="n">
        <v>66</v>
      </c>
      <c r="E1052" s="22" t="s">
        <v>59</v>
      </c>
      <c r="F1052" s="10" t="s">
        <v>126</v>
      </c>
    </row>
    <row r="1053" customFormat="false" ht="15" hidden="false" customHeight="false" outlineLevel="0" collapsed="false">
      <c r="A1053" s="4" t="str">
        <f aca="false">B1053&amp;"|"&amp;C1053</f>
        <v>R_49_2131|64</v>
      </c>
      <c r="B1053" s="4" t="s">
        <v>49</v>
      </c>
      <c r="C1053" s="4" t="s">
        <v>142</v>
      </c>
      <c r="D1053" s="4" t="n">
        <v>67</v>
      </c>
      <c r="E1053" s="22" t="s">
        <v>59</v>
      </c>
      <c r="F1053" s="10" t="s">
        <v>126</v>
      </c>
    </row>
    <row r="1054" customFormat="false" ht="15" hidden="false" customHeight="false" outlineLevel="0" collapsed="false">
      <c r="A1054" s="4" t="str">
        <f aca="false">B1054&amp;"|"&amp;C1054</f>
        <v>R_49_2131|65</v>
      </c>
      <c r="B1054" s="4" t="s">
        <v>49</v>
      </c>
      <c r="C1054" s="4" t="s">
        <v>143</v>
      </c>
      <c r="D1054" s="4" t="n">
        <v>68</v>
      </c>
      <c r="E1054" s="22" t="s">
        <v>68</v>
      </c>
      <c r="F1054" s="10" t="s">
        <v>126</v>
      </c>
    </row>
    <row r="1055" customFormat="false" ht="15" hidden="false" customHeight="false" outlineLevel="0" collapsed="false">
      <c r="A1055" s="4" t="str">
        <f aca="false">B1055&amp;"|"&amp;C1055</f>
        <v>R_49_2131|66</v>
      </c>
      <c r="B1055" s="4" t="s">
        <v>49</v>
      </c>
      <c r="C1055" s="4" t="s">
        <v>144</v>
      </c>
      <c r="D1055" s="4" t="n">
        <v>69</v>
      </c>
      <c r="E1055" s="16" t="s">
        <v>62</v>
      </c>
      <c r="F1055" s="17" t="s">
        <v>60</v>
      </c>
    </row>
    <row r="1056" customFormat="false" ht="15" hidden="false" customHeight="false" outlineLevel="0" collapsed="false">
      <c r="A1056" s="4" t="str">
        <f aca="false">B1056&amp;"|"&amp;C1056</f>
        <v>R_49_2131|67</v>
      </c>
      <c r="B1056" s="4" t="s">
        <v>49</v>
      </c>
      <c r="C1056" s="4" t="s">
        <v>145</v>
      </c>
      <c r="D1056" s="4" t="n">
        <v>70</v>
      </c>
      <c r="E1056" s="16" t="s">
        <v>59</v>
      </c>
      <c r="F1056" s="17" t="s">
        <v>60</v>
      </c>
    </row>
    <row r="1057" customFormat="false" ht="15" hidden="false" customHeight="false" outlineLevel="0" collapsed="false">
      <c r="A1057" s="4" t="str">
        <f aca="false">B1057&amp;"|"&amp;C1057</f>
        <v>R_49_2131|68</v>
      </c>
      <c r="B1057" s="4" t="s">
        <v>49</v>
      </c>
      <c r="C1057" s="4" t="s">
        <v>146</v>
      </c>
      <c r="D1057" s="4" t="n">
        <v>71</v>
      </c>
      <c r="E1057" s="16" t="s">
        <v>72</v>
      </c>
      <c r="F1057" s="17" t="s">
        <v>60</v>
      </c>
    </row>
    <row r="1058" customFormat="false" ht="15" hidden="false" customHeight="false" outlineLevel="0" collapsed="false">
      <c r="A1058" s="4" t="str">
        <f aca="false">B1058&amp;"|"&amp;C1058</f>
        <v>R_49_2131|69</v>
      </c>
      <c r="B1058" s="4" t="s">
        <v>49</v>
      </c>
      <c r="C1058" s="4" t="s">
        <v>147</v>
      </c>
      <c r="D1058" s="4" t="n">
        <v>72</v>
      </c>
      <c r="E1058" s="16" t="s">
        <v>72</v>
      </c>
      <c r="F1058" s="17" t="s">
        <v>60</v>
      </c>
    </row>
    <row r="1059" customFormat="false" ht="15" hidden="false" customHeight="false" outlineLevel="0" collapsed="false">
      <c r="A1059" s="4" t="str">
        <f aca="false">B1059&amp;"|"&amp;C1059</f>
        <v>R_49_2131|70</v>
      </c>
      <c r="B1059" s="4" t="s">
        <v>49</v>
      </c>
      <c r="C1059" s="4" t="s">
        <v>148</v>
      </c>
      <c r="D1059" s="4" t="n">
        <v>73</v>
      </c>
      <c r="E1059" s="16" t="s">
        <v>62</v>
      </c>
      <c r="F1059" s="17" t="s">
        <v>60</v>
      </c>
    </row>
    <row r="1060" customFormat="false" ht="15" hidden="false" customHeight="false" outlineLevel="0" collapsed="false">
      <c r="A1060" s="4" t="str">
        <f aca="false">B1060&amp;"|"&amp;C1060</f>
        <v>R_49_2131|71</v>
      </c>
      <c r="B1060" s="4" t="s">
        <v>49</v>
      </c>
      <c r="C1060" s="4" t="s">
        <v>149</v>
      </c>
      <c r="D1060" s="4" t="n">
        <v>74</v>
      </c>
      <c r="E1060" s="16" t="s">
        <v>59</v>
      </c>
      <c r="F1060" s="17" t="s">
        <v>60</v>
      </c>
    </row>
    <row r="1061" customFormat="false" ht="15" hidden="false" customHeight="false" outlineLevel="0" collapsed="false">
      <c r="A1061" s="4" t="str">
        <f aca="false">B1061&amp;"|"&amp;C1061</f>
        <v>R_49_2131|72</v>
      </c>
      <c r="B1061" s="4" t="s">
        <v>49</v>
      </c>
      <c r="C1061" s="4" t="s">
        <v>150</v>
      </c>
      <c r="D1061" s="4" t="n">
        <v>75</v>
      </c>
      <c r="E1061" s="16" t="s">
        <v>59</v>
      </c>
      <c r="F1061" s="17" t="s">
        <v>60</v>
      </c>
    </row>
  </sheetData>
  <autoFilter ref="A1:F10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10" min="9" style="0" width="9"/>
    <col collapsed="false" customWidth="true" hidden="false" outlineLevel="0" max="11" min="11" style="0" width="10"/>
  </cols>
  <sheetData>
    <row r="1" customFormat="false" ht="26.85" hidden="false" customHeight="false" outlineLevel="0" collapsed="false">
      <c r="A1" s="2" t="s">
        <v>1</v>
      </c>
      <c r="B1" s="2" t="s">
        <v>170</v>
      </c>
      <c r="C1" s="2" t="s">
        <v>171</v>
      </c>
      <c r="D1" s="2" t="s">
        <v>172</v>
      </c>
      <c r="E1" s="2" t="s">
        <v>173</v>
      </c>
      <c r="F1" s="2" t="s">
        <v>174</v>
      </c>
      <c r="G1" s="2" t="s">
        <v>175</v>
      </c>
      <c r="H1" s="2" t="s">
        <v>176</v>
      </c>
      <c r="I1" s="2" t="s">
        <v>177</v>
      </c>
      <c r="J1" s="2" t="s">
        <v>178</v>
      </c>
      <c r="K1" s="2" t="s">
        <v>179</v>
      </c>
    </row>
    <row r="2" customFormat="false" ht="15" hidden="false" customHeight="false" outlineLevel="0" collapsed="false">
      <c r="A2" s="4" t="s">
        <v>37</v>
      </c>
      <c r="B2" s="4" t="s">
        <v>60</v>
      </c>
      <c r="C2" s="4" t="s">
        <v>180</v>
      </c>
      <c r="D2" s="4" t="n">
        <f aca="false">INDEX(Positions!$D$2:$D$1061,MATCH($A2&amp;"|1",Positions!$A$2:$A$1061,0))</f>
        <v>1</v>
      </c>
      <c r="E2" s="4" t="n">
        <f aca="false">INDEX(Positions!$D$2:$D$1061,MATCH($A2&amp;"|72",Positions!$A$2:$A$1061,0))</f>
        <v>78</v>
      </c>
      <c r="F2" s="4" t="str">
        <f aca="false">INDEX(Positions!$E$2:$E$1061,MATCH($A2&amp;"|1",Positions!$A$2:$A$1061,0))</f>
        <v>U</v>
      </c>
      <c r="G2" s="4" t="str">
        <f aca="false">INDEX(Positions!$E$2:$E$1061,MATCH($A2&amp;"|72",Positions!$A$2:$A$1061,0))</f>
        <v>G</v>
      </c>
      <c r="H2" s="3" t="str">
        <f aca="false">F2&amp;"-"&amp;G2</f>
        <v>U-G</v>
      </c>
      <c r="I2" s="4" t="n">
        <f aca="false">(F2="G")+(G2="G")</f>
        <v>1</v>
      </c>
      <c r="J2" s="4" t="n">
        <f aca="false">(F2="C")+(G2="C")</f>
        <v>0</v>
      </c>
      <c r="K2" s="3" t="n">
        <f aca="false">I2+J2</f>
        <v>1</v>
      </c>
    </row>
    <row r="3" customFormat="false" ht="15" hidden="false" customHeight="false" outlineLevel="0" collapsed="false">
      <c r="A3" s="4" t="s">
        <v>37</v>
      </c>
      <c r="B3" s="4" t="s">
        <v>60</v>
      </c>
      <c r="C3" s="4" t="s">
        <v>181</v>
      </c>
      <c r="D3" s="4" t="n">
        <f aca="false">INDEX(Positions!$D$2:$D$1061,MATCH($A3&amp;"|2",Positions!$A$2:$A$1061,0))</f>
        <v>2</v>
      </c>
      <c r="E3" s="4" t="n">
        <f aca="false">INDEX(Positions!$D$2:$D$1061,MATCH($A3&amp;"|71",Positions!$A$2:$A$1061,0))</f>
        <v>77</v>
      </c>
      <c r="F3" s="4" t="str">
        <f aca="false">INDEX(Positions!$E$2:$E$1061,MATCH($A3&amp;"|2",Positions!$A$2:$A$1061,0))</f>
        <v>A</v>
      </c>
      <c r="G3" s="4" t="str">
        <f aca="false">INDEX(Positions!$E$2:$E$1061,MATCH($A3&amp;"|71",Positions!$A$2:$A$1061,0))</f>
        <v>U</v>
      </c>
      <c r="H3" s="3" t="str">
        <f aca="false">F3&amp;"-"&amp;G3</f>
        <v>A-U</v>
      </c>
      <c r="I3" s="4" t="n">
        <f aca="false">(F3="G")+(G3="G")</f>
        <v>0</v>
      </c>
      <c r="J3" s="4" t="n">
        <f aca="false">(F3="C")+(G3="C")</f>
        <v>0</v>
      </c>
      <c r="K3" s="3" t="n">
        <f aca="false">I3+J3</f>
        <v>0</v>
      </c>
    </row>
    <row r="4" customFormat="false" ht="15" hidden="false" customHeight="false" outlineLevel="0" collapsed="false">
      <c r="A4" s="4" t="s">
        <v>37</v>
      </c>
      <c r="B4" s="4" t="s">
        <v>60</v>
      </c>
      <c r="C4" s="4" t="s">
        <v>182</v>
      </c>
      <c r="D4" s="4" t="n">
        <f aca="false">INDEX(Positions!$D$2:$D$1061,MATCH($A4&amp;"|3",Positions!$A$2:$A$1061,0))</f>
        <v>3</v>
      </c>
      <c r="E4" s="4" t="n">
        <f aca="false">INDEX(Positions!$D$2:$D$1061,MATCH($A4&amp;"|70",Positions!$A$2:$A$1061,0))</f>
        <v>76</v>
      </c>
      <c r="F4" s="4" t="str">
        <f aca="false">INDEX(Positions!$E$2:$E$1061,MATCH($A4&amp;"|3",Positions!$A$2:$A$1061,0))</f>
        <v>A</v>
      </c>
      <c r="G4" s="4" t="str">
        <f aca="false">INDEX(Positions!$E$2:$E$1061,MATCH($A4&amp;"|70",Positions!$A$2:$A$1061,0))</f>
        <v>U</v>
      </c>
      <c r="H4" s="3" t="str">
        <f aca="false">F4&amp;"-"&amp;G4</f>
        <v>A-U</v>
      </c>
      <c r="I4" s="4" t="n">
        <f aca="false">(F4="G")+(G4="G")</f>
        <v>0</v>
      </c>
      <c r="J4" s="4" t="n">
        <f aca="false">(F4="C")+(G4="C")</f>
        <v>0</v>
      </c>
      <c r="K4" s="3" t="n">
        <f aca="false">I4+J4</f>
        <v>0</v>
      </c>
    </row>
    <row r="5" customFormat="false" ht="15" hidden="false" customHeight="false" outlineLevel="0" collapsed="false">
      <c r="A5" s="4" t="s">
        <v>37</v>
      </c>
      <c r="B5" s="4" t="s">
        <v>60</v>
      </c>
      <c r="C5" s="4" t="s">
        <v>183</v>
      </c>
      <c r="D5" s="4" t="n">
        <f aca="false">INDEX(Positions!$D$2:$D$1061,MATCH($A5&amp;"|4",Positions!$A$2:$A$1061,0))</f>
        <v>4</v>
      </c>
      <c r="E5" s="4" t="n">
        <f aca="false">INDEX(Positions!$D$2:$D$1061,MATCH($A5&amp;"|69",Positions!$A$2:$A$1061,0))</f>
        <v>75</v>
      </c>
      <c r="F5" s="4" t="str">
        <f aca="false">INDEX(Positions!$E$2:$E$1061,MATCH($A5&amp;"|4",Positions!$A$2:$A$1061,0))</f>
        <v>U</v>
      </c>
      <c r="G5" s="4" t="str">
        <f aca="false">INDEX(Positions!$E$2:$E$1061,MATCH($A5&amp;"|69",Positions!$A$2:$A$1061,0))</f>
        <v>A</v>
      </c>
      <c r="H5" s="3" t="str">
        <f aca="false">F5&amp;"-"&amp;G5</f>
        <v>U-A</v>
      </c>
      <c r="I5" s="4" t="n">
        <f aca="false">(F5="G")+(G5="G")</f>
        <v>0</v>
      </c>
      <c r="J5" s="4" t="n">
        <f aca="false">(F5="C")+(G5="C")</f>
        <v>0</v>
      </c>
      <c r="K5" s="3" t="n">
        <f aca="false">I5+J5</f>
        <v>0</v>
      </c>
    </row>
    <row r="6" customFormat="false" ht="15" hidden="false" customHeight="false" outlineLevel="0" collapsed="false">
      <c r="A6" s="4" t="s">
        <v>37</v>
      </c>
      <c r="B6" s="4" t="s">
        <v>60</v>
      </c>
      <c r="C6" s="4" t="s">
        <v>184</v>
      </c>
      <c r="D6" s="4" t="n">
        <f aca="false">INDEX(Positions!$D$2:$D$1061,MATCH($A6&amp;"|5",Positions!$A$2:$A$1061,0))</f>
        <v>5</v>
      </c>
      <c r="E6" s="4" t="n">
        <f aca="false">INDEX(Positions!$D$2:$D$1061,MATCH($A6&amp;"|68",Positions!$A$2:$A$1061,0))</f>
        <v>74</v>
      </c>
      <c r="F6" s="4" t="str">
        <f aca="false">INDEX(Positions!$E$2:$E$1061,MATCH($A6&amp;"|5",Positions!$A$2:$A$1061,0))</f>
        <v>A</v>
      </c>
      <c r="G6" s="4" t="str">
        <f aca="false">INDEX(Positions!$E$2:$E$1061,MATCH($A6&amp;"|68",Positions!$A$2:$A$1061,0))</f>
        <v>U</v>
      </c>
      <c r="H6" s="3" t="str">
        <f aca="false">F6&amp;"-"&amp;G6</f>
        <v>A-U</v>
      </c>
      <c r="I6" s="4" t="n">
        <f aca="false">(F6="G")+(G6="G")</f>
        <v>0</v>
      </c>
      <c r="J6" s="4" t="n">
        <f aca="false">(F6="C")+(G6="C")</f>
        <v>0</v>
      </c>
      <c r="K6" s="3" t="n">
        <f aca="false">I6+J6</f>
        <v>0</v>
      </c>
    </row>
    <row r="7" customFormat="false" ht="15" hidden="false" customHeight="false" outlineLevel="0" collapsed="false">
      <c r="A7" s="4" t="s">
        <v>37</v>
      </c>
      <c r="B7" s="4" t="s">
        <v>60</v>
      </c>
      <c r="C7" s="4" t="s">
        <v>185</v>
      </c>
      <c r="D7" s="4" t="n">
        <f aca="false">INDEX(Positions!$D$2:$D$1061,MATCH($A7&amp;"|6",Positions!$A$2:$A$1061,0))</f>
        <v>6</v>
      </c>
      <c r="E7" s="4" t="n">
        <f aca="false">INDEX(Positions!$D$2:$D$1061,MATCH($A7&amp;"|67",Positions!$A$2:$A$1061,0))</f>
        <v>73</v>
      </c>
      <c r="F7" s="4" t="str">
        <f aca="false">INDEX(Positions!$E$2:$E$1061,MATCH($A7&amp;"|6",Positions!$A$2:$A$1061,0))</f>
        <v>A</v>
      </c>
      <c r="G7" s="4" t="str">
        <f aca="false">INDEX(Positions!$E$2:$E$1061,MATCH($A7&amp;"|67",Positions!$A$2:$A$1061,0))</f>
        <v>U</v>
      </c>
      <c r="H7" s="3" t="str">
        <f aca="false">F7&amp;"-"&amp;G7</f>
        <v>A-U</v>
      </c>
      <c r="I7" s="4" t="n">
        <f aca="false">(F7="G")+(G7="G")</f>
        <v>0</v>
      </c>
      <c r="J7" s="4" t="n">
        <f aca="false">(F7="C")+(G7="C")</f>
        <v>0</v>
      </c>
      <c r="K7" s="3" t="n">
        <f aca="false">I7+J7</f>
        <v>0</v>
      </c>
    </row>
    <row r="8" customFormat="false" ht="15" hidden="false" customHeight="false" outlineLevel="0" collapsed="false">
      <c r="A8" s="4" t="s">
        <v>37</v>
      </c>
      <c r="B8" s="4" t="s">
        <v>60</v>
      </c>
      <c r="C8" s="4" t="s">
        <v>186</v>
      </c>
      <c r="D8" s="4" t="n">
        <f aca="false">INDEX(Positions!$D$2:$D$1061,MATCH($A8&amp;"|7",Positions!$A$2:$A$1061,0))</f>
        <v>7</v>
      </c>
      <c r="E8" s="4" t="n">
        <f aca="false">INDEX(Positions!$D$2:$D$1061,MATCH($A8&amp;"|66",Positions!$A$2:$A$1061,0))</f>
        <v>72</v>
      </c>
      <c r="F8" s="4" t="str">
        <f aca="false">INDEX(Positions!$E$2:$E$1061,MATCH($A8&amp;"|7",Positions!$A$2:$A$1061,0))</f>
        <v>C</v>
      </c>
      <c r="G8" s="4" t="str">
        <f aca="false">INDEX(Positions!$E$2:$E$1061,MATCH($A8&amp;"|66",Positions!$A$2:$A$1061,0))</f>
        <v>A</v>
      </c>
      <c r="H8" s="3" t="str">
        <f aca="false">F8&amp;"-"&amp;G8</f>
        <v>C-A</v>
      </c>
      <c r="I8" s="4" t="n">
        <f aca="false">(F8="G")+(G8="G")</f>
        <v>0</v>
      </c>
      <c r="J8" s="4" t="n">
        <f aca="false">(F8="C")+(G8="C")</f>
        <v>1</v>
      </c>
      <c r="K8" s="3" t="n">
        <f aca="false">I8+J8</f>
        <v>1</v>
      </c>
    </row>
    <row r="9" customFormat="false" ht="15" hidden="false" customHeight="false" outlineLevel="0" collapsed="false">
      <c r="A9" s="4" t="s">
        <v>37</v>
      </c>
      <c r="B9" s="4" t="s">
        <v>75</v>
      </c>
      <c r="C9" s="4" t="s">
        <v>187</v>
      </c>
      <c r="D9" s="4" t="n">
        <f aca="false">INDEX(Positions!$D$2:$D$1061,MATCH($A9&amp;"|10",Positions!$A$2:$A$1061,0))</f>
        <v>10</v>
      </c>
      <c r="E9" s="4" t="n">
        <f aca="false">INDEX(Positions!$D$2:$D$1061,MATCH($A9&amp;"|25",Positions!$A$2:$A$1061,0))</f>
        <v>26</v>
      </c>
      <c r="F9" s="4" t="str">
        <f aca="false">INDEX(Positions!$E$2:$E$1061,MATCH($A9&amp;"|10",Positions!$A$2:$A$1061,0))</f>
        <v>G</v>
      </c>
      <c r="G9" s="4" t="str">
        <f aca="false">INDEX(Positions!$E$2:$E$1061,MATCH($A9&amp;"|25",Positions!$A$2:$A$1061,0))</f>
        <v>U</v>
      </c>
      <c r="H9" s="3" t="str">
        <f aca="false">F9&amp;"-"&amp;G9</f>
        <v>G-U</v>
      </c>
      <c r="I9" s="4" t="n">
        <f aca="false">(F9="G")+(G9="G")</f>
        <v>1</v>
      </c>
      <c r="J9" s="4" t="n">
        <f aca="false">(F9="C")+(G9="C")</f>
        <v>0</v>
      </c>
      <c r="K9" s="3" t="n">
        <f aca="false">I9+J9</f>
        <v>1</v>
      </c>
    </row>
    <row r="10" customFormat="false" ht="15" hidden="false" customHeight="false" outlineLevel="0" collapsed="false">
      <c r="A10" s="4" t="s">
        <v>37</v>
      </c>
      <c r="B10" s="4" t="s">
        <v>75</v>
      </c>
      <c r="C10" s="4" t="s">
        <v>188</v>
      </c>
      <c r="D10" s="4" t="n">
        <f aca="false">INDEX(Positions!$D$2:$D$1061,MATCH($A10&amp;"|11",Positions!$A$2:$A$1061,0))</f>
        <v>11</v>
      </c>
      <c r="E10" s="4" t="n">
        <f aca="false">INDEX(Positions!$D$2:$D$1061,MATCH($A10&amp;"|24",Positions!$A$2:$A$1061,0))</f>
        <v>25</v>
      </c>
      <c r="F10" s="4" t="str">
        <f aca="false">INDEX(Positions!$E$2:$E$1061,MATCH($A10&amp;"|11",Positions!$A$2:$A$1061,0))</f>
        <v>G</v>
      </c>
      <c r="G10" s="4" t="str">
        <f aca="false">INDEX(Positions!$E$2:$E$1061,MATCH($A10&amp;"|24",Positions!$A$2:$A$1061,0))</f>
        <v>C</v>
      </c>
      <c r="H10" s="3" t="str">
        <f aca="false">F10&amp;"-"&amp;G10</f>
        <v>G-C</v>
      </c>
      <c r="I10" s="4" t="n">
        <f aca="false">(F10="G")+(G10="G")</f>
        <v>1</v>
      </c>
      <c r="J10" s="4" t="n">
        <f aca="false">(F10="C")+(G10="C")</f>
        <v>1</v>
      </c>
      <c r="K10" s="3" t="n">
        <f aca="false">I10+J10</f>
        <v>2</v>
      </c>
    </row>
    <row r="11" customFormat="false" ht="15" hidden="false" customHeight="false" outlineLevel="0" collapsed="false">
      <c r="A11" s="4" t="s">
        <v>37</v>
      </c>
      <c r="B11" s="4" t="s">
        <v>75</v>
      </c>
      <c r="C11" s="4" t="s">
        <v>189</v>
      </c>
      <c r="D11" s="4" t="n">
        <f aca="false">INDEX(Positions!$D$2:$D$1061,MATCH($A11&amp;"|12",Positions!$A$2:$A$1061,0))</f>
        <v>12</v>
      </c>
      <c r="E11" s="4" t="n">
        <f aca="false">INDEX(Positions!$D$2:$D$1061,MATCH($A11&amp;"|23",Positions!$A$2:$A$1061,0))</f>
        <v>24</v>
      </c>
      <c r="F11" s="4" t="str">
        <f aca="false">INDEX(Positions!$E$2:$E$1061,MATCH($A11&amp;"|12",Positions!$A$2:$A$1061,0))</f>
        <v>G</v>
      </c>
      <c r="G11" s="4" t="str">
        <f aca="false">INDEX(Positions!$E$2:$E$1061,MATCH($A11&amp;"|23",Positions!$A$2:$A$1061,0))</f>
        <v>C</v>
      </c>
      <c r="H11" s="3" t="str">
        <f aca="false">F11&amp;"-"&amp;G11</f>
        <v>G-C</v>
      </c>
      <c r="I11" s="4" t="n">
        <f aca="false">(F11="G")+(G11="G")</f>
        <v>1</v>
      </c>
      <c r="J11" s="4" t="n">
        <f aca="false">(F11="C")+(G11="C")</f>
        <v>1</v>
      </c>
      <c r="K11" s="3" t="n">
        <f aca="false">I11+J11</f>
        <v>2</v>
      </c>
    </row>
    <row r="12" customFormat="false" ht="15" hidden="false" customHeight="false" outlineLevel="0" collapsed="false">
      <c r="A12" s="4" t="s">
        <v>37</v>
      </c>
      <c r="B12" s="4" t="s">
        <v>75</v>
      </c>
      <c r="C12" s="4" t="s">
        <v>190</v>
      </c>
      <c r="D12" s="4" t="n">
        <f aca="false">INDEX(Positions!$D$2:$D$1061,MATCH($A12&amp;"|13",Positions!$A$2:$A$1061,0))</f>
        <v>13</v>
      </c>
      <c r="E12" s="4" t="n">
        <f aca="false">INDEX(Positions!$D$2:$D$1061,MATCH($A12&amp;"|22",Positions!$A$2:$A$1061,0))</f>
        <v>23</v>
      </c>
      <c r="F12" s="4" t="str">
        <f aca="false">INDEX(Positions!$E$2:$E$1061,MATCH($A12&amp;"|13",Positions!$A$2:$A$1061,0))</f>
        <v>C</v>
      </c>
      <c r="G12" s="4" t="str">
        <f aca="false">INDEX(Positions!$E$2:$E$1061,MATCH($A12&amp;"|22",Positions!$A$2:$A$1061,0))</f>
        <v>G</v>
      </c>
      <c r="H12" s="3" t="str">
        <f aca="false">F12&amp;"-"&amp;G12</f>
        <v>C-G</v>
      </c>
      <c r="I12" s="4" t="n">
        <f aca="false">(F12="G")+(G12="G")</f>
        <v>1</v>
      </c>
      <c r="J12" s="4" t="n">
        <f aca="false">(F12="C")+(G12="C")</f>
        <v>1</v>
      </c>
      <c r="K12" s="3" t="n">
        <f aca="false">I12+J12</f>
        <v>2</v>
      </c>
    </row>
    <row r="13" customFormat="false" ht="15" hidden="false" customHeight="false" outlineLevel="0" collapsed="false">
      <c r="A13" s="4" t="s">
        <v>37</v>
      </c>
      <c r="B13" s="4" t="s">
        <v>96</v>
      </c>
      <c r="C13" s="4" t="s">
        <v>191</v>
      </c>
      <c r="D13" s="4" t="n">
        <f aca="false">INDEX(Positions!$D$2:$D$1061,MATCH($A13&amp;"|27",Positions!$A$2:$A$1061,0))</f>
        <v>28</v>
      </c>
      <c r="E13" s="4" t="n">
        <f aca="false">INDEX(Positions!$D$2:$D$1061,MATCH($A13&amp;"|43",Positions!$A$2:$A$1061,0))</f>
        <v>44</v>
      </c>
      <c r="F13" s="4" t="str">
        <f aca="false">INDEX(Positions!$E$2:$E$1061,MATCH($A13&amp;"|27",Positions!$A$2:$A$1061,0))</f>
        <v>C</v>
      </c>
      <c r="G13" s="4" t="str">
        <f aca="false">INDEX(Positions!$E$2:$E$1061,MATCH($A13&amp;"|43",Positions!$A$2:$A$1061,0))</f>
        <v>G</v>
      </c>
      <c r="H13" s="3" t="str">
        <f aca="false">F13&amp;"-"&amp;G13</f>
        <v>C-G</v>
      </c>
      <c r="I13" s="4" t="n">
        <f aca="false">(F13="G")+(G13="G")</f>
        <v>1</v>
      </c>
      <c r="J13" s="4" t="n">
        <f aca="false">(F13="C")+(G13="C")</f>
        <v>1</v>
      </c>
      <c r="K13" s="3" t="n">
        <f aca="false">I13+J13</f>
        <v>2</v>
      </c>
    </row>
    <row r="14" customFormat="false" ht="15" hidden="false" customHeight="false" outlineLevel="0" collapsed="false">
      <c r="A14" s="4" t="s">
        <v>37</v>
      </c>
      <c r="B14" s="4" t="s">
        <v>96</v>
      </c>
      <c r="C14" s="4" t="s">
        <v>192</v>
      </c>
      <c r="D14" s="4" t="n">
        <f aca="false">INDEX(Positions!$D$2:$D$1061,MATCH($A14&amp;"|28",Positions!$A$2:$A$1061,0))</f>
        <v>29</v>
      </c>
      <c r="E14" s="4" t="n">
        <f aca="false">INDEX(Positions!$D$2:$D$1061,MATCH($A14&amp;"|42",Positions!$A$2:$A$1061,0))</f>
        <v>43</v>
      </c>
      <c r="F14" s="4" t="str">
        <f aca="false">INDEX(Positions!$E$2:$E$1061,MATCH($A14&amp;"|28",Positions!$A$2:$A$1061,0))</f>
        <v>U</v>
      </c>
      <c r="G14" s="4" t="str">
        <f aca="false">INDEX(Positions!$E$2:$E$1061,MATCH($A14&amp;"|42",Positions!$A$2:$A$1061,0))</f>
        <v>G</v>
      </c>
      <c r="H14" s="3" t="str">
        <f aca="false">F14&amp;"-"&amp;G14</f>
        <v>U-G</v>
      </c>
      <c r="I14" s="4" t="n">
        <f aca="false">(F14="G")+(G14="G")</f>
        <v>1</v>
      </c>
      <c r="J14" s="4" t="n">
        <f aca="false">(F14="C")+(G14="C")</f>
        <v>0</v>
      </c>
      <c r="K14" s="3" t="n">
        <f aca="false">I14+J14</f>
        <v>1</v>
      </c>
    </row>
    <row r="15" customFormat="false" ht="15" hidden="false" customHeight="false" outlineLevel="0" collapsed="false">
      <c r="A15" s="4" t="s">
        <v>37</v>
      </c>
      <c r="B15" s="4" t="s">
        <v>96</v>
      </c>
      <c r="C15" s="4" t="s">
        <v>193</v>
      </c>
      <c r="D15" s="4" t="n">
        <f aca="false">INDEX(Positions!$D$2:$D$1061,MATCH($A15&amp;"|29",Positions!$A$2:$A$1061,0))</f>
        <v>30</v>
      </c>
      <c r="E15" s="4" t="n">
        <f aca="false">INDEX(Positions!$D$2:$D$1061,MATCH($A15&amp;"|41",Positions!$A$2:$A$1061,0))</f>
        <v>42</v>
      </c>
      <c r="F15" s="4" t="str">
        <f aca="false">INDEX(Positions!$E$2:$E$1061,MATCH($A15&amp;"|29",Positions!$A$2:$A$1061,0))</f>
        <v>A</v>
      </c>
      <c r="G15" s="4" t="str">
        <f aca="false">INDEX(Positions!$E$2:$E$1061,MATCH($A15&amp;"|41",Positions!$A$2:$A$1061,0))</f>
        <v>U</v>
      </c>
      <c r="H15" s="3" t="str">
        <f aca="false">F15&amp;"-"&amp;G15</f>
        <v>A-U</v>
      </c>
      <c r="I15" s="4" t="n">
        <f aca="false">(F15="G")+(G15="G")</f>
        <v>0</v>
      </c>
      <c r="J15" s="4" t="n">
        <f aca="false">(F15="C")+(G15="C")</f>
        <v>0</v>
      </c>
      <c r="K15" s="3" t="n">
        <f aca="false">I15+J15</f>
        <v>0</v>
      </c>
    </row>
    <row r="16" customFormat="false" ht="15" hidden="false" customHeight="false" outlineLevel="0" collapsed="false">
      <c r="A16" s="4" t="s">
        <v>37</v>
      </c>
      <c r="B16" s="4" t="s">
        <v>96</v>
      </c>
      <c r="C16" s="4" t="s">
        <v>194</v>
      </c>
      <c r="D16" s="4" t="n">
        <f aca="false">INDEX(Positions!$D$2:$D$1061,MATCH($A16&amp;"|30",Positions!$A$2:$A$1061,0))</f>
        <v>31</v>
      </c>
      <c r="E16" s="4" t="n">
        <f aca="false">INDEX(Positions!$D$2:$D$1061,MATCH($A16&amp;"|40",Positions!$A$2:$A$1061,0))</f>
        <v>41</v>
      </c>
      <c r="F16" s="4" t="str">
        <f aca="false">INDEX(Positions!$E$2:$E$1061,MATCH($A16&amp;"|30",Positions!$A$2:$A$1061,0))</f>
        <v>G</v>
      </c>
      <c r="G16" s="4" t="str">
        <f aca="false">INDEX(Positions!$E$2:$E$1061,MATCH($A16&amp;"|40",Positions!$A$2:$A$1061,0))</f>
        <v>U</v>
      </c>
      <c r="H16" s="3" t="str">
        <f aca="false">F16&amp;"-"&amp;G16</f>
        <v>G-U</v>
      </c>
      <c r="I16" s="4" t="n">
        <f aca="false">(F16="G")+(G16="G")</f>
        <v>1</v>
      </c>
      <c r="J16" s="4" t="n">
        <f aca="false">(F16="C")+(G16="C")</f>
        <v>0</v>
      </c>
      <c r="K16" s="3" t="n">
        <f aca="false">I16+J16</f>
        <v>1</v>
      </c>
    </row>
    <row r="17" customFormat="false" ht="15" hidden="false" customHeight="false" outlineLevel="0" collapsed="false">
      <c r="A17" s="4" t="s">
        <v>37</v>
      </c>
      <c r="B17" s="4" t="s">
        <v>96</v>
      </c>
      <c r="C17" s="4" t="s">
        <v>195</v>
      </c>
      <c r="D17" s="4" t="n">
        <f aca="false">INDEX(Positions!$D$2:$D$1061,MATCH($A17&amp;"|31",Positions!$A$2:$A$1061,0))</f>
        <v>32</v>
      </c>
      <c r="E17" s="4" t="n">
        <f aca="false">INDEX(Positions!$D$2:$D$1061,MATCH($A17&amp;"|39",Positions!$A$2:$A$1061,0))</f>
        <v>40</v>
      </c>
      <c r="F17" s="4" t="str">
        <f aca="false">INDEX(Positions!$E$2:$E$1061,MATCH($A17&amp;"|31",Positions!$A$2:$A$1061,0))</f>
        <v>G</v>
      </c>
      <c r="G17" s="4" t="str">
        <f aca="false">INDEX(Positions!$E$2:$E$1061,MATCH($A17&amp;"|39",Positions!$A$2:$A$1061,0))</f>
        <v>U</v>
      </c>
      <c r="H17" s="3" t="str">
        <f aca="false">F17&amp;"-"&amp;G17</f>
        <v>G-U</v>
      </c>
      <c r="I17" s="4" t="n">
        <f aca="false">(F17="G")+(G17="G")</f>
        <v>1</v>
      </c>
      <c r="J17" s="4" t="n">
        <f aca="false">(F17="C")+(G17="C")</f>
        <v>0</v>
      </c>
      <c r="K17" s="3" t="n">
        <f aca="false">I17+J17</f>
        <v>1</v>
      </c>
    </row>
    <row r="18" customFormat="false" ht="15" hidden="false" customHeight="false" outlineLevel="0" collapsed="false">
      <c r="A18" s="4" t="s">
        <v>37</v>
      </c>
      <c r="B18" s="4" t="s">
        <v>126</v>
      </c>
      <c r="C18" s="4" t="s">
        <v>196</v>
      </c>
      <c r="D18" s="4" t="n">
        <f aca="false">INDEX(Positions!$D$2:$D$1061,MATCH($A18&amp;"|49",Positions!$A$2:$A$1061,0))</f>
        <v>55</v>
      </c>
      <c r="E18" s="4" t="n">
        <f aca="false">INDEX(Positions!$D$2:$D$1061,MATCH($A18&amp;"|65",Positions!$A$2:$A$1061,0))</f>
        <v>71</v>
      </c>
      <c r="F18" s="4" t="str">
        <f aca="false">INDEX(Positions!$E$2:$E$1061,MATCH($A18&amp;"|49",Positions!$A$2:$A$1061,0))</f>
        <v>G</v>
      </c>
      <c r="G18" s="4" t="str">
        <f aca="false">INDEX(Positions!$E$2:$E$1061,MATCH($A18&amp;"|65",Positions!$A$2:$A$1061,0))</f>
        <v>U</v>
      </c>
      <c r="H18" s="3" t="str">
        <f aca="false">F18&amp;"-"&amp;G18</f>
        <v>G-U</v>
      </c>
      <c r="I18" s="4" t="n">
        <f aca="false">(F18="G")+(G18="G")</f>
        <v>1</v>
      </c>
      <c r="J18" s="4" t="n">
        <f aca="false">(F18="C")+(G18="C")</f>
        <v>0</v>
      </c>
      <c r="K18" s="3" t="n">
        <f aca="false">I18+J18</f>
        <v>1</v>
      </c>
    </row>
    <row r="19" customFormat="false" ht="15" hidden="false" customHeight="false" outlineLevel="0" collapsed="false">
      <c r="A19" s="4" t="s">
        <v>37</v>
      </c>
      <c r="B19" s="4" t="s">
        <v>126</v>
      </c>
      <c r="C19" s="4" t="s">
        <v>197</v>
      </c>
      <c r="D19" s="4" t="n">
        <f aca="false">INDEX(Positions!$D$2:$D$1061,MATCH($A19&amp;"|50",Positions!$A$2:$A$1061,0))</f>
        <v>56</v>
      </c>
      <c r="E19" s="4" t="n">
        <f aca="false">INDEX(Positions!$D$2:$D$1061,MATCH($A19&amp;"|64",Positions!$A$2:$A$1061,0))</f>
        <v>70</v>
      </c>
      <c r="F19" s="4" t="str">
        <f aca="false">INDEX(Positions!$E$2:$E$1061,MATCH($A19&amp;"|50",Positions!$A$2:$A$1061,0))</f>
        <v>A</v>
      </c>
      <c r="G19" s="4" t="str">
        <f aca="false">INDEX(Positions!$E$2:$E$1061,MATCH($A19&amp;"|64",Positions!$A$2:$A$1061,0))</f>
        <v>U</v>
      </c>
      <c r="H19" s="3" t="str">
        <f aca="false">F19&amp;"-"&amp;G19</f>
        <v>A-U</v>
      </c>
      <c r="I19" s="4" t="n">
        <f aca="false">(F19="G")+(G19="G")</f>
        <v>0</v>
      </c>
      <c r="J19" s="4" t="n">
        <f aca="false">(F19="C")+(G19="C")</f>
        <v>0</v>
      </c>
      <c r="K19" s="3" t="n">
        <f aca="false">I19+J19</f>
        <v>0</v>
      </c>
    </row>
    <row r="20" customFormat="false" ht="15" hidden="false" customHeight="false" outlineLevel="0" collapsed="false">
      <c r="A20" s="4" t="s">
        <v>37</v>
      </c>
      <c r="B20" s="4" t="s">
        <v>126</v>
      </c>
      <c r="C20" s="4" t="s">
        <v>198</v>
      </c>
      <c r="D20" s="4" t="n">
        <f aca="false">INDEX(Positions!$D$2:$D$1061,MATCH($A20&amp;"|51",Positions!$A$2:$A$1061,0))</f>
        <v>57</v>
      </c>
      <c r="E20" s="4" t="n">
        <f aca="false">INDEX(Positions!$D$2:$D$1061,MATCH($A20&amp;"|63",Positions!$A$2:$A$1061,0))</f>
        <v>69</v>
      </c>
      <c r="F20" s="4" t="str">
        <f aca="false">INDEX(Positions!$E$2:$E$1061,MATCH($A20&amp;"|51",Positions!$A$2:$A$1061,0))</f>
        <v>C</v>
      </c>
      <c r="G20" s="4" t="str">
        <f aca="false">INDEX(Positions!$E$2:$E$1061,MATCH($A20&amp;"|63",Positions!$A$2:$A$1061,0))</f>
        <v>G</v>
      </c>
      <c r="H20" s="3" t="str">
        <f aca="false">F20&amp;"-"&amp;G20</f>
        <v>C-G</v>
      </c>
      <c r="I20" s="4" t="n">
        <f aca="false">(F20="G")+(G20="G")</f>
        <v>1</v>
      </c>
      <c r="J20" s="4" t="n">
        <f aca="false">(F20="C")+(G20="C")</f>
        <v>1</v>
      </c>
      <c r="K20" s="3" t="n">
        <f aca="false">I20+J20</f>
        <v>2</v>
      </c>
    </row>
    <row r="21" customFormat="false" ht="15" hidden="false" customHeight="false" outlineLevel="0" collapsed="false">
      <c r="A21" s="4" t="s">
        <v>37</v>
      </c>
      <c r="B21" s="4" t="s">
        <v>126</v>
      </c>
      <c r="C21" s="4" t="s">
        <v>199</v>
      </c>
      <c r="D21" s="4" t="n">
        <f aca="false">INDEX(Positions!$D$2:$D$1061,MATCH($A21&amp;"|52",Positions!$A$2:$A$1061,0))</f>
        <v>58</v>
      </c>
      <c r="E21" s="4" t="n">
        <f aca="false">INDEX(Positions!$D$2:$D$1061,MATCH($A21&amp;"|62",Positions!$A$2:$A$1061,0))</f>
        <v>68</v>
      </c>
      <c r="F21" s="4" t="str">
        <f aca="false">INDEX(Positions!$E$2:$E$1061,MATCH($A21&amp;"|52",Positions!$A$2:$A$1061,0))</f>
        <v>G</v>
      </c>
      <c r="G21" s="4" t="str">
        <f aca="false">INDEX(Positions!$E$2:$E$1061,MATCH($A21&amp;"|62",Positions!$A$2:$A$1061,0))</f>
        <v>A</v>
      </c>
      <c r="H21" s="3" t="str">
        <f aca="false">F21&amp;"-"&amp;G21</f>
        <v>G-A</v>
      </c>
      <c r="I21" s="4" t="n">
        <f aca="false">(F21="G")+(G21="G")</f>
        <v>1</v>
      </c>
      <c r="J21" s="4" t="n">
        <f aca="false">(F21="C")+(G21="C")</f>
        <v>0</v>
      </c>
      <c r="K21" s="3" t="n">
        <f aca="false">I21+J21</f>
        <v>1</v>
      </c>
    </row>
    <row r="22" customFormat="false" ht="15" hidden="false" customHeight="false" outlineLevel="0" collapsed="false">
      <c r="A22" s="4" t="s">
        <v>37</v>
      </c>
      <c r="B22" s="4" t="s">
        <v>126</v>
      </c>
      <c r="C22" s="4" t="s">
        <v>200</v>
      </c>
      <c r="D22" s="4" t="n">
        <f aca="false">INDEX(Positions!$D$2:$D$1061,MATCH($A22&amp;"|53",Positions!$A$2:$A$1061,0))</f>
        <v>59</v>
      </c>
      <c r="E22" s="4" t="n">
        <f aca="false">INDEX(Positions!$D$2:$D$1061,MATCH($A22&amp;"|61",Positions!$A$2:$A$1061,0))</f>
        <v>67</v>
      </c>
      <c r="F22" s="4" t="str">
        <f aca="false">INDEX(Positions!$E$2:$E$1061,MATCH($A22&amp;"|53",Positions!$A$2:$A$1061,0))</f>
        <v>G</v>
      </c>
      <c r="G22" s="4" t="str">
        <f aca="false">INDEX(Positions!$E$2:$E$1061,MATCH($A22&amp;"|61",Positions!$A$2:$A$1061,0))</f>
        <v>C</v>
      </c>
      <c r="H22" s="3" t="str">
        <f aca="false">F22&amp;"-"&amp;G22</f>
        <v>G-C</v>
      </c>
      <c r="I22" s="4" t="n">
        <f aca="false">(F22="G")+(G22="G")</f>
        <v>1</v>
      </c>
      <c r="J22" s="4" t="n">
        <f aca="false">(F22="C")+(G22="C")</f>
        <v>1</v>
      </c>
      <c r="K22" s="3" t="n">
        <f aca="false">I22+J22</f>
        <v>2</v>
      </c>
    </row>
    <row r="23" customFormat="false" ht="15" hidden="false" customHeight="false" outlineLevel="0" collapsed="false">
      <c r="A23" s="23" t="s">
        <v>37</v>
      </c>
      <c r="B23" s="23" t="s">
        <v>201</v>
      </c>
      <c r="C23" s="23" t="s">
        <v>202</v>
      </c>
      <c r="D23" s="23" t="n">
        <f aca="false">INDEX(Positions!$D$2:$D$1061,MATCH($A23&amp;"|8",Positions!$A$2:$A$1061,0))</f>
        <v>8</v>
      </c>
      <c r="E23" s="23" t="n">
        <f aca="false">INDEX(Positions!$D$2:$D$1061,MATCH($A23&amp;"|14",Positions!$A$2:$A$1061,0))</f>
        <v>14</v>
      </c>
      <c r="F23" s="23" t="str">
        <f aca="false">INDEX(Positions!$E$2:$E$1061,MATCH($A23&amp;"|8",Positions!$A$2:$A$1061,0))</f>
        <v>U</v>
      </c>
      <c r="G23" s="23" t="str">
        <f aca="false">INDEX(Positions!$E$2:$E$1061,MATCH($A23&amp;"|14",Positions!$A$2:$A$1061,0))</f>
        <v>G</v>
      </c>
      <c r="H23" s="24" t="str">
        <f aca="false">F23&amp;"-"&amp;G23</f>
        <v>U-G</v>
      </c>
      <c r="I23" s="23" t="n">
        <f aca="false">(F23="G")+(G23="G")</f>
        <v>1</v>
      </c>
      <c r="J23" s="23" t="n">
        <f aca="false">(F23="C")+(G23="C")</f>
        <v>0</v>
      </c>
      <c r="K23" s="24" t="n">
        <f aca="false">I23+J23</f>
        <v>1</v>
      </c>
    </row>
    <row r="24" customFormat="false" ht="15" hidden="false" customHeight="false" outlineLevel="0" collapsed="false">
      <c r="A24" s="23" t="s">
        <v>37</v>
      </c>
      <c r="B24" s="23" t="s">
        <v>201</v>
      </c>
      <c r="C24" s="23" t="s">
        <v>203</v>
      </c>
      <c r="D24" s="23" t="n">
        <f aca="false">INDEX(Positions!$D$2:$D$1061,MATCH($A24&amp;"|15",Positions!$A$2:$A$1061,0))</f>
        <v>15</v>
      </c>
      <c r="E24" s="23" t="n">
        <f aca="false">INDEX(Positions!$D$2:$D$1061,MATCH($A24&amp;"|48",Positions!$A$2:$A$1061,0))</f>
        <v>54</v>
      </c>
      <c r="F24" s="23" t="str">
        <f aca="false">INDEX(Positions!$E$2:$E$1061,MATCH($A24&amp;"|15",Positions!$A$2:$A$1061,0))</f>
        <v>A</v>
      </c>
      <c r="G24" s="23" t="str">
        <f aca="false">INDEX(Positions!$E$2:$E$1061,MATCH($A24&amp;"|48",Positions!$A$2:$A$1061,0))</f>
        <v>U</v>
      </c>
      <c r="H24" s="24" t="str">
        <f aca="false">F24&amp;"-"&amp;G24</f>
        <v>A-U</v>
      </c>
      <c r="I24" s="23" t="n">
        <f aca="false">(F24="G")+(G24="G")</f>
        <v>0</v>
      </c>
      <c r="J24" s="23" t="n">
        <f aca="false">(F24="C")+(G24="C")</f>
        <v>0</v>
      </c>
      <c r="K24" s="24" t="n">
        <f aca="false">I24+J24</f>
        <v>0</v>
      </c>
    </row>
    <row r="25" customFormat="false" ht="15" hidden="false" customHeight="false" outlineLevel="0" collapsed="false">
      <c r="A25" s="23" t="s">
        <v>37</v>
      </c>
      <c r="B25" s="23" t="s">
        <v>201</v>
      </c>
      <c r="C25" s="23" t="s">
        <v>204</v>
      </c>
      <c r="D25" s="23" t="n">
        <f aca="false">INDEX(Positions!$D$2:$D$1061,MATCH($A25&amp;"|18",Positions!$A$2:$A$1061,0))</f>
        <v>17</v>
      </c>
      <c r="E25" s="23" t="n">
        <f aca="false">INDEX(Positions!$D$2:$D$1061,MATCH($A25&amp;"|55",Positions!$A$2:$A$1061,0))</f>
        <v>61</v>
      </c>
      <c r="F25" s="23" t="str">
        <f aca="false">INDEX(Positions!$E$2:$E$1061,MATCH($A25&amp;"|18",Positions!$A$2:$A$1061,0))</f>
        <v>G</v>
      </c>
      <c r="G25" s="23" t="str">
        <f aca="false">INDEX(Positions!$E$2:$E$1061,MATCH($A25&amp;"|55",Positions!$A$2:$A$1061,0))</f>
        <v>C</v>
      </c>
      <c r="H25" s="24" t="str">
        <f aca="false">F25&amp;"-"&amp;G25</f>
        <v>G-C</v>
      </c>
      <c r="I25" s="23" t="n">
        <f aca="false">(F25="G")+(G25="G")</f>
        <v>1</v>
      </c>
      <c r="J25" s="23" t="n">
        <f aca="false">(F25="C")+(G25="C")</f>
        <v>1</v>
      </c>
      <c r="K25" s="24" t="n">
        <f aca="false">I25+J25</f>
        <v>2</v>
      </c>
    </row>
    <row r="26" customFormat="false" ht="15" hidden="false" customHeight="false" outlineLevel="0" collapsed="false">
      <c r="A26" s="23" t="s">
        <v>37</v>
      </c>
      <c r="B26" s="23" t="s">
        <v>201</v>
      </c>
      <c r="C26" s="23" t="s">
        <v>205</v>
      </c>
      <c r="D26" s="23" t="n">
        <f aca="false">INDEX(Positions!$D$2:$D$1061,MATCH($A26&amp;"|19",Positions!$A$2:$A$1061,0))</f>
        <v>18</v>
      </c>
      <c r="E26" s="23" t="n">
        <f aca="false">INDEX(Positions!$D$2:$D$1061,MATCH($A26&amp;"|56",Positions!$A$2:$A$1061,0))</f>
        <v>62</v>
      </c>
      <c r="F26" s="23" t="str">
        <f aca="false">INDEX(Positions!$E$2:$E$1061,MATCH($A26&amp;"|19",Positions!$A$2:$A$1061,0))</f>
        <v>G</v>
      </c>
      <c r="G26" s="23" t="str">
        <f aca="false">INDEX(Positions!$E$2:$E$1061,MATCH($A26&amp;"|56",Positions!$A$2:$A$1061,0))</f>
        <v>C</v>
      </c>
      <c r="H26" s="24" t="str">
        <f aca="false">F26&amp;"-"&amp;G26</f>
        <v>G-C</v>
      </c>
      <c r="I26" s="23" t="n">
        <f aca="false">(F26="G")+(G26="G")</f>
        <v>1</v>
      </c>
      <c r="J26" s="23" t="n">
        <f aca="false">(F26="C")+(G26="C")</f>
        <v>1</v>
      </c>
      <c r="K26" s="24" t="n">
        <f aca="false">I26+J26</f>
        <v>2</v>
      </c>
    </row>
    <row r="27" customFormat="false" ht="15" hidden="false" customHeight="false" outlineLevel="0" collapsed="false">
      <c r="A27" s="23" t="s">
        <v>37</v>
      </c>
      <c r="B27" s="23" t="s">
        <v>201</v>
      </c>
      <c r="C27" s="23" t="s">
        <v>206</v>
      </c>
      <c r="D27" s="23" t="n">
        <f aca="false">INDEX(Positions!$D$2:$D$1061,MATCH($A27&amp;"|26",Positions!$A$2:$A$1061,0))</f>
        <v>27</v>
      </c>
      <c r="E27" s="23" t="n">
        <f aca="false">INDEX(Positions!$D$2:$D$1061,MATCH($A27&amp;"|44",Positions!$A$2:$A$1061,0))</f>
        <v>45</v>
      </c>
      <c r="F27" s="23" t="str">
        <f aca="false">INDEX(Positions!$E$2:$E$1061,MATCH($A27&amp;"|26",Positions!$A$2:$A$1061,0))</f>
        <v>G</v>
      </c>
      <c r="G27" s="23" t="str">
        <f aca="false">INDEX(Positions!$E$2:$E$1061,MATCH($A27&amp;"|44",Positions!$A$2:$A$1061,0))</f>
        <v>U</v>
      </c>
      <c r="H27" s="24" t="str">
        <f aca="false">F27&amp;"-"&amp;G27</f>
        <v>G-U</v>
      </c>
      <c r="I27" s="23" t="n">
        <f aca="false">(F27="G")+(G27="G")</f>
        <v>1</v>
      </c>
      <c r="J27" s="23" t="n">
        <f aca="false">(F27="C")+(G27="C")</f>
        <v>0</v>
      </c>
      <c r="K27" s="24" t="n">
        <f aca="false">I27+J27</f>
        <v>1</v>
      </c>
    </row>
    <row r="28" customFormat="false" ht="15" hidden="false" customHeight="false" outlineLevel="0" collapsed="false">
      <c r="A28" s="23" t="s">
        <v>37</v>
      </c>
      <c r="B28" s="23" t="s">
        <v>201</v>
      </c>
      <c r="C28" s="23" t="s">
        <v>207</v>
      </c>
      <c r="D28" s="23" t="n">
        <f aca="false">INDEX(Positions!$D$2:$D$1061,MATCH($A28&amp;"|32",Positions!$A$2:$A$1061,0))</f>
        <v>33</v>
      </c>
      <c r="E28" s="23" t="n">
        <f aca="false">INDEX(Positions!$D$2:$D$1061,MATCH($A28&amp;"|38",Positions!$A$2:$A$1061,0))</f>
        <v>39</v>
      </c>
      <c r="F28" s="23" t="str">
        <f aca="false">INDEX(Positions!$E$2:$E$1061,MATCH($A28&amp;"|32",Positions!$A$2:$A$1061,0))</f>
        <v>A</v>
      </c>
      <c r="G28" s="23" t="str">
        <f aca="false">INDEX(Positions!$E$2:$E$1061,MATCH($A28&amp;"|38",Positions!$A$2:$A$1061,0))</f>
        <v>U</v>
      </c>
      <c r="H28" s="24" t="str">
        <f aca="false">F28&amp;"-"&amp;G28</f>
        <v>A-U</v>
      </c>
      <c r="I28" s="23" t="n">
        <f aca="false">(F28="G")+(G28="G")</f>
        <v>0</v>
      </c>
      <c r="J28" s="23" t="n">
        <f aca="false">(F28="C")+(G28="C")</f>
        <v>0</v>
      </c>
      <c r="K28" s="24" t="n">
        <f aca="false">I28+J28</f>
        <v>0</v>
      </c>
    </row>
    <row r="29" customFormat="false" ht="15" hidden="false" customHeight="false" outlineLevel="0" collapsed="false">
      <c r="A29" s="23" t="s">
        <v>37</v>
      </c>
      <c r="B29" s="23" t="s">
        <v>201</v>
      </c>
      <c r="C29" s="23" t="s">
        <v>208</v>
      </c>
      <c r="D29" s="23" t="n">
        <f aca="false">INDEX(Positions!$D$2:$D$1061,MATCH($A29&amp;"|54",Positions!$A$2:$A$1061,0))</f>
        <v>60</v>
      </c>
      <c r="E29" s="23" t="n">
        <f aca="false">INDEX(Positions!$D$2:$D$1061,MATCH($A29&amp;"|58",Positions!$A$2:$A$1061,0))</f>
        <v>64</v>
      </c>
      <c r="F29" s="23" t="str">
        <f aca="false">INDEX(Positions!$E$2:$E$1061,MATCH($A29&amp;"|54",Positions!$A$2:$A$1061,0))</f>
        <v>U</v>
      </c>
      <c r="G29" s="23" t="str">
        <f aca="false">INDEX(Positions!$E$2:$E$1061,MATCH($A29&amp;"|58",Positions!$A$2:$A$1061,0))</f>
        <v>A</v>
      </c>
      <c r="H29" s="24" t="str">
        <f aca="false">F29&amp;"-"&amp;G29</f>
        <v>U-A</v>
      </c>
      <c r="I29" s="23" t="n">
        <f aca="false">(F29="G")+(G29="G")</f>
        <v>0</v>
      </c>
      <c r="J29" s="23" t="n">
        <f aca="false">(F29="C")+(G29="C")</f>
        <v>0</v>
      </c>
      <c r="K29" s="24" t="n">
        <f aca="false">I29+J29</f>
        <v>0</v>
      </c>
    </row>
    <row r="30" customFormat="false" ht="15" hidden="false" customHeight="false" outlineLevel="0" collapsed="false">
      <c r="A30" s="4" t="s">
        <v>38</v>
      </c>
      <c r="B30" s="4" t="s">
        <v>60</v>
      </c>
      <c r="C30" s="4" t="s">
        <v>180</v>
      </c>
      <c r="D30" s="4" t="n">
        <f aca="false">INDEX(Positions!$D$2:$D$1061,MATCH($A30&amp;"|1",Positions!$A$2:$A$1061,0))</f>
        <v>1</v>
      </c>
      <c r="E30" s="4" t="n">
        <f aca="false">INDEX(Positions!$D$2:$D$1061,MATCH($A30&amp;"|72",Positions!$A$2:$A$1061,0))</f>
        <v>95</v>
      </c>
      <c r="F30" s="4" t="str">
        <f aca="false">INDEX(Positions!$E$2:$E$1061,MATCH($A30&amp;"|1",Positions!$A$2:$A$1061,0))</f>
        <v>A</v>
      </c>
      <c r="G30" s="4" t="str">
        <f aca="false">INDEX(Positions!$E$2:$E$1061,MATCH($A30&amp;"|72",Positions!$A$2:$A$1061,0))</f>
        <v>U</v>
      </c>
      <c r="H30" s="3" t="str">
        <f aca="false">F30&amp;"-"&amp;G30</f>
        <v>A-U</v>
      </c>
      <c r="I30" s="4" t="n">
        <f aca="false">(F30="G")+(G30="G")</f>
        <v>0</v>
      </c>
      <c r="J30" s="4" t="n">
        <f aca="false">(F30="C")+(G30="C")</f>
        <v>0</v>
      </c>
      <c r="K30" s="3" t="n">
        <f aca="false">I30+J30</f>
        <v>0</v>
      </c>
    </row>
    <row r="31" customFormat="false" ht="15" hidden="false" customHeight="false" outlineLevel="0" collapsed="false">
      <c r="A31" s="4" t="s">
        <v>38</v>
      </c>
      <c r="B31" s="4" t="s">
        <v>60</v>
      </c>
      <c r="C31" s="4" t="s">
        <v>181</v>
      </c>
      <c r="D31" s="4" t="n">
        <f aca="false">INDEX(Positions!$D$2:$D$1061,MATCH($A31&amp;"|2",Positions!$A$2:$A$1061,0))</f>
        <v>2</v>
      </c>
      <c r="E31" s="4" t="n">
        <f aca="false">INDEX(Positions!$D$2:$D$1061,MATCH($A31&amp;"|71",Positions!$A$2:$A$1061,0))</f>
        <v>94</v>
      </c>
      <c r="F31" s="4" t="str">
        <f aca="false">INDEX(Positions!$E$2:$E$1061,MATCH($A31&amp;"|2",Positions!$A$2:$A$1061,0))</f>
        <v>U</v>
      </c>
      <c r="G31" s="4" t="str">
        <f aca="false">INDEX(Positions!$E$2:$E$1061,MATCH($A31&amp;"|71",Positions!$A$2:$A$1061,0))</f>
        <v>A</v>
      </c>
      <c r="H31" s="3" t="str">
        <f aca="false">F31&amp;"-"&amp;G31</f>
        <v>U-A</v>
      </c>
      <c r="I31" s="4" t="n">
        <f aca="false">(F31="G")+(G31="G")</f>
        <v>0</v>
      </c>
      <c r="J31" s="4" t="n">
        <f aca="false">(F31="C")+(G31="C")</f>
        <v>0</v>
      </c>
      <c r="K31" s="3" t="n">
        <f aca="false">I31+J31</f>
        <v>0</v>
      </c>
    </row>
    <row r="32" customFormat="false" ht="15" hidden="false" customHeight="false" outlineLevel="0" collapsed="false">
      <c r="A32" s="4" t="s">
        <v>38</v>
      </c>
      <c r="B32" s="4" t="s">
        <v>60</v>
      </c>
      <c r="C32" s="4" t="s">
        <v>182</v>
      </c>
      <c r="D32" s="4" t="n">
        <f aca="false">INDEX(Positions!$D$2:$D$1061,MATCH($A32&amp;"|3",Positions!$A$2:$A$1061,0))</f>
        <v>3</v>
      </c>
      <c r="E32" s="4" t="n">
        <f aca="false">INDEX(Positions!$D$2:$D$1061,MATCH($A32&amp;"|70",Positions!$A$2:$A$1061,0))</f>
        <v>93</v>
      </c>
      <c r="F32" s="4" t="str">
        <f aca="false">INDEX(Positions!$E$2:$E$1061,MATCH($A32&amp;"|3",Positions!$A$2:$A$1061,0))</f>
        <v>U</v>
      </c>
      <c r="G32" s="4" t="str">
        <f aca="false">INDEX(Positions!$E$2:$E$1061,MATCH($A32&amp;"|70",Positions!$A$2:$A$1061,0))</f>
        <v>G</v>
      </c>
      <c r="H32" s="3" t="str">
        <f aca="false">F32&amp;"-"&amp;G32</f>
        <v>U-G</v>
      </c>
      <c r="I32" s="4" t="n">
        <f aca="false">(F32="G")+(G32="G")</f>
        <v>1</v>
      </c>
      <c r="J32" s="4" t="n">
        <f aca="false">(F32="C")+(G32="C")</f>
        <v>0</v>
      </c>
      <c r="K32" s="3" t="n">
        <f aca="false">I32+J32</f>
        <v>1</v>
      </c>
    </row>
    <row r="33" customFormat="false" ht="15" hidden="false" customHeight="false" outlineLevel="0" collapsed="false">
      <c r="A33" s="4" t="s">
        <v>38</v>
      </c>
      <c r="B33" s="4" t="s">
        <v>60</v>
      </c>
      <c r="C33" s="4" t="s">
        <v>183</v>
      </c>
      <c r="D33" s="4" t="n">
        <f aca="false">INDEX(Positions!$D$2:$D$1061,MATCH($A33&amp;"|4",Positions!$A$2:$A$1061,0))</f>
        <v>4</v>
      </c>
      <c r="E33" s="4" t="n">
        <f aca="false">INDEX(Positions!$D$2:$D$1061,MATCH($A33&amp;"|69",Positions!$A$2:$A$1061,0))</f>
        <v>92</v>
      </c>
      <c r="F33" s="4" t="str">
        <f aca="false">INDEX(Positions!$E$2:$E$1061,MATCH($A33&amp;"|4",Positions!$A$2:$A$1061,0))</f>
        <v>C</v>
      </c>
      <c r="G33" s="4" t="str">
        <f aca="false">INDEX(Positions!$E$2:$E$1061,MATCH($A33&amp;"|69",Positions!$A$2:$A$1061,0))</f>
        <v>G</v>
      </c>
      <c r="H33" s="3" t="str">
        <f aca="false">F33&amp;"-"&amp;G33</f>
        <v>C-G</v>
      </c>
      <c r="I33" s="4" t="n">
        <f aca="false">(F33="G")+(G33="G")</f>
        <v>1</v>
      </c>
      <c r="J33" s="4" t="n">
        <f aca="false">(F33="C")+(G33="C")</f>
        <v>1</v>
      </c>
      <c r="K33" s="3" t="n">
        <f aca="false">I33+J33</f>
        <v>2</v>
      </c>
    </row>
    <row r="34" customFormat="false" ht="15" hidden="false" customHeight="false" outlineLevel="0" collapsed="false">
      <c r="A34" s="4" t="s">
        <v>38</v>
      </c>
      <c r="B34" s="4" t="s">
        <v>60</v>
      </c>
      <c r="C34" s="4" t="s">
        <v>184</v>
      </c>
      <c r="D34" s="4" t="n">
        <f aca="false">INDEX(Positions!$D$2:$D$1061,MATCH($A34&amp;"|5",Positions!$A$2:$A$1061,0))</f>
        <v>5</v>
      </c>
      <c r="E34" s="4" t="n">
        <f aca="false">INDEX(Positions!$D$2:$D$1061,MATCH($A34&amp;"|68",Positions!$A$2:$A$1061,0))</f>
        <v>91</v>
      </c>
      <c r="F34" s="4" t="str">
        <f aca="false">INDEX(Positions!$E$2:$E$1061,MATCH($A34&amp;"|5",Positions!$A$2:$A$1061,0))</f>
        <v>U</v>
      </c>
      <c r="G34" s="4" t="str">
        <f aca="false">INDEX(Positions!$E$2:$E$1061,MATCH($A34&amp;"|68",Positions!$A$2:$A$1061,0))</f>
        <v>A</v>
      </c>
      <c r="H34" s="3" t="str">
        <f aca="false">F34&amp;"-"&amp;G34</f>
        <v>U-A</v>
      </c>
      <c r="I34" s="4" t="n">
        <f aca="false">(F34="G")+(G34="G")</f>
        <v>0</v>
      </c>
      <c r="J34" s="4" t="n">
        <f aca="false">(F34="C")+(G34="C")</f>
        <v>0</v>
      </c>
      <c r="K34" s="3" t="n">
        <f aca="false">I34+J34</f>
        <v>0</v>
      </c>
    </row>
    <row r="35" customFormat="false" ht="15" hidden="false" customHeight="false" outlineLevel="0" collapsed="false">
      <c r="A35" s="4" t="s">
        <v>38</v>
      </c>
      <c r="B35" s="4" t="s">
        <v>60</v>
      </c>
      <c r="C35" s="4" t="s">
        <v>185</v>
      </c>
      <c r="D35" s="4" t="n">
        <f aca="false">INDEX(Positions!$D$2:$D$1061,MATCH($A35&amp;"|6",Positions!$A$2:$A$1061,0))</f>
        <v>6</v>
      </c>
      <c r="E35" s="4" t="n">
        <f aca="false">INDEX(Positions!$D$2:$D$1061,MATCH($A35&amp;"|67",Positions!$A$2:$A$1061,0))</f>
        <v>90</v>
      </c>
      <c r="F35" s="4" t="str">
        <f aca="false">INDEX(Positions!$E$2:$E$1061,MATCH($A35&amp;"|6",Positions!$A$2:$A$1061,0))</f>
        <v>U</v>
      </c>
      <c r="G35" s="4" t="str">
        <f aca="false">INDEX(Positions!$E$2:$E$1061,MATCH($A35&amp;"|67",Positions!$A$2:$A$1061,0))</f>
        <v>G</v>
      </c>
      <c r="H35" s="3" t="str">
        <f aca="false">F35&amp;"-"&amp;G35</f>
        <v>U-G</v>
      </c>
      <c r="I35" s="4" t="n">
        <f aca="false">(F35="G")+(G35="G")</f>
        <v>1</v>
      </c>
      <c r="J35" s="4" t="n">
        <f aca="false">(F35="C")+(G35="C")</f>
        <v>0</v>
      </c>
      <c r="K35" s="3" t="n">
        <f aca="false">I35+J35</f>
        <v>1</v>
      </c>
    </row>
    <row r="36" customFormat="false" ht="15" hidden="false" customHeight="false" outlineLevel="0" collapsed="false">
      <c r="A36" s="4" t="s">
        <v>38</v>
      </c>
      <c r="B36" s="4" t="s">
        <v>60</v>
      </c>
      <c r="C36" s="4" t="s">
        <v>186</v>
      </c>
      <c r="D36" s="4" t="n">
        <f aca="false">INDEX(Positions!$D$2:$D$1061,MATCH($A36&amp;"|7",Positions!$A$2:$A$1061,0))</f>
        <v>7</v>
      </c>
      <c r="E36" s="4" t="n">
        <f aca="false">INDEX(Positions!$D$2:$D$1061,MATCH($A36&amp;"|66",Positions!$A$2:$A$1061,0))</f>
        <v>89</v>
      </c>
      <c r="F36" s="4" t="str">
        <f aca="false">INDEX(Positions!$E$2:$E$1061,MATCH($A36&amp;"|7",Positions!$A$2:$A$1061,0))</f>
        <v>A</v>
      </c>
      <c r="G36" s="4" t="str">
        <f aca="false">INDEX(Positions!$E$2:$E$1061,MATCH($A36&amp;"|66",Positions!$A$2:$A$1061,0))</f>
        <v>U</v>
      </c>
      <c r="H36" s="3" t="str">
        <f aca="false">F36&amp;"-"&amp;G36</f>
        <v>A-U</v>
      </c>
      <c r="I36" s="4" t="n">
        <f aca="false">(F36="G")+(G36="G")</f>
        <v>0</v>
      </c>
      <c r="J36" s="4" t="n">
        <f aca="false">(F36="C")+(G36="C")</f>
        <v>0</v>
      </c>
      <c r="K36" s="3" t="n">
        <f aca="false">I36+J36</f>
        <v>0</v>
      </c>
    </row>
    <row r="37" customFormat="false" ht="15" hidden="false" customHeight="false" outlineLevel="0" collapsed="false">
      <c r="A37" s="4" t="s">
        <v>38</v>
      </c>
      <c r="B37" s="4" t="s">
        <v>75</v>
      </c>
      <c r="C37" s="4" t="s">
        <v>187</v>
      </c>
      <c r="D37" s="4" t="n">
        <f aca="false">INDEX(Positions!$D$2:$D$1061,MATCH($A37&amp;"|10",Positions!$A$2:$A$1061,0))</f>
        <v>10</v>
      </c>
      <c r="E37" s="4" t="n">
        <f aca="false">INDEX(Positions!$D$2:$D$1061,MATCH($A37&amp;"|25",Positions!$A$2:$A$1061,0))</f>
        <v>27</v>
      </c>
      <c r="F37" s="4" t="str">
        <f aca="false">INDEX(Positions!$E$2:$E$1061,MATCH($A37&amp;"|10",Positions!$A$2:$A$1061,0))</f>
        <v>U</v>
      </c>
      <c r="G37" s="4" t="str">
        <f aca="false">INDEX(Positions!$E$2:$E$1061,MATCH($A37&amp;"|25",Positions!$A$2:$A$1061,0))</f>
        <v>A</v>
      </c>
      <c r="H37" s="3" t="str">
        <f aca="false">F37&amp;"-"&amp;G37</f>
        <v>U-A</v>
      </c>
      <c r="I37" s="4" t="n">
        <f aca="false">(F37="G")+(G37="G")</f>
        <v>0</v>
      </c>
      <c r="J37" s="4" t="n">
        <f aca="false">(F37="C")+(G37="C")</f>
        <v>0</v>
      </c>
      <c r="K37" s="3" t="n">
        <f aca="false">I37+J37</f>
        <v>0</v>
      </c>
    </row>
    <row r="38" customFormat="false" ht="15" hidden="false" customHeight="false" outlineLevel="0" collapsed="false">
      <c r="A38" s="4" t="s">
        <v>38</v>
      </c>
      <c r="B38" s="4" t="s">
        <v>75</v>
      </c>
      <c r="C38" s="4" t="s">
        <v>188</v>
      </c>
      <c r="D38" s="4" t="n">
        <f aca="false">INDEX(Positions!$D$2:$D$1061,MATCH($A38&amp;"|11",Positions!$A$2:$A$1061,0))</f>
        <v>11</v>
      </c>
      <c r="E38" s="4" t="n">
        <f aca="false">INDEX(Positions!$D$2:$D$1061,MATCH($A38&amp;"|24",Positions!$A$2:$A$1061,0))</f>
        <v>26</v>
      </c>
      <c r="F38" s="4" t="str">
        <f aca="false">INDEX(Positions!$E$2:$E$1061,MATCH($A38&amp;"|11",Positions!$A$2:$A$1061,0))</f>
        <v>A</v>
      </c>
      <c r="G38" s="4" t="str">
        <f aca="false">INDEX(Positions!$E$2:$E$1061,MATCH($A38&amp;"|24",Positions!$A$2:$A$1061,0))</f>
        <v>U</v>
      </c>
      <c r="H38" s="3" t="str">
        <f aca="false">F38&amp;"-"&amp;G38</f>
        <v>A-U</v>
      </c>
      <c r="I38" s="4" t="n">
        <f aca="false">(F38="G")+(G38="G")</f>
        <v>0</v>
      </c>
      <c r="J38" s="4" t="n">
        <f aca="false">(F38="C")+(G38="C")</f>
        <v>0</v>
      </c>
      <c r="K38" s="3" t="n">
        <f aca="false">I38+J38</f>
        <v>0</v>
      </c>
    </row>
    <row r="39" customFormat="false" ht="15" hidden="false" customHeight="false" outlineLevel="0" collapsed="false">
      <c r="A39" s="4" t="s">
        <v>38</v>
      </c>
      <c r="B39" s="4" t="s">
        <v>75</v>
      </c>
      <c r="C39" s="4" t="s">
        <v>189</v>
      </c>
      <c r="D39" s="4" t="n">
        <f aca="false">INDEX(Positions!$D$2:$D$1061,MATCH($A39&amp;"|12",Positions!$A$2:$A$1061,0))</f>
        <v>12</v>
      </c>
      <c r="E39" s="4" t="n">
        <f aca="false">INDEX(Positions!$D$2:$D$1061,MATCH($A39&amp;"|23",Positions!$A$2:$A$1061,0))</f>
        <v>25</v>
      </c>
      <c r="F39" s="4" t="str">
        <f aca="false">INDEX(Positions!$E$2:$E$1061,MATCH($A39&amp;"|12",Positions!$A$2:$A$1061,0))</f>
        <v>G</v>
      </c>
      <c r="G39" s="4" t="str">
        <f aca="false">INDEX(Positions!$E$2:$E$1061,MATCH($A39&amp;"|23",Positions!$A$2:$A$1061,0))</f>
        <v>U</v>
      </c>
      <c r="H39" s="3" t="str">
        <f aca="false">F39&amp;"-"&amp;G39</f>
        <v>G-U</v>
      </c>
      <c r="I39" s="4" t="n">
        <f aca="false">(F39="G")+(G39="G")</f>
        <v>1</v>
      </c>
      <c r="J39" s="4" t="n">
        <f aca="false">(F39="C")+(G39="C")</f>
        <v>0</v>
      </c>
      <c r="K39" s="3" t="n">
        <f aca="false">I39+J39</f>
        <v>1</v>
      </c>
    </row>
    <row r="40" customFormat="false" ht="15" hidden="false" customHeight="false" outlineLevel="0" collapsed="false">
      <c r="A40" s="4" t="s">
        <v>38</v>
      </c>
      <c r="B40" s="4" t="s">
        <v>75</v>
      </c>
      <c r="C40" s="4" t="s">
        <v>190</v>
      </c>
      <c r="D40" s="4" t="n">
        <f aca="false">INDEX(Positions!$D$2:$D$1061,MATCH($A40&amp;"|13",Positions!$A$2:$A$1061,0))</f>
        <v>13</v>
      </c>
      <c r="E40" s="4" t="n">
        <f aca="false">INDEX(Positions!$D$2:$D$1061,MATCH($A40&amp;"|22",Positions!$A$2:$A$1061,0))</f>
        <v>24</v>
      </c>
      <c r="F40" s="4" t="str">
        <f aca="false">INDEX(Positions!$E$2:$E$1061,MATCH($A40&amp;"|13",Positions!$A$2:$A$1061,0))</f>
        <v>U</v>
      </c>
      <c r="G40" s="4" t="str">
        <f aca="false">INDEX(Positions!$E$2:$E$1061,MATCH($A40&amp;"|22",Positions!$A$2:$A$1061,0))</f>
        <v>A</v>
      </c>
      <c r="H40" s="3" t="str">
        <f aca="false">F40&amp;"-"&amp;G40</f>
        <v>U-A</v>
      </c>
      <c r="I40" s="4" t="n">
        <f aca="false">(F40="G")+(G40="G")</f>
        <v>0</v>
      </c>
      <c r="J40" s="4" t="n">
        <f aca="false">(F40="C")+(G40="C")</f>
        <v>0</v>
      </c>
      <c r="K40" s="3" t="n">
        <f aca="false">I40+J40</f>
        <v>0</v>
      </c>
    </row>
    <row r="41" customFormat="false" ht="15" hidden="false" customHeight="false" outlineLevel="0" collapsed="false">
      <c r="A41" s="4" t="s">
        <v>38</v>
      </c>
      <c r="B41" s="4" t="s">
        <v>96</v>
      </c>
      <c r="C41" s="4" t="s">
        <v>191</v>
      </c>
      <c r="D41" s="4" t="n">
        <f aca="false">INDEX(Positions!$D$2:$D$1061,MATCH($A41&amp;"|27",Positions!$A$2:$A$1061,0))</f>
        <v>29</v>
      </c>
      <c r="E41" s="4" t="n">
        <f aca="false">INDEX(Positions!$D$2:$D$1061,MATCH($A41&amp;"|43",Positions!$A$2:$A$1061,0))</f>
        <v>45</v>
      </c>
      <c r="F41" s="4" t="str">
        <f aca="false">INDEX(Positions!$E$2:$E$1061,MATCH($A41&amp;"|27",Positions!$A$2:$A$1061,0))</f>
        <v>G</v>
      </c>
      <c r="G41" s="4" t="str">
        <f aca="false">INDEX(Positions!$E$2:$E$1061,MATCH($A41&amp;"|43",Positions!$A$2:$A$1061,0))</f>
        <v>C</v>
      </c>
      <c r="H41" s="3" t="str">
        <f aca="false">F41&amp;"-"&amp;G41</f>
        <v>G-C</v>
      </c>
      <c r="I41" s="4" t="n">
        <f aca="false">(F41="G")+(G41="G")</f>
        <v>1</v>
      </c>
      <c r="J41" s="4" t="n">
        <f aca="false">(F41="C")+(G41="C")</f>
        <v>1</v>
      </c>
      <c r="K41" s="3" t="n">
        <f aca="false">I41+J41</f>
        <v>2</v>
      </c>
    </row>
    <row r="42" customFormat="false" ht="15" hidden="false" customHeight="false" outlineLevel="0" collapsed="false">
      <c r="A42" s="4" t="s">
        <v>38</v>
      </c>
      <c r="B42" s="4" t="s">
        <v>96</v>
      </c>
      <c r="C42" s="4" t="s">
        <v>192</v>
      </c>
      <c r="D42" s="4" t="n">
        <f aca="false">INDEX(Positions!$D$2:$D$1061,MATCH($A42&amp;"|28",Positions!$A$2:$A$1061,0))</f>
        <v>30</v>
      </c>
      <c r="E42" s="4" t="n">
        <f aca="false">INDEX(Positions!$D$2:$D$1061,MATCH($A42&amp;"|42",Positions!$A$2:$A$1061,0))</f>
        <v>44</v>
      </c>
      <c r="F42" s="4" t="str">
        <f aca="false">INDEX(Positions!$E$2:$E$1061,MATCH($A42&amp;"|28",Positions!$A$2:$A$1061,0))</f>
        <v>A</v>
      </c>
      <c r="G42" s="4" t="str">
        <f aca="false">INDEX(Positions!$E$2:$E$1061,MATCH($A42&amp;"|42",Positions!$A$2:$A$1061,0))</f>
        <v>U</v>
      </c>
      <c r="H42" s="3" t="str">
        <f aca="false">F42&amp;"-"&amp;G42</f>
        <v>A-U</v>
      </c>
      <c r="I42" s="4" t="n">
        <f aca="false">(F42="G")+(G42="G")</f>
        <v>0</v>
      </c>
      <c r="J42" s="4" t="n">
        <f aca="false">(F42="C")+(G42="C")</f>
        <v>0</v>
      </c>
      <c r="K42" s="3" t="n">
        <f aca="false">I42+J42</f>
        <v>0</v>
      </c>
    </row>
    <row r="43" customFormat="false" ht="15" hidden="false" customHeight="false" outlineLevel="0" collapsed="false">
      <c r="A43" s="4" t="s">
        <v>38</v>
      </c>
      <c r="B43" s="4" t="s">
        <v>96</v>
      </c>
      <c r="C43" s="4" t="s">
        <v>193</v>
      </c>
      <c r="D43" s="4" t="n">
        <f aca="false">INDEX(Positions!$D$2:$D$1061,MATCH($A43&amp;"|29",Positions!$A$2:$A$1061,0))</f>
        <v>31</v>
      </c>
      <c r="E43" s="4" t="n">
        <f aca="false">INDEX(Positions!$D$2:$D$1061,MATCH($A43&amp;"|41",Positions!$A$2:$A$1061,0))</f>
        <v>43</v>
      </c>
      <c r="F43" s="4" t="str">
        <f aca="false">INDEX(Positions!$E$2:$E$1061,MATCH($A43&amp;"|29",Positions!$A$2:$A$1061,0))</f>
        <v>U</v>
      </c>
      <c r="G43" s="4" t="str">
        <f aca="false">INDEX(Positions!$E$2:$E$1061,MATCH($A43&amp;"|41",Positions!$A$2:$A$1061,0))</f>
        <v>C</v>
      </c>
      <c r="H43" s="3" t="str">
        <f aca="false">F43&amp;"-"&amp;G43</f>
        <v>U-C</v>
      </c>
      <c r="I43" s="4" t="n">
        <f aca="false">(F43="G")+(G43="G")</f>
        <v>0</v>
      </c>
      <c r="J43" s="4" t="n">
        <f aca="false">(F43="C")+(G43="C")</f>
        <v>1</v>
      </c>
      <c r="K43" s="3" t="n">
        <f aca="false">I43+J43</f>
        <v>1</v>
      </c>
    </row>
    <row r="44" customFormat="false" ht="15" hidden="false" customHeight="false" outlineLevel="0" collapsed="false">
      <c r="A44" s="4" t="s">
        <v>38</v>
      </c>
      <c r="B44" s="4" t="s">
        <v>96</v>
      </c>
      <c r="C44" s="4" t="s">
        <v>194</v>
      </c>
      <c r="D44" s="4" t="n">
        <f aca="false">INDEX(Positions!$D$2:$D$1061,MATCH($A44&amp;"|30",Positions!$A$2:$A$1061,0))</f>
        <v>32</v>
      </c>
      <c r="E44" s="4" t="n">
        <f aca="false">INDEX(Positions!$D$2:$D$1061,MATCH($A44&amp;"|40",Positions!$A$2:$A$1061,0))</f>
        <v>42</v>
      </c>
      <c r="F44" s="4" t="str">
        <f aca="false">INDEX(Positions!$E$2:$E$1061,MATCH($A44&amp;"|30",Positions!$A$2:$A$1061,0))</f>
        <v>U</v>
      </c>
      <c r="G44" s="4" t="str">
        <f aca="false">INDEX(Positions!$E$2:$E$1061,MATCH($A44&amp;"|40",Positions!$A$2:$A$1061,0))</f>
        <v>A</v>
      </c>
      <c r="H44" s="3" t="str">
        <f aca="false">F44&amp;"-"&amp;G44</f>
        <v>U-A</v>
      </c>
      <c r="I44" s="4" t="n">
        <f aca="false">(F44="G")+(G44="G")</f>
        <v>0</v>
      </c>
      <c r="J44" s="4" t="n">
        <f aca="false">(F44="C")+(G44="C")</f>
        <v>0</v>
      </c>
      <c r="K44" s="3" t="n">
        <f aca="false">I44+J44</f>
        <v>0</v>
      </c>
    </row>
    <row r="45" customFormat="false" ht="15" hidden="false" customHeight="false" outlineLevel="0" collapsed="false">
      <c r="A45" s="4" t="s">
        <v>38</v>
      </c>
      <c r="B45" s="4" t="s">
        <v>96</v>
      </c>
      <c r="C45" s="4" t="s">
        <v>195</v>
      </c>
      <c r="D45" s="4" t="n">
        <f aca="false">INDEX(Positions!$D$2:$D$1061,MATCH($A45&amp;"|31",Positions!$A$2:$A$1061,0))</f>
        <v>33</v>
      </c>
      <c r="E45" s="4" t="n">
        <f aca="false">INDEX(Positions!$D$2:$D$1061,MATCH($A45&amp;"|39",Positions!$A$2:$A$1061,0))</f>
        <v>41</v>
      </c>
      <c r="F45" s="4" t="str">
        <f aca="false">INDEX(Positions!$E$2:$E$1061,MATCH($A45&amp;"|31",Positions!$A$2:$A$1061,0))</f>
        <v>U</v>
      </c>
      <c r="G45" s="4" t="str">
        <f aca="false">INDEX(Positions!$E$2:$E$1061,MATCH($A45&amp;"|39",Positions!$A$2:$A$1061,0))</f>
        <v>A</v>
      </c>
      <c r="H45" s="3" t="str">
        <f aca="false">F45&amp;"-"&amp;G45</f>
        <v>U-A</v>
      </c>
      <c r="I45" s="4" t="n">
        <f aca="false">(F45="G")+(G45="G")</f>
        <v>0</v>
      </c>
      <c r="J45" s="4" t="n">
        <f aca="false">(F45="C")+(G45="C")</f>
        <v>0</v>
      </c>
      <c r="K45" s="3" t="n">
        <f aca="false">I45+J45</f>
        <v>0</v>
      </c>
    </row>
    <row r="46" customFormat="false" ht="15" hidden="false" customHeight="false" outlineLevel="0" collapsed="false">
      <c r="A46" s="4" t="s">
        <v>38</v>
      </c>
      <c r="B46" s="4" t="s">
        <v>126</v>
      </c>
      <c r="C46" s="4" t="s">
        <v>196</v>
      </c>
      <c r="D46" s="4" t="n">
        <f aca="false">INDEX(Positions!$D$2:$D$1061,MATCH($A46&amp;"|49",Positions!$A$2:$A$1061,0))</f>
        <v>72</v>
      </c>
      <c r="E46" s="4" t="n">
        <f aca="false">INDEX(Positions!$D$2:$D$1061,MATCH($A46&amp;"|65",Positions!$A$2:$A$1061,0))</f>
        <v>88</v>
      </c>
      <c r="F46" s="4" t="str">
        <f aca="false">INDEX(Positions!$E$2:$E$1061,MATCH($A46&amp;"|49",Positions!$A$2:$A$1061,0))</f>
        <v>U</v>
      </c>
      <c r="G46" s="4" t="str">
        <f aca="false">INDEX(Positions!$E$2:$E$1061,MATCH($A46&amp;"|65",Positions!$A$2:$A$1061,0))</f>
        <v>A</v>
      </c>
      <c r="H46" s="3" t="str">
        <f aca="false">F46&amp;"-"&amp;G46</f>
        <v>U-A</v>
      </c>
      <c r="I46" s="4" t="n">
        <f aca="false">(F46="G")+(G46="G")</f>
        <v>0</v>
      </c>
      <c r="J46" s="4" t="n">
        <f aca="false">(F46="C")+(G46="C")</f>
        <v>0</v>
      </c>
      <c r="K46" s="3" t="n">
        <f aca="false">I46+J46</f>
        <v>0</v>
      </c>
    </row>
    <row r="47" customFormat="false" ht="15" hidden="false" customHeight="false" outlineLevel="0" collapsed="false">
      <c r="A47" s="4" t="s">
        <v>38</v>
      </c>
      <c r="B47" s="4" t="s">
        <v>126</v>
      </c>
      <c r="C47" s="4" t="s">
        <v>197</v>
      </c>
      <c r="D47" s="4" t="n">
        <f aca="false">INDEX(Positions!$D$2:$D$1061,MATCH($A47&amp;"|50",Positions!$A$2:$A$1061,0))</f>
        <v>73</v>
      </c>
      <c r="E47" s="4" t="n">
        <f aca="false">INDEX(Positions!$D$2:$D$1061,MATCH($A47&amp;"|64",Positions!$A$2:$A$1061,0))</f>
        <v>87</v>
      </c>
      <c r="F47" s="4" t="str">
        <f aca="false">INDEX(Positions!$E$2:$E$1061,MATCH($A47&amp;"|50",Positions!$A$2:$A$1061,0))</f>
        <v>C</v>
      </c>
      <c r="G47" s="4" t="str">
        <f aca="false">INDEX(Positions!$E$2:$E$1061,MATCH($A47&amp;"|64",Positions!$A$2:$A$1061,0))</f>
        <v>G</v>
      </c>
      <c r="H47" s="3" t="str">
        <f aca="false">F47&amp;"-"&amp;G47</f>
        <v>C-G</v>
      </c>
      <c r="I47" s="4" t="n">
        <f aca="false">(F47="G")+(G47="G")</f>
        <v>1</v>
      </c>
      <c r="J47" s="4" t="n">
        <f aca="false">(F47="C")+(G47="C")</f>
        <v>1</v>
      </c>
      <c r="K47" s="3" t="n">
        <f aca="false">I47+J47</f>
        <v>2</v>
      </c>
    </row>
    <row r="48" customFormat="false" ht="15" hidden="false" customHeight="false" outlineLevel="0" collapsed="false">
      <c r="A48" s="4" t="s">
        <v>38</v>
      </c>
      <c r="B48" s="4" t="s">
        <v>126</v>
      </c>
      <c r="C48" s="4" t="s">
        <v>198</v>
      </c>
      <c r="D48" s="4" t="n">
        <f aca="false">INDEX(Positions!$D$2:$D$1061,MATCH($A48&amp;"|51",Positions!$A$2:$A$1061,0))</f>
        <v>74</v>
      </c>
      <c r="E48" s="4" t="n">
        <f aca="false">INDEX(Positions!$D$2:$D$1061,MATCH($A48&amp;"|63",Positions!$A$2:$A$1061,0))</f>
        <v>86</v>
      </c>
      <c r="F48" s="4" t="str">
        <f aca="false">INDEX(Positions!$E$2:$E$1061,MATCH($A48&amp;"|51",Positions!$A$2:$A$1061,0))</f>
        <v>A</v>
      </c>
      <c r="G48" s="4" t="str">
        <f aca="false">INDEX(Positions!$E$2:$E$1061,MATCH($A48&amp;"|63",Positions!$A$2:$A$1061,0))</f>
        <v>U</v>
      </c>
      <c r="H48" s="3" t="str">
        <f aca="false">F48&amp;"-"&amp;G48</f>
        <v>A-U</v>
      </c>
      <c r="I48" s="4" t="n">
        <f aca="false">(F48="G")+(G48="G")</f>
        <v>0</v>
      </c>
      <c r="J48" s="4" t="n">
        <f aca="false">(F48="C")+(G48="C")</f>
        <v>0</v>
      </c>
      <c r="K48" s="3" t="n">
        <f aca="false">I48+J48</f>
        <v>0</v>
      </c>
    </row>
    <row r="49" customFormat="false" ht="15" hidden="false" customHeight="false" outlineLevel="0" collapsed="false">
      <c r="A49" s="4" t="s">
        <v>38</v>
      </c>
      <c r="B49" s="4" t="s">
        <v>126</v>
      </c>
      <c r="C49" s="4" t="s">
        <v>199</v>
      </c>
      <c r="D49" s="4" t="n">
        <f aca="false">INDEX(Positions!$D$2:$D$1061,MATCH($A49&amp;"|52",Positions!$A$2:$A$1061,0))</f>
        <v>75</v>
      </c>
      <c r="E49" s="4" t="n">
        <f aca="false">INDEX(Positions!$D$2:$D$1061,MATCH($A49&amp;"|62",Positions!$A$2:$A$1061,0))</f>
        <v>85</v>
      </c>
      <c r="F49" s="4" t="str">
        <f aca="false">INDEX(Positions!$E$2:$E$1061,MATCH($A49&amp;"|52",Positions!$A$2:$A$1061,0))</f>
        <v>G</v>
      </c>
      <c r="G49" s="4" t="str">
        <f aca="false">INDEX(Positions!$E$2:$E$1061,MATCH($A49&amp;"|62",Positions!$A$2:$A$1061,0))</f>
        <v>U</v>
      </c>
      <c r="H49" s="3" t="str">
        <f aca="false">F49&amp;"-"&amp;G49</f>
        <v>G-U</v>
      </c>
      <c r="I49" s="4" t="n">
        <f aca="false">(F49="G")+(G49="G")</f>
        <v>1</v>
      </c>
      <c r="J49" s="4" t="n">
        <f aca="false">(F49="C")+(G49="C")</f>
        <v>0</v>
      </c>
      <c r="K49" s="3" t="n">
        <f aca="false">I49+J49</f>
        <v>1</v>
      </c>
    </row>
    <row r="50" customFormat="false" ht="15" hidden="false" customHeight="false" outlineLevel="0" collapsed="false">
      <c r="A50" s="4" t="s">
        <v>38</v>
      </c>
      <c r="B50" s="4" t="s">
        <v>126</v>
      </c>
      <c r="C50" s="4" t="s">
        <v>200</v>
      </c>
      <c r="D50" s="4" t="n">
        <f aca="false">INDEX(Positions!$D$2:$D$1061,MATCH($A50&amp;"|53",Positions!$A$2:$A$1061,0))</f>
        <v>76</v>
      </c>
      <c r="E50" s="4" t="n">
        <f aca="false">INDEX(Positions!$D$2:$D$1061,MATCH($A50&amp;"|61",Positions!$A$2:$A$1061,0))</f>
        <v>84</v>
      </c>
      <c r="F50" s="4" t="str">
        <f aca="false">INDEX(Positions!$E$2:$E$1061,MATCH($A50&amp;"|53",Positions!$A$2:$A$1061,0))</f>
        <v>G</v>
      </c>
      <c r="G50" s="4" t="str">
        <f aca="false">INDEX(Positions!$E$2:$E$1061,MATCH($A50&amp;"|61",Positions!$A$2:$A$1061,0))</f>
        <v>C</v>
      </c>
      <c r="H50" s="3" t="str">
        <f aca="false">F50&amp;"-"&amp;G50</f>
        <v>G-C</v>
      </c>
      <c r="I50" s="4" t="n">
        <f aca="false">(F50="G")+(G50="G")</f>
        <v>1</v>
      </c>
      <c r="J50" s="4" t="n">
        <f aca="false">(F50="C")+(G50="C")</f>
        <v>1</v>
      </c>
      <c r="K50" s="3" t="n">
        <f aca="false">I50+J50</f>
        <v>2</v>
      </c>
    </row>
    <row r="51" customFormat="false" ht="15" hidden="false" customHeight="false" outlineLevel="0" collapsed="false">
      <c r="A51" s="23" t="s">
        <v>38</v>
      </c>
      <c r="B51" s="23" t="s">
        <v>201</v>
      </c>
      <c r="C51" s="23" t="s">
        <v>202</v>
      </c>
      <c r="D51" s="23" t="n">
        <f aca="false">INDEX(Positions!$D$2:$D$1061,MATCH($A51&amp;"|8",Positions!$A$2:$A$1061,0))</f>
        <v>8</v>
      </c>
      <c r="E51" s="23" t="n">
        <f aca="false">INDEX(Positions!$D$2:$D$1061,MATCH($A51&amp;"|14",Positions!$A$2:$A$1061,0))</f>
        <v>14</v>
      </c>
      <c r="F51" s="23" t="str">
        <f aca="false">INDEX(Positions!$E$2:$E$1061,MATCH($A51&amp;"|8",Positions!$A$2:$A$1061,0))</f>
        <v>U</v>
      </c>
      <c r="G51" s="23" t="str">
        <f aca="false">INDEX(Positions!$E$2:$E$1061,MATCH($A51&amp;"|14",Positions!$A$2:$A$1061,0))</f>
        <v>U</v>
      </c>
      <c r="H51" s="24" t="str">
        <f aca="false">F51&amp;"-"&amp;G51</f>
        <v>U-U</v>
      </c>
      <c r="I51" s="23" t="n">
        <f aca="false">(F51="G")+(G51="G")</f>
        <v>0</v>
      </c>
      <c r="J51" s="23" t="n">
        <f aca="false">(F51="C")+(G51="C")</f>
        <v>0</v>
      </c>
      <c r="K51" s="24" t="n">
        <f aca="false">I51+J51</f>
        <v>0</v>
      </c>
    </row>
    <row r="52" customFormat="false" ht="15" hidden="false" customHeight="false" outlineLevel="0" collapsed="false">
      <c r="A52" s="23" t="s">
        <v>38</v>
      </c>
      <c r="B52" s="23" t="s">
        <v>201</v>
      </c>
      <c r="C52" s="23" t="s">
        <v>203</v>
      </c>
      <c r="D52" s="23" t="n">
        <f aca="false">INDEX(Positions!$D$2:$D$1061,MATCH($A52&amp;"|15",Positions!$A$2:$A$1061,0))</f>
        <v>15</v>
      </c>
      <c r="E52" s="23" t="n">
        <f aca="false">INDEX(Positions!$D$2:$D$1061,MATCH($A52&amp;"|48",Positions!$A$2:$A$1061,0))</f>
        <v>71</v>
      </c>
      <c r="F52" s="23" t="str">
        <f aca="false">INDEX(Positions!$E$2:$E$1061,MATCH($A52&amp;"|15",Positions!$A$2:$A$1061,0))</f>
        <v>G</v>
      </c>
      <c r="G52" s="23" t="str">
        <f aca="false">INDEX(Positions!$E$2:$E$1061,MATCH($A52&amp;"|48",Positions!$A$2:$A$1061,0))</f>
        <v>C</v>
      </c>
      <c r="H52" s="24" t="str">
        <f aca="false">F52&amp;"-"&amp;G52</f>
        <v>G-C</v>
      </c>
      <c r="I52" s="23" t="n">
        <f aca="false">(F52="G")+(G52="G")</f>
        <v>1</v>
      </c>
      <c r="J52" s="23" t="n">
        <f aca="false">(F52="C")+(G52="C")</f>
        <v>1</v>
      </c>
      <c r="K52" s="24" t="n">
        <f aca="false">I52+J52</f>
        <v>2</v>
      </c>
    </row>
    <row r="53" customFormat="false" ht="15" hidden="false" customHeight="false" outlineLevel="0" collapsed="false">
      <c r="A53" s="23" t="s">
        <v>38</v>
      </c>
      <c r="B53" s="23" t="s">
        <v>201</v>
      </c>
      <c r="C53" s="23" t="s">
        <v>204</v>
      </c>
      <c r="D53" s="23" t="n">
        <f aca="false">INDEX(Positions!$D$2:$D$1061,MATCH($A53&amp;"|18",Positions!$A$2:$A$1061,0))</f>
        <v>19</v>
      </c>
      <c r="E53" s="23" t="n">
        <f aca="false">INDEX(Positions!$D$2:$D$1061,MATCH($A53&amp;"|55",Positions!$A$2:$A$1061,0))</f>
        <v>78</v>
      </c>
      <c r="F53" s="23" t="str">
        <f aca="false">INDEX(Positions!$E$2:$E$1061,MATCH($A53&amp;"|18",Positions!$A$2:$A$1061,0))</f>
        <v>G</v>
      </c>
      <c r="G53" s="23" t="str">
        <f aca="false">INDEX(Positions!$E$2:$E$1061,MATCH($A53&amp;"|55",Positions!$A$2:$A$1061,0))</f>
        <v>U</v>
      </c>
      <c r="H53" s="24" t="str">
        <f aca="false">F53&amp;"-"&amp;G53</f>
        <v>G-U</v>
      </c>
      <c r="I53" s="23" t="n">
        <f aca="false">(F53="G")+(G53="G")</f>
        <v>1</v>
      </c>
      <c r="J53" s="23" t="n">
        <f aca="false">(F53="C")+(G53="C")</f>
        <v>0</v>
      </c>
      <c r="K53" s="24" t="n">
        <f aca="false">I53+J53</f>
        <v>1</v>
      </c>
    </row>
    <row r="54" customFormat="false" ht="15" hidden="false" customHeight="false" outlineLevel="0" collapsed="false">
      <c r="A54" s="23" t="s">
        <v>38</v>
      </c>
      <c r="B54" s="23" t="s">
        <v>201</v>
      </c>
      <c r="C54" s="23" t="s">
        <v>205</v>
      </c>
      <c r="D54" s="23" t="n">
        <f aca="false">INDEX(Positions!$D$2:$D$1061,MATCH($A54&amp;"|19",Positions!$A$2:$A$1061,0))</f>
        <v>20</v>
      </c>
      <c r="E54" s="23" t="n">
        <f aca="false">INDEX(Positions!$D$2:$D$1061,MATCH($A54&amp;"|56",Positions!$A$2:$A$1061,0))</f>
        <v>79</v>
      </c>
      <c r="F54" s="23" t="str">
        <f aca="false">INDEX(Positions!$E$2:$E$1061,MATCH($A54&amp;"|19",Positions!$A$2:$A$1061,0))</f>
        <v>G</v>
      </c>
      <c r="G54" s="23" t="str">
        <f aca="false">INDEX(Positions!$E$2:$E$1061,MATCH($A54&amp;"|56",Positions!$A$2:$A$1061,0))</f>
        <v>C</v>
      </c>
      <c r="H54" s="24" t="str">
        <f aca="false">F54&amp;"-"&amp;G54</f>
        <v>G-C</v>
      </c>
      <c r="I54" s="23" t="n">
        <f aca="false">(F54="G")+(G54="G")</f>
        <v>1</v>
      </c>
      <c r="J54" s="23" t="n">
        <f aca="false">(F54="C")+(G54="C")</f>
        <v>1</v>
      </c>
      <c r="K54" s="24" t="n">
        <f aca="false">I54+J54</f>
        <v>2</v>
      </c>
    </row>
    <row r="55" customFormat="false" ht="15" hidden="false" customHeight="false" outlineLevel="0" collapsed="false">
      <c r="A55" s="23" t="s">
        <v>38</v>
      </c>
      <c r="B55" s="23" t="s">
        <v>201</v>
      </c>
      <c r="C55" s="23" t="s">
        <v>206</v>
      </c>
      <c r="D55" s="23" t="n">
        <f aca="false">INDEX(Positions!$D$2:$D$1061,MATCH($A55&amp;"|26",Positions!$A$2:$A$1061,0))</f>
        <v>28</v>
      </c>
      <c r="E55" s="23" t="n">
        <f aca="false">INDEX(Positions!$D$2:$D$1061,MATCH($A55&amp;"|44",Positions!$A$2:$A$1061,0))</f>
        <v>46</v>
      </c>
      <c r="F55" s="23" t="str">
        <f aca="false">INDEX(Positions!$E$2:$E$1061,MATCH($A55&amp;"|26",Positions!$A$2:$A$1061,0))</f>
        <v>U</v>
      </c>
      <c r="G55" s="23" t="str">
        <f aca="false">INDEX(Positions!$E$2:$E$1061,MATCH($A55&amp;"|44",Positions!$A$2:$A$1061,0))</f>
        <v>A</v>
      </c>
      <c r="H55" s="24" t="str">
        <f aca="false">F55&amp;"-"&amp;G55</f>
        <v>U-A</v>
      </c>
      <c r="I55" s="23" t="n">
        <f aca="false">(F55="G")+(G55="G")</f>
        <v>0</v>
      </c>
      <c r="J55" s="23" t="n">
        <f aca="false">(F55="C")+(G55="C")</f>
        <v>0</v>
      </c>
      <c r="K55" s="24" t="n">
        <f aca="false">I55+J55</f>
        <v>0</v>
      </c>
    </row>
    <row r="56" customFormat="false" ht="15" hidden="false" customHeight="false" outlineLevel="0" collapsed="false">
      <c r="A56" s="23" t="s">
        <v>38</v>
      </c>
      <c r="B56" s="23" t="s">
        <v>201</v>
      </c>
      <c r="C56" s="23" t="s">
        <v>207</v>
      </c>
      <c r="D56" s="23" t="n">
        <f aca="false">INDEX(Positions!$D$2:$D$1061,MATCH($A56&amp;"|32",Positions!$A$2:$A$1061,0))</f>
        <v>34</v>
      </c>
      <c r="E56" s="23" t="n">
        <f aca="false">INDEX(Positions!$D$2:$D$1061,MATCH($A56&amp;"|38",Positions!$A$2:$A$1061,0))</f>
        <v>40</v>
      </c>
      <c r="F56" s="23" t="str">
        <f aca="false">INDEX(Positions!$E$2:$E$1061,MATCH($A56&amp;"|32",Positions!$A$2:$A$1061,0))</f>
        <v>U</v>
      </c>
      <c r="G56" s="23" t="str">
        <f aca="false">INDEX(Positions!$E$2:$E$1061,MATCH($A56&amp;"|38",Positions!$A$2:$A$1061,0))</f>
        <v>A</v>
      </c>
      <c r="H56" s="24" t="str">
        <f aca="false">F56&amp;"-"&amp;G56</f>
        <v>U-A</v>
      </c>
      <c r="I56" s="23" t="n">
        <f aca="false">(F56="G")+(G56="G")</f>
        <v>0</v>
      </c>
      <c r="J56" s="23" t="n">
        <f aca="false">(F56="C")+(G56="C")</f>
        <v>0</v>
      </c>
      <c r="K56" s="24" t="n">
        <f aca="false">I56+J56</f>
        <v>0</v>
      </c>
    </row>
    <row r="57" customFormat="false" ht="15" hidden="false" customHeight="false" outlineLevel="0" collapsed="false">
      <c r="A57" s="23" t="s">
        <v>38</v>
      </c>
      <c r="B57" s="23" t="s">
        <v>201</v>
      </c>
      <c r="C57" s="23" t="s">
        <v>208</v>
      </c>
      <c r="D57" s="23" t="n">
        <f aca="false">INDEX(Positions!$D$2:$D$1061,MATCH($A57&amp;"|54",Positions!$A$2:$A$1061,0))</f>
        <v>77</v>
      </c>
      <c r="E57" s="23" t="n">
        <f aca="false">INDEX(Positions!$D$2:$D$1061,MATCH($A57&amp;"|58",Positions!$A$2:$A$1061,0))</f>
        <v>81</v>
      </c>
      <c r="F57" s="23" t="str">
        <f aca="false">INDEX(Positions!$E$2:$E$1061,MATCH($A57&amp;"|54",Positions!$A$2:$A$1061,0))</f>
        <v>A</v>
      </c>
      <c r="G57" s="23" t="str">
        <f aca="false">INDEX(Positions!$E$2:$E$1061,MATCH($A57&amp;"|58",Positions!$A$2:$A$1061,0))</f>
        <v>U</v>
      </c>
      <c r="H57" s="24" t="str">
        <f aca="false">F57&amp;"-"&amp;G57</f>
        <v>A-U</v>
      </c>
      <c r="I57" s="23" t="n">
        <f aca="false">(F57="G")+(G57="G")</f>
        <v>0</v>
      </c>
      <c r="J57" s="23" t="n">
        <f aca="false">(F57="C")+(G57="C")</f>
        <v>0</v>
      </c>
      <c r="K57" s="24" t="n">
        <f aca="false">I57+J57</f>
        <v>0</v>
      </c>
    </row>
    <row r="58" customFormat="false" ht="15" hidden="false" customHeight="false" outlineLevel="0" collapsed="false">
      <c r="A58" s="4" t="s">
        <v>39</v>
      </c>
      <c r="B58" s="4" t="s">
        <v>60</v>
      </c>
      <c r="C58" s="4" t="s">
        <v>180</v>
      </c>
      <c r="D58" s="4" t="n">
        <f aca="false">INDEX(Positions!$D$2:$D$1061,MATCH($A58&amp;"|1",Positions!$A$2:$A$1061,0))</f>
        <v>1</v>
      </c>
      <c r="E58" s="4" t="n">
        <f aca="false">INDEX(Positions!$D$2:$D$1061,MATCH($A58&amp;"|72",Positions!$A$2:$A$1061,0))</f>
        <v>86</v>
      </c>
      <c r="F58" s="4" t="str">
        <f aca="false">INDEX(Positions!$E$2:$E$1061,MATCH($A58&amp;"|1",Positions!$A$2:$A$1061,0))</f>
        <v>G</v>
      </c>
      <c r="G58" s="4" t="str">
        <f aca="false">INDEX(Positions!$E$2:$E$1061,MATCH($A58&amp;"|72",Positions!$A$2:$A$1061,0))</f>
        <v>U</v>
      </c>
      <c r="H58" s="3" t="str">
        <f aca="false">F58&amp;"-"&amp;G58</f>
        <v>G-U</v>
      </c>
      <c r="I58" s="4" t="n">
        <f aca="false">(F58="G")+(G58="G")</f>
        <v>1</v>
      </c>
      <c r="J58" s="4" t="n">
        <f aca="false">(F58="C")+(G58="C")</f>
        <v>0</v>
      </c>
      <c r="K58" s="3" t="n">
        <f aca="false">I58+J58</f>
        <v>1</v>
      </c>
    </row>
    <row r="59" customFormat="false" ht="15" hidden="false" customHeight="false" outlineLevel="0" collapsed="false">
      <c r="A59" s="4" t="s">
        <v>39</v>
      </c>
      <c r="B59" s="4" t="s">
        <v>60</v>
      </c>
      <c r="C59" s="4" t="s">
        <v>181</v>
      </c>
      <c r="D59" s="4" t="n">
        <f aca="false">INDEX(Positions!$D$2:$D$1061,MATCH($A59&amp;"|2",Positions!$A$2:$A$1061,0))</f>
        <v>2</v>
      </c>
      <c r="E59" s="4" t="n">
        <f aca="false">INDEX(Positions!$D$2:$D$1061,MATCH($A59&amp;"|71",Positions!$A$2:$A$1061,0))</f>
        <v>85</v>
      </c>
      <c r="F59" s="4" t="str">
        <f aca="false">INDEX(Positions!$E$2:$E$1061,MATCH($A59&amp;"|2",Positions!$A$2:$A$1061,0))</f>
        <v>A</v>
      </c>
      <c r="G59" s="4" t="str">
        <f aca="false">INDEX(Positions!$E$2:$E$1061,MATCH($A59&amp;"|71",Positions!$A$2:$A$1061,0))</f>
        <v>U</v>
      </c>
      <c r="H59" s="3" t="str">
        <f aca="false">F59&amp;"-"&amp;G59</f>
        <v>A-U</v>
      </c>
      <c r="I59" s="4" t="n">
        <f aca="false">(F59="G")+(G59="G")</f>
        <v>0</v>
      </c>
      <c r="J59" s="4" t="n">
        <f aca="false">(F59="C")+(G59="C")</f>
        <v>0</v>
      </c>
      <c r="K59" s="3" t="n">
        <f aca="false">I59+J59</f>
        <v>0</v>
      </c>
    </row>
    <row r="60" customFormat="false" ht="15" hidden="false" customHeight="false" outlineLevel="0" collapsed="false">
      <c r="A60" s="4" t="s">
        <v>39</v>
      </c>
      <c r="B60" s="4" t="s">
        <v>60</v>
      </c>
      <c r="C60" s="4" t="s">
        <v>182</v>
      </c>
      <c r="D60" s="4" t="n">
        <f aca="false">INDEX(Positions!$D$2:$D$1061,MATCH($A60&amp;"|3",Positions!$A$2:$A$1061,0))</f>
        <v>3</v>
      </c>
      <c r="E60" s="4" t="n">
        <f aca="false">INDEX(Positions!$D$2:$D$1061,MATCH($A60&amp;"|70",Positions!$A$2:$A$1061,0))</f>
        <v>84</v>
      </c>
      <c r="F60" s="4" t="str">
        <f aca="false">INDEX(Positions!$E$2:$E$1061,MATCH($A60&amp;"|3",Positions!$A$2:$A$1061,0))</f>
        <v>G</v>
      </c>
      <c r="G60" s="4" t="str">
        <f aca="false">INDEX(Positions!$E$2:$E$1061,MATCH($A60&amp;"|70",Positions!$A$2:$A$1061,0))</f>
        <v>C</v>
      </c>
      <c r="H60" s="3" t="str">
        <f aca="false">F60&amp;"-"&amp;G60</f>
        <v>G-C</v>
      </c>
      <c r="I60" s="4" t="n">
        <f aca="false">(F60="G")+(G60="G")</f>
        <v>1</v>
      </c>
      <c r="J60" s="4" t="n">
        <f aca="false">(F60="C")+(G60="C")</f>
        <v>1</v>
      </c>
      <c r="K60" s="3" t="n">
        <f aca="false">I60+J60</f>
        <v>2</v>
      </c>
    </row>
    <row r="61" customFormat="false" ht="15" hidden="false" customHeight="false" outlineLevel="0" collapsed="false">
      <c r="A61" s="4" t="s">
        <v>39</v>
      </c>
      <c r="B61" s="4" t="s">
        <v>60</v>
      </c>
      <c r="C61" s="4" t="s">
        <v>183</v>
      </c>
      <c r="D61" s="4" t="n">
        <f aca="false">INDEX(Positions!$D$2:$D$1061,MATCH($A61&amp;"|4",Positions!$A$2:$A$1061,0))</f>
        <v>4</v>
      </c>
      <c r="E61" s="4" t="n">
        <f aca="false">INDEX(Positions!$D$2:$D$1061,MATCH($A61&amp;"|69",Positions!$A$2:$A$1061,0))</f>
        <v>83</v>
      </c>
      <c r="F61" s="4" t="str">
        <f aca="false">INDEX(Positions!$E$2:$E$1061,MATCH($A61&amp;"|4",Positions!$A$2:$A$1061,0))</f>
        <v>U</v>
      </c>
      <c r="G61" s="4" t="str">
        <f aca="false">INDEX(Positions!$E$2:$E$1061,MATCH($A61&amp;"|69",Positions!$A$2:$A$1061,0))</f>
        <v>A</v>
      </c>
      <c r="H61" s="3" t="str">
        <f aca="false">F61&amp;"-"&amp;G61</f>
        <v>U-A</v>
      </c>
      <c r="I61" s="4" t="n">
        <f aca="false">(F61="G")+(G61="G")</f>
        <v>0</v>
      </c>
      <c r="J61" s="4" t="n">
        <f aca="false">(F61="C")+(G61="C")</f>
        <v>0</v>
      </c>
      <c r="K61" s="3" t="n">
        <f aca="false">I61+J61</f>
        <v>0</v>
      </c>
    </row>
    <row r="62" customFormat="false" ht="15" hidden="false" customHeight="false" outlineLevel="0" collapsed="false">
      <c r="A62" s="4" t="s">
        <v>39</v>
      </c>
      <c r="B62" s="4" t="s">
        <v>60</v>
      </c>
      <c r="C62" s="4" t="s">
        <v>184</v>
      </c>
      <c r="D62" s="4" t="n">
        <f aca="false">INDEX(Positions!$D$2:$D$1061,MATCH($A62&amp;"|5",Positions!$A$2:$A$1061,0))</f>
        <v>5</v>
      </c>
      <c r="E62" s="4" t="n">
        <f aca="false">INDEX(Positions!$D$2:$D$1061,MATCH($A62&amp;"|68",Positions!$A$2:$A$1061,0))</f>
        <v>82</v>
      </c>
      <c r="F62" s="4" t="str">
        <f aca="false">INDEX(Positions!$E$2:$E$1061,MATCH($A62&amp;"|5",Positions!$A$2:$A$1061,0))</f>
        <v>U</v>
      </c>
      <c r="G62" s="4" t="str">
        <f aca="false">INDEX(Positions!$E$2:$E$1061,MATCH($A62&amp;"|68",Positions!$A$2:$A$1061,0))</f>
        <v>U</v>
      </c>
      <c r="H62" s="3" t="str">
        <f aca="false">F62&amp;"-"&amp;G62</f>
        <v>U-U</v>
      </c>
      <c r="I62" s="4" t="n">
        <f aca="false">(F62="G")+(G62="G")</f>
        <v>0</v>
      </c>
      <c r="J62" s="4" t="n">
        <f aca="false">(F62="C")+(G62="C")</f>
        <v>0</v>
      </c>
      <c r="K62" s="3" t="n">
        <f aca="false">I62+J62</f>
        <v>0</v>
      </c>
    </row>
    <row r="63" customFormat="false" ht="15" hidden="false" customHeight="false" outlineLevel="0" collapsed="false">
      <c r="A63" s="4" t="s">
        <v>39</v>
      </c>
      <c r="B63" s="4" t="s">
        <v>60</v>
      </c>
      <c r="C63" s="4" t="s">
        <v>185</v>
      </c>
      <c r="D63" s="4" t="n">
        <f aca="false">INDEX(Positions!$D$2:$D$1061,MATCH($A63&amp;"|6",Positions!$A$2:$A$1061,0))</f>
        <v>6</v>
      </c>
      <c r="E63" s="4" t="n">
        <f aca="false">INDEX(Positions!$D$2:$D$1061,MATCH($A63&amp;"|67",Positions!$A$2:$A$1061,0))</f>
        <v>81</v>
      </c>
      <c r="F63" s="4" t="str">
        <f aca="false">INDEX(Positions!$E$2:$E$1061,MATCH($A63&amp;"|6",Positions!$A$2:$A$1061,0))</f>
        <v>G</v>
      </c>
      <c r="G63" s="4" t="str">
        <f aca="false">INDEX(Positions!$E$2:$E$1061,MATCH($A63&amp;"|67",Positions!$A$2:$A$1061,0))</f>
        <v>C</v>
      </c>
      <c r="H63" s="3" t="str">
        <f aca="false">F63&amp;"-"&amp;G63</f>
        <v>G-C</v>
      </c>
      <c r="I63" s="4" t="n">
        <f aca="false">(F63="G")+(G63="G")</f>
        <v>1</v>
      </c>
      <c r="J63" s="4" t="n">
        <f aca="false">(F63="C")+(G63="C")</f>
        <v>1</v>
      </c>
      <c r="K63" s="3" t="n">
        <f aca="false">I63+J63</f>
        <v>2</v>
      </c>
    </row>
    <row r="64" customFormat="false" ht="15" hidden="false" customHeight="false" outlineLevel="0" collapsed="false">
      <c r="A64" s="4" t="s">
        <v>39</v>
      </c>
      <c r="B64" s="4" t="s">
        <v>60</v>
      </c>
      <c r="C64" s="4" t="s">
        <v>186</v>
      </c>
      <c r="D64" s="4" t="n">
        <f aca="false">INDEX(Positions!$D$2:$D$1061,MATCH($A64&amp;"|7",Positions!$A$2:$A$1061,0))</f>
        <v>7</v>
      </c>
      <c r="E64" s="4" t="n">
        <f aca="false">INDEX(Positions!$D$2:$D$1061,MATCH($A64&amp;"|66",Positions!$A$2:$A$1061,0))</f>
        <v>80</v>
      </c>
      <c r="F64" s="4" t="str">
        <f aca="false">INDEX(Positions!$E$2:$E$1061,MATCH($A64&amp;"|7",Positions!$A$2:$A$1061,0))</f>
        <v>A</v>
      </c>
      <c r="G64" s="4" t="str">
        <f aca="false">INDEX(Positions!$E$2:$E$1061,MATCH($A64&amp;"|66",Positions!$A$2:$A$1061,0))</f>
        <v>U</v>
      </c>
      <c r="H64" s="3" t="str">
        <f aca="false">F64&amp;"-"&amp;G64</f>
        <v>A-U</v>
      </c>
      <c r="I64" s="4" t="n">
        <f aca="false">(F64="G")+(G64="G")</f>
        <v>0</v>
      </c>
      <c r="J64" s="4" t="n">
        <f aca="false">(F64="C")+(G64="C")</f>
        <v>0</v>
      </c>
      <c r="K64" s="3" t="n">
        <f aca="false">I64+J64</f>
        <v>0</v>
      </c>
    </row>
    <row r="65" customFormat="false" ht="15" hidden="false" customHeight="false" outlineLevel="0" collapsed="false">
      <c r="A65" s="4" t="s">
        <v>39</v>
      </c>
      <c r="B65" s="4" t="s">
        <v>75</v>
      </c>
      <c r="C65" s="4" t="s">
        <v>187</v>
      </c>
      <c r="D65" s="4" t="n">
        <f aca="false">INDEX(Positions!$D$2:$D$1061,MATCH($A65&amp;"|10",Positions!$A$2:$A$1061,0))</f>
        <v>10</v>
      </c>
      <c r="E65" s="4" t="n">
        <f aca="false">INDEX(Positions!$D$2:$D$1061,MATCH($A65&amp;"|25",Positions!$A$2:$A$1061,0))</f>
        <v>26</v>
      </c>
      <c r="F65" s="4" t="str">
        <f aca="false">INDEX(Positions!$E$2:$E$1061,MATCH($A65&amp;"|10",Positions!$A$2:$A$1061,0))</f>
        <v>U</v>
      </c>
      <c r="G65" s="4" t="str">
        <f aca="false">INDEX(Positions!$E$2:$E$1061,MATCH($A65&amp;"|25",Positions!$A$2:$A$1061,0))</f>
        <v>A</v>
      </c>
      <c r="H65" s="3" t="str">
        <f aca="false">F65&amp;"-"&amp;G65</f>
        <v>U-A</v>
      </c>
      <c r="I65" s="4" t="n">
        <f aca="false">(F65="G")+(G65="G")</f>
        <v>0</v>
      </c>
      <c r="J65" s="4" t="n">
        <f aca="false">(F65="C")+(G65="C")</f>
        <v>0</v>
      </c>
      <c r="K65" s="3" t="n">
        <f aca="false">I65+J65</f>
        <v>0</v>
      </c>
    </row>
    <row r="66" customFormat="false" ht="15" hidden="false" customHeight="false" outlineLevel="0" collapsed="false">
      <c r="A66" s="4" t="s">
        <v>39</v>
      </c>
      <c r="B66" s="4" t="s">
        <v>75</v>
      </c>
      <c r="C66" s="4" t="s">
        <v>188</v>
      </c>
      <c r="D66" s="4" t="n">
        <f aca="false">INDEX(Positions!$D$2:$D$1061,MATCH($A66&amp;"|11",Positions!$A$2:$A$1061,0))</f>
        <v>11</v>
      </c>
      <c r="E66" s="4" t="n">
        <f aca="false">INDEX(Positions!$D$2:$D$1061,MATCH($A66&amp;"|24",Positions!$A$2:$A$1061,0))</f>
        <v>25</v>
      </c>
      <c r="F66" s="4" t="str">
        <f aca="false">INDEX(Positions!$E$2:$E$1061,MATCH($A66&amp;"|11",Positions!$A$2:$A$1061,0))</f>
        <v>A</v>
      </c>
      <c r="G66" s="4" t="str">
        <f aca="false">INDEX(Positions!$E$2:$E$1061,MATCH($A66&amp;"|24",Positions!$A$2:$A$1061,0))</f>
        <v>U</v>
      </c>
      <c r="H66" s="3" t="str">
        <f aca="false">F66&amp;"-"&amp;G66</f>
        <v>A-U</v>
      </c>
      <c r="I66" s="4" t="n">
        <f aca="false">(F66="G")+(G66="G")</f>
        <v>0</v>
      </c>
      <c r="J66" s="4" t="n">
        <f aca="false">(F66="C")+(G66="C")</f>
        <v>0</v>
      </c>
      <c r="K66" s="3" t="n">
        <f aca="false">I66+J66</f>
        <v>0</v>
      </c>
    </row>
    <row r="67" customFormat="false" ht="15" hidden="false" customHeight="false" outlineLevel="0" collapsed="false">
      <c r="A67" s="4" t="s">
        <v>39</v>
      </c>
      <c r="B67" s="4" t="s">
        <v>75</v>
      </c>
      <c r="C67" s="4" t="s">
        <v>189</v>
      </c>
      <c r="D67" s="4" t="n">
        <f aca="false">INDEX(Positions!$D$2:$D$1061,MATCH($A67&amp;"|12",Positions!$A$2:$A$1061,0))</f>
        <v>12</v>
      </c>
      <c r="E67" s="4" t="n">
        <f aca="false">INDEX(Positions!$D$2:$D$1061,MATCH($A67&amp;"|23",Positions!$A$2:$A$1061,0))</f>
        <v>24</v>
      </c>
      <c r="F67" s="4" t="str">
        <f aca="false">INDEX(Positions!$E$2:$E$1061,MATCH($A67&amp;"|12",Positions!$A$2:$A$1061,0))</f>
        <v>U</v>
      </c>
      <c r="G67" s="4" t="str">
        <f aca="false">INDEX(Positions!$E$2:$E$1061,MATCH($A67&amp;"|23",Positions!$A$2:$A$1061,0))</f>
        <v>A</v>
      </c>
      <c r="H67" s="3" t="str">
        <f aca="false">F67&amp;"-"&amp;G67</f>
        <v>U-A</v>
      </c>
      <c r="I67" s="4" t="n">
        <f aca="false">(F67="G")+(G67="G")</f>
        <v>0</v>
      </c>
      <c r="J67" s="4" t="n">
        <f aca="false">(F67="C")+(G67="C")</f>
        <v>0</v>
      </c>
      <c r="K67" s="3" t="n">
        <f aca="false">I67+J67</f>
        <v>0</v>
      </c>
    </row>
    <row r="68" customFormat="false" ht="15" hidden="false" customHeight="false" outlineLevel="0" collapsed="false">
      <c r="A68" s="4" t="s">
        <v>39</v>
      </c>
      <c r="B68" s="4" t="s">
        <v>75</v>
      </c>
      <c r="C68" s="4" t="s">
        <v>190</v>
      </c>
      <c r="D68" s="4" t="n">
        <f aca="false">INDEX(Positions!$D$2:$D$1061,MATCH($A68&amp;"|13",Positions!$A$2:$A$1061,0))</f>
        <v>13</v>
      </c>
      <c r="E68" s="4" t="n">
        <f aca="false">INDEX(Positions!$D$2:$D$1061,MATCH($A68&amp;"|22",Positions!$A$2:$A$1061,0))</f>
        <v>23</v>
      </c>
      <c r="F68" s="4" t="str">
        <f aca="false">INDEX(Positions!$E$2:$E$1061,MATCH($A68&amp;"|13",Positions!$A$2:$A$1061,0))</f>
        <v>G</v>
      </c>
      <c r="G68" s="4" t="str">
        <f aca="false">INDEX(Positions!$E$2:$E$1061,MATCH($A68&amp;"|22",Positions!$A$2:$A$1061,0))</f>
        <v>U</v>
      </c>
      <c r="H68" s="3" t="str">
        <f aca="false">F68&amp;"-"&amp;G68</f>
        <v>G-U</v>
      </c>
      <c r="I68" s="4" t="n">
        <f aca="false">(F68="G")+(G68="G")</f>
        <v>1</v>
      </c>
      <c r="J68" s="4" t="n">
        <f aca="false">(F68="C")+(G68="C")</f>
        <v>0</v>
      </c>
      <c r="K68" s="3" t="n">
        <f aca="false">I68+J68</f>
        <v>1</v>
      </c>
    </row>
    <row r="69" customFormat="false" ht="15" hidden="false" customHeight="false" outlineLevel="0" collapsed="false">
      <c r="A69" s="4" t="s">
        <v>39</v>
      </c>
      <c r="B69" s="4" t="s">
        <v>96</v>
      </c>
      <c r="C69" s="4" t="s">
        <v>191</v>
      </c>
      <c r="D69" s="4" t="n">
        <f aca="false">INDEX(Positions!$D$2:$D$1061,MATCH($A69&amp;"|27",Positions!$A$2:$A$1061,0))</f>
        <v>28</v>
      </c>
      <c r="E69" s="4" t="n">
        <f aca="false">INDEX(Positions!$D$2:$D$1061,MATCH($A69&amp;"|43",Positions!$A$2:$A$1061,0))</f>
        <v>44</v>
      </c>
      <c r="F69" s="4" t="str">
        <f aca="false">INDEX(Positions!$E$2:$E$1061,MATCH($A69&amp;"|27",Positions!$A$2:$A$1061,0))</f>
        <v>G</v>
      </c>
      <c r="G69" s="4" t="str">
        <f aca="false">INDEX(Positions!$E$2:$E$1061,MATCH($A69&amp;"|43",Positions!$A$2:$A$1061,0))</f>
        <v>C</v>
      </c>
      <c r="H69" s="3" t="str">
        <f aca="false">F69&amp;"-"&amp;G69</f>
        <v>G-C</v>
      </c>
      <c r="I69" s="4" t="n">
        <f aca="false">(F69="G")+(G69="G")</f>
        <v>1</v>
      </c>
      <c r="J69" s="4" t="n">
        <f aca="false">(F69="C")+(G69="C")</f>
        <v>1</v>
      </c>
      <c r="K69" s="3" t="n">
        <f aca="false">I69+J69</f>
        <v>2</v>
      </c>
    </row>
    <row r="70" customFormat="false" ht="15" hidden="false" customHeight="false" outlineLevel="0" collapsed="false">
      <c r="A70" s="4" t="s">
        <v>39</v>
      </c>
      <c r="B70" s="4" t="s">
        <v>96</v>
      </c>
      <c r="C70" s="4" t="s">
        <v>192</v>
      </c>
      <c r="D70" s="4" t="n">
        <f aca="false">INDEX(Positions!$D$2:$D$1061,MATCH($A70&amp;"|28",Positions!$A$2:$A$1061,0))</f>
        <v>29</v>
      </c>
      <c r="E70" s="4" t="n">
        <f aca="false">INDEX(Positions!$D$2:$D$1061,MATCH($A70&amp;"|42",Positions!$A$2:$A$1061,0))</f>
        <v>43</v>
      </c>
      <c r="F70" s="4" t="str">
        <f aca="false">INDEX(Positions!$E$2:$E$1061,MATCH($A70&amp;"|28",Positions!$A$2:$A$1061,0))</f>
        <v>U</v>
      </c>
      <c r="G70" s="4" t="str">
        <f aca="false">INDEX(Positions!$E$2:$E$1061,MATCH($A70&amp;"|42",Positions!$A$2:$A$1061,0))</f>
        <v>A</v>
      </c>
      <c r="H70" s="3" t="str">
        <f aca="false">F70&amp;"-"&amp;G70</f>
        <v>U-A</v>
      </c>
      <c r="I70" s="4" t="n">
        <f aca="false">(F70="G")+(G70="G")</f>
        <v>0</v>
      </c>
      <c r="J70" s="4" t="n">
        <f aca="false">(F70="C")+(G70="C")</f>
        <v>0</v>
      </c>
      <c r="K70" s="3" t="n">
        <f aca="false">I70+J70</f>
        <v>0</v>
      </c>
    </row>
    <row r="71" customFormat="false" ht="15" hidden="false" customHeight="false" outlineLevel="0" collapsed="false">
      <c r="A71" s="4" t="s">
        <v>39</v>
      </c>
      <c r="B71" s="4" t="s">
        <v>96</v>
      </c>
      <c r="C71" s="4" t="s">
        <v>193</v>
      </c>
      <c r="D71" s="4" t="n">
        <f aca="false">INDEX(Positions!$D$2:$D$1061,MATCH($A71&amp;"|29",Positions!$A$2:$A$1061,0))</f>
        <v>30</v>
      </c>
      <c r="E71" s="4" t="n">
        <f aca="false">INDEX(Positions!$D$2:$D$1061,MATCH($A71&amp;"|41",Positions!$A$2:$A$1061,0))</f>
        <v>42</v>
      </c>
      <c r="F71" s="4" t="str">
        <f aca="false">INDEX(Positions!$E$2:$E$1061,MATCH($A71&amp;"|29",Positions!$A$2:$A$1061,0))</f>
        <v>G</v>
      </c>
      <c r="G71" s="4" t="str">
        <f aca="false">INDEX(Positions!$E$2:$E$1061,MATCH($A71&amp;"|41",Positions!$A$2:$A$1061,0))</f>
        <v>U</v>
      </c>
      <c r="H71" s="3" t="str">
        <f aca="false">F71&amp;"-"&amp;G71</f>
        <v>G-U</v>
      </c>
      <c r="I71" s="4" t="n">
        <f aca="false">(F71="G")+(G71="G")</f>
        <v>1</v>
      </c>
      <c r="J71" s="4" t="n">
        <f aca="false">(F71="C")+(G71="C")</f>
        <v>0</v>
      </c>
      <c r="K71" s="3" t="n">
        <f aca="false">I71+J71</f>
        <v>1</v>
      </c>
    </row>
    <row r="72" customFormat="false" ht="15" hidden="false" customHeight="false" outlineLevel="0" collapsed="false">
      <c r="A72" s="4" t="s">
        <v>39</v>
      </c>
      <c r="B72" s="4" t="s">
        <v>96</v>
      </c>
      <c r="C72" s="4" t="s">
        <v>194</v>
      </c>
      <c r="D72" s="4" t="n">
        <f aca="false">INDEX(Positions!$D$2:$D$1061,MATCH($A72&amp;"|30",Positions!$A$2:$A$1061,0))</f>
        <v>31</v>
      </c>
      <c r="E72" s="4" t="n">
        <f aca="false">INDEX(Positions!$D$2:$D$1061,MATCH($A72&amp;"|40",Positions!$A$2:$A$1061,0))</f>
        <v>41</v>
      </c>
      <c r="F72" s="4" t="str">
        <f aca="false">INDEX(Positions!$E$2:$E$1061,MATCH($A72&amp;"|30",Positions!$A$2:$A$1061,0))</f>
        <v>G</v>
      </c>
      <c r="G72" s="4" t="str">
        <f aca="false">INDEX(Positions!$E$2:$E$1061,MATCH($A72&amp;"|40",Positions!$A$2:$A$1061,0))</f>
        <v>U</v>
      </c>
      <c r="H72" s="3" t="str">
        <f aca="false">F72&amp;"-"&amp;G72</f>
        <v>G-U</v>
      </c>
      <c r="I72" s="4" t="n">
        <f aca="false">(F72="G")+(G72="G")</f>
        <v>1</v>
      </c>
      <c r="J72" s="4" t="n">
        <f aca="false">(F72="C")+(G72="C")</f>
        <v>0</v>
      </c>
      <c r="K72" s="3" t="n">
        <f aca="false">I72+J72</f>
        <v>1</v>
      </c>
    </row>
    <row r="73" customFormat="false" ht="15" hidden="false" customHeight="false" outlineLevel="0" collapsed="false">
      <c r="A73" s="4" t="s">
        <v>39</v>
      </c>
      <c r="B73" s="4" t="s">
        <v>96</v>
      </c>
      <c r="C73" s="4" t="s">
        <v>195</v>
      </c>
      <c r="D73" s="4" t="n">
        <f aca="false">INDEX(Positions!$D$2:$D$1061,MATCH($A73&amp;"|31",Positions!$A$2:$A$1061,0))</f>
        <v>32</v>
      </c>
      <c r="E73" s="4" t="n">
        <f aca="false">INDEX(Positions!$D$2:$D$1061,MATCH($A73&amp;"|39",Positions!$A$2:$A$1061,0))</f>
        <v>40</v>
      </c>
      <c r="F73" s="4" t="str">
        <f aca="false">INDEX(Positions!$E$2:$E$1061,MATCH($A73&amp;"|31",Positions!$A$2:$A$1061,0))</f>
        <v>A</v>
      </c>
      <c r="G73" s="4" t="str">
        <f aca="false">INDEX(Positions!$E$2:$E$1061,MATCH($A73&amp;"|39",Positions!$A$2:$A$1061,0))</f>
        <v>U</v>
      </c>
      <c r="H73" s="3" t="str">
        <f aca="false">F73&amp;"-"&amp;G73</f>
        <v>A-U</v>
      </c>
      <c r="I73" s="4" t="n">
        <f aca="false">(F73="G")+(G73="G")</f>
        <v>0</v>
      </c>
      <c r="J73" s="4" t="n">
        <f aca="false">(F73="C")+(G73="C")</f>
        <v>0</v>
      </c>
      <c r="K73" s="3" t="n">
        <f aca="false">I73+J73</f>
        <v>0</v>
      </c>
    </row>
    <row r="74" customFormat="false" ht="15" hidden="false" customHeight="false" outlineLevel="0" collapsed="false">
      <c r="A74" s="4" t="s">
        <v>39</v>
      </c>
      <c r="B74" s="4" t="s">
        <v>126</v>
      </c>
      <c r="C74" s="4" t="s">
        <v>196</v>
      </c>
      <c r="D74" s="4" t="n">
        <f aca="false">INDEX(Positions!$D$2:$D$1061,MATCH($A74&amp;"|49",Positions!$A$2:$A$1061,0))</f>
        <v>63</v>
      </c>
      <c r="E74" s="4" t="n">
        <f aca="false">INDEX(Positions!$D$2:$D$1061,MATCH($A74&amp;"|65",Positions!$A$2:$A$1061,0))</f>
        <v>79</v>
      </c>
      <c r="F74" s="4" t="str">
        <f aca="false">INDEX(Positions!$E$2:$E$1061,MATCH($A74&amp;"|49",Positions!$A$2:$A$1061,0))</f>
        <v>U</v>
      </c>
      <c r="G74" s="4" t="str">
        <f aca="false">INDEX(Positions!$E$2:$E$1061,MATCH($A74&amp;"|65",Positions!$A$2:$A$1061,0))</f>
        <v>A</v>
      </c>
      <c r="H74" s="3" t="str">
        <f aca="false">F74&amp;"-"&amp;G74</f>
        <v>U-A</v>
      </c>
      <c r="I74" s="4" t="n">
        <f aca="false">(F74="G")+(G74="G")</f>
        <v>0</v>
      </c>
      <c r="J74" s="4" t="n">
        <f aca="false">(F74="C")+(G74="C")</f>
        <v>0</v>
      </c>
      <c r="K74" s="3" t="n">
        <f aca="false">I74+J74</f>
        <v>0</v>
      </c>
    </row>
    <row r="75" customFormat="false" ht="15" hidden="false" customHeight="false" outlineLevel="0" collapsed="false">
      <c r="A75" s="4" t="s">
        <v>39</v>
      </c>
      <c r="B75" s="4" t="s">
        <v>126</v>
      </c>
      <c r="C75" s="4" t="s">
        <v>197</v>
      </c>
      <c r="D75" s="4" t="n">
        <f aca="false">INDEX(Positions!$D$2:$D$1061,MATCH($A75&amp;"|50",Positions!$A$2:$A$1061,0))</f>
        <v>64</v>
      </c>
      <c r="E75" s="4" t="n">
        <f aca="false">INDEX(Positions!$D$2:$D$1061,MATCH($A75&amp;"|64",Positions!$A$2:$A$1061,0))</f>
        <v>78</v>
      </c>
      <c r="F75" s="4" t="str">
        <f aca="false">INDEX(Positions!$E$2:$E$1061,MATCH($A75&amp;"|50",Positions!$A$2:$A$1061,0))</f>
        <v>U</v>
      </c>
      <c r="G75" s="4" t="str">
        <f aca="false">INDEX(Positions!$E$2:$E$1061,MATCH($A75&amp;"|64",Positions!$A$2:$A$1061,0))</f>
        <v>G</v>
      </c>
      <c r="H75" s="3" t="str">
        <f aca="false">F75&amp;"-"&amp;G75</f>
        <v>U-G</v>
      </c>
      <c r="I75" s="4" t="n">
        <f aca="false">(F75="G")+(G75="G")</f>
        <v>1</v>
      </c>
      <c r="J75" s="4" t="n">
        <f aca="false">(F75="C")+(G75="C")</f>
        <v>0</v>
      </c>
      <c r="K75" s="3" t="n">
        <f aca="false">I75+J75</f>
        <v>1</v>
      </c>
    </row>
    <row r="76" customFormat="false" ht="15" hidden="false" customHeight="false" outlineLevel="0" collapsed="false">
      <c r="A76" s="4" t="s">
        <v>39</v>
      </c>
      <c r="B76" s="4" t="s">
        <v>126</v>
      </c>
      <c r="C76" s="4" t="s">
        <v>198</v>
      </c>
      <c r="D76" s="4" t="n">
        <f aca="false">INDEX(Positions!$D$2:$D$1061,MATCH($A76&amp;"|51",Positions!$A$2:$A$1061,0))</f>
        <v>65</v>
      </c>
      <c r="E76" s="4" t="n">
        <f aca="false">INDEX(Positions!$D$2:$D$1061,MATCH($A76&amp;"|63",Positions!$A$2:$A$1061,0))</f>
        <v>77</v>
      </c>
      <c r="F76" s="4" t="str">
        <f aca="false">INDEX(Positions!$E$2:$E$1061,MATCH($A76&amp;"|51",Positions!$A$2:$A$1061,0))</f>
        <v>U</v>
      </c>
      <c r="G76" s="4" t="str">
        <f aca="false">INDEX(Positions!$E$2:$E$1061,MATCH($A76&amp;"|63",Positions!$A$2:$A$1061,0))</f>
        <v>G</v>
      </c>
      <c r="H76" s="3" t="str">
        <f aca="false">F76&amp;"-"&amp;G76</f>
        <v>U-G</v>
      </c>
      <c r="I76" s="4" t="n">
        <f aca="false">(F76="G")+(G76="G")</f>
        <v>1</v>
      </c>
      <c r="J76" s="4" t="n">
        <f aca="false">(F76="C")+(G76="C")</f>
        <v>0</v>
      </c>
      <c r="K76" s="3" t="n">
        <f aca="false">I76+J76</f>
        <v>1</v>
      </c>
    </row>
    <row r="77" customFormat="false" ht="15" hidden="false" customHeight="false" outlineLevel="0" collapsed="false">
      <c r="A77" s="4" t="s">
        <v>39</v>
      </c>
      <c r="B77" s="4" t="s">
        <v>126</v>
      </c>
      <c r="C77" s="4" t="s">
        <v>199</v>
      </c>
      <c r="D77" s="4" t="n">
        <f aca="false">INDEX(Positions!$D$2:$D$1061,MATCH($A77&amp;"|52",Positions!$A$2:$A$1061,0))</f>
        <v>66</v>
      </c>
      <c r="E77" s="4" t="n">
        <f aca="false">INDEX(Positions!$D$2:$D$1061,MATCH($A77&amp;"|62",Positions!$A$2:$A$1061,0))</f>
        <v>76</v>
      </c>
      <c r="F77" s="4" t="str">
        <f aca="false">INDEX(Positions!$E$2:$E$1061,MATCH($A77&amp;"|52",Positions!$A$2:$A$1061,0))</f>
        <v>U</v>
      </c>
      <c r="G77" s="4" t="str">
        <f aca="false">INDEX(Positions!$E$2:$E$1061,MATCH($A77&amp;"|62",Positions!$A$2:$A$1061,0))</f>
        <v>A</v>
      </c>
      <c r="H77" s="3" t="str">
        <f aca="false">F77&amp;"-"&amp;G77</f>
        <v>U-A</v>
      </c>
      <c r="I77" s="4" t="n">
        <f aca="false">(F77="G")+(G77="G")</f>
        <v>0</v>
      </c>
      <c r="J77" s="4" t="n">
        <f aca="false">(F77="C")+(G77="C")</f>
        <v>0</v>
      </c>
      <c r="K77" s="3" t="n">
        <f aca="false">I77+J77</f>
        <v>0</v>
      </c>
    </row>
    <row r="78" customFormat="false" ht="15" hidden="false" customHeight="false" outlineLevel="0" collapsed="false">
      <c r="A78" s="4" t="s">
        <v>39</v>
      </c>
      <c r="B78" s="4" t="s">
        <v>126</v>
      </c>
      <c r="C78" s="4" t="s">
        <v>200</v>
      </c>
      <c r="D78" s="4" t="n">
        <f aca="false">INDEX(Positions!$D$2:$D$1061,MATCH($A78&amp;"|53",Positions!$A$2:$A$1061,0))</f>
        <v>67</v>
      </c>
      <c r="E78" s="4" t="n">
        <f aca="false">INDEX(Positions!$D$2:$D$1061,MATCH($A78&amp;"|61",Positions!$A$2:$A$1061,0))</f>
        <v>75</v>
      </c>
      <c r="F78" s="4" t="str">
        <f aca="false">INDEX(Positions!$E$2:$E$1061,MATCH($A78&amp;"|53",Positions!$A$2:$A$1061,0))</f>
        <v>G</v>
      </c>
      <c r="G78" s="4" t="str">
        <f aca="false">INDEX(Positions!$E$2:$E$1061,MATCH($A78&amp;"|61",Positions!$A$2:$A$1061,0))</f>
        <v>C</v>
      </c>
      <c r="H78" s="3" t="str">
        <f aca="false">F78&amp;"-"&amp;G78</f>
        <v>G-C</v>
      </c>
      <c r="I78" s="4" t="n">
        <f aca="false">(F78="G")+(G78="G")</f>
        <v>1</v>
      </c>
      <c r="J78" s="4" t="n">
        <f aca="false">(F78="C")+(G78="C")</f>
        <v>1</v>
      </c>
      <c r="K78" s="3" t="n">
        <f aca="false">I78+J78</f>
        <v>2</v>
      </c>
    </row>
    <row r="79" customFormat="false" ht="15" hidden="false" customHeight="false" outlineLevel="0" collapsed="false">
      <c r="A79" s="23" t="s">
        <v>39</v>
      </c>
      <c r="B79" s="23" t="s">
        <v>201</v>
      </c>
      <c r="C79" s="23" t="s">
        <v>202</v>
      </c>
      <c r="D79" s="23" t="n">
        <f aca="false">INDEX(Positions!$D$2:$D$1061,MATCH($A79&amp;"|8",Positions!$A$2:$A$1061,0))</f>
        <v>8</v>
      </c>
      <c r="E79" s="23" t="n">
        <f aca="false">INDEX(Positions!$D$2:$D$1061,MATCH($A79&amp;"|14",Positions!$A$2:$A$1061,0))</f>
        <v>14</v>
      </c>
      <c r="F79" s="23" t="str">
        <f aca="false">INDEX(Positions!$E$2:$E$1061,MATCH($A79&amp;"|8",Positions!$A$2:$A$1061,0))</f>
        <v>U</v>
      </c>
      <c r="G79" s="23" t="str">
        <f aca="false">INDEX(Positions!$E$2:$E$1061,MATCH($A79&amp;"|14",Positions!$A$2:$A$1061,0))</f>
        <v>A</v>
      </c>
      <c r="H79" s="24" t="str">
        <f aca="false">F79&amp;"-"&amp;G79</f>
        <v>U-A</v>
      </c>
      <c r="I79" s="23" t="n">
        <f aca="false">(F79="G")+(G79="G")</f>
        <v>0</v>
      </c>
      <c r="J79" s="23" t="n">
        <f aca="false">(F79="C")+(G79="C")</f>
        <v>0</v>
      </c>
      <c r="K79" s="24" t="n">
        <f aca="false">I79+J79</f>
        <v>0</v>
      </c>
    </row>
    <row r="80" customFormat="false" ht="15" hidden="false" customHeight="false" outlineLevel="0" collapsed="false">
      <c r="A80" s="23" t="s">
        <v>39</v>
      </c>
      <c r="B80" s="23" t="s">
        <v>201</v>
      </c>
      <c r="C80" s="23" t="s">
        <v>203</v>
      </c>
      <c r="D80" s="23" t="n">
        <f aca="false">INDEX(Positions!$D$2:$D$1061,MATCH($A80&amp;"|15",Positions!$A$2:$A$1061,0))</f>
        <v>15</v>
      </c>
      <c r="E80" s="23" t="n">
        <f aca="false">INDEX(Positions!$D$2:$D$1061,MATCH($A80&amp;"|48",Positions!$A$2:$A$1061,0))</f>
        <v>62</v>
      </c>
      <c r="F80" s="23" t="str">
        <f aca="false">INDEX(Positions!$E$2:$E$1061,MATCH($A80&amp;"|15",Positions!$A$2:$A$1061,0))</f>
        <v>A</v>
      </c>
      <c r="G80" s="23" t="str">
        <f aca="false">INDEX(Positions!$E$2:$E$1061,MATCH($A80&amp;"|48",Positions!$A$2:$A$1061,0))</f>
        <v>U</v>
      </c>
      <c r="H80" s="24" t="str">
        <f aca="false">F80&amp;"-"&amp;G80</f>
        <v>A-U</v>
      </c>
      <c r="I80" s="23" t="n">
        <f aca="false">(F80="G")+(G80="G")</f>
        <v>0</v>
      </c>
      <c r="J80" s="23" t="n">
        <f aca="false">(F80="C")+(G80="C")</f>
        <v>0</v>
      </c>
      <c r="K80" s="24" t="n">
        <f aca="false">I80+J80</f>
        <v>0</v>
      </c>
    </row>
    <row r="81" customFormat="false" ht="15" hidden="false" customHeight="false" outlineLevel="0" collapsed="false">
      <c r="A81" s="23" t="s">
        <v>39</v>
      </c>
      <c r="B81" s="23" t="s">
        <v>201</v>
      </c>
      <c r="C81" s="23" t="s">
        <v>204</v>
      </c>
      <c r="D81" s="23" t="n">
        <f aca="false">INDEX(Positions!$D$2:$D$1061,MATCH($A81&amp;"|18",Positions!$A$2:$A$1061,0))</f>
        <v>17</v>
      </c>
      <c r="E81" s="23" t="n">
        <f aca="false">INDEX(Positions!$D$2:$D$1061,MATCH($A81&amp;"|55",Positions!$A$2:$A$1061,0))</f>
        <v>69</v>
      </c>
      <c r="F81" s="23" t="str">
        <f aca="false">INDEX(Positions!$E$2:$E$1061,MATCH($A81&amp;"|18",Positions!$A$2:$A$1061,0))</f>
        <v>G</v>
      </c>
      <c r="G81" s="23" t="str">
        <f aca="false">INDEX(Positions!$E$2:$E$1061,MATCH($A81&amp;"|55",Positions!$A$2:$A$1061,0))</f>
        <v>U</v>
      </c>
      <c r="H81" s="24" t="str">
        <f aca="false">F81&amp;"-"&amp;G81</f>
        <v>G-U</v>
      </c>
      <c r="I81" s="23" t="n">
        <f aca="false">(F81="G")+(G81="G")</f>
        <v>1</v>
      </c>
      <c r="J81" s="23" t="n">
        <f aca="false">(F81="C")+(G81="C")</f>
        <v>0</v>
      </c>
      <c r="K81" s="24" t="n">
        <f aca="false">I81+J81</f>
        <v>1</v>
      </c>
    </row>
    <row r="82" customFormat="false" ht="15" hidden="false" customHeight="false" outlineLevel="0" collapsed="false">
      <c r="A82" s="23" t="s">
        <v>39</v>
      </c>
      <c r="B82" s="23" t="s">
        <v>201</v>
      </c>
      <c r="C82" s="23" t="s">
        <v>205</v>
      </c>
      <c r="D82" s="23" t="n">
        <f aca="false">INDEX(Positions!$D$2:$D$1061,MATCH($A82&amp;"|19",Positions!$A$2:$A$1061,0))</f>
        <v>18</v>
      </c>
      <c r="E82" s="23" t="n">
        <f aca="false">INDEX(Positions!$D$2:$D$1061,MATCH($A82&amp;"|56",Positions!$A$2:$A$1061,0))</f>
        <v>70</v>
      </c>
      <c r="F82" s="23" t="str">
        <f aca="false">INDEX(Positions!$E$2:$E$1061,MATCH($A82&amp;"|19",Positions!$A$2:$A$1061,0))</f>
        <v>G</v>
      </c>
      <c r="G82" s="23" t="str">
        <f aca="false">INDEX(Positions!$E$2:$E$1061,MATCH($A82&amp;"|56",Positions!$A$2:$A$1061,0))</f>
        <v>C</v>
      </c>
      <c r="H82" s="24" t="str">
        <f aca="false">F82&amp;"-"&amp;G82</f>
        <v>G-C</v>
      </c>
      <c r="I82" s="23" t="n">
        <f aca="false">(F82="G")+(G82="G")</f>
        <v>1</v>
      </c>
      <c r="J82" s="23" t="n">
        <f aca="false">(F82="C")+(G82="C")</f>
        <v>1</v>
      </c>
      <c r="K82" s="24" t="n">
        <f aca="false">I82+J82</f>
        <v>2</v>
      </c>
    </row>
    <row r="83" customFormat="false" ht="15" hidden="false" customHeight="false" outlineLevel="0" collapsed="false">
      <c r="A83" s="23" t="s">
        <v>39</v>
      </c>
      <c r="B83" s="23" t="s">
        <v>201</v>
      </c>
      <c r="C83" s="23" t="s">
        <v>206</v>
      </c>
      <c r="D83" s="23" t="n">
        <f aca="false">INDEX(Positions!$D$2:$D$1061,MATCH($A83&amp;"|26",Positions!$A$2:$A$1061,0))</f>
        <v>27</v>
      </c>
      <c r="E83" s="23" t="n">
        <f aca="false">INDEX(Positions!$D$2:$D$1061,MATCH($A83&amp;"|44",Positions!$A$2:$A$1061,0))</f>
        <v>45</v>
      </c>
      <c r="F83" s="23" t="str">
        <f aca="false">INDEX(Positions!$E$2:$E$1061,MATCH($A83&amp;"|26",Positions!$A$2:$A$1061,0))</f>
        <v>U</v>
      </c>
      <c r="G83" s="23" t="str">
        <f aca="false">INDEX(Positions!$E$2:$E$1061,MATCH($A83&amp;"|44",Positions!$A$2:$A$1061,0))</f>
        <v>U</v>
      </c>
      <c r="H83" s="24" t="str">
        <f aca="false">F83&amp;"-"&amp;G83</f>
        <v>U-U</v>
      </c>
      <c r="I83" s="23" t="n">
        <f aca="false">(F83="G")+(G83="G")</f>
        <v>0</v>
      </c>
      <c r="J83" s="23" t="n">
        <f aca="false">(F83="C")+(G83="C")</f>
        <v>0</v>
      </c>
      <c r="K83" s="24" t="n">
        <f aca="false">I83+J83</f>
        <v>0</v>
      </c>
    </row>
    <row r="84" customFormat="false" ht="15" hidden="false" customHeight="false" outlineLevel="0" collapsed="false">
      <c r="A84" s="23" t="s">
        <v>39</v>
      </c>
      <c r="B84" s="23" t="s">
        <v>201</v>
      </c>
      <c r="C84" s="23" t="s">
        <v>207</v>
      </c>
      <c r="D84" s="23" t="n">
        <f aca="false">INDEX(Positions!$D$2:$D$1061,MATCH($A84&amp;"|32",Positions!$A$2:$A$1061,0))</f>
        <v>33</v>
      </c>
      <c r="E84" s="23" t="n">
        <f aca="false">INDEX(Positions!$D$2:$D$1061,MATCH($A84&amp;"|38",Positions!$A$2:$A$1061,0))</f>
        <v>39</v>
      </c>
      <c r="F84" s="23" t="str">
        <f aca="false">INDEX(Positions!$E$2:$E$1061,MATCH($A84&amp;"|32",Positions!$A$2:$A$1061,0))</f>
        <v>C</v>
      </c>
      <c r="G84" s="23" t="str">
        <f aca="false">INDEX(Positions!$E$2:$E$1061,MATCH($A84&amp;"|38",Positions!$A$2:$A$1061,0))</f>
        <v>G</v>
      </c>
      <c r="H84" s="24" t="str">
        <f aca="false">F84&amp;"-"&amp;G84</f>
        <v>C-G</v>
      </c>
      <c r="I84" s="23" t="n">
        <f aca="false">(F84="G")+(G84="G")</f>
        <v>1</v>
      </c>
      <c r="J84" s="23" t="n">
        <f aca="false">(F84="C")+(G84="C")</f>
        <v>1</v>
      </c>
      <c r="K84" s="24" t="n">
        <f aca="false">I84+J84</f>
        <v>2</v>
      </c>
    </row>
    <row r="85" customFormat="false" ht="15" hidden="false" customHeight="false" outlineLevel="0" collapsed="false">
      <c r="A85" s="23" t="s">
        <v>39</v>
      </c>
      <c r="B85" s="23" t="s">
        <v>201</v>
      </c>
      <c r="C85" s="23" t="s">
        <v>208</v>
      </c>
      <c r="D85" s="23" t="n">
        <f aca="false">INDEX(Positions!$D$2:$D$1061,MATCH($A85&amp;"|54",Positions!$A$2:$A$1061,0))</f>
        <v>68</v>
      </c>
      <c r="E85" s="23" t="n">
        <f aca="false">INDEX(Positions!$D$2:$D$1061,MATCH($A85&amp;"|58",Positions!$A$2:$A$1061,0))</f>
        <v>72</v>
      </c>
      <c r="F85" s="23" t="str">
        <f aca="false">INDEX(Positions!$E$2:$E$1061,MATCH($A85&amp;"|54",Positions!$A$2:$A$1061,0))</f>
        <v>U</v>
      </c>
      <c r="G85" s="23" t="str">
        <f aca="false">INDEX(Positions!$E$2:$E$1061,MATCH($A85&amp;"|58",Positions!$A$2:$A$1061,0))</f>
        <v>A</v>
      </c>
      <c r="H85" s="24" t="str">
        <f aca="false">F85&amp;"-"&amp;G85</f>
        <v>U-A</v>
      </c>
      <c r="I85" s="23" t="n">
        <f aca="false">(F85="G")+(G85="G")</f>
        <v>0</v>
      </c>
      <c r="J85" s="23" t="n">
        <f aca="false">(F85="C")+(G85="C")</f>
        <v>0</v>
      </c>
      <c r="K85" s="24" t="n">
        <f aca="false">I85+J85</f>
        <v>0</v>
      </c>
    </row>
    <row r="86" customFormat="false" ht="15" hidden="false" customHeight="false" outlineLevel="0" collapsed="false">
      <c r="A86" s="4" t="s">
        <v>40</v>
      </c>
      <c r="B86" s="4" t="s">
        <v>60</v>
      </c>
      <c r="C86" s="4" t="s">
        <v>180</v>
      </c>
      <c r="D86" s="4" t="n">
        <f aca="false">INDEX(Positions!$D$2:$D$1061,MATCH($A86&amp;"|1",Positions!$A$2:$A$1061,0))</f>
        <v>1</v>
      </c>
      <c r="E86" s="4" t="n">
        <f aca="false">INDEX(Positions!$D$2:$D$1061,MATCH($A86&amp;"|72",Positions!$A$2:$A$1061,0))</f>
        <v>85</v>
      </c>
      <c r="F86" s="4" t="str">
        <f aca="false">INDEX(Positions!$E$2:$E$1061,MATCH($A86&amp;"|1",Positions!$A$2:$A$1061,0))</f>
        <v>U</v>
      </c>
      <c r="G86" s="4" t="str">
        <f aca="false">INDEX(Positions!$E$2:$E$1061,MATCH($A86&amp;"|72",Positions!$A$2:$A$1061,0))</f>
        <v>A</v>
      </c>
      <c r="H86" s="3" t="str">
        <f aca="false">F86&amp;"-"&amp;G86</f>
        <v>U-A</v>
      </c>
      <c r="I86" s="4" t="n">
        <f aca="false">(F86="G")+(G86="G")</f>
        <v>0</v>
      </c>
      <c r="J86" s="4" t="n">
        <f aca="false">(F86="C")+(G86="C")</f>
        <v>0</v>
      </c>
      <c r="K86" s="3" t="n">
        <f aca="false">I86+J86</f>
        <v>0</v>
      </c>
    </row>
    <row r="87" customFormat="false" ht="15" hidden="false" customHeight="false" outlineLevel="0" collapsed="false">
      <c r="A87" s="4" t="s">
        <v>40</v>
      </c>
      <c r="B87" s="4" t="s">
        <v>60</v>
      </c>
      <c r="C87" s="4" t="s">
        <v>181</v>
      </c>
      <c r="D87" s="4" t="n">
        <f aca="false">INDEX(Positions!$D$2:$D$1061,MATCH($A87&amp;"|2",Positions!$A$2:$A$1061,0))</f>
        <v>2</v>
      </c>
      <c r="E87" s="4" t="n">
        <f aca="false">INDEX(Positions!$D$2:$D$1061,MATCH($A87&amp;"|71",Positions!$A$2:$A$1061,0))</f>
        <v>84</v>
      </c>
      <c r="F87" s="4" t="str">
        <f aca="false">INDEX(Positions!$E$2:$E$1061,MATCH($A87&amp;"|2",Positions!$A$2:$A$1061,0))</f>
        <v>U</v>
      </c>
      <c r="G87" s="4" t="str">
        <f aca="false">INDEX(Positions!$E$2:$E$1061,MATCH($A87&amp;"|71",Positions!$A$2:$A$1061,0))</f>
        <v>A</v>
      </c>
      <c r="H87" s="3" t="str">
        <f aca="false">F87&amp;"-"&amp;G87</f>
        <v>U-A</v>
      </c>
      <c r="I87" s="4" t="n">
        <f aca="false">(F87="G")+(G87="G")</f>
        <v>0</v>
      </c>
      <c r="J87" s="4" t="n">
        <f aca="false">(F87="C")+(G87="C")</f>
        <v>0</v>
      </c>
      <c r="K87" s="3" t="n">
        <f aca="false">I87+J87</f>
        <v>0</v>
      </c>
    </row>
    <row r="88" customFormat="false" ht="15" hidden="false" customHeight="false" outlineLevel="0" collapsed="false">
      <c r="A88" s="4" t="s">
        <v>40</v>
      </c>
      <c r="B88" s="4" t="s">
        <v>60</v>
      </c>
      <c r="C88" s="4" t="s">
        <v>182</v>
      </c>
      <c r="D88" s="4" t="n">
        <f aca="false">INDEX(Positions!$D$2:$D$1061,MATCH($A88&amp;"|3",Positions!$A$2:$A$1061,0))</f>
        <v>3</v>
      </c>
      <c r="E88" s="4" t="n">
        <f aca="false">INDEX(Positions!$D$2:$D$1061,MATCH($A88&amp;"|70",Positions!$A$2:$A$1061,0))</f>
        <v>83</v>
      </c>
      <c r="F88" s="4" t="str">
        <f aca="false">INDEX(Positions!$E$2:$E$1061,MATCH($A88&amp;"|3",Positions!$A$2:$A$1061,0))</f>
        <v>U</v>
      </c>
      <c r="G88" s="4" t="str">
        <f aca="false">INDEX(Positions!$E$2:$E$1061,MATCH($A88&amp;"|70",Positions!$A$2:$A$1061,0))</f>
        <v>G</v>
      </c>
      <c r="H88" s="3" t="str">
        <f aca="false">F88&amp;"-"&amp;G88</f>
        <v>U-G</v>
      </c>
      <c r="I88" s="4" t="n">
        <f aca="false">(F88="G")+(G88="G")</f>
        <v>1</v>
      </c>
      <c r="J88" s="4" t="n">
        <f aca="false">(F88="C")+(G88="C")</f>
        <v>0</v>
      </c>
      <c r="K88" s="3" t="n">
        <f aca="false">I88+J88</f>
        <v>1</v>
      </c>
    </row>
    <row r="89" customFormat="false" ht="15" hidden="false" customHeight="false" outlineLevel="0" collapsed="false">
      <c r="A89" s="4" t="s">
        <v>40</v>
      </c>
      <c r="B89" s="4" t="s">
        <v>60</v>
      </c>
      <c r="C89" s="4" t="s">
        <v>183</v>
      </c>
      <c r="D89" s="4" t="n">
        <f aca="false">INDEX(Positions!$D$2:$D$1061,MATCH($A89&amp;"|4",Positions!$A$2:$A$1061,0))</f>
        <v>4</v>
      </c>
      <c r="E89" s="4" t="n">
        <f aca="false">INDEX(Positions!$D$2:$D$1061,MATCH($A89&amp;"|69",Positions!$A$2:$A$1061,0))</f>
        <v>82</v>
      </c>
      <c r="F89" s="4" t="str">
        <f aca="false">INDEX(Positions!$E$2:$E$1061,MATCH($A89&amp;"|4",Positions!$A$2:$A$1061,0))</f>
        <v>A</v>
      </c>
      <c r="G89" s="4" t="str">
        <f aca="false">INDEX(Positions!$E$2:$E$1061,MATCH($A89&amp;"|69",Positions!$A$2:$A$1061,0))</f>
        <v>U</v>
      </c>
      <c r="H89" s="3" t="str">
        <f aca="false">F89&amp;"-"&amp;G89</f>
        <v>A-U</v>
      </c>
      <c r="I89" s="4" t="n">
        <f aca="false">(F89="G")+(G89="G")</f>
        <v>0</v>
      </c>
      <c r="J89" s="4" t="n">
        <f aca="false">(F89="C")+(G89="C")</f>
        <v>0</v>
      </c>
      <c r="K89" s="3" t="n">
        <f aca="false">I89+J89</f>
        <v>0</v>
      </c>
    </row>
    <row r="90" customFormat="false" ht="15" hidden="false" customHeight="false" outlineLevel="0" collapsed="false">
      <c r="A90" s="4" t="s">
        <v>40</v>
      </c>
      <c r="B90" s="4" t="s">
        <v>60</v>
      </c>
      <c r="C90" s="4" t="s">
        <v>184</v>
      </c>
      <c r="D90" s="4" t="n">
        <f aca="false">INDEX(Positions!$D$2:$D$1061,MATCH($A90&amp;"|5",Positions!$A$2:$A$1061,0))</f>
        <v>5</v>
      </c>
      <c r="E90" s="4" t="n">
        <f aca="false">INDEX(Positions!$D$2:$D$1061,MATCH($A90&amp;"|68",Positions!$A$2:$A$1061,0))</f>
        <v>81</v>
      </c>
      <c r="F90" s="4" t="str">
        <f aca="false">INDEX(Positions!$E$2:$E$1061,MATCH($A90&amp;"|5",Positions!$A$2:$A$1061,0))</f>
        <v>G</v>
      </c>
      <c r="G90" s="4" t="str">
        <f aca="false">INDEX(Positions!$E$2:$E$1061,MATCH($A90&amp;"|68",Positions!$A$2:$A$1061,0))</f>
        <v>C</v>
      </c>
      <c r="H90" s="3" t="str">
        <f aca="false">F90&amp;"-"&amp;G90</f>
        <v>G-C</v>
      </c>
      <c r="I90" s="4" t="n">
        <f aca="false">(F90="G")+(G90="G")</f>
        <v>1</v>
      </c>
      <c r="J90" s="4" t="n">
        <f aca="false">(F90="C")+(G90="C")</f>
        <v>1</v>
      </c>
      <c r="K90" s="3" t="n">
        <f aca="false">I90+J90</f>
        <v>2</v>
      </c>
    </row>
    <row r="91" customFormat="false" ht="15" hidden="false" customHeight="false" outlineLevel="0" collapsed="false">
      <c r="A91" s="4" t="s">
        <v>40</v>
      </c>
      <c r="B91" s="4" t="s">
        <v>60</v>
      </c>
      <c r="C91" s="4" t="s">
        <v>185</v>
      </c>
      <c r="D91" s="4" t="n">
        <f aca="false">INDEX(Positions!$D$2:$D$1061,MATCH($A91&amp;"|6",Positions!$A$2:$A$1061,0))</f>
        <v>6</v>
      </c>
      <c r="E91" s="4" t="n">
        <f aca="false">INDEX(Positions!$D$2:$D$1061,MATCH($A91&amp;"|67",Positions!$A$2:$A$1061,0))</f>
        <v>80</v>
      </c>
      <c r="F91" s="4" t="str">
        <f aca="false">INDEX(Positions!$E$2:$E$1061,MATCH($A91&amp;"|6",Positions!$A$2:$A$1061,0))</f>
        <v>A</v>
      </c>
      <c r="G91" s="4" t="str">
        <f aca="false">INDEX(Positions!$E$2:$E$1061,MATCH($A91&amp;"|67",Positions!$A$2:$A$1061,0))</f>
        <v>U</v>
      </c>
      <c r="H91" s="3" t="str">
        <f aca="false">F91&amp;"-"&amp;G91</f>
        <v>A-U</v>
      </c>
      <c r="I91" s="4" t="n">
        <f aca="false">(F91="G")+(G91="G")</f>
        <v>0</v>
      </c>
      <c r="J91" s="4" t="n">
        <f aca="false">(F91="C")+(G91="C")</f>
        <v>0</v>
      </c>
      <c r="K91" s="3" t="n">
        <f aca="false">I91+J91</f>
        <v>0</v>
      </c>
    </row>
    <row r="92" customFormat="false" ht="15" hidden="false" customHeight="false" outlineLevel="0" collapsed="false">
      <c r="A92" s="4" t="s">
        <v>40</v>
      </c>
      <c r="B92" s="4" t="s">
        <v>60</v>
      </c>
      <c r="C92" s="4" t="s">
        <v>186</v>
      </c>
      <c r="D92" s="4" t="n">
        <f aca="false">INDEX(Positions!$D$2:$D$1061,MATCH($A92&amp;"|7",Positions!$A$2:$A$1061,0))</f>
        <v>7</v>
      </c>
      <c r="E92" s="4" t="n">
        <f aca="false">INDEX(Positions!$D$2:$D$1061,MATCH($A92&amp;"|66",Positions!$A$2:$A$1061,0))</f>
        <v>79</v>
      </c>
      <c r="F92" s="4" t="str">
        <f aca="false">INDEX(Positions!$E$2:$E$1061,MATCH($A92&amp;"|7",Positions!$A$2:$A$1061,0))</f>
        <v>U</v>
      </c>
      <c r="G92" s="4" t="str">
        <f aca="false">INDEX(Positions!$E$2:$E$1061,MATCH($A92&amp;"|66",Positions!$A$2:$A$1061,0))</f>
        <v>A</v>
      </c>
      <c r="H92" s="3" t="str">
        <f aca="false">F92&amp;"-"&amp;G92</f>
        <v>U-A</v>
      </c>
      <c r="I92" s="4" t="n">
        <f aca="false">(F92="G")+(G92="G")</f>
        <v>0</v>
      </c>
      <c r="J92" s="4" t="n">
        <f aca="false">(F92="C")+(G92="C")</f>
        <v>0</v>
      </c>
      <c r="K92" s="3" t="n">
        <f aca="false">I92+J92</f>
        <v>0</v>
      </c>
    </row>
    <row r="93" customFormat="false" ht="15" hidden="false" customHeight="false" outlineLevel="0" collapsed="false">
      <c r="A93" s="4" t="s">
        <v>40</v>
      </c>
      <c r="B93" s="4" t="s">
        <v>75</v>
      </c>
      <c r="C93" s="4" t="s">
        <v>187</v>
      </c>
      <c r="D93" s="4" t="n">
        <f aca="false">INDEX(Positions!$D$2:$D$1061,MATCH($A93&amp;"|10",Positions!$A$2:$A$1061,0))</f>
        <v>10</v>
      </c>
      <c r="E93" s="4" t="n">
        <f aca="false">INDEX(Positions!$D$2:$D$1061,MATCH($A93&amp;"|25",Positions!$A$2:$A$1061,0))</f>
        <v>26</v>
      </c>
      <c r="F93" s="4" t="str">
        <f aca="false">INDEX(Positions!$E$2:$E$1061,MATCH($A93&amp;"|10",Positions!$A$2:$A$1061,0))</f>
        <v>U</v>
      </c>
      <c r="G93" s="4" t="str">
        <f aca="false">INDEX(Positions!$E$2:$E$1061,MATCH($A93&amp;"|25",Positions!$A$2:$A$1061,0))</f>
        <v>G</v>
      </c>
      <c r="H93" s="3" t="str">
        <f aca="false">F93&amp;"-"&amp;G93</f>
        <v>U-G</v>
      </c>
      <c r="I93" s="4" t="n">
        <f aca="false">(F93="G")+(G93="G")</f>
        <v>1</v>
      </c>
      <c r="J93" s="4" t="n">
        <f aca="false">(F93="C")+(G93="C")</f>
        <v>0</v>
      </c>
      <c r="K93" s="3" t="n">
        <f aca="false">I93+J93</f>
        <v>1</v>
      </c>
    </row>
    <row r="94" customFormat="false" ht="15" hidden="false" customHeight="false" outlineLevel="0" collapsed="false">
      <c r="A94" s="4" t="s">
        <v>40</v>
      </c>
      <c r="B94" s="4" t="s">
        <v>75</v>
      </c>
      <c r="C94" s="4" t="s">
        <v>188</v>
      </c>
      <c r="D94" s="4" t="n">
        <f aca="false">INDEX(Positions!$D$2:$D$1061,MATCH($A94&amp;"|11",Positions!$A$2:$A$1061,0))</f>
        <v>11</v>
      </c>
      <c r="E94" s="4" t="n">
        <f aca="false">INDEX(Positions!$D$2:$D$1061,MATCH($A94&amp;"|24",Positions!$A$2:$A$1061,0))</f>
        <v>25</v>
      </c>
      <c r="F94" s="4" t="str">
        <f aca="false">INDEX(Positions!$E$2:$E$1061,MATCH($A94&amp;"|11",Positions!$A$2:$A$1061,0))</f>
        <v>G</v>
      </c>
      <c r="G94" s="4" t="str">
        <f aca="false">INDEX(Positions!$E$2:$E$1061,MATCH($A94&amp;"|24",Positions!$A$2:$A$1061,0))</f>
        <v>U</v>
      </c>
      <c r="H94" s="3" t="str">
        <f aca="false">F94&amp;"-"&amp;G94</f>
        <v>G-U</v>
      </c>
      <c r="I94" s="4" t="n">
        <f aca="false">(F94="G")+(G94="G")</f>
        <v>1</v>
      </c>
      <c r="J94" s="4" t="n">
        <f aca="false">(F94="C")+(G94="C")</f>
        <v>0</v>
      </c>
      <c r="K94" s="3" t="n">
        <f aca="false">I94+J94</f>
        <v>1</v>
      </c>
    </row>
    <row r="95" customFormat="false" ht="15" hidden="false" customHeight="false" outlineLevel="0" collapsed="false">
      <c r="A95" s="4" t="s">
        <v>40</v>
      </c>
      <c r="B95" s="4" t="s">
        <v>75</v>
      </c>
      <c r="C95" s="4" t="s">
        <v>189</v>
      </c>
      <c r="D95" s="4" t="n">
        <f aca="false">INDEX(Positions!$D$2:$D$1061,MATCH($A95&amp;"|12",Positions!$A$2:$A$1061,0))</f>
        <v>12</v>
      </c>
      <c r="E95" s="4" t="n">
        <f aca="false">INDEX(Positions!$D$2:$D$1061,MATCH($A95&amp;"|23",Positions!$A$2:$A$1061,0))</f>
        <v>24</v>
      </c>
      <c r="F95" s="4" t="str">
        <f aca="false">INDEX(Positions!$E$2:$E$1061,MATCH($A95&amp;"|12",Positions!$A$2:$A$1061,0))</f>
        <v>U</v>
      </c>
      <c r="G95" s="4" t="str">
        <f aca="false">INDEX(Positions!$E$2:$E$1061,MATCH($A95&amp;"|23",Positions!$A$2:$A$1061,0))</f>
        <v>G</v>
      </c>
      <c r="H95" s="3" t="str">
        <f aca="false">F95&amp;"-"&amp;G95</f>
        <v>U-G</v>
      </c>
      <c r="I95" s="4" t="n">
        <f aca="false">(F95="G")+(G95="G")</f>
        <v>1</v>
      </c>
      <c r="J95" s="4" t="n">
        <f aca="false">(F95="C")+(G95="C")</f>
        <v>0</v>
      </c>
      <c r="K95" s="3" t="n">
        <f aca="false">I95+J95</f>
        <v>1</v>
      </c>
    </row>
    <row r="96" customFormat="false" ht="15" hidden="false" customHeight="false" outlineLevel="0" collapsed="false">
      <c r="A96" s="4" t="s">
        <v>40</v>
      </c>
      <c r="B96" s="4" t="s">
        <v>75</v>
      </c>
      <c r="C96" s="4" t="s">
        <v>190</v>
      </c>
      <c r="D96" s="4" t="n">
        <f aca="false">INDEX(Positions!$D$2:$D$1061,MATCH($A96&amp;"|13",Positions!$A$2:$A$1061,0))</f>
        <v>13</v>
      </c>
      <c r="E96" s="4" t="n">
        <f aca="false">INDEX(Positions!$D$2:$D$1061,MATCH($A96&amp;"|22",Positions!$A$2:$A$1061,0))</f>
        <v>23</v>
      </c>
      <c r="F96" s="4" t="str">
        <f aca="false">INDEX(Positions!$E$2:$E$1061,MATCH($A96&amp;"|13",Positions!$A$2:$A$1061,0))</f>
        <v>G</v>
      </c>
      <c r="G96" s="4" t="str">
        <f aca="false">INDEX(Positions!$E$2:$E$1061,MATCH($A96&amp;"|22",Positions!$A$2:$A$1061,0))</f>
        <v>G</v>
      </c>
      <c r="H96" s="3" t="str">
        <f aca="false">F96&amp;"-"&amp;G96</f>
        <v>G-G</v>
      </c>
      <c r="I96" s="4" t="n">
        <f aca="false">(F96="G")+(G96="G")</f>
        <v>2</v>
      </c>
      <c r="J96" s="4" t="n">
        <f aca="false">(F96="C")+(G96="C")</f>
        <v>0</v>
      </c>
      <c r="K96" s="3" t="n">
        <f aca="false">I96+J96</f>
        <v>2</v>
      </c>
    </row>
    <row r="97" customFormat="false" ht="15" hidden="false" customHeight="false" outlineLevel="0" collapsed="false">
      <c r="A97" s="4" t="s">
        <v>40</v>
      </c>
      <c r="B97" s="4" t="s">
        <v>96</v>
      </c>
      <c r="C97" s="4" t="s">
        <v>191</v>
      </c>
      <c r="D97" s="4" t="n">
        <f aca="false">INDEX(Positions!$D$2:$D$1061,MATCH($A97&amp;"|27",Positions!$A$2:$A$1061,0))</f>
        <v>28</v>
      </c>
      <c r="E97" s="4" t="n">
        <f aca="false">INDEX(Positions!$D$2:$D$1061,MATCH($A97&amp;"|43",Positions!$A$2:$A$1061,0))</f>
        <v>44</v>
      </c>
      <c r="F97" s="4" t="str">
        <f aca="false">INDEX(Positions!$E$2:$E$1061,MATCH($A97&amp;"|27",Positions!$A$2:$A$1061,0))</f>
        <v>U</v>
      </c>
      <c r="G97" s="4" t="str">
        <f aca="false">INDEX(Positions!$E$2:$E$1061,MATCH($A97&amp;"|43",Positions!$A$2:$A$1061,0))</f>
        <v>A</v>
      </c>
      <c r="H97" s="3" t="str">
        <f aca="false">F97&amp;"-"&amp;G97</f>
        <v>U-A</v>
      </c>
      <c r="I97" s="4" t="n">
        <f aca="false">(F97="G")+(G97="G")</f>
        <v>0</v>
      </c>
      <c r="J97" s="4" t="n">
        <f aca="false">(F97="C")+(G97="C")</f>
        <v>0</v>
      </c>
      <c r="K97" s="3" t="n">
        <f aca="false">I97+J97</f>
        <v>0</v>
      </c>
    </row>
    <row r="98" customFormat="false" ht="15" hidden="false" customHeight="false" outlineLevel="0" collapsed="false">
      <c r="A98" s="4" t="s">
        <v>40</v>
      </c>
      <c r="B98" s="4" t="s">
        <v>96</v>
      </c>
      <c r="C98" s="4" t="s">
        <v>192</v>
      </c>
      <c r="D98" s="4" t="n">
        <f aca="false">INDEX(Positions!$D$2:$D$1061,MATCH($A98&amp;"|28",Positions!$A$2:$A$1061,0))</f>
        <v>29</v>
      </c>
      <c r="E98" s="4" t="n">
        <f aca="false">INDEX(Positions!$D$2:$D$1061,MATCH($A98&amp;"|42",Positions!$A$2:$A$1061,0))</f>
        <v>43</v>
      </c>
      <c r="F98" s="4" t="str">
        <f aca="false">INDEX(Positions!$E$2:$E$1061,MATCH($A98&amp;"|28",Positions!$A$2:$A$1061,0))</f>
        <v>G</v>
      </c>
      <c r="G98" s="4" t="str">
        <f aca="false">INDEX(Positions!$E$2:$E$1061,MATCH($A98&amp;"|42",Positions!$A$2:$A$1061,0))</f>
        <v>C</v>
      </c>
      <c r="H98" s="3" t="str">
        <f aca="false">F98&amp;"-"&amp;G98</f>
        <v>G-C</v>
      </c>
      <c r="I98" s="4" t="n">
        <f aca="false">(F98="G")+(G98="G")</f>
        <v>1</v>
      </c>
      <c r="J98" s="4" t="n">
        <f aca="false">(F98="C")+(G98="C")</f>
        <v>1</v>
      </c>
      <c r="K98" s="3" t="n">
        <f aca="false">I98+J98</f>
        <v>2</v>
      </c>
    </row>
    <row r="99" customFormat="false" ht="15" hidden="false" customHeight="false" outlineLevel="0" collapsed="false">
      <c r="A99" s="4" t="s">
        <v>40</v>
      </c>
      <c r="B99" s="4" t="s">
        <v>96</v>
      </c>
      <c r="C99" s="4" t="s">
        <v>193</v>
      </c>
      <c r="D99" s="4" t="n">
        <f aca="false">INDEX(Positions!$D$2:$D$1061,MATCH($A99&amp;"|29",Positions!$A$2:$A$1061,0))</f>
        <v>30</v>
      </c>
      <c r="E99" s="4" t="n">
        <f aca="false">INDEX(Positions!$D$2:$D$1061,MATCH($A99&amp;"|41",Positions!$A$2:$A$1061,0))</f>
        <v>42</v>
      </c>
      <c r="F99" s="4" t="str">
        <f aca="false">INDEX(Positions!$E$2:$E$1061,MATCH($A99&amp;"|29",Positions!$A$2:$A$1061,0))</f>
        <v>U</v>
      </c>
      <c r="G99" s="4" t="str">
        <f aca="false">INDEX(Positions!$E$2:$E$1061,MATCH($A99&amp;"|41",Positions!$A$2:$A$1061,0))</f>
        <v>A</v>
      </c>
      <c r="H99" s="3" t="str">
        <f aca="false">F99&amp;"-"&amp;G99</f>
        <v>U-A</v>
      </c>
      <c r="I99" s="4" t="n">
        <f aca="false">(F99="G")+(G99="G")</f>
        <v>0</v>
      </c>
      <c r="J99" s="4" t="n">
        <f aca="false">(F99="C")+(G99="C")</f>
        <v>0</v>
      </c>
      <c r="K99" s="3" t="n">
        <f aca="false">I99+J99</f>
        <v>0</v>
      </c>
    </row>
    <row r="100" customFormat="false" ht="15" hidden="false" customHeight="false" outlineLevel="0" collapsed="false">
      <c r="A100" s="4" t="s">
        <v>40</v>
      </c>
      <c r="B100" s="4" t="s">
        <v>96</v>
      </c>
      <c r="C100" s="4" t="s">
        <v>194</v>
      </c>
      <c r="D100" s="4" t="n">
        <f aca="false">INDEX(Positions!$D$2:$D$1061,MATCH($A100&amp;"|30",Positions!$A$2:$A$1061,0))</f>
        <v>31</v>
      </c>
      <c r="E100" s="4" t="n">
        <f aca="false">INDEX(Positions!$D$2:$D$1061,MATCH($A100&amp;"|40",Positions!$A$2:$A$1061,0))</f>
        <v>41</v>
      </c>
      <c r="F100" s="4" t="str">
        <f aca="false">INDEX(Positions!$E$2:$E$1061,MATCH($A100&amp;"|30",Positions!$A$2:$A$1061,0))</f>
        <v>U</v>
      </c>
      <c r="G100" s="4" t="str">
        <f aca="false">INDEX(Positions!$E$2:$E$1061,MATCH($A100&amp;"|40",Positions!$A$2:$A$1061,0))</f>
        <v>U</v>
      </c>
      <c r="H100" s="3" t="str">
        <f aca="false">F100&amp;"-"&amp;G100</f>
        <v>U-U</v>
      </c>
      <c r="I100" s="4" t="n">
        <f aca="false">(F100="G")+(G100="G")</f>
        <v>0</v>
      </c>
      <c r="J100" s="4" t="n">
        <f aca="false">(F100="C")+(G100="C")</f>
        <v>0</v>
      </c>
      <c r="K100" s="3" t="n">
        <f aca="false">I100+J100</f>
        <v>0</v>
      </c>
    </row>
    <row r="101" customFormat="false" ht="15" hidden="false" customHeight="false" outlineLevel="0" collapsed="false">
      <c r="A101" s="4" t="s">
        <v>40</v>
      </c>
      <c r="B101" s="4" t="s">
        <v>96</v>
      </c>
      <c r="C101" s="4" t="s">
        <v>195</v>
      </c>
      <c r="D101" s="4" t="n">
        <f aca="false">INDEX(Positions!$D$2:$D$1061,MATCH($A101&amp;"|31",Positions!$A$2:$A$1061,0))</f>
        <v>32</v>
      </c>
      <c r="E101" s="4" t="n">
        <f aca="false">INDEX(Positions!$D$2:$D$1061,MATCH($A101&amp;"|39",Positions!$A$2:$A$1061,0))</f>
        <v>40</v>
      </c>
      <c r="F101" s="4" t="str">
        <f aca="false">INDEX(Positions!$E$2:$E$1061,MATCH($A101&amp;"|31",Positions!$A$2:$A$1061,0))</f>
        <v>U</v>
      </c>
      <c r="G101" s="4" t="str">
        <f aca="false">INDEX(Positions!$E$2:$E$1061,MATCH($A101&amp;"|39",Positions!$A$2:$A$1061,0))</f>
        <v>G</v>
      </c>
      <c r="H101" s="3" t="str">
        <f aca="false">F101&amp;"-"&amp;G101</f>
        <v>U-G</v>
      </c>
      <c r="I101" s="4" t="n">
        <f aca="false">(F101="G")+(G101="G")</f>
        <v>1</v>
      </c>
      <c r="J101" s="4" t="n">
        <f aca="false">(F101="C")+(G101="C")</f>
        <v>0</v>
      </c>
      <c r="K101" s="3" t="n">
        <f aca="false">I101+J101</f>
        <v>1</v>
      </c>
    </row>
    <row r="102" customFormat="false" ht="15" hidden="false" customHeight="false" outlineLevel="0" collapsed="false">
      <c r="A102" s="4" t="s">
        <v>40</v>
      </c>
      <c r="B102" s="4" t="s">
        <v>126</v>
      </c>
      <c r="C102" s="4" t="s">
        <v>196</v>
      </c>
      <c r="D102" s="4" t="n">
        <f aca="false">INDEX(Positions!$D$2:$D$1061,MATCH($A102&amp;"|49",Positions!$A$2:$A$1061,0))</f>
        <v>62</v>
      </c>
      <c r="E102" s="4" t="n">
        <f aca="false">INDEX(Positions!$D$2:$D$1061,MATCH($A102&amp;"|65",Positions!$A$2:$A$1061,0))</f>
        <v>78</v>
      </c>
      <c r="F102" s="4" t="str">
        <f aca="false">INDEX(Positions!$E$2:$E$1061,MATCH($A102&amp;"|49",Positions!$A$2:$A$1061,0))</f>
        <v>U</v>
      </c>
      <c r="G102" s="4" t="str">
        <f aca="false">INDEX(Positions!$E$2:$E$1061,MATCH($A102&amp;"|65",Positions!$A$2:$A$1061,0))</f>
        <v>A</v>
      </c>
      <c r="H102" s="3" t="str">
        <f aca="false">F102&amp;"-"&amp;G102</f>
        <v>U-A</v>
      </c>
      <c r="I102" s="4" t="n">
        <f aca="false">(F102="G")+(G102="G")</f>
        <v>0</v>
      </c>
      <c r="J102" s="4" t="n">
        <f aca="false">(F102="C")+(G102="C")</f>
        <v>0</v>
      </c>
      <c r="K102" s="3" t="n">
        <f aca="false">I102+J102</f>
        <v>0</v>
      </c>
    </row>
    <row r="103" customFormat="false" ht="15" hidden="false" customHeight="false" outlineLevel="0" collapsed="false">
      <c r="A103" s="4" t="s">
        <v>40</v>
      </c>
      <c r="B103" s="4" t="s">
        <v>126</v>
      </c>
      <c r="C103" s="4" t="s">
        <v>197</v>
      </c>
      <c r="D103" s="4" t="n">
        <f aca="false">INDEX(Positions!$D$2:$D$1061,MATCH($A103&amp;"|50",Positions!$A$2:$A$1061,0))</f>
        <v>63</v>
      </c>
      <c r="E103" s="4" t="n">
        <f aca="false">INDEX(Positions!$D$2:$D$1061,MATCH($A103&amp;"|64",Positions!$A$2:$A$1061,0))</f>
        <v>77</v>
      </c>
      <c r="F103" s="4" t="str">
        <f aca="false">INDEX(Positions!$E$2:$E$1061,MATCH($A103&amp;"|50",Positions!$A$2:$A$1061,0))</f>
        <v>G</v>
      </c>
      <c r="G103" s="4" t="str">
        <f aca="false">INDEX(Positions!$E$2:$E$1061,MATCH($A103&amp;"|64",Positions!$A$2:$A$1061,0))</f>
        <v>C</v>
      </c>
      <c r="H103" s="3" t="str">
        <f aca="false">F103&amp;"-"&amp;G103</f>
        <v>G-C</v>
      </c>
      <c r="I103" s="4" t="n">
        <f aca="false">(F103="G")+(G103="G")</f>
        <v>1</v>
      </c>
      <c r="J103" s="4" t="n">
        <f aca="false">(F103="C")+(G103="C")</f>
        <v>1</v>
      </c>
      <c r="K103" s="3" t="n">
        <f aca="false">I103+J103</f>
        <v>2</v>
      </c>
    </row>
    <row r="104" customFormat="false" ht="15" hidden="false" customHeight="false" outlineLevel="0" collapsed="false">
      <c r="A104" s="4" t="s">
        <v>40</v>
      </c>
      <c r="B104" s="4" t="s">
        <v>126</v>
      </c>
      <c r="C104" s="4" t="s">
        <v>198</v>
      </c>
      <c r="D104" s="4" t="n">
        <f aca="false">INDEX(Positions!$D$2:$D$1061,MATCH($A104&amp;"|51",Positions!$A$2:$A$1061,0))</f>
        <v>64</v>
      </c>
      <c r="E104" s="4" t="n">
        <f aca="false">INDEX(Positions!$D$2:$D$1061,MATCH($A104&amp;"|63",Positions!$A$2:$A$1061,0))</f>
        <v>76</v>
      </c>
      <c r="F104" s="4" t="str">
        <f aca="false">INDEX(Positions!$E$2:$E$1061,MATCH($A104&amp;"|51",Positions!$A$2:$A$1061,0))</f>
        <v>A</v>
      </c>
      <c r="G104" s="4" t="str">
        <f aca="false">INDEX(Positions!$E$2:$E$1061,MATCH($A104&amp;"|63",Positions!$A$2:$A$1061,0))</f>
        <v>U</v>
      </c>
      <c r="H104" s="3" t="str">
        <f aca="false">F104&amp;"-"&amp;G104</f>
        <v>A-U</v>
      </c>
      <c r="I104" s="4" t="n">
        <f aca="false">(F104="G")+(G104="G")</f>
        <v>0</v>
      </c>
      <c r="J104" s="4" t="n">
        <f aca="false">(F104="C")+(G104="C")</f>
        <v>0</v>
      </c>
      <c r="K104" s="3" t="n">
        <f aca="false">I104+J104</f>
        <v>0</v>
      </c>
    </row>
    <row r="105" customFormat="false" ht="15" hidden="false" customHeight="false" outlineLevel="0" collapsed="false">
      <c r="A105" s="4" t="s">
        <v>40</v>
      </c>
      <c r="B105" s="4" t="s">
        <v>126</v>
      </c>
      <c r="C105" s="4" t="s">
        <v>199</v>
      </c>
      <c r="D105" s="4" t="n">
        <f aca="false">INDEX(Positions!$D$2:$D$1061,MATCH($A105&amp;"|52",Positions!$A$2:$A$1061,0))</f>
        <v>65</v>
      </c>
      <c r="E105" s="4" t="n">
        <f aca="false">INDEX(Positions!$D$2:$D$1061,MATCH($A105&amp;"|62",Positions!$A$2:$A$1061,0))</f>
        <v>75</v>
      </c>
      <c r="F105" s="4" t="str">
        <f aca="false">INDEX(Positions!$E$2:$E$1061,MATCH($A105&amp;"|52",Positions!$A$2:$A$1061,0))</f>
        <v>A</v>
      </c>
      <c r="G105" s="4" t="str">
        <f aca="false">INDEX(Positions!$E$2:$E$1061,MATCH($A105&amp;"|62",Positions!$A$2:$A$1061,0))</f>
        <v>U</v>
      </c>
      <c r="H105" s="3" t="str">
        <f aca="false">F105&amp;"-"&amp;G105</f>
        <v>A-U</v>
      </c>
      <c r="I105" s="4" t="n">
        <f aca="false">(F105="G")+(G105="G")</f>
        <v>0</v>
      </c>
      <c r="J105" s="4" t="n">
        <f aca="false">(F105="C")+(G105="C")</f>
        <v>0</v>
      </c>
      <c r="K105" s="3" t="n">
        <f aca="false">I105+J105</f>
        <v>0</v>
      </c>
    </row>
    <row r="106" customFormat="false" ht="15" hidden="false" customHeight="false" outlineLevel="0" collapsed="false">
      <c r="A106" s="4" t="s">
        <v>40</v>
      </c>
      <c r="B106" s="4" t="s">
        <v>126</v>
      </c>
      <c r="C106" s="4" t="s">
        <v>200</v>
      </c>
      <c r="D106" s="4" t="n">
        <f aca="false">INDEX(Positions!$D$2:$D$1061,MATCH($A106&amp;"|53",Positions!$A$2:$A$1061,0))</f>
        <v>66</v>
      </c>
      <c r="E106" s="4" t="n">
        <f aca="false">INDEX(Positions!$D$2:$D$1061,MATCH($A106&amp;"|61",Positions!$A$2:$A$1061,0))</f>
        <v>74</v>
      </c>
      <c r="F106" s="4" t="str">
        <f aca="false">INDEX(Positions!$E$2:$E$1061,MATCH($A106&amp;"|53",Positions!$A$2:$A$1061,0))</f>
        <v>G</v>
      </c>
      <c r="G106" s="4" t="str">
        <f aca="false">INDEX(Positions!$E$2:$E$1061,MATCH($A106&amp;"|61",Positions!$A$2:$A$1061,0))</f>
        <v>C</v>
      </c>
      <c r="H106" s="3" t="str">
        <f aca="false">F106&amp;"-"&amp;G106</f>
        <v>G-C</v>
      </c>
      <c r="I106" s="4" t="n">
        <f aca="false">(F106="G")+(G106="G")</f>
        <v>1</v>
      </c>
      <c r="J106" s="4" t="n">
        <f aca="false">(F106="C")+(G106="C")</f>
        <v>1</v>
      </c>
      <c r="K106" s="3" t="n">
        <f aca="false">I106+J106</f>
        <v>2</v>
      </c>
    </row>
    <row r="107" customFormat="false" ht="15" hidden="false" customHeight="false" outlineLevel="0" collapsed="false">
      <c r="A107" s="23" t="s">
        <v>40</v>
      </c>
      <c r="B107" s="23" t="s">
        <v>201</v>
      </c>
      <c r="C107" s="23" t="s">
        <v>202</v>
      </c>
      <c r="D107" s="23" t="n">
        <f aca="false">INDEX(Positions!$D$2:$D$1061,MATCH($A107&amp;"|8",Positions!$A$2:$A$1061,0))</f>
        <v>8</v>
      </c>
      <c r="E107" s="23" t="n">
        <f aca="false">INDEX(Positions!$D$2:$D$1061,MATCH($A107&amp;"|14",Positions!$A$2:$A$1061,0))</f>
        <v>14</v>
      </c>
      <c r="F107" s="23" t="str">
        <f aca="false">INDEX(Positions!$E$2:$E$1061,MATCH($A107&amp;"|8",Positions!$A$2:$A$1061,0))</f>
        <v>U</v>
      </c>
      <c r="G107" s="23" t="str">
        <f aca="false">INDEX(Positions!$E$2:$E$1061,MATCH($A107&amp;"|14",Positions!$A$2:$A$1061,0))</f>
        <v>G</v>
      </c>
      <c r="H107" s="24" t="str">
        <f aca="false">F107&amp;"-"&amp;G107</f>
        <v>U-G</v>
      </c>
      <c r="I107" s="23" t="n">
        <f aca="false">(F107="G")+(G107="G")</f>
        <v>1</v>
      </c>
      <c r="J107" s="23" t="n">
        <f aca="false">(F107="C")+(G107="C")</f>
        <v>0</v>
      </c>
      <c r="K107" s="24" t="n">
        <f aca="false">I107+J107</f>
        <v>1</v>
      </c>
    </row>
    <row r="108" customFormat="false" ht="15" hidden="false" customHeight="false" outlineLevel="0" collapsed="false">
      <c r="A108" s="23" t="s">
        <v>40</v>
      </c>
      <c r="B108" s="23" t="s">
        <v>201</v>
      </c>
      <c r="C108" s="23" t="s">
        <v>203</v>
      </c>
      <c r="D108" s="23" t="n">
        <f aca="false">INDEX(Positions!$D$2:$D$1061,MATCH($A108&amp;"|15",Positions!$A$2:$A$1061,0))</f>
        <v>15</v>
      </c>
      <c r="E108" s="23" t="n">
        <f aca="false">INDEX(Positions!$D$2:$D$1061,MATCH($A108&amp;"|48",Positions!$A$2:$A$1061,0))</f>
        <v>61</v>
      </c>
      <c r="F108" s="23" t="str">
        <f aca="false">INDEX(Positions!$E$2:$E$1061,MATCH($A108&amp;"|15",Positions!$A$2:$A$1061,0))</f>
        <v>U</v>
      </c>
      <c r="G108" s="23" t="str">
        <f aca="false">INDEX(Positions!$E$2:$E$1061,MATCH($A108&amp;"|48",Positions!$A$2:$A$1061,0))</f>
        <v>A</v>
      </c>
      <c r="H108" s="24" t="str">
        <f aca="false">F108&amp;"-"&amp;G108</f>
        <v>U-A</v>
      </c>
      <c r="I108" s="23" t="n">
        <f aca="false">(F108="G")+(G108="G")</f>
        <v>0</v>
      </c>
      <c r="J108" s="23" t="n">
        <f aca="false">(F108="C")+(G108="C")</f>
        <v>0</v>
      </c>
      <c r="K108" s="24" t="n">
        <f aca="false">I108+J108</f>
        <v>0</v>
      </c>
    </row>
    <row r="109" customFormat="false" ht="15" hidden="false" customHeight="false" outlineLevel="0" collapsed="false">
      <c r="A109" s="23" t="s">
        <v>40</v>
      </c>
      <c r="B109" s="23" t="s">
        <v>201</v>
      </c>
      <c r="C109" s="23" t="s">
        <v>204</v>
      </c>
      <c r="D109" s="23" t="n">
        <f aca="false">INDEX(Positions!$D$2:$D$1061,MATCH($A109&amp;"|18",Positions!$A$2:$A$1061,0))</f>
        <v>17</v>
      </c>
      <c r="E109" s="23" t="n">
        <f aca="false">INDEX(Positions!$D$2:$D$1061,MATCH($A109&amp;"|55",Positions!$A$2:$A$1061,0))</f>
        <v>68</v>
      </c>
      <c r="F109" s="23" t="str">
        <f aca="false">INDEX(Positions!$E$2:$E$1061,MATCH($A109&amp;"|18",Positions!$A$2:$A$1061,0))</f>
        <v>G</v>
      </c>
      <c r="G109" s="23" t="str">
        <f aca="false">INDEX(Positions!$E$2:$E$1061,MATCH($A109&amp;"|55",Positions!$A$2:$A$1061,0))</f>
        <v>U</v>
      </c>
      <c r="H109" s="24" t="str">
        <f aca="false">F109&amp;"-"&amp;G109</f>
        <v>G-U</v>
      </c>
      <c r="I109" s="23" t="n">
        <f aca="false">(F109="G")+(G109="G")</f>
        <v>1</v>
      </c>
      <c r="J109" s="23" t="n">
        <f aca="false">(F109="C")+(G109="C")</f>
        <v>0</v>
      </c>
      <c r="K109" s="24" t="n">
        <f aca="false">I109+J109</f>
        <v>1</v>
      </c>
    </row>
    <row r="110" customFormat="false" ht="15" hidden="false" customHeight="false" outlineLevel="0" collapsed="false">
      <c r="A110" s="23" t="s">
        <v>40</v>
      </c>
      <c r="B110" s="23" t="s">
        <v>201</v>
      </c>
      <c r="C110" s="23" t="s">
        <v>205</v>
      </c>
      <c r="D110" s="23" t="n">
        <f aca="false">INDEX(Positions!$D$2:$D$1061,MATCH($A110&amp;"|19",Positions!$A$2:$A$1061,0))</f>
        <v>18</v>
      </c>
      <c r="E110" s="23" t="n">
        <f aca="false">INDEX(Positions!$D$2:$D$1061,MATCH($A110&amp;"|56",Positions!$A$2:$A$1061,0))</f>
        <v>69</v>
      </c>
      <c r="F110" s="23" t="str">
        <f aca="false">INDEX(Positions!$E$2:$E$1061,MATCH($A110&amp;"|19",Positions!$A$2:$A$1061,0))</f>
        <v>G</v>
      </c>
      <c r="G110" s="23" t="str">
        <f aca="false">INDEX(Positions!$E$2:$E$1061,MATCH($A110&amp;"|56",Positions!$A$2:$A$1061,0))</f>
        <v>C</v>
      </c>
      <c r="H110" s="24" t="str">
        <f aca="false">F110&amp;"-"&amp;G110</f>
        <v>G-C</v>
      </c>
      <c r="I110" s="23" t="n">
        <f aca="false">(F110="G")+(G110="G")</f>
        <v>1</v>
      </c>
      <c r="J110" s="23" t="n">
        <f aca="false">(F110="C")+(G110="C")</f>
        <v>1</v>
      </c>
      <c r="K110" s="24" t="n">
        <f aca="false">I110+J110</f>
        <v>2</v>
      </c>
    </row>
    <row r="111" customFormat="false" ht="15" hidden="false" customHeight="false" outlineLevel="0" collapsed="false">
      <c r="A111" s="23" t="s">
        <v>40</v>
      </c>
      <c r="B111" s="23" t="s">
        <v>201</v>
      </c>
      <c r="C111" s="23" t="s">
        <v>206</v>
      </c>
      <c r="D111" s="23" t="n">
        <f aca="false">INDEX(Positions!$D$2:$D$1061,MATCH($A111&amp;"|26",Positions!$A$2:$A$1061,0))</f>
        <v>27</v>
      </c>
      <c r="E111" s="23" t="n">
        <f aca="false">INDEX(Positions!$D$2:$D$1061,MATCH($A111&amp;"|44",Positions!$A$2:$A$1061,0))</f>
        <v>45</v>
      </c>
      <c r="F111" s="23" t="str">
        <f aca="false">INDEX(Positions!$E$2:$E$1061,MATCH($A111&amp;"|26",Positions!$A$2:$A$1061,0))</f>
        <v>U</v>
      </c>
      <c r="G111" s="23" t="str">
        <f aca="false">INDEX(Positions!$E$2:$E$1061,MATCH($A111&amp;"|44",Positions!$A$2:$A$1061,0))</f>
        <v>A</v>
      </c>
      <c r="H111" s="24" t="str">
        <f aca="false">F111&amp;"-"&amp;G111</f>
        <v>U-A</v>
      </c>
      <c r="I111" s="23" t="n">
        <f aca="false">(F111="G")+(G111="G")</f>
        <v>0</v>
      </c>
      <c r="J111" s="23" t="n">
        <f aca="false">(F111="C")+(G111="C")</f>
        <v>0</v>
      </c>
      <c r="K111" s="24" t="n">
        <f aca="false">I111+J111</f>
        <v>0</v>
      </c>
    </row>
    <row r="112" customFormat="false" ht="15" hidden="false" customHeight="false" outlineLevel="0" collapsed="false">
      <c r="A112" s="23" t="s">
        <v>40</v>
      </c>
      <c r="B112" s="23" t="s">
        <v>201</v>
      </c>
      <c r="C112" s="23" t="s">
        <v>207</v>
      </c>
      <c r="D112" s="23" t="n">
        <f aca="false">INDEX(Positions!$D$2:$D$1061,MATCH($A112&amp;"|32",Positions!$A$2:$A$1061,0))</f>
        <v>33</v>
      </c>
      <c r="E112" s="23" t="n">
        <f aca="false">INDEX(Positions!$D$2:$D$1061,MATCH($A112&amp;"|38",Positions!$A$2:$A$1061,0))</f>
        <v>39</v>
      </c>
      <c r="F112" s="23" t="str">
        <f aca="false">INDEX(Positions!$E$2:$E$1061,MATCH($A112&amp;"|32",Positions!$A$2:$A$1061,0))</f>
        <v>U</v>
      </c>
      <c r="G112" s="23" t="str">
        <f aca="false">INDEX(Positions!$E$2:$E$1061,MATCH($A112&amp;"|38",Positions!$A$2:$A$1061,0))</f>
        <v>G</v>
      </c>
      <c r="H112" s="24" t="str">
        <f aca="false">F112&amp;"-"&amp;G112</f>
        <v>U-G</v>
      </c>
      <c r="I112" s="23" t="n">
        <f aca="false">(F112="G")+(G112="G")</f>
        <v>1</v>
      </c>
      <c r="J112" s="23" t="n">
        <f aca="false">(F112="C")+(G112="C")</f>
        <v>0</v>
      </c>
      <c r="K112" s="24" t="n">
        <f aca="false">I112+J112</f>
        <v>1</v>
      </c>
    </row>
    <row r="113" customFormat="false" ht="15" hidden="false" customHeight="false" outlineLevel="0" collapsed="false">
      <c r="A113" s="23" t="s">
        <v>40</v>
      </c>
      <c r="B113" s="23" t="s">
        <v>201</v>
      </c>
      <c r="C113" s="23" t="s">
        <v>208</v>
      </c>
      <c r="D113" s="23" t="n">
        <f aca="false">INDEX(Positions!$D$2:$D$1061,MATCH($A113&amp;"|54",Positions!$A$2:$A$1061,0))</f>
        <v>67</v>
      </c>
      <c r="E113" s="23" t="n">
        <f aca="false">INDEX(Positions!$D$2:$D$1061,MATCH($A113&amp;"|58",Positions!$A$2:$A$1061,0))</f>
        <v>71</v>
      </c>
      <c r="F113" s="23" t="str">
        <f aca="false">INDEX(Positions!$E$2:$E$1061,MATCH($A113&amp;"|54",Positions!$A$2:$A$1061,0))</f>
        <v>U</v>
      </c>
      <c r="G113" s="23" t="str">
        <f aca="false">INDEX(Positions!$E$2:$E$1061,MATCH($A113&amp;"|58",Positions!$A$2:$A$1061,0))</f>
        <v>C</v>
      </c>
      <c r="H113" s="24" t="str">
        <f aca="false">F113&amp;"-"&amp;G113</f>
        <v>U-C</v>
      </c>
      <c r="I113" s="23" t="n">
        <f aca="false">(F113="G")+(G113="G")</f>
        <v>0</v>
      </c>
      <c r="J113" s="23" t="n">
        <f aca="false">(F113="C")+(G113="C")</f>
        <v>1</v>
      </c>
      <c r="K113" s="24" t="n">
        <f aca="false">I113+J113</f>
        <v>1</v>
      </c>
    </row>
    <row r="114" customFormat="false" ht="15" hidden="false" customHeight="false" outlineLevel="0" collapsed="false">
      <c r="A114" s="4" t="s">
        <v>41</v>
      </c>
      <c r="B114" s="4" t="s">
        <v>60</v>
      </c>
      <c r="C114" s="4" t="s">
        <v>180</v>
      </c>
      <c r="D114" s="4" t="n">
        <f aca="false">INDEX(Positions!$D$2:$D$1061,MATCH($A114&amp;"|1",Positions!$A$2:$A$1061,0))</f>
        <v>1</v>
      </c>
      <c r="E114" s="4" t="n">
        <f aca="false">INDEX(Positions!$D$2:$D$1061,MATCH($A114&amp;"|72",Positions!$A$2:$A$1061,0))</f>
        <v>86</v>
      </c>
      <c r="F114" s="4" t="str">
        <f aca="false">INDEX(Positions!$E$2:$E$1061,MATCH($A114&amp;"|1",Positions!$A$2:$A$1061,0))</f>
        <v>U</v>
      </c>
      <c r="G114" s="4" t="str">
        <f aca="false">INDEX(Positions!$E$2:$E$1061,MATCH($A114&amp;"|72",Positions!$A$2:$A$1061,0))</f>
        <v>A</v>
      </c>
      <c r="H114" s="3" t="str">
        <f aca="false">F114&amp;"-"&amp;G114</f>
        <v>U-A</v>
      </c>
      <c r="I114" s="4" t="n">
        <f aca="false">(F114="G")+(G114="G")</f>
        <v>0</v>
      </c>
      <c r="J114" s="4" t="n">
        <f aca="false">(F114="C")+(G114="C")</f>
        <v>0</v>
      </c>
      <c r="K114" s="3" t="n">
        <f aca="false">I114+J114</f>
        <v>0</v>
      </c>
    </row>
    <row r="115" customFormat="false" ht="15" hidden="false" customHeight="false" outlineLevel="0" collapsed="false">
      <c r="A115" s="4" t="s">
        <v>41</v>
      </c>
      <c r="B115" s="4" t="s">
        <v>60</v>
      </c>
      <c r="C115" s="4" t="s">
        <v>181</v>
      </c>
      <c r="D115" s="4" t="n">
        <f aca="false">INDEX(Positions!$D$2:$D$1061,MATCH($A115&amp;"|2",Positions!$A$2:$A$1061,0))</f>
        <v>2</v>
      </c>
      <c r="E115" s="4" t="n">
        <f aca="false">INDEX(Positions!$D$2:$D$1061,MATCH($A115&amp;"|71",Positions!$A$2:$A$1061,0))</f>
        <v>85</v>
      </c>
      <c r="F115" s="4" t="str">
        <f aca="false">INDEX(Positions!$E$2:$E$1061,MATCH($A115&amp;"|2",Positions!$A$2:$A$1061,0))</f>
        <v>U</v>
      </c>
      <c r="G115" s="4" t="str">
        <f aca="false">INDEX(Positions!$E$2:$E$1061,MATCH($A115&amp;"|71",Positions!$A$2:$A$1061,0))</f>
        <v>U</v>
      </c>
      <c r="H115" s="3" t="str">
        <f aca="false">F115&amp;"-"&amp;G115</f>
        <v>U-U</v>
      </c>
      <c r="I115" s="4" t="n">
        <f aca="false">(F115="G")+(G115="G")</f>
        <v>0</v>
      </c>
      <c r="J115" s="4" t="n">
        <f aca="false">(F115="C")+(G115="C")</f>
        <v>0</v>
      </c>
      <c r="K115" s="3" t="n">
        <f aca="false">I115+J115</f>
        <v>0</v>
      </c>
    </row>
    <row r="116" customFormat="false" ht="15" hidden="false" customHeight="false" outlineLevel="0" collapsed="false">
      <c r="A116" s="4" t="s">
        <v>41</v>
      </c>
      <c r="B116" s="4" t="s">
        <v>60</v>
      </c>
      <c r="C116" s="4" t="s">
        <v>182</v>
      </c>
      <c r="D116" s="4" t="n">
        <f aca="false">INDEX(Positions!$D$2:$D$1061,MATCH($A116&amp;"|3",Positions!$A$2:$A$1061,0))</f>
        <v>3</v>
      </c>
      <c r="E116" s="4" t="n">
        <f aca="false">INDEX(Positions!$D$2:$D$1061,MATCH($A116&amp;"|70",Positions!$A$2:$A$1061,0))</f>
        <v>84</v>
      </c>
      <c r="F116" s="4" t="str">
        <f aca="false">INDEX(Positions!$E$2:$E$1061,MATCH($A116&amp;"|3",Positions!$A$2:$A$1061,0))</f>
        <v>C</v>
      </c>
      <c r="G116" s="4" t="str">
        <f aca="false">INDEX(Positions!$E$2:$E$1061,MATCH($A116&amp;"|70",Positions!$A$2:$A$1061,0))</f>
        <v>G</v>
      </c>
      <c r="H116" s="3" t="str">
        <f aca="false">F116&amp;"-"&amp;G116</f>
        <v>C-G</v>
      </c>
      <c r="I116" s="4" t="n">
        <f aca="false">(F116="G")+(G116="G")</f>
        <v>1</v>
      </c>
      <c r="J116" s="4" t="n">
        <f aca="false">(F116="C")+(G116="C")</f>
        <v>1</v>
      </c>
      <c r="K116" s="3" t="n">
        <f aca="false">I116+J116</f>
        <v>2</v>
      </c>
    </row>
    <row r="117" customFormat="false" ht="15" hidden="false" customHeight="false" outlineLevel="0" collapsed="false">
      <c r="A117" s="4" t="s">
        <v>41</v>
      </c>
      <c r="B117" s="4" t="s">
        <v>60</v>
      </c>
      <c r="C117" s="4" t="s">
        <v>183</v>
      </c>
      <c r="D117" s="4" t="n">
        <f aca="false">INDEX(Positions!$D$2:$D$1061,MATCH($A117&amp;"|4",Positions!$A$2:$A$1061,0))</f>
        <v>4</v>
      </c>
      <c r="E117" s="4" t="n">
        <f aca="false">INDEX(Positions!$D$2:$D$1061,MATCH($A117&amp;"|69",Positions!$A$2:$A$1061,0))</f>
        <v>83</v>
      </c>
      <c r="F117" s="4" t="str">
        <f aca="false">INDEX(Positions!$E$2:$E$1061,MATCH($A117&amp;"|4",Positions!$A$2:$A$1061,0))</f>
        <v>U</v>
      </c>
      <c r="G117" s="4" t="str">
        <f aca="false">INDEX(Positions!$E$2:$E$1061,MATCH($A117&amp;"|69",Positions!$A$2:$A$1061,0))</f>
        <v>A</v>
      </c>
      <c r="H117" s="3" t="str">
        <f aca="false">F117&amp;"-"&amp;G117</f>
        <v>U-A</v>
      </c>
      <c r="I117" s="4" t="n">
        <f aca="false">(F117="G")+(G117="G")</f>
        <v>0</v>
      </c>
      <c r="J117" s="4" t="n">
        <f aca="false">(F117="C")+(G117="C")</f>
        <v>0</v>
      </c>
      <c r="K117" s="3" t="n">
        <f aca="false">I117+J117</f>
        <v>0</v>
      </c>
    </row>
    <row r="118" customFormat="false" ht="15" hidden="false" customHeight="false" outlineLevel="0" collapsed="false">
      <c r="A118" s="4" t="s">
        <v>41</v>
      </c>
      <c r="B118" s="4" t="s">
        <v>60</v>
      </c>
      <c r="C118" s="4" t="s">
        <v>184</v>
      </c>
      <c r="D118" s="4" t="n">
        <f aca="false">INDEX(Positions!$D$2:$D$1061,MATCH($A118&amp;"|5",Positions!$A$2:$A$1061,0))</f>
        <v>5</v>
      </c>
      <c r="E118" s="4" t="n">
        <f aca="false">INDEX(Positions!$D$2:$D$1061,MATCH($A118&amp;"|68",Positions!$A$2:$A$1061,0))</f>
        <v>82</v>
      </c>
      <c r="F118" s="4" t="str">
        <f aca="false">INDEX(Positions!$E$2:$E$1061,MATCH($A118&amp;"|5",Positions!$A$2:$A$1061,0))</f>
        <v>U</v>
      </c>
      <c r="G118" s="4" t="str">
        <f aca="false">INDEX(Positions!$E$2:$E$1061,MATCH($A118&amp;"|68",Positions!$A$2:$A$1061,0))</f>
        <v>G</v>
      </c>
      <c r="H118" s="3" t="str">
        <f aca="false">F118&amp;"-"&amp;G118</f>
        <v>U-G</v>
      </c>
      <c r="I118" s="4" t="n">
        <f aca="false">(F118="G")+(G118="G")</f>
        <v>1</v>
      </c>
      <c r="J118" s="4" t="n">
        <f aca="false">(F118="C")+(G118="C")</f>
        <v>0</v>
      </c>
      <c r="K118" s="3" t="n">
        <f aca="false">I118+J118</f>
        <v>1</v>
      </c>
    </row>
    <row r="119" customFormat="false" ht="15" hidden="false" customHeight="false" outlineLevel="0" collapsed="false">
      <c r="A119" s="4" t="s">
        <v>41</v>
      </c>
      <c r="B119" s="4" t="s">
        <v>60</v>
      </c>
      <c r="C119" s="4" t="s">
        <v>185</v>
      </c>
      <c r="D119" s="4" t="n">
        <f aca="false">INDEX(Positions!$D$2:$D$1061,MATCH($A119&amp;"|6",Positions!$A$2:$A$1061,0))</f>
        <v>6</v>
      </c>
      <c r="E119" s="4" t="n">
        <f aca="false">INDEX(Positions!$D$2:$D$1061,MATCH($A119&amp;"|67",Positions!$A$2:$A$1061,0))</f>
        <v>81</v>
      </c>
      <c r="F119" s="4" t="str">
        <f aca="false">INDEX(Positions!$E$2:$E$1061,MATCH($A119&amp;"|6",Positions!$A$2:$A$1061,0))</f>
        <v>A</v>
      </c>
      <c r="G119" s="4" t="str">
        <f aca="false">INDEX(Positions!$E$2:$E$1061,MATCH($A119&amp;"|67",Positions!$A$2:$A$1061,0))</f>
        <v>U</v>
      </c>
      <c r="H119" s="3" t="str">
        <f aca="false">F119&amp;"-"&amp;G119</f>
        <v>A-U</v>
      </c>
      <c r="I119" s="4" t="n">
        <f aca="false">(F119="G")+(G119="G")</f>
        <v>0</v>
      </c>
      <c r="J119" s="4" t="n">
        <f aca="false">(F119="C")+(G119="C")</f>
        <v>0</v>
      </c>
      <c r="K119" s="3" t="n">
        <f aca="false">I119+J119</f>
        <v>0</v>
      </c>
    </row>
    <row r="120" customFormat="false" ht="15" hidden="false" customHeight="false" outlineLevel="0" collapsed="false">
      <c r="A120" s="4" t="s">
        <v>41</v>
      </c>
      <c r="B120" s="4" t="s">
        <v>60</v>
      </c>
      <c r="C120" s="4" t="s">
        <v>186</v>
      </c>
      <c r="D120" s="4" t="n">
        <f aca="false">INDEX(Positions!$D$2:$D$1061,MATCH($A120&amp;"|7",Positions!$A$2:$A$1061,0))</f>
        <v>7</v>
      </c>
      <c r="E120" s="4" t="n">
        <f aca="false">INDEX(Positions!$D$2:$D$1061,MATCH($A120&amp;"|66",Positions!$A$2:$A$1061,0))</f>
        <v>80</v>
      </c>
      <c r="F120" s="4" t="str">
        <f aca="false">INDEX(Positions!$E$2:$E$1061,MATCH($A120&amp;"|7",Positions!$A$2:$A$1061,0))</f>
        <v>U</v>
      </c>
      <c r="G120" s="4" t="str">
        <f aca="false">INDEX(Positions!$E$2:$E$1061,MATCH($A120&amp;"|66",Positions!$A$2:$A$1061,0))</f>
        <v>A</v>
      </c>
      <c r="H120" s="3" t="str">
        <f aca="false">F120&amp;"-"&amp;G120</f>
        <v>U-A</v>
      </c>
      <c r="I120" s="4" t="n">
        <f aca="false">(F120="G")+(G120="G")</f>
        <v>0</v>
      </c>
      <c r="J120" s="4" t="n">
        <f aca="false">(F120="C")+(G120="C")</f>
        <v>0</v>
      </c>
      <c r="K120" s="3" t="n">
        <f aca="false">I120+J120</f>
        <v>0</v>
      </c>
    </row>
    <row r="121" customFormat="false" ht="15" hidden="false" customHeight="false" outlineLevel="0" collapsed="false">
      <c r="A121" s="4" t="s">
        <v>41</v>
      </c>
      <c r="B121" s="4" t="s">
        <v>75</v>
      </c>
      <c r="C121" s="4" t="s">
        <v>187</v>
      </c>
      <c r="D121" s="4" t="n">
        <f aca="false">INDEX(Positions!$D$2:$D$1061,MATCH($A121&amp;"|10",Positions!$A$2:$A$1061,0))</f>
        <v>10</v>
      </c>
      <c r="E121" s="4" t="n">
        <f aca="false">INDEX(Positions!$D$2:$D$1061,MATCH($A121&amp;"|25",Positions!$A$2:$A$1061,0))</f>
        <v>27</v>
      </c>
      <c r="F121" s="4" t="str">
        <f aca="false">INDEX(Positions!$E$2:$E$1061,MATCH($A121&amp;"|10",Positions!$A$2:$A$1061,0))</f>
        <v>U</v>
      </c>
      <c r="G121" s="4" t="str">
        <f aca="false">INDEX(Positions!$E$2:$E$1061,MATCH($A121&amp;"|25",Positions!$A$2:$A$1061,0))</f>
        <v>G</v>
      </c>
      <c r="H121" s="3" t="str">
        <f aca="false">F121&amp;"-"&amp;G121</f>
        <v>U-G</v>
      </c>
      <c r="I121" s="4" t="n">
        <f aca="false">(F121="G")+(G121="G")</f>
        <v>1</v>
      </c>
      <c r="J121" s="4" t="n">
        <f aca="false">(F121="C")+(G121="C")</f>
        <v>0</v>
      </c>
      <c r="K121" s="3" t="n">
        <f aca="false">I121+J121</f>
        <v>1</v>
      </c>
    </row>
    <row r="122" customFormat="false" ht="15" hidden="false" customHeight="false" outlineLevel="0" collapsed="false">
      <c r="A122" s="4" t="s">
        <v>41</v>
      </c>
      <c r="B122" s="4" t="s">
        <v>75</v>
      </c>
      <c r="C122" s="4" t="s">
        <v>188</v>
      </c>
      <c r="D122" s="4" t="n">
        <f aca="false">INDEX(Positions!$D$2:$D$1061,MATCH($A122&amp;"|11",Positions!$A$2:$A$1061,0))</f>
        <v>11</v>
      </c>
      <c r="E122" s="4" t="n">
        <f aca="false">INDEX(Positions!$D$2:$D$1061,MATCH($A122&amp;"|24",Positions!$A$2:$A$1061,0))</f>
        <v>26</v>
      </c>
      <c r="F122" s="4" t="str">
        <f aca="false">INDEX(Positions!$E$2:$E$1061,MATCH($A122&amp;"|11",Positions!$A$2:$A$1061,0))</f>
        <v>U</v>
      </c>
      <c r="G122" s="4" t="str">
        <f aca="false">INDEX(Positions!$E$2:$E$1061,MATCH($A122&amp;"|24",Positions!$A$2:$A$1061,0))</f>
        <v>A</v>
      </c>
      <c r="H122" s="3" t="str">
        <f aca="false">F122&amp;"-"&amp;G122</f>
        <v>U-A</v>
      </c>
      <c r="I122" s="4" t="n">
        <f aca="false">(F122="G")+(G122="G")</f>
        <v>0</v>
      </c>
      <c r="J122" s="4" t="n">
        <f aca="false">(F122="C")+(G122="C")</f>
        <v>0</v>
      </c>
      <c r="K122" s="3" t="n">
        <f aca="false">I122+J122</f>
        <v>0</v>
      </c>
    </row>
    <row r="123" customFormat="false" ht="15" hidden="false" customHeight="false" outlineLevel="0" collapsed="false">
      <c r="A123" s="4" t="s">
        <v>41</v>
      </c>
      <c r="B123" s="4" t="s">
        <v>75</v>
      </c>
      <c r="C123" s="4" t="s">
        <v>189</v>
      </c>
      <c r="D123" s="4" t="n">
        <f aca="false">INDEX(Positions!$D$2:$D$1061,MATCH($A123&amp;"|12",Positions!$A$2:$A$1061,0))</f>
        <v>12</v>
      </c>
      <c r="E123" s="4" t="n">
        <f aca="false">INDEX(Positions!$D$2:$D$1061,MATCH($A123&amp;"|23",Positions!$A$2:$A$1061,0))</f>
        <v>25</v>
      </c>
      <c r="F123" s="4" t="str">
        <f aca="false">INDEX(Positions!$E$2:$E$1061,MATCH($A123&amp;"|12",Positions!$A$2:$A$1061,0))</f>
        <v>G</v>
      </c>
      <c r="G123" s="4" t="str">
        <f aca="false">INDEX(Positions!$E$2:$E$1061,MATCH($A123&amp;"|23",Positions!$A$2:$A$1061,0))</f>
        <v>C</v>
      </c>
      <c r="H123" s="3" t="str">
        <f aca="false">F123&amp;"-"&amp;G123</f>
        <v>G-C</v>
      </c>
      <c r="I123" s="4" t="n">
        <f aca="false">(F123="G")+(G123="G")</f>
        <v>1</v>
      </c>
      <c r="J123" s="4" t="n">
        <f aca="false">(F123="C")+(G123="C")</f>
        <v>1</v>
      </c>
      <c r="K123" s="3" t="n">
        <f aca="false">I123+J123</f>
        <v>2</v>
      </c>
    </row>
    <row r="124" customFormat="false" ht="15" hidden="false" customHeight="false" outlineLevel="0" collapsed="false">
      <c r="A124" s="4" t="s">
        <v>41</v>
      </c>
      <c r="B124" s="4" t="s">
        <v>75</v>
      </c>
      <c r="C124" s="4" t="s">
        <v>190</v>
      </c>
      <c r="D124" s="4" t="n">
        <f aca="false">INDEX(Positions!$D$2:$D$1061,MATCH($A124&amp;"|13",Positions!$A$2:$A$1061,0))</f>
        <v>13</v>
      </c>
      <c r="E124" s="4" t="n">
        <f aca="false">INDEX(Positions!$D$2:$D$1061,MATCH($A124&amp;"|22",Positions!$A$2:$A$1061,0))</f>
        <v>24</v>
      </c>
      <c r="F124" s="4" t="str">
        <f aca="false">INDEX(Positions!$E$2:$E$1061,MATCH($A124&amp;"|13",Positions!$A$2:$A$1061,0))</f>
        <v>A</v>
      </c>
      <c r="G124" s="4" t="str">
        <f aca="false">INDEX(Positions!$E$2:$E$1061,MATCH($A124&amp;"|22",Positions!$A$2:$A$1061,0))</f>
        <v>U</v>
      </c>
      <c r="H124" s="3" t="str">
        <f aca="false">F124&amp;"-"&amp;G124</f>
        <v>A-U</v>
      </c>
      <c r="I124" s="4" t="n">
        <f aca="false">(F124="G")+(G124="G")</f>
        <v>0</v>
      </c>
      <c r="J124" s="4" t="n">
        <f aca="false">(F124="C")+(G124="C")</f>
        <v>0</v>
      </c>
      <c r="K124" s="3" t="n">
        <f aca="false">I124+J124</f>
        <v>0</v>
      </c>
    </row>
    <row r="125" customFormat="false" ht="15" hidden="false" customHeight="false" outlineLevel="0" collapsed="false">
      <c r="A125" s="4" t="s">
        <v>41</v>
      </c>
      <c r="B125" s="4" t="s">
        <v>96</v>
      </c>
      <c r="C125" s="4" t="s">
        <v>191</v>
      </c>
      <c r="D125" s="4" t="n">
        <f aca="false">INDEX(Positions!$D$2:$D$1061,MATCH($A125&amp;"|27",Positions!$A$2:$A$1061,0))</f>
        <v>29</v>
      </c>
      <c r="E125" s="4" t="n">
        <f aca="false">INDEX(Positions!$D$2:$D$1061,MATCH($A125&amp;"|43",Positions!$A$2:$A$1061,0))</f>
        <v>45</v>
      </c>
      <c r="F125" s="4" t="str">
        <f aca="false">INDEX(Positions!$E$2:$E$1061,MATCH($A125&amp;"|27",Positions!$A$2:$A$1061,0))</f>
        <v>A</v>
      </c>
      <c r="G125" s="4" t="str">
        <f aca="false">INDEX(Positions!$E$2:$E$1061,MATCH($A125&amp;"|43",Positions!$A$2:$A$1061,0))</f>
        <v>U</v>
      </c>
      <c r="H125" s="3" t="str">
        <f aca="false">F125&amp;"-"&amp;G125</f>
        <v>A-U</v>
      </c>
      <c r="I125" s="4" t="n">
        <f aca="false">(F125="G")+(G125="G")</f>
        <v>0</v>
      </c>
      <c r="J125" s="4" t="n">
        <f aca="false">(F125="C")+(G125="C")</f>
        <v>0</v>
      </c>
      <c r="K125" s="3" t="n">
        <f aca="false">I125+J125</f>
        <v>0</v>
      </c>
    </row>
    <row r="126" customFormat="false" ht="15" hidden="false" customHeight="false" outlineLevel="0" collapsed="false">
      <c r="A126" s="4" t="s">
        <v>41</v>
      </c>
      <c r="B126" s="4" t="s">
        <v>96</v>
      </c>
      <c r="C126" s="4" t="s">
        <v>192</v>
      </c>
      <c r="D126" s="4" t="n">
        <f aca="false">INDEX(Positions!$D$2:$D$1061,MATCH($A126&amp;"|28",Positions!$A$2:$A$1061,0))</f>
        <v>30</v>
      </c>
      <c r="E126" s="4" t="n">
        <f aca="false">INDEX(Positions!$D$2:$D$1061,MATCH($A126&amp;"|42",Positions!$A$2:$A$1061,0))</f>
        <v>44</v>
      </c>
      <c r="F126" s="4" t="str">
        <f aca="false">INDEX(Positions!$E$2:$E$1061,MATCH($A126&amp;"|28",Positions!$A$2:$A$1061,0))</f>
        <v>U</v>
      </c>
      <c r="G126" s="4" t="str">
        <f aca="false">INDEX(Positions!$E$2:$E$1061,MATCH($A126&amp;"|42",Positions!$A$2:$A$1061,0))</f>
        <v>G</v>
      </c>
      <c r="H126" s="3" t="str">
        <f aca="false">F126&amp;"-"&amp;G126</f>
        <v>U-G</v>
      </c>
      <c r="I126" s="4" t="n">
        <f aca="false">(F126="G")+(G126="G")</f>
        <v>1</v>
      </c>
      <c r="J126" s="4" t="n">
        <f aca="false">(F126="C")+(G126="C")</f>
        <v>0</v>
      </c>
      <c r="K126" s="3" t="n">
        <f aca="false">I126+J126</f>
        <v>1</v>
      </c>
    </row>
    <row r="127" customFormat="false" ht="15" hidden="false" customHeight="false" outlineLevel="0" collapsed="false">
      <c r="A127" s="4" t="s">
        <v>41</v>
      </c>
      <c r="B127" s="4" t="s">
        <v>96</v>
      </c>
      <c r="C127" s="4" t="s">
        <v>193</v>
      </c>
      <c r="D127" s="4" t="n">
        <f aca="false">INDEX(Positions!$D$2:$D$1061,MATCH($A127&amp;"|29",Positions!$A$2:$A$1061,0))</f>
        <v>31</v>
      </c>
      <c r="E127" s="4" t="n">
        <f aca="false">INDEX(Positions!$D$2:$D$1061,MATCH($A127&amp;"|41",Positions!$A$2:$A$1061,0))</f>
        <v>43</v>
      </c>
      <c r="F127" s="4" t="str">
        <f aca="false">INDEX(Positions!$E$2:$E$1061,MATCH($A127&amp;"|29",Positions!$A$2:$A$1061,0))</f>
        <v>A</v>
      </c>
      <c r="G127" s="4" t="str">
        <f aca="false">INDEX(Positions!$E$2:$E$1061,MATCH($A127&amp;"|41",Positions!$A$2:$A$1061,0))</f>
        <v>U</v>
      </c>
      <c r="H127" s="3" t="str">
        <f aca="false">F127&amp;"-"&amp;G127</f>
        <v>A-U</v>
      </c>
      <c r="I127" s="4" t="n">
        <f aca="false">(F127="G")+(G127="G")</f>
        <v>0</v>
      </c>
      <c r="J127" s="4" t="n">
        <f aca="false">(F127="C")+(G127="C")</f>
        <v>0</v>
      </c>
      <c r="K127" s="3" t="n">
        <f aca="false">I127+J127</f>
        <v>0</v>
      </c>
    </row>
    <row r="128" customFormat="false" ht="15" hidden="false" customHeight="false" outlineLevel="0" collapsed="false">
      <c r="A128" s="4" t="s">
        <v>41</v>
      </c>
      <c r="B128" s="4" t="s">
        <v>96</v>
      </c>
      <c r="C128" s="4" t="s">
        <v>194</v>
      </c>
      <c r="D128" s="4" t="n">
        <f aca="false">INDEX(Positions!$D$2:$D$1061,MATCH($A128&amp;"|30",Positions!$A$2:$A$1061,0))</f>
        <v>32</v>
      </c>
      <c r="E128" s="4" t="n">
        <f aca="false">INDEX(Positions!$D$2:$D$1061,MATCH($A128&amp;"|40",Positions!$A$2:$A$1061,0))</f>
        <v>42</v>
      </c>
      <c r="F128" s="4" t="str">
        <f aca="false">INDEX(Positions!$E$2:$E$1061,MATCH($A128&amp;"|30",Positions!$A$2:$A$1061,0))</f>
        <v>U</v>
      </c>
      <c r="G128" s="4" t="str">
        <f aca="false">INDEX(Positions!$E$2:$E$1061,MATCH($A128&amp;"|40",Positions!$A$2:$A$1061,0))</f>
        <v>G</v>
      </c>
      <c r="H128" s="3" t="str">
        <f aca="false">F128&amp;"-"&amp;G128</f>
        <v>U-G</v>
      </c>
      <c r="I128" s="4" t="n">
        <f aca="false">(F128="G")+(G128="G")</f>
        <v>1</v>
      </c>
      <c r="J128" s="4" t="n">
        <f aca="false">(F128="C")+(G128="C")</f>
        <v>0</v>
      </c>
      <c r="K128" s="3" t="n">
        <f aca="false">I128+J128</f>
        <v>1</v>
      </c>
    </row>
    <row r="129" customFormat="false" ht="15" hidden="false" customHeight="false" outlineLevel="0" collapsed="false">
      <c r="A129" s="4" t="s">
        <v>41</v>
      </c>
      <c r="B129" s="4" t="s">
        <v>96</v>
      </c>
      <c r="C129" s="4" t="s">
        <v>195</v>
      </c>
      <c r="D129" s="4" t="n">
        <f aca="false">INDEX(Positions!$D$2:$D$1061,MATCH($A129&amp;"|31",Positions!$A$2:$A$1061,0))</f>
        <v>33</v>
      </c>
      <c r="E129" s="4" t="n">
        <f aca="false">INDEX(Positions!$D$2:$D$1061,MATCH($A129&amp;"|39",Positions!$A$2:$A$1061,0))</f>
        <v>41</v>
      </c>
      <c r="F129" s="4" t="str">
        <f aca="false">INDEX(Positions!$E$2:$E$1061,MATCH($A129&amp;"|31",Positions!$A$2:$A$1061,0))</f>
        <v>U</v>
      </c>
      <c r="G129" s="4" t="str">
        <f aca="false">INDEX(Positions!$E$2:$E$1061,MATCH($A129&amp;"|39",Positions!$A$2:$A$1061,0))</f>
        <v>A</v>
      </c>
      <c r="H129" s="3" t="str">
        <f aca="false">F129&amp;"-"&amp;G129</f>
        <v>U-A</v>
      </c>
      <c r="I129" s="4" t="n">
        <f aca="false">(F129="G")+(G129="G")</f>
        <v>0</v>
      </c>
      <c r="J129" s="4" t="n">
        <f aca="false">(F129="C")+(G129="C")</f>
        <v>0</v>
      </c>
      <c r="K129" s="3" t="n">
        <f aca="false">I129+J129</f>
        <v>0</v>
      </c>
    </row>
    <row r="130" customFormat="false" ht="15" hidden="false" customHeight="false" outlineLevel="0" collapsed="false">
      <c r="A130" s="4" t="s">
        <v>41</v>
      </c>
      <c r="B130" s="4" t="s">
        <v>126</v>
      </c>
      <c r="C130" s="4" t="s">
        <v>196</v>
      </c>
      <c r="D130" s="4" t="n">
        <f aca="false">INDEX(Positions!$D$2:$D$1061,MATCH($A130&amp;"|49",Positions!$A$2:$A$1061,0))</f>
        <v>63</v>
      </c>
      <c r="E130" s="4" t="n">
        <f aca="false">INDEX(Positions!$D$2:$D$1061,MATCH($A130&amp;"|65",Positions!$A$2:$A$1061,0))</f>
        <v>79</v>
      </c>
      <c r="F130" s="4" t="str">
        <f aca="false">INDEX(Positions!$E$2:$E$1061,MATCH($A130&amp;"|49",Positions!$A$2:$A$1061,0))</f>
        <v>A</v>
      </c>
      <c r="G130" s="4" t="str">
        <f aca="false">INDEX(Positions!$E$2:$E$1061,MATCH($A130&amp;"|65",Positions!$A$2:$A$1061,0))</f>
        <v>U</v>
      </c>
      <c r="H130" s="3" t="str">
        <f aca="false">F130&amp;"-"&amp;G130</f>
        <v>A-U</v>
      </c>
      <c r="I130" s="4" t="n">
        <f aca="false">(F130="G")+(G130="G")</f>
        <v>0</v>
      </c>
      <c r="J130" s="4" t="n">
        <f aca="false">(F130="C")+(G130="C")</f>
        <v>0</v>
      </c>
      <c r="K130" s="3" t="n">
        <f aca="false">I130+J130</f>
        <v>0</v>
      </c>
    </row>
    <row r="131" customFormat="false" ht="15" hidden="false" customHeight="false" outlineLevel="0" collapsed="false">
      <c r="A131" s="4" t="s">
        <v>41</v>
      </c>
      <c r="B131" s="4" t="s">
        <v>126</v>
      </c>
      <c r="C131" s="4" t="s">
        <v>197</v>
      </c>
      <c r="D131" s="4" t="n">
        <f aca="false">INDEX(Positions!$D$2:$D$1061,MATCH($A131&amp;"|50",Positions!$A$2:$A$1061,0))</f>
        <v>64</v>
      </c>
      <c r="E131" s="4" t="n">
        <f aca="false">INDEX(Positions!$D$2:$D$1061,MATCH($A131&amp;"|64",Positions!$A$2:$A$1061,0))</f>
        <v>78</v>
      </c>
      <c r="F131" s="4" t="str">
        <f aca="false">INDEX(Positions!$E$2:$E$1061,MATCH($A131&amp;"|50",Positions!$A$2:$A$1061,0))</f>
        <v>A</v>
      </c>
      <c r="G131" s="4" t="str">
        <f aca="false">INDEX(Positions!$E$2:$E$1061,MATCH($A131&amp;"|64",Positions!$A$2:$A$1061,0))</f>
        <v>U</v>
      </c>
      <c r="H131" s="3" t="str">
        <f aca="false">F131&amp;"-"&amp;G131</f>
        <v>A-U</v>
      </c>
      <c r="I131" s="4" t="n">
        <f aca="false">(F131="G")+(G131="G")</f>
        <v>0</v>
      </c>
      <c r="J131" s="4" t="n">
        <f aca="false">(F131="C")+(G131="C")</f>
        <v>0</v>
      </c>
      <c r="K131" s="3" t="n">
        <f aca="false">I131+J131</f>
        <v>0</v>
      </c>
    </row>
    <row r="132" customFormat="false" ht="15" hidden="false" customHeight="false" outlineLevel="0" collapsed="false">
      <c r="A132" s="4" t="s">
        <v>41</v>
      </c>
      <c r="B132" s="4" t="s">
        <v>126</v>
      </c>
      <c r="C132" s="4" t="s">
        <v>198</v>
      </c>
      <c r="D132" s="4" t="n">
        <f aca="false">INDEX(Positions!$D$2:$D$1061,MATCH($A132&amp;"|51",Positions!$A$2:$A$1061,0))</f>
        <v>65</v>
      </c>
      <c r="E132" s="4" t="n">
        <f aca="false">INDEX(Positions!$D$2:$D$1061,MATCH($A132&amp;"|63",Positions!$A$2:$A$1061,0))</f>
        <v>77</v>
      </c>
      <c r="F132" s="4" t="str">
        <f aca="false">INDEX(Positions!$E$2:$E$1061,MATCH($A132&amp;"|51",Positions!$A$2:$A$1061,0))</f>
        <v>U</v>
      </c>
      <c r="G132" s="4" t="str">
        <f aca="false">INDEX(Positions!$E$2:$E$1061,MATCH($A132&amp;"|63",Positions!$A$2:$A$1061,0))</f>
        <v>G</v>
      </c>
      <c r="H132" s="3" t="str">
        <f aca="false">F132&amp;"-"&amp;G132</f>
        <v>U-G</v>
      </c>
      <c r="I132" s="4" t="n">
        <f aca="false">(F132="G")+(G132="G")</f>
        <v>1</v>
      </c>
      <c r="J132" s="4" t="n">
        <f aca="false">(F132="C")+(G132="C")</f>
        <v>0</v>
      </c>
      <c r="K132" s="3" t="n">
        <f aca="false">I132+J132</f>
        <v>1</v>
      </c>
    </row>
    <row r="133" customFormat="false" ht="15" hidden="false" customHeight="false" outlineLevel="0" collapsed="false">
      <c r="A133" s="4" t="s">
        <v>41</v>
      </c>
      <c r="B133" s="4" t="s">
        <v>126</v>
      </c>
      <c r="C133" s="4" t="s">
        <v>199</v>
      </c>
      <c r="D133" s="4" t="n">
        <f aca="false">INDEX(Positions!$D$2:$D$1061,MATCH($A133&amp;"|52",Positions!$A$2:$A$1061,0))</f>
        <v>66</v>
      </c>
      <c r="E133" s="4" t="n">
        <f aca="false">INDEX(Positions!$D$2:$D$1061,MATCH($A133&amp;"|62",Positions!$A$2:$A$1061,0))</f>
        <v>76</v>
      </c>
      <c r="F133" s="4" t="str">
        <f aca="false">INDEX(Positions!$E$2:$E$1061,MATCH($A133&amp;"|52",Positions!$A$2:$A$1061,0))</f>
        <v>U</v>
      </c>
      <c r="G133" s="4" t="str">
        <f aca="false">INDEX(Positions!$E$2:$E$1061,MATCH($A133&amp;"|62",Positions!$A$2:$A$1061,0))</f>
        <v>A</v>
      </c>
      <c r="H133" s="3" t="str">
        <f aca="false">F133&amp;"-"&amp;G133</f>
        <v>U-A</v>
      </c>
      <c r="I133" s="4" t="n">
        <f aca="false">(F133="G")+(G133="G")</f>
        <v>0</v>
      </c>
      <c r="J133" s="4" t="n">
        <f aca="false">(F133="C")+(G133="C")</f>
        <v>0</v>
      </c>
      <c r="K133" s="3" t="n">
        <f aca="false">I133+J133</f>
        <v>0</v>
      </c>
    </row>
    <row r="134" customFormat="false" ht="15" hidden="false" customHeight="false" outlineLevel="0" collapsed="false">
      <c r="A134" s="4" t="s">
        <v>41</v>
      </c>
      <c r="B134" s="4" t="s">
        <v>126</v>
      </c>
      <c r="C134" s="4" t="s">
        <v>200</v>
      </c>
      <c r="D134" s="4" t="n">
        <f aca="false">INDEX(Positions!$D$2:$D$1061,MATCH($A134&amp;"|53",Positions!$A$2:$A$1061,0))</f>
        <v>67</v>
      </c>
      <c r="E134" s="4" t="n">
        <f aca="false">INDEX(Positions!$D$2:$D$1061,MATCH($A134&amp;"|61",Positions!$A$2:$A$1061,0))</f>
        <v>75</v>
      </c>
      <c r="F134" s="4" t="str">
        <f aca="false">INDEX(Positions!$E$2:$E$1061,MATCH($A134&amp;"|53",Positions!$A$2:$A$1061,0))</f>
        <v>G</v>
      </c>
      <c r="G134" s="4" t="str">
        <f aca="false">INDEX(Positions!$E$2:$E$1061,MATCH($A134&amp;"|61",Positions!$A$2:$A$1061,0))</f>
        <v>C</v>
      </c>
      <c r="H134" s="3" t="str">
        <f aca="false">F134&amp;"-"&amp;G134</f>
        <v>G-C</v>
      </c>
      <c r="I134" s="4" t="n">
        <f aca="false">(F134="G")+(G134="G")</f>
        <v>1</v>
      </c>
      <c r="J134" s="4" t="n">
        <f aca="false">(F134="C")+(G134="C")</f>
        <v>1</v>
      </c>
      <c r="K134" s="3" t="n">
        <f aca="false">I134+J134</f>
        <v>2</v>
      </c>
    </row>
    <row r="135" customFormat="false" ht="15" hidden="false" customHeight="false" outlineLevel="0" collapsed="false">
      <c r="A135" s="23" t="s">
        <v>41</v>
      </c>
      <c r="B135" s="23" t="s">
        <v>201</v>
      </c>
      <c r="C135" s="23" t="s">
        <v>202</v>
      </c>
      <c r="D135" s="23" t="n">
        <f aca="false">INDEX(Positions!$D$2:$D$1061,MATCH($A135&amp;"|8",Positions!$A$2:$A$1061,0))</f>
        <v>8</v>
      </c>
      <c r="E135" s="23" t="n">
        <f aca="false">INDEX(Positions!$D$2:$D$1061,MATCH($A135&amp;"|14",Positions!$A$2:$A$1061,0))</f>
        <v>14</v>
      </c>
      <c r="F135" s="23" t="str">
        <f aca="false">INDEX(Positions!$E$2:$E$1061,MATCH($A135&amp;"|8",Positions!$A$2:$A$1061,0))</f>
        <v>U</v>
      </c>
      <c r="G135" s="23" t="str">
        <f aca="false">INDEX(Positions!$E$2:$E$1061,MATCH($A135&amp;"|14",Positions!$A$2:$A$1061,0))</f>
        <v>A</v>
      </c>
      <c r="H135" s="24" t="str">
        <f aca="false">F135&amp;"-"&amp;G135</f>
        <v>U-A</v>
      </c>
      <c r="I135" s="23" t="n">
        <f aca="false">(F135="G")+(G135="G")</f>
        <v>0</v>
      </c>
      <c r="J135" s="23" t="n">
        <f aca="false">(F135="C")+(G135="C")</f>
        <v>0</v>
      </c>
      <c r="K135" s="24" t="n">
        <f aca="false">I135+J135</f>
        <v>0</v>
      </c>
    </row>
    <row r="136" customFormat="false" ht="15" hidden="false" customHeight="false" outlineLevel="0" collapsed="false">
      <c r="A136" s="23" t="s">
        <v>41</v>
      </c>
      <c r="B136" s="23" t="s">
        <v>201</v>
      </c>
      <c r="C136" s="23" t="s">
        <v>203</v>
      </c>
      <c r="D136" s="23" t="n">
        <f aca="false">INDEX(Positions!$D$2:$D$1061,MATCH($A136&amp;"|15",Positions!$A$2:$A$1061,0))</f>
        <v>15</v>
      </c>
      <c r="E136" s="23" t="n">
        <f aca="false">INDEX(Positions!$D$2:$D$1061,MATCH($A136&amp;"|48",Positions!$A$2:$A$1061,0))</f>
        <v>62</v>
      </c>
      <c r="F136" s="23" t="str">
        <f aca="false">INDEX(Positions!$E$2:$E$1061,MATCH($A136&amp;"|15",Positions!$A$2:$A$1061,0))</f>
        <v>A</v>
      </c>
      <c r="G136" s="23" t="str">
        <f aca="false">INDEX(Positions!$E$2:$E$1061,MATCH($A136&amp;"|48",Positions!$A$2:$A$1061,0))</f>
        <v>U</v>
      </c>
      <c r="H136" s="24" t="str">
        <f aca="false">F136&amp;"-"&amp;G136</f>
        <v>A-U</v>
      </c>
      <c r="I136" s="23" t="n">
        <f aca="false">(F136="G")+(G136="G")</f>
        <v>0</v>
      </c>
      <c r="J136" s="23" t="n">
        <f aca="false">(F136="C")+(G136="C")</f>
        <v>0</v>
      </c>
      <c r="K136" s="24" t="n">
        <f aca="false">I136+J136</f>
        <v>0</v>
      </c>
    </row>
    <row r="137" customFormat="false" ht="15" hidden="false" customHeight="false" outlineLevel="0" collapsed="false">
      <c r="A137" s="23" t="s">
        <v>41</v>
      </c>
      <c r="B137" s="23" t="s">
        <v>201</v>
      </c>
      <c r="C137" s="23" t="s">
        <v>204</v>
      </c>
      <c r="D137" s="23" t="n">
        <f aca="false">INDEX(Positions!$D$2:$D$1061,MATCH($A137&amp;"|18",Positions!$A$2:$A$1061,0))</f>
        <v>19</v>
      </c>
      <c r="E137" s="23" t="n">
        <f aca="false">INDEX(Positions!$D$2:$D$1061,MATCH($A137&amp;"|55",Positions!$A$2:$A$1061,0))</f>
        <v>69</v>
      </c>
      <c r="F137" s="23" t="str">
        <f aca="false">INDEX(Positions!$E$2:$E$1061,MATCH($A137&amp;"|18",Positions!$A$2:$A$1061,0))</f>
        <v>G</v>
      </c>
      <c r="G137" s="23" t="str">
        <f aca="false">INDEX(Positions!$E$2:$E$1061,MATCH($A137&amp;"|55",Positions!$A$2:$A$1061,0))</f>
        <v>U</v>
      </c>
      <c r="H137" s="24" t="str">
        <f aca="false">F137&amp;"-"&amp;G137</f>
        <v>G-U</v>
      </c>
      <c r="I137" s="23" t="n">
        <f aca="false">(F137="G")+(G137="G")</f>
        <v>1</v>
      </c>
      <c r="J137" s="23" t="n">
        <f aca="false">(F137="C")+(G137="C")</f>
        <v>0</v>
      </c>
      <c r="K137" s="24" t="n">
        <f aca="false">I137+J137</f>
        <v>1</v>
      </c>
    </row>
    <row r="138" customFormat="false" ht="15" hidden="false" customHeight="false" outlineLevel="0" collapsed="false">
      <c r="A138" s="23" t="s">
        <v>41</v>
      </c>
      <c r="B138" s="23" t="s">
        <v>201</v>
      </c>
      <c r="C138" s="23" t="s">
        <v>205</v>
      </c>
      <c r="D138" s="23" t="n">
        <f aca="false">INDEX(Positions!$D$2:$D$1061,MATCH($A138&amp;"|19",Positions!$A$2:$A$1061,0))</f>
        <v>20</v>
      </c>
      <c r="E138" s="23" t="n">
        <f aca="false">INDEX(Positions!$D$2:$D$1061,MATCH($A138&amp;"|56",Positions!$A$2:$A$1061,0))</f>
        <v>70</v>
      </c>
      <c r="F138" s="23" t="str">
        <f aca="false">INDEX(Positions!$E$2:$E$1061,MATCH($A138&amp;"|19",Positions!$A$2:$A$1061,0))</f>
        <v>G</v>
      </c>
      <c r="G138" s="23" t="str">
        <f aca="false">INDEX(Positions!$E$2:$E$1061,MATCH($A138&amp;"|56",Positions!$A$2:$A$1061,0))</f>
        <v>C</v>
      </c>
      <c r="H138" s="24" t="str">
        <f aca="false">F138&amp;"-"&amp;G138</f>
        <v>G-C</v>
      </c>
      <c r="I138" s="23" t="n">
        <f aca="false">(F138="G")+(G138="G")</f>
        <v>1</v>
      </c>
      <c r="J138" s="23" t="n">
        <f aca="false">(F138="C")+(G138="C")</f>
        <v>1</v>
      </c>
      <c r="K138" s="24" t="n">
        <f aca="false">I138+J138</f>
        <v>2</v>
      </c>
    </row>
    <row r="139" customFormat="false" ht="15" hidden="false" customHeight="false" outlineLevel="0" collapsed="false">
      <c r="A139" s="23" t="s">
        <v>41</v>
      </c>
      <c r="B139" s="23" t="s">
        <v>201</v>
      </c>
      <c r="C139" s="23" t="s">
        <v>206</v>
      </c>
      <c r="D139" s="23" t="n">
        <f aca="false">INDEX(Positions!$D$2:$D$1061,MATCH($A139&amp;"|26",Positions!$A$2:$A$1061,0))</f>
        <v>28</v>
      </c>
      <c r="E139" s="23" t="n">
        <f aca="false">INDEX(Positions!$D$2:$D$1061,MATCH($A139&amp;"|44",Positions!$A$2:$A$1061,0))</f>
        <v>46</v>
      </c>
      <c r="F139" s="23" t="str">
        <f aca="false">INDEX(Positions!$E$2:$E$1061,MATCH($A139&amp;"|26",Positions!$A$2:$A$1061,0))</f>
        <v>C</v>
      </c>
      <c r="G139" s="23" t="str">
        <f aca="false">INDEX(Positions!$E$2:$E$1061,MATCH($A139&amp;"|44",Positions!$A$2:$A$1061,0))</f>
        <v>A</v>
      </c>
      <c r="H139" s="24" t="str">
        <f aca="false">F139&amp;"-"&amp;G139</f>
        <v>C-A</v>
      </c>
      <c r="I139" s="23" t="n">
        <f aca="false">(F139="G")+(G139="G")</f>
        <v>0</v>
      </c>
      <c r="J139" s="23" t="n">
        <f aca="false">(F139="C")+(G139="C")</f>
        <v>1</v>
      </c>
      <c r="K139" s="24" t="n">
        <f aca="false">I139+J139</f>
        <v>1</v>
      </c>
    </row>
    <row r="140" customFormat="false" ht="15" hidden="false" customHeight="false" outlineLevel="0" collapsed="false">
      <c r="A140" s="23" t="s">
        <v>41</v>
      </c>
      <c r="B140" s="23" t="s">
        <v>201</v>
      </c>
      <c r="C140" s="23" t="s">
        <v>207</v>
      </c>
      <c r="D140" s="23" t="n">
        <f aca="false">INDEX(Positions!$D$2:$D$1061,MATCH($A140&amp;"|32",Positions!$A$2:$A$1061,0))</f>
        <v>34</v>
      </c>
      <c r="E140" s="23" t="n">
        <f aca="false">INDEX(Positions!$D$2:$D$1061,MATCH($A140&amp;"|38",Positions!$A$2:$A$1061,0))</f>
        <v>40</v>
      </c>
      <c r="F140" s="23" t="str">
        <f aca="false">INDEX(Positions!$E$2:$E$1061,MATCH($A140&amp;"|32",Positions!$A$2:$A$1061,0))</f>
        <v>G</v>
      </c>
      <c r="G140" s="23" t="str">
        <f aca="false">INDEX(Positions!$E$2:$E$1061,MATCH($A140&amp;"|38",Positions!$A$2:$A$1061,0))</f>
        <v>C</v>
      </c>
      <c r="H140" s="24" t="str">
        <f aca="false">F140&amp;"-"&amp;G140</f>
        <v>G-C</v>
      </c>
      <c r="I140" s="23" t="n">
        <f aca="false">(F140="G")+(G140="G")</f>
        <v>1</v>
      </c>
      <c r="J140" s="23" t="n">
        <f aca="false">(F140="C")+(G140="C")</f>
        <v>1</v>
      </c>
      <c r="K140" s="24" t="n">
        <f aca="false">I140+J140</f>
        <v>2</v>
      </c>
    </row>
    <row r="141" customFormat="false" ht="15" hidden="false" customHeight="false" outlineLevel="0" collapsed="false">
      <c r="A141" s="23" t="s">
        <v>41</v>
      </c>
      <c r="B141" s="23" t="s">
        <v>201</v>
      </c>
      <c r="C141" s="23" t="s">
        <v>208</v>
      </c>
      <c r="D141" s="23" t="n">
        <f aca="false">INDEX(Positions!$D$2:$D$1061,MATCH($A141&amp;"|54",Positions!$A$2:$A$1061,0))</f>
        <v>68</v>
      </c>
      <c r="E141" s="23" t="n">
        <f aca="false">INDEX(Positions!$D$2:$D$1061,MATCH($A141&amp;"|58",Positions!$A$2:$A$1061,0))</f>
        <v>72</v>
      </c>
      <c r="F141" s="23" t="str">
        <f aca="false">INDEX(Positions!$E$2:$E$1061,MATCH($A141&amp;"|54",Positions!$A$2:$A$1061,0))</f>
        <v>U</v>
      </c>
      <c r="G141" s="23" t="str">
        <f aca="false">INDEX(Positions!$E$2:$E$1061,MATCH($A141&amp;"|58",Positions!$A$2:$A$1061,0))</f>
        <v>G</v>
      </c>
      <c r="H141" s="24" t="str">
        <f aca="false">F141&amp;"-"&amp;G141</f>
        <v>U-G</v>
      </c>
      <c r="I141" s="23" t="n">
        <f aca="false">(F141="G")+(G141="G")</f>
        <v>1</v>
      </c>
      <c r="J141" s="23" t="n">
        <f aca="false">(F141="C")+(G141="C")</f>
        <v>0</v>
      </c>
      <c r="K141" s="24" t="n">
        <f aca="false">I141+J141</f>
        <v>1</v>
      </c>
    </row>
    <row r="142" customFormat="false" ht="15" hidden="false" customHeight="false" outlineLevel="0" collapsed="false">
      <c r="A142" s="4" t="s">
        <v>42</v>
      </c>
      <c r="B142" s="4" t="s">
        <v>60</v>
      </c>
      <c r="C142" s="4" t="s">
        <v>180</v>
      </c>
      <c r="D142" s="4" t="n">
        <f aca="false">INDEX(Positions!$D$2:$D$1061,MATCH($A142&amp;"|1",Positions!$A$2:$A$1061,0))</f>
        <v>1</v>
      </c>
      <c r="E142" s="4" t="n">
        <f aca="false">INDEX(Positions!$D$2:$D$1061,MATCH($A142&amp;"|72",Positions!$A$2:$A$1061,0))</f>
        <v>92</v>
      </c>
      <c r="F142" s="4" t="str">
        <f aca="false">INDEX(Positions!$E$2:$E$1061,MATCH($A142&amp;"|1",Positions!$A$2:$A$1061,0))</f>
        <v>C</v>
      </c>
      <c r="G142" s="4" t="str">
        <f aca="false">INDEX(Positions!$E$2:$E$1061,MATCH($A142&amp;"|72",Positions!$A$2:$A$1061,0))</f>
        <v>G</v>
      </c>
      <c r="H142" s="3" t="str">
        <f aca="false">F142&amp;"-"&amp;G142</f>
        <v>C-G</v>
      </c>
      <c r="I142" s="4" t="n">
        <f aca="false">(F142="G")+(G142="G")</f>
        <v>1</v>
      </c>
      <c r="J142" s="4" t="n">
        <f aca="false">(F142="C")+(G142="C")</f>
        <v>1</v>
      </c>
      <c r="K142" s="3" t="n">
        <f aca="false">I142+J142</f>
        <v>2</v>
      </c>
    </row>
    <row r="143" customFormat="false" ht="15" hidden="false" customHeight="false" outlineLevel="0" collapsed="false">
      <c r="A143" s="4" t="s">
        <v>42</v>
      </c>
      <c r="B143" s="4" t="s">
        <v>60</v>
      </c>
      <c r="C143" s="4" t="s">
        <v>181</v>
      </c>
      <c r="D143" s="4" t="n">
        <f aca="false">INDEX(Positions!$D$2:$D$1061,MATCH($A143&amp;"|2",Positions!$A$2:$A$1061,0))</f>
        <v>2</v>
      </c>
      <c r="E143" s="4" t="n">
        <f aca="false">INDEX(Positions!$D$2:$D$1061,MATCH($A143&amp;"|71",Positions!$A$2:$A$1061,0))</f>
        <v>91</v>
      </c>
      <c r="F143" s="4" t="str">
        <f aca="false">INDEX(Positions!$E$2:$E$1061,MATCH($A143&amp;"|2",Positions!$A$2:$A$1061,0))</f>
        <v>U</v>
      </c>
      <c r="G143" s="4" t="str">
        <f aca="false">INDEX(Positions!$E$2:$E$1061,MATCH($A143&amp;"|71",Positions!$A$2:$A$1061,0))</f>
        <v>A</v>
      </c>
      <c r="H143" s="3" t="str">
        <f aca="false">F143&amp;"-"&amp;G143</f>
        <v>U-A</v>
      </c>
      <c r="I143" s="4" t="n">
        <f aca="false">(F143="G")+(G143="G")</f>
        <v>0</v>
      </c>
      <c r="J143" s="4" t="n">
        <f aca="false">(F143="C")+(G143="C")</f>
        <v>0</v>
      </c>
      <c r="K143" s="3" t="n">
        <f aca="false">I143+J143</f>
        <v>0</v>
      </c>
    </row>
    <row r="144" customFormat="false" ht="15" hidden="false" customHeight="false" outlineLevel="0" collapsed="false">
      <c r="A144" s="4" t="s">
        <v>42</v>
      </c>
      <c r="B144" s="4" t="s">
        <v>60</v>
      </c>
      <c r="C144" s="4" t="s">
        <v>182</v>
      </c>
      <c r="D144" s="4" t="n">
        <f aca="false">INDEX(Positions!$D$2:$D$1061,MATCH($A144&amp;"|3",Positions!$A$2:$A$1061,0))</f>
        <v>3</v>
      </c>
      <c r="E144" s="4" t="n">
        <f aca="false">INDEX(Positions!$D$2:$D$1061,MATCH($A144&amp;"|70",Positions!$A$2:$A$1061,0))</f>
        <v>90</v>
      </c>
      <c r="F144" s="4" t="str">
        <f aca="false">INDEX(Positions!$E$2:$E$1061,MATCH($A144&amp;"|3",Positions!$A$2:$A$1061,0))</f>
        <v>A</v>
      </c>
      <c r="G144" s="4" t="str">
        <f aca="false">INDEX(Positions!$E$2:$E$1061,MATCH($A144&amp;"|70",Positions!$A$2:$A$1061,0))</f>
        <v>U</v>
      </c>
      <c r="H144" s="3" t="str">
        <f aca="false">F144&amp;"-"&amp;G144</f>
        <v>A-U</v>
      </c>
      <c r="I144" s="4" t="n">
        <f aca="false">(F144="G")+(G144="G")</f>
        <v>0</v>
      </c>
      <c r="J144" s="4" t="n">
        <f aca="false">(F144="C")+(G144="C")</f>
        <v>0</v>
      </c>
      <c r="K144" s="3" t="n">
        <f aca="false">I144+J144</f>
        <v>0</v>
      </c>
    </row>
    <row r="145" customFormat="false" ht="15" hidden="false" customHeight="false" outlineLevel="0" collapsed="false">
      <c r="A145" s="4" t="s">
        <v>42</v>
      </c>
      <c r="B145" s="4" t="s">
        <v>60</v>
      </c>
      <c r="C145" s="4" t="s">
        <v>183</v>
      </c>
      <c r="D145" s="4" t="n">
        <f aca="false">INDEX(Positions!$D$2:$D$1061,MATCH($A145&amp;"|4",Positions!$A$2:$A$1061,0))</f>
        <v>4</v>
      </c>
      <c r="E145" s="4" t="n">
        <f aca="false">INDEX(Positions!$D$2:$D$1061,MATCH($A145&amp;"|69",Positions!$A$2:$A$1061,0))</f>
        <v>89</v>
      </c>
      <c r="F145" s="4" t="str">
        <f aca="false">INDEX(Positions!$E$2:$E$1061,MATCH($A145&amp;"|4",Positions!$A$2:$A$1061,0))</f>
        <v>G</v>
      </c>
      <c r="G145" s="4" t="str">
        <f aca="false">INDEX(Positions!$E$2:$E$1061,MATCH($A145&amp;"|69",Positions!$A$2:$A$1061,0))</f>
        <v>U</v>
      </c>
      <c r="H145" s="3" t="str">
        <f aca="false">F145&amp;"-"&amp;G145</f>
        <v>G-U</v>
      </c>
      <c r="I145" s="4" t="n">
        <f aca="false">(F145="G")+(G145="G")</f>
        <v>1</v>
      </c>
      <c r="J145" s="4" t="n">
        <f aca="false">(F145="C")+(G145="C")</f>
        <v>0</v>
      </c>
      <c r="K145" s="3" t="n">
        <f aca="false">I145+J145</f>
        <v>1</v>
      </c>
    </row>
    <row r="146" customFormat="false" ht="15" hidden="false" customHeight="false" outlineLevel="0" collapsed="false">
      <c r="A146" s="4" t="s">
        <v>42</v>
      </c>
      <c r="B146" s="4" t="s">
        <v>60</v>
      </c>
      <c r="C146" s="4" t="s">
        <v>184</v>
      </c>
      <c r="D146" s="4" t="n">
        <f aca="false">INDEX(Positions!$D$2:$D$1061,MATCH($A146&amp;"|5",Positions!$A$2:$A$1061,0))</f>
        <v>5</v>
      </c>
      <c r="E146" s="4" t="n">
        <f aca="false">INDEX(Positions!$D$2:$D$1061,MATCH($A146&amp;"|68",Positions!$A$2:$A$1061,0))</f>
        <v>88</v>
      </c>
      <c r="F146" s="4" t="str">
        <f aca="false">INDEX(Positions!$E$2:$E$1061,MATCH($A146&amp;"|5",Positions!$A$2:$A$1061,0))</f>
        <v>U</v>
      </c>
      <c r="G146" s="4" t="str">
        <f aca="false">INDEX(Positions!$E$2:$E$1061,MATCH($A146&amp;"|68",Positions!$A$2:$A$1061,0))</f>
        <v>A</v>
      </c>
      <c r="H146" s="3" t="str">
        <f aca="false">F146&amp;"-"&amp;G146</f>
        <v>U-A</v>
      </c>
      <c r="I146" s="4" t="n">
        <f aca="false">(F146="G")+(G146="G")</f>
        <v>0</v>
      </c>
      <c r="J146" s="4" t="n">
        <f aca="false">(F146="C")+(G146="C")</f>
        <v>0</v>
      </c>
      <c r="K146" s="3" t="n">
        <f aca="false">I146+J146</f>
        <v>0</v>
      </c>
    </row>
    <row r="147" customFormat="false" ht="15" hidden="false" customHeight="false" outlineLevel="0" collapsed="false">
      <c r="A147" s="4" t="s">
        <v>42</v>
      </c>
      <c r="B147" s="4" t="s">
        <v>60</v>
      </c>
      <c r="C147" s="4" t="s">
        <v>185</v>
      </c>
      <c r="D147" s="4" t="n">
        <f aca="false">INDEX(Positions!$D$2:$D$1061,MATCH($A147&amp;"|6",Positions!$A$2:$A$1061,0))</f>
        <v>6</v>
      </c>
      <c r="E147" s="4" t="n">
        <f aca="false">INDEX(Positions!$D$2:$D$1061,MATCH($A147&amp;"|67",Positions!$A$2:$A$1061,0))</f>
        <v>87</v>
      </c>
      <c r="F147" s="4" t="str">
        <f aca="false">INDEX(Positions!$E$2:$E$1061,MATCH($A147&amp;"|6",Positions!$A$2:$A$1061,0))</f>
        <v>C</v>
      </c>
      <c r="G147" s="4" t="str">
        <f aca="false">INDEX(Positions!$E$2:$E$1061,MATCH($A147&amp;"|67",Positions!$A$2:$A$1061,0))</f>
        <v>C</v>
      </c>
      <c r="H147" s="3" t="str">
        <f aca="false">F147&amp;"-"&amp;G147</f>
        <v>C-C</v>
      </c>
      <c r="I147" s="4" t="n">
        <f aca="false">(F147="G")+(G147="G")</f>
        <v>0</v>
      </c>
      <c r="J147" s="4" t="n">
        <f aca="false">(F147="C")+(G147="C")</f>
        <v>2</v>
      </c>
      <c r="K147" s="3" t="n">
        <f aca="false">I147+J147</f>
        <v>2</v>
      </c>
    </row>
    <row r="148" customFormat="false" ht="15" hidden="false" customHeight="false" outlineLevel="0" collapsed="false">
      <c r="A148" s="4" t="s">
        <v>42</v>
      </c>
      <c r="B148" s="4" t="s">
        <v>60</v>
      </c>
      <c r="C148" s="4" t="s">
        <v>186</v>
      </c>
      <c r="D148" s="4" t="n">
        <f aca="false">INDEX(Positions!$D$2:$D$1061,MATCH($A148&amp;"|7",Positions!$A$2:$A$1061,0))</f>
        <v>7</v>
      </c>
      <c r="E148" s="4" t="n">
        <f aca="false">INDEX(Positions!$D$2:$D$1061,MATCH($A148&amp;"|66",Positions!$A$2:$A$1061,0))</f>
        <v>86</v>
      </c>
      <c r="F148" s="4" t="str">
        <f aca="false">INDEX(Positions!$E$2:$E$1061,MATCH($A148&amp;"|7",Positions!$A$2:$A$1061,0))</f>
        <v>A</v>
      </c>
      <c r="G148" s="4" t="str">
        <f aca="false">INDEX(Positions!$E$2:$E$1061,MATCH($A148&amp;"|66",Positions!$A$2:$A$1061,0))</f>
        <v>U</v>
      </c>
      <c r="H148" s="3" t="str">
        <f aca="false">F148&amp;"-"&amp;G148</f>
        <v>A-U</v>
      </c>
      <c r="I148" s="4" t="n">
        <f aca="false">(F148="G")+(G148="G")</f>
        <v>0</v>
      </c>
      <c r="J148" s="4" t="n">
        <f aca="false">(F148="C")+(G148="C")</f>
        <v>0</v>
      </c>
      <c r="K148" s="3" t="n">
        <f aca="false">I148+J148</f>
        <v>0</v>
      </c>
    </row>
    <row r="149" customFormat="false" ht="15" hidden="false" customHeight="false" outlineLevel="0" collapsed="false">
      <c r="A149" s="4" t="s">
        <v>42</v>
      </c>
      <c r="B149" s="4" t="s">
        <v>75</v>
      </c>
      <c r="C149" s="4" t="s">
        <v>187</v>
      </c>
      <c r="D149" s="4" t="n">
        <f aca="false">INDEX(Positions!$D$2:$D$1061,MATCH($A149&amp;"|10",Positions!$A$2:$A$1061,0))</f>
        <v>10</v>
      </c>
      <c r="E149" s="4" t="n">
        <f aca="false">INDEX(Positions!$D$2:$D$1061,MATCH($A149&amp;"|25",Positions!$A$2:$A$1061,0))</f>
        <v>25</v>
      </c>
      <c r="F149" s="4" t="str">
        <f aca="false">INDEX(Positions!$E$2:$E$1061,MATCH($A149&amp;"|10",Positions!$A$2:$A$1061,0))</f>
        <v>A</v>
      </c>
      <c r="G149" s="4" t="str">
        <f aca="false">INDEX(Positions!$E$2:$E$1061,MATCH($A149&amp;"|25",Positions!$A$2:$A$1061,0))</f>
        <v>U</v>
      </c>
      <c r="H149" s="3" t="str">
        <f aca="false">F149&amp;"-"&amp;G149</f>
        <v>A-U</v>
      </c>
      <c r="I149" s="4" t="n">
        <f aca="false">(F149="G")+(G149="G")</f>
        <v>0</v>
      </c>
      <c r="J149" s="4" t="n">
        <f aca="false">(F149="C")+(G149="C")</f>
        <v>0</v>
      </c>
      <c r="K149" s="3" t="n">
        <f aca="false">I149+J149</f>
        <v>0</v>
      </c>
    </row>
    <row r="150" customFormat="false" ht="15" hidden="false" customHeight="false" outlineLevel="0" collapsed="false">
      <c r="A150" s="4" t="s">
        <v>42</v>
      </c>
      <c r="B150" s="4" t="s">
        <v>75</v>
      </c>
      <c r="C150" s="4" t="s">
        <v>188</v>
      </c>
      <c r="D150" s="4" t="n">
        <f aca="false">INDEX(Positions!$D$2:$D$1061,MATCH($A150&amp;"|11",Positions!$A$2:$A$1061,0))</f>
        <v>11</v>
      </c>
      <c r="E150" s="4" t="n">
        <f aca="false">INDEX(Positions!$D$2:$D$1061,MATCH($A150&amp;"|24",Positions!$A$2:$A$1061,0))</f>
        <v>24</v>
      </c>
      <c r="F150" s="4" t="str">
        <f aca="false">INDEX(Positions!$E$2:$E$1061,MATCH($A150&amp;"|11",Positions!$A$2:$A$1061,0))</f>
        <v>U</v>
      </c>
      <c r="G150" s="4" t="str">
        <f aca="false">INDEX(Positions!$E$2:$E$1061,MATCH($A150&amp;"|24",Positions!$A$2:$A$1061,0))</f>
        <v>A</v>
      </c>
      <c r="H150" s="3" t="str">
        <f aca="false">F150&amp;"-"&amp;G150</f>
        <v>U-A</v>
      </c>
      <c r="I150" s="4" t="n">
        <f aca="false">(F150="G")+(G150="G")</f>
        <v>0</v>
      </c>
      <c r="J150" s="4" t="n">
        <f aca="false">(F150="C")+(G150="C")</f>
        <v>0</v>
      </c>
      <c r="K150" s="3" t="n">
        <f aca="false">I150+J150</f>
        <v>0</v>
      </c>
    </row>
    <row r="151" customFormat="false" ht="15" hidden="false" customHeight="false" outlineLevel="0" collapsed="false">
      <c r="A151" s="4" t="s">
        <v>42</v>
      </c>
      <c r="B151" s="4" t="s">
        <v>75</v>
      </c>
      <c r="C151" s="4" t="s">
        <v>189</v>
      </c>
      <c r="D151" s="4" t="n">
        <f aca="false">INDEX(Positions!$D$2:$D$1061,MATCH($A151&amp;"|12",Positions!$A$2:$A$1061,0))</f>
        <v>12</v>
      </c>
      <c r="E151" s="4" t="n">
        <f aca="false">INDEX(Positions!$D$2:$D$1061,MATCH($A151&amp;"|23",Positions!$A$2:$A$1061,0))</f>
        <v>23</v>
      </c>
      <c r="F151" s="4" t="str">
        <f aca="false">INDEX(Positions!$E$2:$E$1061,MATCH($A151&amp;"|12",Positions!$A$2:$A$1061,0))</f>
        <v>C</v>
      </c>
      <c r="G151" s="4" t="str">
        <f aca="false">INDEX(Positions!$E$2:$E$1061,MATCH($A151&amp;"|23",Positions!$A$2:$A$1061,0))</f>
        <v>G</v>
      </c>
      <c r="H151" s="3" t="str">
        <f aca="false">F151&amp;"-"&amp;G151</f>
        <v>C-G</v>
      </c>
      <c r="I151" s="4" t="n">
        <f aca="false">(F151="G")+(G151="G")</f>
        <v>1</v>
      </c>
      <c r="J151" s="4" t="n">
        <f aca="false">(F151="C")+(G151="C")</f>
        <v>1</v>
      </c>
      <c r="K151" s="3" t="n">
        <f aca="false">I151+J151</f>
        <v>2</v>
      </c>
    </row>
    <row r="152" customFormat="false" ht="15" hidden="false" customHeight="false" outlineLevel="0" collapsed="false">
      <c r="A152" s="4" t="s">
        <v>42</v>
      </c>
      <c r="B152" s="4" t="s">
        <v>75</v>
      </c>
      <c r="C152" s="4" t="s">
        <v>190</v>
      </c>
      <c r="D152" s="4" t="n">
        <f aca="false">INDEX(Positions!$D$2:$D$1061,MATCH($A152&amp;"|13",Positions!$A$2:$A$1061,0))</f>
        <v>13</v>
      </c>
      <c r="E152" s="4" t="n">
        <f aca="false">INDEX(Positions!$D$2:$D$1061,MATCH($A152&amp;"|22",Positions!$A$2:$A$1061,0))</f>
        <v>22</v>
      </c>
      <c r="F152" s="4" t="str">
        <f aca="false">INDEX(Positions!$E$2:$E$1061,MATCH($A152&amp;"|13",Positions!$A$2:$A$1061,0))</f>
        <v>U</v>
      </c>
      <c r="G152" s="4" t="str">
        <f aca="false">INDEX(Positions!$E$2:$E$1061,MATCH($A152&amp;"|22",Positions!$A$2:$A$1061,0))</f>
        <v>A</v>
      </c>
      <c r="H152" s="3" t="str">
        <f aca="false">F152&amp;"-"&amp;G152</f>
        <v>U-A</v>
      </c>
      <c r="I152" s="4" t="n">
        <f aca="false">(F152="G")+(G152="G")</f>
        <v>0</v>
      </c>
      <c r="J152" s="4" t="n">
        <f aca="false">(F152="C")+(G152="C")</f>
        <v>0</v>
      </c>
      <c r="K152" s="3" t="n">
        <f aca="false">I152+J152</f>
        <v>0</v>
      </c>
    </row>
    <row r="153" customFormat="false" ht="15" hidden="false" customHeight="false" outlineLevel="0" collapsed="false">
      <c r="A153" s="4" t="s">
        <v>42</v>
      </c>
      <c r="B153" s="4" t="s">
        <v>96</v>
      </c>
      <c r="C153" s="4" t="s">
        <v>191</v>
      </c>
      <c r="D153" s="4" t="n">
        <f aca="false">INDEX(Positions!$D$2:$D$1061,MATCH($A153&amp;"|27",Positions!$A$2:$A$1061,0))</f>
        <v>27</v>
      </c>
      <c r="E153" s="4" t="n">
        <f aca="false">INDEX(Positions!$D$2:$D$1061,MATCH($A153&amp;"|43",Positions!$A$2:$A$1061,0))</f>
        <v>43</v>
      </c>
      <c r="F153" s="4" t="str">
        <f aca="false">INDEX(Positions!$E$2:$E$1061,MATCH($A153&amp;"|27",Positions!$A$2:$A$1061,0))</f>
        <v>U</v>
      </c>
      <c r="G153" s="4" t="str">
        <f aca="false">INDEX(Positions!$E$2:$E$1061,MATCH($A153&amp;"|43",Positions!$A$2:$A$1061,0))</f>
        <v>A</v>
      </c>
      <c r="H153" s="3" t="str">
        <f aca="false">F153&amp;"-"&amp;G153</f>
        <v>U-A</v>
      </c>
      <c r="I153" s="4" t="n">
        <f aca="false">(F153="G")+(G153="G")</f>
        <v>0</v>
      </c>
      <c r="J153" s="4" t="n">
        <f aca="false">(F153="C")+(G153="C")</f>
        <v>0</v>
      </c>
      <c r="K153" s="3" t="n">
        <f aca="false">I153+J153</f>
        <v>0</v>
      </c>
    </row>
    <row r="154" customFormat="false" ht="15" hidden="false" customHeight="false" outlineLevel="0" collapsed="false">
      <c r="A154" s="4" t="s">
        <v>42</v>
      </c>
      <c r="B154" s="4" t="s">
        <v>96</v>
      </c>
      <c r="C154" s="4" t="s">
        <v>192</v>
      </c>
      <c r="D154" s="4" t="n">
        <f aca="false">INDEX(Positions!$D$2:$D$1061,MATCH($A154&amp;"|28",Positions!$A$2:$A$1061,0))</f>
        <v>28</v>
      </c>
      <c r="E154" s="4" t="n">
        <f aca="false">INDEX(Positions!$D$2:$D$1061,MATCH($A154&amp;"|42",Positions!$A$2:$A$1061,0))</f>
        <v>42</v>
      </c>
      <c r="F154" s="4" t="str">
        <f aca="false">INDEX(Positions!$E$2:$E$1061,MATCH($A154&amp;"|28",Positions!$A$2:$A$1061,0))</f>
        <v>U</v>
      </c>
      <c r="G154" s="4" t="str">
        <f aca="false">INDEX(Positions!$E$2:$E$1061,MATCH($A154&amp;"|42",Positions!$A$2:$A$1061,0))</f>
        <v>U</v>
      </c>
      <c r="H154" s="3" t="str">
        <f aca="false">F154&amp;"-"&amp;G154</f>
        <v>U-U</v>
      </c>
      <c r="I154" s="4" t="n">
        <f aca="false">(F154="G")+(G154="G")</f>
        <v>0</v>
      </c>
      <c r="J154" s="4" t="n">
        <f aca="false">(F154="C")+(G154="C")</f>
        <v>0</v>
      </c>
      <c r="K154" s="3" t="n">
        <f aca="false">I154+J154</f>
        <v>0</v>
      </c>
    </row>
    <row r="155" customFormat="false" ht="15" hidden="false" customHeight="false" outlineLevel="0" collapsed="false">
      <c r="A155" s="4" t="s">
        <v>42</v>
      </c>
      <c r="B155" s="4" t="s">
        <v>96</v>
      </c>
      <c r="C155" s="4" t="s">
        <v>193</v>
      </c>
      <c r="D155" s="4" t="n">
        <f aca="false">INDEX(Positions!$D$2:$D$1061,MATCH($A155&amp;"|29",Positions!$A$2:$A$1061,0))</f>
        <v>29</v>
      </c>
      <c r="E155" s="4" t="n">
        <f aca="false">INDEX(Positions!$D$2:$D$1061,MATCH($A155&amp;"|41",Positions!$A$2:$A$1061,0))</f>
        <v>41</v>
      </c>
      <c r="F155" s="4" t="str">
        <f aca="false">INDEX(Positions!$E$2:$E$1061,MATCH($A155&amp;"|29",Positions!$A$2:$A$1061,0))</f>
        <v>U</v>
      </c>
      <c r="G155" s="4" t="str">
        <f aca="false">INDEX(Positions!$E$2:$E$1061,MATCH($A155&amp;"|41",Positions!$A$2:$A$1061,0))</f>
        <v>A</v>
      </c>
      <c r="H155" s="3" t="str">
        <f aca="false">F155&amp;"-"&amp;G155</f>
        <v>U-A</v>
      </c>
      <c r="I155" s="4" t="n">
        <f aca="false">(F155="G")+(G155="G")</f>
        <v>0</v>
      </c>
      <c r="J155" s="4" t="n">
        <f aca="false">(F155="C")+(G155="C")</f>
        <v>0</v>
      </c>
      <c r="K155" s="3" t="n">
        <f aca="false">I155+J155</f>
        <v>0</v>
      </c>
    </row>
    <row r="156" customFormat="false" ht="15" hidden="false" customHeight="false" outlineLevel="0" collapsed="false">
      <c r="A156" s="4" t="s">
        <v>42</v>
      </c>
      <c r="B156" s="4" t="s">
        <v>96</v>
      </c>
      <c r="C156" s="4" t="s">
        <v>194</v>
      </c>
      <c r="D156" s="4" t="n">
        <f aca="false">INDEX(Positions!$D$2:$D$1061,MATCH($A156&amp;"|30",Positions!$A$2:$A$1061,0))</f>
        <v>30</v>
      </c>
      <c r="E156" s="4" t="n">
        <f aca="false">INDEX(Positions!$D$2:$D$1061,MATCH($A156&amp;"|40",Positions!$A$2:$A$1061,0))</f>
        <v>40</v>
      </c>
      <c r="F156" s="4" t="str">
        <f aca="false">INDEX(Positions!$E$2:$E$1061,MATCH($A156&amp;"|30",Positions!$A$2:$A$1061,0))</f>
        <v>A</v>
      </c>
      <c r="G156" s="4" t="str">
        <f aca="false">INDEX(Positions!$E$2:$E$1061,MATCH($A156&amp;"|40",Positions!$A$2:$A$1061,0))</f>
        <v>U</v>
      </c>
      <c r="H156" s="3" t="str">
        <f aca="false">F156&amp;"-"&amp;G156</f>
        <v>A-U</v>
      </c>
      <c r="I156" s="4" t="n">
        <f aca="false">(F156="G")+(G156="G")</f>
        <v>0</v>
      </c>
      <c r="J156" s="4" t="n">
        <f aca="false">(F156="C")+(G156="C")</f>
        <v>0</v>
      </c>
      <c r="K156" s="3" t="n">
        <f aca="false">I156+J156</f>
        <v>0</v>
      </c>
    </row>
    <row r="157" customFormat="false" ht="15" hidden="false" customHeight="false" outlineLevel="0" collapsed="false">
      <c r="A157" s="4" t="s">
        <v>42</v>
      </c>
      <c r="B157" s="4" t="s">
        <v>96</v>
      </c>
      <c r="C157" s="4" t="s">
        <v>195</v>
      </c>
      <c r="D157" s="4" t="n">
        <f aca="false">INDEX(Positions!$D$2:$D$1061,MATCH($A157&amp;"|31",Positions!$A$2:$A$1061,0))</f>
        <v>31</v>
      </c>
      <c r="E157" s="4" t="n">
        <f aca="false">INDEX(Positions!$D$2:$D$1061,MATCH($A157&amp;"|39",Positions!$A$2:$A$1061,0))</f>
        <v>39</v>
      </c>
      <c r="F157" s="4" t="str">
        <f aca="false">INDEX(Positions!$E$2:$E$1061,MATCH($A157&amp;"|31",Positions!$A$2:$A$1061,0))</f>
        <v>U</v>
      </c>
      <c r="G157" s="4" t="str">
        <f aca="false">INDEX(Positions!$E$2:$E$1061,MATCH($A157&amp;"|39",Positions!$A$2:$A$1061,0))</f>
        <v>G</v>
      </c>
      <c r="H157" s="3" t="str">
        <f aca="false">F157&amp;"-"&amp;G157</f>
        <v>U-G</v>
      </c>
      <c r="I157" s="4" t="n">
        <f aca="false">(F157="G")+(G157="G")</f>
        <v>1</v>
      </c>
      <c r="J157" s="4" t="n">
        <f aca="false">(F157="C")+(G157="C")</f>
        <v>0</v>
      </c>
      <c r="K157" s="3" t="n">
        <f aca="false">I157+J157</f>
        <v>1</v>
      </c>
    </row>
    <row r="158" customFormat="false" ht="15" hidden="false" customHeight="false" outlineLevel="0" collapsed="false">
      <c r="A158" s="4" t="s">
        <v>42</v>
      </c>
      <c r="B158" s="4" t="s">
        <v>126</v>
      </c>
      <c r="C158" s="4" t="s">
        <v>196</v>
      </c>
      <c r="D158" s="4" t="n">
        <f aca="false">INDEX(Positions!$D$2:$D$1061,MATCH($A158&amp;"|49",Positions!$A$2:$A$1061,0))</f>
        <v>69</v>
      </c>
      <c r="E158" s="4" t="n">
        <f aca="false">INDEX(Positions!$D$2:$D$1061,MATCH($A158&amp;"|65",Positions!$A$2:$A$1061,0))</f>
        <v>85</v>
      </c>
      <c r="F158" s="4" t="str">
        <f aca="false">INDEX(Positions!$E$2:$E$1061,MATCH($A158&amp;"|49",Positions!$A$2:$A$1061,0))</f>
        <v>A</v>
      </c>
      <c r="G158" s="4" t="str">
        <f aca="false">INDEX(Positions!$E$2:$E$1061,MATCH($A158&amp;"|65",Positions!$A$2:$A$1061,0))</f>
        <v>U</v>
      </c>
      <c r="H158" s="3" t="str">
        <f aca="false">F158&amp;"-"&amp;G158</f>
        <v>A-U</v>
      </c>
      <c r="I158" s="4" t="n">
        <f aca="false">(F158="G")+(G158="G")</f>
        <v>0</v>
      </c>
      <c r="J158" s="4" t="n">
        <f aca="false">(F158="C")+(G158="C")</f>
        <v>0</v>
      </c>
      <c r="K158" s="3" t="n">
        <f aca="false">I158+J158</f>
        <v>0</v>
      </c>
    </row>
    <row r="159" customFormat="false" ht="15" hidden="false" customHeight="false" outlineLevel="0" collapsed="false">
      <c r="A159" s="4" t="s">
        <v>42</v>
      </c>
      <c r="B159" s="4" t="s">
        <v>126</v>
      </c>
      <c r="C159" s="4" t="s">
        <v>197</v>
      </c>
      <c r="D159" s="4" t="n">
        <f aca="false">INDEX(Positions!$D$2:$D$1061,MATCH($A159&amp;"|50",Positions!$A$2:$A$1061,0))</f>
        <v>70</v>
      </c>
      <c r="E159" s="4" t="n">
        <f aca="false">INDEX(Positions!$D$2:$D$1061,MATCH($A159&amp;"|64",Positions!$A$2:$A$1061,0))</f>
        <v>84</v>
      </c>
      <c r="F159" s="4" t="str">
        <f aca="false">INDEX(Positions!$E$2:$E$1061,MATCH($A159&amp;"|50",Positions!$A$2:$A$1061,0))</f>
        <v>G</v>
      </c>
      <c r="G159" s="4" t="str">
        <f aca="false">INDEX(Positions!$E$2:$E$1061,MATCH($A159&amp;"|64",Positions!$A$2:$A$1061,0))</f>
        <v>U</v>
      </c>
      <c r="H159" s="3" t="str">
        <f aca="false">F159&amp;"-"&amp;G159</f>
        <v>G-U</v>
      </c>
      <c r="I159" s="4" t="n">
        <f aca="false">(F159="G")+(G159="G")</f>
        <v>1</v>
      </c>
      <c r="J159" s="4" t="n">
        <f aca="false">(F159="C")+(G159="C")</f>
        <v>0</v>
      </c>
      <c r="K159" s="3" t="n">
        <f aca="false">I159+J159</f>
        <v>1</v>
      </c>
    </row>
    <row r="160" customFormat="false" ht="15" hidden="false" customHeight="false" outlineLevel="0" collapsed="false">
      <c r="A160" s="4" t="s">
        <v>42</v>
      </c>
      <c r="B160" s="4" t="s">
        <v>126</v>
      </c>
      <c r="C160" s="4" t="s">
        <v>198</v>
      </c>
      <c r="D160" s="4" t="n">
        <f aca="false">INDEX(Positions!$D$2:$D$1061,MATCH($A160&amp;"|51",Positions!$A$2:$A$1061,0))</f>
        <v>71</v>
      </c>
      <c r="E160" s="4" t="n">
        <f aca="false">INDEX(Positions!$D$2:$D$1061,MATCH($A160&amp;"|63",Positions!$A$2:$A$1061,0))</f>
        <v>83</v>
      </c>
      <c r="F160" s="4" t="str">
        <f aca="false">INDEX(Positions!$E$2:$E$1061,MATCH($A160&amp;"|51",Positions!$A$2:$A$1061,0))</f>
        <v>A</v>
      </c>
      <c r="G160" s="4" t="str">
        <f aca="false">INDEX(Positions!$E$2:$E$1061,MATCH($A160&amp;"|63",Positions!$A$2:$A$1061,0))</f>
        <v>U</v>
      </c>
      <c r="H160" s="3" t="str">
        <f aca="false">F160&amp;"-"&amp;G160</f>
        <v>A-U</v>
      </c>
      <c r="I160" s="4" t="n">
        <f aca="false">(F160="G")+(G160="G")</f>
        <v>0</v>
      </c>
      <c r="J160" s="4" t="n">
        <f aca="false">(F160="C")+(G160="C")</f>
        <v>0</v>
      </c>
      <c r="K160" s="3" t="n">
        <f aca="false">I160+J160</f>
        <v>0</v>
      </c>
    </row>
    <row r="161" customFormat="false" ht="15" hidden="false" customHeight="false" outlineLevel="0" collapsed="false">
      <c r="A161" s="4" t="s">
        <v>42</v>
      </c>
      <c r="B161" s="4" t="s">
        <v>126</v>
      </c>
      <c r="C161" s="4" t="s">
        <v>199</v>
      </c>
      <c r="D161" s="4" t="n">
        <f aca="false">INDEX(Positions!$D$2:$D$1061,MATCH($A161&amp;"|52",Positions!$A$2:$A$1061,0))</f>
        <v>72</v>
      </c>
      <c r="E161" s="4" t="n">
        <f aca="false">INDEX(Positions!$D$2:$D$1061,MATCH($A161&amp;"|62",Positions!$A$2:$A$1061,0))</f>
        <v>82</v>
      </c>
      <c r="F161" s="4" t="str">
        <f aca="false">INDEX(Positions!$E$2:$E$1061,MATCH($A161&amp;"|52",Positions!$A$2:$A$1061,0))</f>
        <v>A</v>
      </c>
      <c r="G161" s="4" t="str">
        <f aca="false">INDEX(Positions!$E$2:$E$1061,MATCH($A161&amp;"|62",Positions!$A$2:$A$1061,0))</f>
        <v>U</v>
      </c>
      <c r="H161" s="3" t="str">
        <f aca="false">F161&amp;"-"&amp;G161</f>
        <v>A-U</v>
      </c>
      <c r="I161" s="4" t="n">
        <f aca="false">(F161="G")+(G161="G")</f>
        <v>0</v>
      </c>
      <c r="J161" s="4" t="n">
        <f aca="false">(F161="C")+(G161="C")</f>
        <v>0</v>
      </c>
      <c r="K161" s="3" t="n">
        <f aca="false">I161+J161</f>
        <v>0</v>
      </c>
    </row>
    <row r="162" customFormat="false" ht="15" hidden="false" customHeight="false" outlineLevel="0" collapsed="false">
      <c r="A162" s="4" t="s">
        <v>42</v>
      </c>
      <c r="B162" s="4" t="s">
        <v>126</v>
      </c>
      <c r="C162" s="4" t="s">
        <v>200</v>
      </c>
      <c r="D162" s="4" t="n">
        <f aca="false">INDEX(Positions!$D$2:$D$1061,MATCH($A162&amp;"|53",Positions!$A$2:$A$1061,0))</f>
        <v>73</v>
      </c>
      <c r="E162" s="4" t="n">
        <f aca="false">INDEX(Positions!$D$2:$D$1061,MATCH($A162&amp;"|61",Positions!$A$2:$A$1061,0))</f>
        <v>81</v>
      </c>
      <c r="F162" s="4" t="str">
        <f aca="false">INDEX(Positions!$E$2:$E$1061,MATCH($A162&amp;"|53",Positions!$A$2:$A$1061,0))</f>
        <v>G</v>
      </c>
      <c r="G162" s="4" t="str">
        <f aca="false">INDEX(Positions!$E$2:$E$1061,MATCH($A162&amp;"|61",Positions!$A$2:$A$1061,0))</f>
        <v>C</v>
      </c>
      <c r="H162" s="3" t="str">
        <f aca="false">F162&amp;"-"&amp;G162</f>
        <v>G-C</v>
      </c>
      <c r="I162" s="4" t="n">
        <f aca="false">(F162="G")+(G162="G")</f>
        <v>1</v>
      </c>
      <c r="J162" s="4" t="n">
        <f aca="false">(F162="C")+(G162="C")</f>
        <v>1</v>
      </c>
      <c r="K162" s="3" t="n">
        <f aca="false">I162+J162</f>
        <v>2</v>
      </c>
    </row>
    <row r="163" customFormat="false" ht="15" hidden="false" customHeight="false" outlineLevel="0" collapsed="false">
      <c r="A163" s="23" t="s">
        <v>42</v>
      </c>
      <c r="B163" s="23" t="s">
        <v>201</v>
      </c>
      <c r="C163" s="23" t="s">
        <v>202</v>
      </c>
      <c r="D163" s="23" t="n">
        <f aca="false">INDEX(Positions!$D$2:$D$1061,MATCH($A163&amp;"|8",Positions!$A$2:$A$1061,0))</f>
        <v>8</v>
      </c>
      <c r="E163" s="23" t="n">
        <f aca="false">INDEX(Positions!$D$2:$D$1061,MATCH($A163&amp;"|14",Positions!$A$2:$A$1061,0))</f>
        <v>14</v>
      </c>
      <c r="F163" s="23" t="str">
        <f aca="false">INDEX(Positions!$E$2:$E$1061,MATCH($A163&amp;"|8",Positions!$A$2:$A$1061,0))</f>
        <v>U</v>
      </c>
      <c r="G163" s="23" t="str">
        <f aca="false">INDEX(Positions!$E$2:$E$1061,MATCH($A163&amp;"|14",Positions!$A$2:$A$1061,0))</f>
        <v>G</v>
      </c>
      <c r="H163" s="24" t="str">
        <f aca="false">F163&amp;"-"&amp;G163</f>
        <v>U-G</v>
      </c>
      <c r="I163" s="23" t="n">
        <f aca="false">(F163="G")+(G163="G")</f>
        <v>1</v>
      </c>
      <c r="J163" s="23" t="n">
        <f aca="false">(F163="C")+(G163="C")</f>
        <v>0</v>
      </c>
      <c r="K163" s="24" t="n">
        <f aca="false">I163+J163</f>
        <v>1</v>
      </c>
    </row>
    <row r="164" customFormat="false" ht="15" hidden="false" customHeight="false" outlineLevel="0" collapsed="false">
      <c r="A164" s="23" t="s">
        <v>42</v>
      </c>
      <c r="B164" s="23" t="s">
        <v>201</v>
      </c>
      <c r="C164" s="23" t="s">
        <v>203</v>
      </c>
      <c r="D164" s="23" t="n">
        <f aca="false">INDEX(Positions!$D$2:$D$1061,MATCH($A164&amp;"|15",Positions!$A$2:$A$1061,0))</f>
        <v>15</v>
      </c>
      <c r="E164" s="23" t="n">
        <f aca="false">INDEX(Positions!$D$2:$D$1061,MATCH($A164&amp;"|48",Positions!$A$2:$A$1061,0))</f>
        <v>68</v>
      </c>
      <c r="F164" s="23" t="str">
        <f aca="false">INDEX(Positions!$E$2:$E$1061,MATCH($A164&amp;"|15",Positions!$A$2:$A$1061,0))</f>
        <v>U</v>
      </c>
      <c r="G164" s="23" t="str">
        <f aca="false">INDEX(Positions!$E$2:$E$1061,MATCH($A164&amp;"|48",Positions!$A$2:$A$1061,0))</f>
        <v>A</v>
      </c>
      <c r="H164" s="24" t="str">
        <f aca="false">F164&amp;"-"&amp;G164</f>
        <v>U-A</v>
      </c>
      <c r="I164" s="23" t="n">
        <f aca="false">(F164="G")+(G164="G")</f>
        <v>0</v>
      </c>
      <c r="J164" s="23" t="n">
        <f aca="false">(F164="C")+(G164="C")</f>
        <v>0</v>
      </c>
      <c r="K164" s="24" t="n">
        <f aca="false">I164+J164</f>
        <v>0</v>
      </c>
    </row>
    <row r="165" customFormat="false" ht="15" hidden="false" customHeight="false" outlineLevel="0" collapsed="false">
      <c r="A165" s="23" t="s">
        <v>42</v>
      </c>
      <c r="B165" s="23" t="s">
        <v>201</v>
      </c>
      <c r="C165" s="23" t="s">
        <v>204</v>
      </c>
      <c r="D165" s="23" t="n">
        <f aca="false">INDEX(Positions!$D$2:$D$1061,MATCH($A165&amp;"|18",Positions!$A$2:$A$1061,0))</f>
        <v>18</v>
      </c>
      <c r="E165" s="23" t="n">
        <f aca="false">INDEX(Positions!$D$2:$D$1061,MATCH($A165&amp;"|55",Positions!$A$2:$A$1061,0))</f>
        <v>75</v>
      </c>
      <c r="F165" s="23" t="str">
        <f aca="false">INDEX(Positions!$E$2:$E$1061,MATCH($A165&amp;"|18",Positions!$A$2:$A$1061,0))</f>
        <v>G</v>
      </c>
      <c r="G165" s="23" t="str">
        <f aca="false">INDEX(Positions!$E$2:$E$1061,MATCH($A165&amp;"|55",Positions!$A$2:$A$1061,0))</f>
        <v>C</v>
      </c>
      <c r="H165" s="24" t="str">
        <f aca="false">F165&amp;"-"&amp;G165</f>
        <v>G-C</v>
      </c>
      <c r="I165" s="23" t="n">
        <f aca="false">(F165="G")+(G165="G")</f>
        <v>1</v>
      </c>
      <c r="J165" s="23" t="n">
        <f aca="false">(F165="C")+(G165="C")</f>
        <v>1</v>
      </c>
      <c r="K165" s="24" t="n">
        <f aca="false">I165+J165</f>
        <v>2</v>
      </c>
    </row>
    <row r="166" customFormat="false" ht="15" hidden="false" customHeight="false" outlineLevel="0" collapsed="false">
      <c r="A166" s="23" t="s">
        <v>42</v>
      </c>
      <c r="B166" s="23" t="s">
        <v>201</v>
      </c>
      <c r="C166" s="23" t="s">
        <v>205</v>
      </c>
      <c r="D166" s="23" t="n">
        <f aca="false">INDEX(Positions!$D$2:$D$1061,MATCH($A166&amp;"|19",Positions!$A$2:$A$1061,0))</f>
        <v>19</v>
      </c>
      <c r="E166" s="23" t="n">
        <f aca="false">INDEX(Positions!$D$2:$D$1061,MATCH($A166&amp;"|56",Positions!$A$2:$A$1061,0))</f>
        <v>76</v>
      </c>
      <c r="F166" s="23" t="str">
        <f aca="false">INDEX(Positions!$E$2:$E$1061,MATCH($A166&amp;"|19",Positions!$A$2:$A$1061,0))</f>
        <v>G</v>
      </c>
      <c r="G166" s="23" t="str">
        <f aca="false">INDEX(Positions!$E$2:$E$1061,MATCH($A166&amp;"|56",Positions!$A$2:$A$1061,0))</f>
        <v>C</v>
      </c>
      <c r="H166" s="24" t="str">
        <f aca="false">F166&amp;"-"&amp;G166</f>
        <v>G-C</v>
      </c>
      <c r="I166" s="23" t="n">
        <f aca="false">(F166="G")+(G166="G")</f>
        <v>1</v>
      </c>
      <c r="J166" s="23" t="n">
        <f aca="false">(F166="C")+(G166="C")</f>
        <v>1</v>
      </c>
      <c r="K166" s="24" t="n">
        <f aca="false">I166+J166</f>
        <v>2</v>
      </c>
    </row>
    <row r="167" customFormat="false" ht="15" hidden="false" customHeight="false" outlineLevel="0" collapsed="false">
      <c r="A167" s="23" t="s">
        <v>42</v>
      </c>
      <c r="B167" s="23" t="s">
        <v>201</v>
      </c>
      <c r="C167" s="23" t="s">
        <v>206</v>
      </c>
      <c r="D167" s="23" t="n">
        <f aca="false">INDEX(Positions!$D$2:$D$1061,MATCH($A167&amp;"|26",Positions!$A$2:$A$1061,0))</f>
        <v>26</v>
      </c>
      <c r="E167" s="23" t="n">
        <f aca="false">INDEX(Positions!$D$2:$D$1061,MATCH($A167&amp;"|44",Positions!$A$2:$A$1061,0))</f>
        <v>44</v>
      </c>
      <c r="F167" s="23" t="str">
        <f aca="false">INDEX(Positions!$E$2:$E$1061,MATCH($A167&amp;"|26",Positions!$A$2:$A$1061,0))</f>
        <v>A</v>
      </c>
      <c r="G167" s="23" t="str">
        <f aca="false">INDEX(Positions!$E$2:$E$1061,MATCH($A167&amp;"|44",Positions!$A$2:$A$1061,0))</f>
        <v>G</v>
      </c>
      <c r="H167" s="24" t="str">
        <f aca="false">F167&amp;"-"&amp;G167</f>
        <v>A-G</v>
      </c>
      <c r="I167" s="23" t="n">
        <f aca="false">(F167="G")+(G167="G")</f>
        <v>1</v>
      </c>
      <c r="J167" s="23" t="n">
        <f aca="false">(F167="C")+(G167="C")</f>
        <v>0</v>
      </c>
      <c r="K167" s="24" t="n">
        <f aca="false">I167+J167</f>
        <v>1</v>
      </c>
    </row>
    <row r="168" customFormat="false" ht="15" hidden="false" customHeight="false" outlineLevel="0" collapsed="false">
      <c r="A168" s="23" t="s">
        <v>42</v>
      </c>
      <c r="B168" s="23" t="s">
        <v>201</v>
      </c>
      <c r="C168" s="23" t="s">
        <v>207</v>
      </c>
      <c r="D168" s="23" t="n">
        <f aca="false">INDEX(Positions!$D$2:$D$1061,MATCH($A168&amp;"|32",Positions!$A$2:$A$1061,0))</f>
        <v>32</v>
      </c>
      <c r="E168" s="23" t="n">
        <f aca="false">INDEX(Positions!$D$2:$D$1061,MATCH($A168&amp;"|38",Positions!$A$2:$A$1061,0))</f>
        <v>38</v>
      </c>
      <c r="F168" s="23" t="str">
        <f aca="false">INDEX(Positions!$E$2:$E$1061,MATCH($A168&amp;"|32",Positions!$A$2:$A$1061,0))</f>
        <v>A</v>
      </c>
      <c r="G168" s="23" t="str">
        <f aca="false">INDEX(Positions!$E$2:$E$1061,MATCH($A168&amp;"|38",Positions!$A$2:$A$1061,0))</f>
        <v>U</v>
      </c>
      <c r="H168" s="24" t="str">
        <f aca="false">F168&amp;"-"&amp;G168</f>
        <v>A-U</v>
      </c>
      <c r="I168" s="23" t="n">
        <f aca="false">(F168="G")+(G168="G")</f>
        <v>0</v>
      </c>
      <c r="J168" s="23" t="n">
        <f aca="false">(F168="C")+(G168="C")</f>
        <v>0</v>
      </c>
      <c r="K168" s="24" t="n">
        <f aca="false">I168+J168</f>
        <v>0</v>
      </c>
    </row>
    <row r="169" customFormat="false" ht="15" hidden="false" customHeight="false" outlineLevel="0" collapsed="false">
      <c r="A169" s="23" t="s">
        <v>42</v>
      </c>
      <c r="B169" s="23" t="s">
        <v>201</v>
      </c>
      <c r="C169" s="23" t="s">
        <v>208</v>
      </c>
      <c r="D169" s="23" t="n">
        <f aca="false">INDEX(Positions!$D$2:$D$1061,MATCH($A169&amp;"|54",Positions!$A$2:$A$1061,0))</f>
        <v>74</v>
      </c>
      <c r="E169" s="23" t="n">
        <f aca="false">INDEX(Positions!$D$2:$D$1061,MATCH($A169&amp;"|58",Positions!$A$2:$A$1061,0))</f>
        <v>78</v>
      </c>
      <c r="F169" s="23" t="str">
        <f aca="false">INDEX(Positions!$E$2:$E$1061,MATCH($A169&amp;"|54",Positions!$A$2:$A$1061,0))</f>
        <v>U</v>
      </c>
      <c r="G169" s="23" t="str">
        <f aca="false">INDEX(Positions!$E$2:$E$1061,MATCH($A169&amp;"|58",Positions!$A$2:$A$1061,0))</f>
        <v>A</v>
      </c>
      <c r="H169" s="24" t="str">
        <f aca="false">F169&amp;"-"&amp;G169</f>
        <v>U-A</v>
      </c>
      <c r="I169" s="23" t="n">
        <f aca="false">(F169="G")+(G169="G")</f>
        <v>0</v>
      </c>
      <c r="J169" s="23" t="n">
        <f aca="false">(F169="C")+(G169="C")</f>
        <v>0</v>
      </c>
      <c r="K169" s="24" t="n">
        <f aca="false">I169+J169</f>
        <v>0</v>
      </c>
    </row>
    <row r="170" customFormat="false" ht="15" hidden="false" customHeight="false" outlineLevel="0" collapsed="false">
      <c r="A170" s="4" t="s">
        <v>43</v>
      </c>
      <c r="B170" s="4" t="s">
        <v>60</v>
      </c>
      <c r="C170" s="4" t="s">
        <v>180</v>
      </c>
      <c r="D170" s="4" t="n">
        <f aca="false">INDEX(Positions!$D$2:$D$1061,MATCH($A170&amp;"|1",Positions!$A$2:$A$1061,0))</f>
        <v>1</v>
      </c>
      <c r="E170" s="4" t="n">
        <f aca="false">INDEX(Positions!$D$2:$D$1061,MATCH($A170&amp;"|72",Positions!$A$2:$A$1061,0))</f>
        <v>78</v>
      </c>
      <c r="F170" s="4" t="str">
        <f aca="false">INDEX(Positions!$E$2:$E$1061,MATCH($A170&amp;"|1",Positions!$A$2:$A$1061,0))</f>
        <v>U</v>
      </c>
      <c r="G170" s="4" t="str">
        <f aca="false">INDEX(Positions!$E$2:$E$1061,MATCH($A170&amp;"|72",Positions!$A$2:$A$1061,0))</f>
        <v>A</v>
      </c>
      <c r="H170" s="3" t="str">
        <f aca="false">F170&amp;"-"&amp;G170</f>
        <v>U-A</v>
      </c>
      <c r="I170" s="4" t="n">
        <f aca="false">(F170="G")+(G170="G")</f>
        <v>0</v>
      </c>
      <c r="J170" s="4" t="n">
        <f aca="false">(F170="C")+(G170="C")</f>
        <v>0</v>
      </c>
      <c r="K170" s="3" t="n">
        <f aca="false">I170+J170</f>
        <v>0</v>
      </c>
    </row>
    <row r="171" customFormat="false" ht="15" hidden="false" customHeight="false" outlineLevel="0" collapsed="false">
      <c r="A171" s="4" t="s">
        <v>43</v>
      </c>
      <c r="B171" s="4" t="s">
        <v>60</v>
      </c>
      <c r="C171" s="4" t="s">
        <v>181</v>
      </c>
      <c r="D171" s="4" t="n">
        <f aca="false">INDEX(Positions!$D$2:$D$1061,MATCH($A171&amp;"|2",Positions!$A$2:$A$1061,0))</f>
        <v>2</v>
      </c>
      <c r="E171" s="4" t="n">
        <f aca="false">INDEX(Positions!$D$2:$D$1061,MATCH($A171&amp;"|71",Positions!$A$2:$A$1061,0))</f>
        <v>77</v>
      </c>
      <c r="F171" s="4" t="str">
        <f aca="false">INDEX(Positions!$E$2:$E$1061,MATCH($A171&amp;"|2",Positions!$A$2:$A$1061,0))</f>
        <v>U</v>
      </c>
      <c r="G171" s="4" t="str">
        <f aca="false">INDEX(Positions!$E$2:$E$1061,MATCH($A171&amp;"|71",Positions!$A$2:$A$1061,0))</f>
        <v>G</v>
      </c>
      <c r="H171" s="3" t="str">
        <f aca="false">F171&amp;"-"&amp;G171</f>
        <v>U-G</v>
      </c>
      <c r="I171" s="4" t="n">
        <f aca="false">(F171="G")+(G171="G")</f>
        <v>1</v>
      </c>
      <c r="J171" s="4" t="n">
        <f aca="false">(F171="C")+(G171="C")</f>
        <v>0</v>
      </c>
      <c r="K171" s="3" t="n">
        <f aca="false">I171+J171</f>
        <v>1</v>
      </c>
    </row>
    <row r="172" customFormat="false" ht="15" hidden="false" customHeight="false" outlineLevel="0" collapsed="false">
      <c r="A172" s="4" t="s">
        <v>43</v>
      </c>
      <c r="B172" s="4" t="s">
        <v>60</v>
      </c>
      <c r="C172" s="4" t="s">
        <v>182</v>
      </c>
      <c r="D172" s="4" t="n">
        <f aca="false">INDEX(Positions!$D$2:$D$1061,MATCH($A172&amp;"|3",Positions!$A$2:$A$1061,0))</f>
        <v>3</v>
      </c>
      <c r="E172" s="4" t="n">
        <f aca="false">INDEX(Positions!$D$2:$D$1061,MATCH($A172&amp;"|70",Positions!$A$2:$A$1061,0))</f>
        <v>76</v>
      </c>
      <c r="F172" s="4" t="str">
        <f aca="false">INDEX(Positions!$E$2:$E$1061,MATCH($A172&amp;"|3",Positions!$A$2:$A$1061,0))</f>
        <v>U</v>
      </c>
      <c r="G172" s="4" t="str">
        <f aca="false">INDEX(Positions!$E$2:$E$1061,MATCH($A172&amp;"|70",Positions!$A$2:$A$1061,0))</f>
        <v>A</v>
      </c>
      <c r="H172" s="3" t="str">
        <f aca="false">F172&amp;"-"&amp;G172</f>
        <v>U-A</v>
      </c>
      <c r="I172" s="4" t="n">
        <f aca="false">(F172="G")+(G172="G")</f>
        <v>0</v>
      </c>
      <c r="J172" s="4" t="n">
        <f aca="false">(F172="C")+(G172="C")</f>
        <v>0</v>
      </c>
      <c r="K172" s="3" t="n">
        <f aca="false">I172+J172</f>
        <v>0</v>
      </c>
    </row>
    <row r="173" customFormat="false" ht="15" hidden="false" customHeight="false" outlineLevel="0" collapsed="false">
      <c r="A173" s="4" t="s">
        <v>43</v>
      </c>
      <c r="B173" s="4" t="s">
        <v>60</v>
      </c>
      <c r="C173" s="4" t="s">
        <v>183</v>
      </c>
      <c r="D173" s="4" t="n">
        <f aca="false">INDEX(Positions!$D$2:$D$1061,MATCH($A173&amp;"|4",Positions!$A$2:$A$1061,0))</f>
        <v>4</v>
      </c>
      <c r="E173" s="4" t="n">
        <f aca="false">INDEX(Positions!$D$2:$D$1061,MATCH($A173&amp;"|69",Positions!$A$2:$A$1061,0))</f>
        <v>75</v>
      </c>
      <c r="F173" s="4" t="str">
        <f aca="false">INDEX(Positions!$E$2:$E$1061,MATCH($A173&amp;"|4",Positions!$A$2:$A$1061,0))</f>
        <v>A</v>
      </c>
      <c r="G173" s="4" t="str">
        <f aca="false">INDEX(Positions!$E$2:$E$1061,MATCH($A173&amp;"|69",Positions!$A$2:$A$1061,0))</f>
        <v>U</v>
      </c>
      <c r="H173" s="3" t="str">
        <f aca="false">F173&amp;"-"&amp;G173</f>
        <v>A-U</v>
      </c>
      <c r="I173" s="4" t="n">
        <f aca="false">(F173="G")+(G173="G")</f>
        <v>0</v>
      </c>
      <c r="J173" s="4" t="n">
        <f aca="false">(F173="C")+(G173="C")</f>
        <v>0</v>
      </c>
      <c r="K173" s="3" t="n">
        <f aca="false">I173+J173</f>
        <v>0</v>
      </c>
    </row>
    <row r="174" customFormat="false" ht="15" hidden="false" customHeight="false" outlineLevel="0" collapsed="false">
      <c r="A174" s="4" t="s">
        <v>43</v>
      </c>
      <c r="B174" s="4" t="s">
        <v>60</v>
      </c>
      <c r="C174" s="4" t="s">
        <v>184</v>
      </c>
      <c r="D174" s="4" t="n">
        <f aca="false">INDEX(Positions!$D$2:$D$1061,MATCH($A174&amp;"|5",Positions!$A$2:$A$1061,0))</f>
        <v>5</v>
      </c>
      <c r="E174" s="4" t="n">
        <f aca="false">INDEX(Positions!$D$2:$D$1061,MATCH($A174&amp;"|68",Positions!$A$2:$A$1061,0))</f>
        <v>74</v>
      </c>
      <c r="F174" s="4" t="str">
        <f aca="false">INDEX(Positions!$E$2:$E$1061,MATCH($A174&amp;"|5",Positions!$A$2:$A$1061,0))</f>
        <v>A</v>
      </c>
      <c r="G174" s="4" t="str">
        <f aca="false">INDEX(Positions!$E$2:$E$1061,MATCH($A174&amp;"|68",Positions!$A$2:$A$1061,0))</f>
        <v>U</v>
      </c>
      <c r="H174" s="3" t="str">
        <f aca="false">F174&amp;"-"&amp;G174</f>
        <v>A-U</v>
      </c>
      <c r="I174" s="4" t="n">
        <f aca="false">(F174="G")+(G174="G")</f>
        <v>0</v>
      </c>
      <c r="J174" s="4" t="n">
        <f aca="false">(F174="C")+(G174="C")</f>
        <v>0</v>
      </c>
      <c r="K174" s="3" t="n">
        <f aca="false">I174+J174</f>
        <v>0</v>
      </c>
    </row>
    <row r="175" customFormat="false" ht="15" hidden="false" customHeight="false" outlineLevel="0" collapsed="false">
      <c r="A175" s="4" t="s">
        <v>43</v>
      </c>
      <c r="B175" s="4" t="s">
        <v>60</v>
      </c>
      <c r="C175" s="4" t="s">
        <v>185</v>
      </c>
      <c r="D175" s="4" t="n">
        <f aca="false">INDEX(Positions!$D$2:$D$1061,MATCH($A175&amp;"|6",Positions!$A$2:$A$1061,0))</f>
        <v>6</v>
      </c>
      <c r="E175" s="4" t="n">
        <f aca="false">INDEX(Positions!$D$2:$D$1061,MATCH($A175&amp;"|67",Positions!$A$2:$A$1061,0))</f>
        <v>73</v>
      </c>
      <c r="F175" s="4" t="str">
        <f aca="false">INDEX(Positions!$E$2:$E$1061,MATCH($A175&amp;"|6",Positions!$A$2:$A$1061,0))</f>
        <v>U</v>
      </c>
      <c r="G175" s="4" t="str">
        <f aca="false">INDEX(Positions!$E$2:$E$1061,MATCH($A175&amp;"|67",Positions!$A$2:$A$1061,0))</f>
        <v>A</v>
      </c>
      <c r="H175" s="3" t="str">
        <f aca="false">F175&amp;"-"&amp;G175</f>
        <v>U-A</v>
      </c>
      <c r="I175" s="4" t="n">
        <f aca="false">(F175="G")+(G175="G")</f>
        <v>0</v>
      </c>
      <c r="J175" s="4" t="n">
        <f aca="false">(F175="C")+(G175="C")</f>
        <v>0</v>
      </c>
      <c r="K175" s="3" t="n">
        <f aca="false">I175+J175</f>
        <v>0</v>
      </c>
    </row>
    <row r="176" customFormat="false" ht="15" hidden="false" customHeight="false" outlineLevel="0" collapsed="false">
      <c r="A176" s="4" t="s">
        <v>43</v>
      </c>
      <c r="B176" s="4" t="s">
        <v>60</v>
      </c>
      <c r="C176" s="4" t="s">
        <v>186</v>
      </c>
      <c r="D176" s="4" t="n">
        <f aca="false">INDEX(Positions!$D$2:$D$1061,MATCH($A176&amp;"|7",Positions!$A$2:$A$1061,0))</f>
        <v>7</v>
      </c>
      <c r="E176" s="4" t="n">
        <f aca="false">INDEX(Positions!$D$2:$D$1061,MATCH($A176&amp;"|66",Positions!$A$2:$A$1061,0))</f>
        <v>72</v>
      </c>
      <c r="F176" s="4" t="str">
        <f aca="false">INDEX(Positions!$E$2:$E$1061,MATCH($A176&amp;"|7",Positions!$A$2:$A$1061,0))</f>
        <v>G</v>
      </c>
      <c r="G176" s="4" t="str">
        <f aca="false">INDEX(Positions!$E$2:$E$1061,MATCH($A176&amp;"|66",Positions!$A$2:$A$1061,0))</f>
        <v>C</v>
      </c>
      <c r="H176" s="3" t="str">
        <f aca="false">F176&amp;"-"&amp;G176</f>
        <v>G-C</v>
      </c>
      <c r="I176" s="4" t="n">
        <f aca="false">(F176="G")+(G176="G")</f>
        <v>1</v>
      </c>
      <c r="J176" s="4" t="n">
        <f aca="false">(F176="C")+(G176="C")</f>
        <v>1</v>
      </c>
      <c r="K176" s="3" t="n">
        <f aca="false">I176+J176</f>
        <v>2</v>
      </c>
    </row>
    <row r="177" customFormat="false" ht="15" hidden="false" customHeight="false" outlineLevel="0" collapsed="false">
      <c r="A177" s="4" t="s">
        <v>43</v>
      </c>
      <c r="B177" s="4" t="s">
        <v>75</v>
      </c>
      <c r="C177" s="4" t="s">
        <v>187</v>
      </c>
      <c r="D177" s="4" t="n">
        <f aca="false">INDEX(Positions!$D$2:$D$1061,MATCH($A177&amp;"|10",Positions!$A$2:$A$1061,0))</f>
        <v>10</v>
      </c>
      <c r="E177" s="4" t="n">
        <f aca="false">INDEX(Positions!$D$2:$D$1061,MATCH($A177&amp;"|25",Positions!$A$2:$A$1061,0))</f>
        <v>25</v>
      </c>
      <c r="F177" s="4" t="str">
        <f aca="false">INDEX(Positions!$E$2:$E$1061,MATCH($A177&amp;"|10",Positions!$A$2:$A$1061,0))</f>
        <v>G</v>
      </c>
      <c r="G177" s="4" t="str">
        <f aca="false">INDEX(Positions!$E$2:$E$1061,MATCH($A177&amp;"|25",Positions!$A$2:$A$1061,0))</f>
        <v>U</v>
      </c>
      <c r="H177" s="3" t="str">
        <f aca="false">F177&amp;"-"&amp;G177</f>
        <v>G-U</v>
      </c>
      <c r="I177" s="4" t="n">
        <f aca="false">(F177="G")+(G177="G")</f>
        <v>1</v>
      </c>
      <c r="J177" s="4" t="n">
        <f aca="false">(F177="C")+(G177="C")</f>
        <v>0</v>
      </c>
      <c r="K177" s="3" t="n">
        <f aca="false">I177+J177</f>
        <v>1</v>
      </c>
    </row>
    <row r="178" customFormat="false" ht="15" hidden="false" customHeight="false" outlineLevel="0" collapsed="false">
      <c r="A178" s="4" t="s">
        <v>43</v>
      </c>
      <c r="B178" s="4" t="s">
        <v>75</v>
      </c>
      <c r="C178" s="4" t="s">
        <v>188</v>
      </c>
      <c r="D178" s="4" t="n">
        <f aca="false">INDEX(Positions!$D$2:$D$1061,MATCH($A178&amp;"|11",Positions!$A$2:$A$1061,0))</f>
        <v>11</v>
      </c>
      <c r="E178" s="4" t="n">
        <f aca="false">INDEX(Positions!$D$2:$D$1061,MATCH($A178&amp;"|24",Positions!$A$2:$A$1061,0))</f>
        <v>24</v>
      </c>
      <c r="F178" s="4" t="str">
        <f aca="false">INDEX(Positions!$E$2:$E$1061,MATCH($A178&amp;"|11",Positions!$A$2:$A$1061,0))</f>
        <v>U</v>
      </c>
      <c r="G178" s="4" t="str">
        <f aca="false">INDEX(Positions!$E$2:$E$1061,MATCH($A178&amp;"|24",Positions!$A$2:$A$1061,0))</f>
        <v>A</v>
      </c>
      <c r="H178" s="3" t="str">
        <f aca="false">F178&amp;"-"&amp;G178</f>
        <v>U-A</v>
      </c>
      <c r="I178" s="4" t="n">
        <f aca="false">(F178="G")+(G178="G")</f>
        <v>0</v>
      </c>
      <c r="J178" s="4" t="n">
        <f aca="false">(F178="C")+(G178="C")</f>
        <v>0</v>
      </c>
      <c r="K178" s="3" t="n">
        <f aca="false">I178+J178</f>
        <v>0</v>
      </c>
    </row>
    <row r="179" customFormat="false" ht="15" hidden="false" customHeight="false" outlineLevel="0" collapsed="false">
      <c r="A179" s="4" t="s">
        <v>43</v>
      </c>
      <c r="B179" s="4" t="s">
        <v>75</v>
      </c>
      <c r="C179" s="4" t="s">
        <v>189</v>
      </c>
      <c r="D179" s="4" t="n">
        <f aca="false">INDEX(Positions!$D$2:$D$1061,MATCH($A179&amp;"|12",Positions!$A$2:$A$1061,0))</f>
        <v>12</v>
      </c>
      <c r="E179" s="4" t="n">
        <f aca="false">INDEX(Positions!$D$2:$D$1061,MATCH($A179&amp;"|23",Positions!$A$2:$A$1061,0))</f>
        <v>23</v>
      </c>
      <c r="F179" s="4" t="str">
        <f aca="false">INDEX(Positions!$E$2:$E$1061,MATCH($A179&amp;"|12",Positions!$A$2:$A$1061,0))</f>
        <v>U</v>
      </c>
      <c r="G179" s="4" t="str">
        <f aca="false">INDEX(Positions!$E$2:$E$1061,MATCH($A179&amp;"|23",Positions!$A$2:$A$1061,0))</f>
        <v>A</v>
      </c>
      <c r="H179" s="3" t="str">
        <f aca="false">F179&amp;"-"&amp;G179</f>
        <v>U-A</v>
      </c>
      <c r="I179" s="4" t="n">
        <f aca="false">(F179="G")+(G179="G")</f>
        <v>0</v>
      </c>
      <c r="J179" s="4" t="n">
        <f aca="false">(F179="C")+(G179="C")</f>
        <v>0</v>
      </c>
      <c r="K179" s="3" t="n">
        <f aca="false">I179+J179</f>
        <v>0</v>
      </c>
    </row>
    <row r="180" customFormat="false" ht="15" hidden="false" customHeight="false" outlineLevel="0" collapsed="false">
      <c r="A180" s="4" t="s">
        <v>43</v>
      </c>
      <c r="B180" s="4" t="s">
        <v>75</v>
      </c>
      <c r="C180" s="4" t="s">
        <v>190</v>
      </c>
      <c r="D180" s="4" t="n">
        <f aca="false">INDEX(Positions!$D$2:$D$1061,MATCH($A180&amp;"|13",Positions!$A$2:$A$1061,0))</f>
        <v>13</v>
      </c>
      <c r="E180" s="4" t="n">
        <f aca="false">INDEX(Positions!$D$2:$D$1061,MATCH($A180&amp;"|22",Positions!$A$2:$A$1061,0))</f>
        <v>22</v>
      </c>
      <c r="F180" s="4" t="str">
        <f aca="false">INDEX(Positions!$E$2:$E$1061,MATCH($A180&amp;"|13",Positions!$A$2:$A$1061,0))</f>
        <v>U</v>
      </c>
      <c r="G180" s="4" t="str">
        <f aca="false">INDEX(Positions!$E$2:$E$1061,MATCH($A180&amp;"|22",Positions!$A$2:$A$1061,0))</f>
        <v>G</v>
      </c>
      <c r="H180" s="3" t="str">
        <f aca="false">F180&amp;"-"&amp;G180</f>
        <v>U-G</v>
      </c>
      <c r="I180" s="4" t="n">
        <f aca="false">(F180="G")+(G180="G")</f>
        <v>1</v>
      </c>
      <c r="J180" s="4" t="n">
        <f aca="false">(F180="C")+(G180="C")</f>
        <v>0</v>
      </c>
      <c r="K180" s="3" t="n">
        <f aca="false">I180+J180</f>
        <v>1</v>
      </c>
    </row>
    <row r="181" customFormat="false" ht="15" hidden="false" customHeight="false" outlineLevel="0" collapsed="false">
      <c r="A181" s="4" t="s">
        <v>43</v>
      </c>
      <c r="B181" s="4" t="s">
        <v>96</v>
      </c>
      <c r="C181" s="4" t="s">
        <v>191</v>
      </c>
      <c r="D181" s="4" t="n">
        <f aca="false">INDEX(Positions!$D$2:$D$1061,MATCH($A181&amp;"|27",Positions!$A$2:$A$1061,0))</f>
        <v>27</v>
      </c>
      <c r="E181" s="4" t="n">
        <f aca="false">INDEX(Positions!$D$2:$D$1061,MATCH($A181&amp;"|43",Positions!$A$2:$A$1061,0))</f>
        <v>43</v>
      </c>
      <c r="F181" s="4" t="str">
        <f aca="false">INDEX(Positions!$E$2:$E$1061,MATCH($A181&amp;"|27",Positions!$A$2:$A$1061,0))</f>
        <v>U</v>
      </c>
      <c r="G181" s="4" t="str">
        <f aca="false">INDEX(Positions!$E$2:$E$1061,MATCH($A181&amp;"|43",Positions!$A$2:$A$1061,0))</f>
        <v>C</v>
      </c>
      <c r="H181" s="3" t="str">
        <f aca="false">F181&amp;"-"&amp;G181</f>
        <v>U-C</v>
      </c>
      <c r="I181" s="4" t="n">
        <f aca="false">(F181="G")+(G181="G")</f>
        <v>0</v>
      </c>
      <c r="J181" s="4" t="n">
        <f aca="false">(F181="C")+(G181="C")</f>
        <v>1</v>
      </c>
      <c r="K181" s="3" t="n">
        <f aca="false">I181+J181</f>
        <v>1</v>
      </c>
    </row>
    <row r="182" customFormat="false" ht="15" hidden="false" customHeight="false" outlineLevel="0" collapsed="false">
      <c r="A182" s="4" t="s">
        <v>43</v>
      </c>
      <c r="B182" s="4" t="s">
        <v>96</v>
      </c>
      <c r="C182" s="4" t="s">
        <v>192</v>
      </c>
      <c r="D182" s="4" t="n">
        <f aca="false">INDEX(Positions!$D$2:$D$1061,MATCH($A182&amp;"|28",Positions!$A$2:$A$1061,0))</f>
        <v>28</v>
      </c>
      <c r="E182" s="4" t="n">
        <f aca="false">INDEX(Positions!$D$2:$D$1061,MATCH($A182&amp;"|42",Positions!$A$2:$A$1061,0))</f>
        <v>42</v>
      </c>
      <c r="F182" s="4" t="str">
        <f aca="false">INDEX(Positions!$E$2:$E$1061,MATCH($A182&amp;"|28",Positions!$A$2:$A$1061,0))</f>
        <v>U</v>
      </c>
      <c r="G182" s="4" t="str">
        <f aca="false">INDEX(Positions!$E$2:$E$1061,MATCH($A182&amp;"|42",Positions!$A$2:$A$1061,0))</f>
        <v>A</v>
      </c>
      <c r="H182" s="3" t="str">
        <f aca="false">F182&amp;"-"&amp;G182</f>
        <v>U-A</v>
      </c>
      <c r="I182" s="4" t="n">
        <f aca="false">(F182="G")+(G182="G")</f>
        <v>0</v>
      </c>
      <c r="J182" s="4" t="n">
        <f aca="false">(F182="C")+(G182="C")</f>
        <v>0</v>
      </c>
      <c r="K182" s="3" t="n">
        <f aca="false">I182+J182</f>
        <v>0</v>
      </c>
    </row>
    <row r="183" customFormat="false" ht="15" hidden="false" customHeight="false" outlineLevel="0" collapsed="false">
      <c r="A183" s="4" t="s">
        <v>43</v>
      </c>
      <c r="B183" s="4" t="s">
        <v>96</v>
      </c>
      <c r="C183" s="4" t="s">
        <v>193</v>
      </c>
      <c r="D183" s="4" t="n">
        <f aca="false">INDEX(Positions!$D$2:$D$1061,MATCH($A183&amp;"|29",Positions!$A$2:$A$1061,0))</f>
        <v>29</v>
      </c>
      <c r="E183" s="4" t="n">
        <f aca="false">INDEX(Positions!$D$2:$D$1061,MATCH($A183&amp;"|41",Positions!$A$2:$A$1061,0))</f>
        <v>41</v>
      </c>
      <c r="F183" s="4" t="str">
        <f aca="false">INDEX(Positions!$E$2:$E$1061,MATCH($A183&amp;"|29",Positions!$A$2:$A$1061,0))</f>
        <v>U</v>
      </c>
      <c r="G183" s="4" t="str">
        <f aca="false">INDEX(Positions!$E$2:$E$1061,MATCH($A183&amp;"|41",Positions!$A$2:$A$1061,0))</f>
        <v>A</v>
      </c>
      <c r="H183" s="3" t="str">
        <f aca="false">F183&amp;"-"&amp;G183</f>
        <v>U-A</v>
      </c>
      <c r="I183" s="4" t="n">
        <f aca="false">(F183="G")+(G183="G")</f>
        <v>0</v>
      </c>
      <c r="J183" s="4" t="n">
        <f aca="false">(F183="C")+(G183="C")</f>
        <v>0</v>
      </c>
      <c r="K183" s="3" t="n">
        <f aca="false">I183+J183</f>
        <v>0</v>
      </c>
    </row>
    <row r="184" customFormat="false" ht="15" hidden="false" customHeight="false" outlineLevel="0" collapsed="false">
      <c r="A184" s="4" t="s">
        <v>43</v>
      </c>
      <c r="B184" s="4" t="s">
        <v>96</v>
      </c>
      <c r="C184" s="4" t="s">
        <v>194</v>
      </c>
      <c r="D184" s="4" t="n">
        <f aca="false">INDEX(Positions!$D$2:$D$1061,MATCH($A184&amp;"|30",Positions!$A$2:$A$1061,0))</f>
        <v>30</v>
      </c>
      <c r="E184" s="4" t="n">
        <f aca="false">INDEX(Positions!$D$2:$D$1061,MATCH($A184&amp;"|40",Positions!$A$2:$A$1061,0))</f>
        <v>40</v>
      </c>
      <c r="F184" s="4" t="str">
        <f aca="false">INDEX(Positions!$E$2:$E$1061,MATCH($A184&amp;"|30",Positions!$A$2:$A$1061,0))</f>
        <v>U</v>
      </c>
      <c r="G184" s="4" t="str">
        <f aca="false">INDEX(Positions!$E$2:$E$1061,MATCH($A184&amp;"|40",Positions!$A$2:$A$1061,0))</f>
        <v>A</v>
      </c>
      <c r="H184" s="3" t="str">
        <f aca="false">F184&amp;"-"&amp;G184</f>
        <v>U-A</v>
      </c>
      <c r="I184" s="4" t="n">
        <f aca="false">(F184="G")+(G184="G")</f>
        <v>0</v>
      </c>
      <c r="J184" s="4" t="n">
        <f aca="false">(F184="C")+(G184="C")</f>
        <v>0</v>
      </c>
      <c r="K184" s="3" t="n">
        <f aca="false">I184+J184</f>
        <v>0</v>
      </c>
    </row>
    <row r="185" customFormat="false" ht="15" hidden="false" customHeight="false" outlineLevel="0" collapsed="false">
      <c r="A185" s="4" t="s">
        <v>43</v>
      </c>
      <c r="B185" s="4" t="s">
        <v>96</v>
      </c>
      <c r="C185" s="4" t="s">
        <v>195</v>
      </c>
      <c r="D185" s="4" t="n">
        <f aca="false">INDEX(Positions!$D$2:$D$1061,MATCH($A185&amp;"|31",Positions!$A$2:$A$1061,0))</f>
        <v>31</v>
      </c>
      <c r="E185" s="4" t="n">
        <f aca="false">INDEX(Positions!$D$2:$D$1061,MATCH($A185&amp;"|39",Positions!$A$2:$A$1061,0))</f>
        <v>39</v>
      </c>
      <c r="F185" s="4" t="str">
        <f aca="false">INDEX(Positions!$E$2:$E$1061,MATCH($A185&amp;"|31",Positions!$A$2:$A$1061,0))</f>
        <v>A</v>
      </c>
      <c r="G185" s="4" t="str">
        <f aca="false">INDEX(Positions!$E$2:$E$1061,MATCH($A185&amp;"|39",Positions!$A$2:$A$1061,0))</f>
        <v>U</v>
      </c>
      <c r="H185" s="3" t="str">
        <f aca="false">F185&amp;"-"&amp;G185</f>
        <v>A-U</v>
      </c>
      <c r="I185" s="4" t="n">
        <f aca="false">(F185="G")+(G185="G")</f>
        <v>0</v>
      </c>
      <c r="J185" s="4" t="n">
        <f aca="false">(F185="C")+(G185="C")</f>
        <v>0</v>
      </c>
      <c r="K185" s="3" t="n">
        <f aca="false">I185+J185</f>
        <v>0</v>
      </c>
    </row>
    <row r="186" customFormat="false" ht="15" hidden="false" customHeight="false" outlineLevel="0" collapsed="false">
      <c r="A186" s="4" t="s">
        <v>43</v>
      </c>
      <c r="B186" s="4" t="s">
        <v>126</v>
      </c>
      <c r="C186" s="4" t="s">
        <v>196</v>
      </c>
      <c r="D186" s="4" t="n">
        <f aca="false">INDEX(Positions!$D$2:$D$1061,MATCH($A186&amp;"|49",Positions!$A$2:$A$1061,0))</f>
        <v>55</v>
      </c>
      <c r="E186" s="4" t="n">
        <f aca="false">INDEX(Positions!$D$2:$D$1061,MATCH($A186&amp;"|65",Positions!$A$2:$A$1061,0))</f>
        <v>71</v>
      </c>
      <c r="F186" s="4" t="str">
        <f aca="false">INDEX(Positions!$E$2:$E$1061,MATCH($A186&amp;"|49",Positions!$A$2:$A$1061,0))</f>
        <v>C</v>
      </c>
      <c r="G186" s="4" t="str">
        <f aca="false">INDEX(Positions!$E$2:$E$1061,MATCH($A186&amp;"|65",Positions!$A$2:$A$1061,0))</f>
        <v>G</v>
      </c>
      <c r="H186" s="3" t="str">
        <f aca="false">F186&amp;"-"&amp;G186</f>
        <v>C-G</v>
      </c>
      <c r="I186" s="4" t="n">
        <f aca="false">(F186="G")+(G186="G")</f>
        <v>1</v>
      </c>
      <c r="J186" s="4" t="n">
        <f aca="false">(F186="C")+(G186="C")</f>
        <v>1</v>
      </c>
      <c r="K186" s="3" t="n">
        <f aca="false">I186+J186</f>
        <v>2</v>
      </c>
    </row>
    <row r="187" customFormat="false" ht="15" hidden="false" customHeight="false" outlineLevel="0" collapsed="false">
      <c r="A187" s="4" t="s">
        <v>43</v>
      </c>
      <c r="B187" s="4" t="s">
        <v>126</v>
      </c>
      <c r="C187" s="4" t="s">
        <v>197</v>
      </c>
      <c r="D187" s="4" t="n">
        <f aca="false">INDEX(Positions!$D$2:$D$1061,MATCH($A187&amp;"|50",Positions!$A$2:$A$1061,0))</f>
        <v>56</v>
      </c>
      <c r="E187" s="4" t="n">
        <f aca="false">INDEX(Positions!$D$2:$D$1061,MATCH($A187&amp;"|64",Positions!$A$2:$A$1061,0))</f>
        <v>70</v>
      </c>
      <c r="F187" s="4" t="str">
        <f aca="false">INDEX(Positions!$E$2:$E$1061,MATCH($A187&amp;"|50",Positions!$A$2:$A$1061,0))</f>
        <v>A</v>
      </c>
      <c r="G187" s="4" t="str">
        <f aca="false">INDEX(Positions!$E$2:$E$1061,MATCH($A187&amp;"|64",Positions!$A$2:$A$1061,0))</f>
        <v>C</v>
      </c>
      <c r="H187" s="3" t="str">
        <f aca="false">F187&amp;"-"&amp;G187</f>
        <v>A-C</v>
      </c>
      <c r="I187" s="4" t="n">
        <f aca="false">(F187="G")+(G187="G")</f>
        <v>0</v>
      </c>
      <c r="J187" s="4" t="n">
        <f aca="false">(F187="C")+(G187="C")</f>
        <v>1</v>
      </c>
      <c r="K187" s="3" t="n">
        <f aca="false">I187+J187</f>
        <v>1</v>
      </c>
    </row>
    <row r="188" customFormat="false" ht="15" hidden="false" customHeight="false" outlineLevel="0" collapsed="false">
      <c r="A188" s="4" t="s">
        <v>43</v>
      </c>
      <c r="B188" s="4" t="s">
        <v>126</v>
      </c>
      <c r="C188" s="4" t="s">
        <v>198</v>
      </c>
      <c r="D188" s="4" t="n">
        <f aca="false">INDEX(Positions!$D$2:$D$1061,MATCH($A188&amp;"|51",Positions!$A$2:$A$1061,0))</f>
        <v>57</v>
      </c>
      <c r="E188" s="4" t="n">
        <f aca="false">INDEX(Positions!$D$2:$D$1061,MATCH($A188&amp;"|63",Positions!$A$2:$A$1061,0))</f>
        <v>69</v>
      </c>
      <c r="F188" s="4" t="str">
        <f aca="false">INDEX(Positions!$E$2:$E$1061,MATCH($A188&amp;"|51",Positions!$A$2:$A$1061,0))</f>
        <v>U</v>
      </c>
      <c r="G188" s="4" t="str">
        <f aca="false">INDEX(Positions!$E$2:$E$1061,MATCH($A188&amp;"|63",Positions!$A$2:$A$1061,0))</f>
        <v>A</v>
      </c>
      <c r="H188" s="3" t="str">
        <f aca="false">F188&amp;"-"&amp;G188</f>
        <v>U-A</v>
      </c>
      <c r="I188" s="4" t="n">
        <f aca="false">(F188="G")+(G188="G")</f>
        <v>0</v>
      </c>
      <c r="J188" s="4" t="n">
        <f aca="false">(F188="C")+(G188="C")</f>
        <v>0</v>
      </c>
      <c r="K188" s="3" t="n">
        <f aca="false">I188+J188</f>
        <v>0</v>
      </c>
    </row>
    <row r="189" customFormat="false" ht="15" hidden="false" customHeight="false" outlineLevel="0" collapsed="false">
      <c r="A189" s="4" t="s">
        <v>43</v>
      </c>
      <c r="B189" s="4" t="s">
        <v>126</v>
      </c>
      <c r="C189" s="4" t="s">
        <v>199</v>
      </c>
      <c r="D189" s="4" t="n">
        <f aca="false">INDEX(Positions!$D$2:$D$1061,MATCH($A189&amp;"|52",Positions!$A$2:$A$1061,0))</f>
        <v>58</v>
      </c>
      <c r="E189" s="4" t="n">
        <f aca="false">INDEX(Positions!$D$2:$D$1061,MATCH($A189&amp;"|62",Positions!$A$2:$A$1061,0))</f>
        <v>68</v>
      </c>
      <c r="F189" s="4" t="str">
        <f aca="false">INDEX(Positions!$E$2:$E$1061,MATCH($A189&amp;"|52",Positions!$A$2:$A$1061,0))</f>
        <v>U</v>
      </c>
      <c r="G189" s="4" t="str">
        <f aca="false">INDEX(Positions!$E$2:$E$1061,MATCH($A189&amp;"|62",Positions!$A$2:$A$1061,0))</f>
        <v>G</v>
      </c>
      <c r="H189" s="3" t="str">
        <f aca="false">F189&amp;"-"&amp;G189</f>
        <v>U-G</v>
      </c>
      <c r="I189" s="4" t="n">
        <f aca="false">(F189="G")+(G189="G")</f>
        <v>1</v>
      </c>
      <c r="J189" s="4" t="n">
        <f aca="false">(F189="C")+(G189="C")</f>
        <v>0</v>
      </c>
      <c r="K189" s="3" t="n">
        <f aca="false">I189+J189</f>
        <v>1</v>
      </c>
    </row>
    <row r="190" customFormat="false" ht="15" hidden="false" customHeight="false" outlineLevel="0" collapsed="false">
      <c r="A190" s="4" t="s">
        <v>43</v>
      </c>
      <c r="B190" s="4" t="s">
        <v>126</v>
      </c>
      <c r="C190" s="4" t="s">
        <v>200</v>
      </c>
      <c r="D190" s="4" t="n">
        <f aca="false">INDEX(Positions!$D$2:$D$1061,MATCH($A190&amp;"|53",Positions!$A$2:$A$1061,0))</f>
        <v>59</v>
      </c>
      <c r="E190" s="4" t="n">
        <f aca="false">INDEX(Positions!$D$2:$D$1061,MATCH($A190&amp;"|61",Positions!$A$2:$A$1061,0))</f>
        <v>67</v>
      </c>
      <c r="F190" s="4" t="str">
        <f aca="false">INDEX(Positions!$E$2:$E$1061,MATCH($A190&amp;"|53",Positions!$A$2:$A$1061,0))</f>
        <v>G</v>
      </c>
      <c r="G190" s="4" t="str">
        <f aca="false">INDEX(Positions!$E$2:$E$1061,MATCH($A190&amp;"|61",Positions!$A$2:$A$1061,0))</f>
        <v>C</v>
      </c>
      <c r="H190" s="3" t="str">
        <f aca="false">F190&amp;"-"&amp;G190</f>
        <v>G-C</v>
      </c>
      <c r="I190" s="4" t="n">
        <f aca="false">(F190="G")+(G190="G")</f>
        <v>1</v>
      </c>
      <c r="J190" s="4" t="n">
        <f aca="false">(F190="C")+(G190="C")</f>
        <v>1</v>
      </c>
      <c r="K190" s="3" t="n">
        <f aca="false">I190+J190</f>
        <v>2</v>
      </c>
    </row>
    <row r="191" customFormat="false" ht="15" hidden="false" customHeight="false" outlineLevel="0" collapsed="false">
      <c r="A191" s="23" t="s">
        <v>43</v>
      </c>
      <c r="B191" s="23" t="s">
        <v>201</v>
      </c>
      <c r="C191" s="23" t="s">
        <v>202</v>
      </c>
      <c r="D191" s="23" t="n">
        <f aca="false">INDEX(Positions!$D$2:$D$1061,MATCH($A191&amp;"|8",Positions!$A$2:$A$1061,0))</f>
        <v>8</v>
      </c>
      <c r="E191" s="23" t="n">
        <f aca="false">INDEX(Positions!$D$2:$D$1061,MATCH($A191&amp;"|14",Positions!$A$2:$A$1061,0))</f>
        <v>14</v>
      </c>
      <c r="F191" s="23" t="str">
        <f aca="false">INDEX(Positions!$E$2:$E$1061,MATCH($A191&amp;"|8",Positions!$A$2:$A$1061,0))</f>
        <v>U</v>
      </c>
      <c r="G191" s="23" t="str">
        <f aca="false">INDEX(Positions!$E$2:$E$1061,MATCH($A191&amp;"|14",Positions!$A$2:$A$1061,0))</f>
        <v>A</v>
      </c>
      <c r="H191" s="24" t="str">
        <f aca="false">F191&amp;"-"&amp;G191</f>
        <v>U-A</v>
      </c>
      <c r="I191" s="23" t="n">
        <f aca="false">(F191="G")+(G191="G")</f>
        <v>0</v>
      </c>
      <c r="J191" s="23" t="n">
        <f aca="false">(F191="C")+(G191="C")</f>
        <v>0</v>
      </c>
      <c r="K191" s="24" t="n">
        <f aca="false">I191+J191</f>
        <v>0</v>
      </c>
    </row>
    <row r="192" customFormat="false" ht="15" hidden="false" customHeight="false" outlineLevel="0" collapsed="false">
      <c r="A192" s="23" t="s">
        <v>43</v>
      </c>
      <c r="B192" s="23" t="s">
        <v>201</v>
      </c>
      <c r="C192" s="23" t="s">
        <v>203</v>
      </c>
      <c r="D192" s="23" t="n">
        <f aca="false">INDEX(Positions!$D$2:$D$1061,MATCH($A192&amp;"|15",Positions!$A$2:$A$1061,0))</f>
        <v>15</v>
      </c>
      <c r="E192" s="23" t="n">
        <f aca="false">INDEX(Positions!$D$2:$D$1061,MATCH($A192&amp;"|48",Positions!$A$2:$A$1061,0))</f>
        <v>54</v>
      </c>
      <c r="F192" s="23" t="str">
        <f aca="false">INDEX(Positions!$E$2:$E$1061,MATCH($A192&amp;"|15",Positions!$A$2:$A$1061,0))</f>
        <v>U</v>
      </c>
      <c r="G192" s="23" t="str">
        <f aca="false">INDEX(Positions!$E$2:$E$1061,MATCH($A192&amp;"|48",Positions!$A$2:$A$1061,0))</f>
        <v>G</v>
      </c>
      <c r="H192" s="24" t="str">
        <f aca="false">F192&amp;"-"&amp;G192</f>
        <v>U-G</v>
      </c>
      <c r="I192" s="23" t="n">
        <f aca="false">(F192="G")+(G192="G")</f>
        <v>1</v>
      </c>
      <c r="J192" s="23" t="n">
        <f aca="false">(F192="C")+(G192="C")</f>
        <v>0</v>
      </c>
      <c r="K192" s="24" t="n">
        <f aca="false">I192+J192</f>
        <v>1</v>
      </c>
    </row>
    <row r="193" customFormat="false" ht="15" hidden="false" customHeight="false" outlineLevel="0" collapsed="false">
      <c r="A193" s="23" t="s">
        <v>43</v>
      </c>
      <c r="B193" s="23" t="s">
        <v>201</v>
      </c>
      <c r="C193" s="23" t="s">
        <v>204</v>
      </c>
      <c r="D193" s="23" t="n">
        <f aca="false">INDEX(Positions!$D$2:$D$1061,MATCH($A193&amp;"|18",Positions!$A$2:$A$1061,0))</f>
        <v>18</v>
      </c>
      <c r="E193" s="23" t="n">
        <f aca="false">INDEX(Positions!$D$2:$D$1061,MATCH($A193&amp;"|55",Positions!$A$2:$A$1061,0))</f>
        <v>61</v>
      </c>
      <c r="F193" s="23" t="str">
        <f aca="false">INDEX(Positions!$E$2:$E$1061,MATCH($A193&amp;"|18",Positions!$A$2:$A$1061,0))</f>
        <v>G</v>
      </c>
      <c r="G193" s="23" t="str">
        <f aca="false">INDEX(Positions!$E$2:$E$1061,MATCH($A193&amp;"|55",Positions!$A$2:$A$1061,0))</f>
        <v>U</v>
      </c>
      <c r="H193" s="24" t="str">
        <f aca="false">F193&amp;"-"&amp;G193</f>
        <v>G-U</v>
      </c>
      <c r="I193" s="23" t="n">
        <f aca="false">(F193="G")+(G193="G")</f>
        <v>1</v>
      </c>
      <c r="J193" s="23" t="n">
        <f aca="false">(F193="C")+(G193="C")</f>
        <v>0</v>
      </c>
      <c r="K193" s="24" t="n">
        <f aca="false">I193+J193</f>
        <v>1</v>
      </c>
    </row>
    <row r="194" customFormat="false" ht="15" hidden="false" customHeight="false" outlineLevel="0" collapsed="false">
      <c r="A194" s="23" t="s">
        <v>43</v>
      </c>
      <c r="B194" s="23" t="s">
        <v>201</v>
      </c>
      <c r="C194" s="23" t="s">
        <v>205</v>
      </c>
      <c r="D194" s="23" t="n">
        <f aca="false">INDEX(Positions!$D$2:$D$1061,MATCH($A194&amp;"|19",Positions!$A$2:$A$1061,0))</f>
        <v>19</v>
      </c>
      <c r="E194" s="23" t="n">
        <f aca="false">INDEX(Positions!$D$2:$D$1061,MATCH($A194&amp;"|56",Positions!$A$2:$A$1061,0))</f>
        <v>62</v>
      </c>
      <c r="F194" s="23" t="str">
        <f aca="false">INDEX(Positions!$E$2:$E$1061,MATCH($A194&amp;"|19",Positions!$A$2:$A$1061,0))</f>
        <v>G</v>
      </c>
      <c r="G194" s="23" t="str">
        <f aca="false">INDEX(Positions!$E$2:$E$1061,MATCH($A194&amp;"|56",Positions!$A$2:$A$1061,0))</f>
        <v>C</v>
      </c>
      <c r="H194" s="24" t="str">
        <f aca="false">F194&amp;"-"&amp;G194</f>
        <v>G-C</v>
      </c>
      <c r="I194" s="23" t="n">
        <f aca="false">(F194="G")+(G194="G")</f>
        <v>1</v>
      </c>
      <c r="J194" s="23" t="n">
        <f aca="false">(F194="C")+(G194="C")</f>
        <v>1</v>
      </c>
      <c r="K194" s="24" t="n">
        <f aca="false">I194+J194</f>
        <v>2</v>
      </c>
    </row>
    <row r="195" customFormat="false" ht="15" hidden="false" customHeight="false" outlineLevel="0" collapsed="false">
      <c r="A195" s="23" t="s">
        <v>43</v>
      </c>
      <c r="B195" s="23" t="s">
        <v>201</v>
      </c>
      <c r="C195" s="23" t="s">
        <v>206</v>
      </c>
      <c r="D195" s="23" t="n">
        <f aca="false">INDEX(Positions!$D$2:$D$1061,MATCH($A195&amp;"|26",Positions!$A$2:$A$1061,0))</f>
        <v>26</v>
      </c>
      <c r="E195" s="23" t="n">
        <f aca="false">INDEX(Positions!$D$2:$D$1061,MATCH($A195&amp;"|44",Positions!$A$2:$A$1061,0))</f>
        <v>44</v>
      </c>
      <c r="F195" s="23" t="str">
        <f aca="false">INDEX(Positions!$E$2:$E$1061,MATCH($A195&amp;"|26",Positions!$A$2:$A$1061,0))</f>
        <v>G</v>
      </c>
      <c r="G195" s="23" t="str">
        <f aca="false">INDEX(Positions!$E$2:$E$1061,MATCH($A195&amp;"|44",Positions!$A$2:$A$1061,0))</f>
        <v>U</v>
      </c>
      <c r="H195" s="24" t="str">
        <f aca="false">F195&amp;"-"&amp;G195</f>
        <v>G-U</v>
      </c>
      <c r="I195" s="23" t="n">
        <f aca="false">(F195="G")+(G195="G")</f>
        <v>1</v>
      </c>
      <c r="J195" s="23" t="n">
        <f aca="false">(F195="C")+(G195="C")</f>
        <v>0</v>
      </c>
      <c r="K195" s="24" t="n">
        <f aca="false">I195+J195</f>
        <v>1</v>
      </c>
    </row>
    <row r="196" customFormat="false" ht="15" hidden="false" customHeight="false" outlineLevel="0" collapsed="false">
      <c r="A196" s="23" t="s">
        <v>43</v>
      </c>
      <c r="B196" s="23" t="s">
        <v>201</v>
      </c>
      <c r="C196" s="23" t="s">
        <v>207</v>
      </c>
      <c r="D196" s="23" t="n">
        <f aca="false">INDEX(Positions!$D$2:$D$1061,MATCH($A196&amp;"|32",Positions!$A$2:$A$1061,0))</f>
        <v>32</v>
      </c>
      <c r="E196" s="23" t="n">
        <f aca="false">INDEX(Positions!$D$2:$D$1061,MATCH($A196&amp;"|38",Positions!$A$2:$A$1061,0))</f>
        <v>38</v>
      </c>
      <c r="F196" s="23" t="str">
        <f aca="false">INDEX(Positions!$E$2:$E$1061,MATCH($A196&amp;"|32",Positions!$A$2:$A$1061,0))</f>
        <v>U</v>
      </c>
      <c r="G196" s="23" t="str">
        <f aca="false">INDEX(Positions!$E$2:$E$1061,MATCH($A196&amp;"|38",Positions!$A$2:$A$1061,0))</f>
        <v>A</v>
      </c>
      <c r="H196" s="24" t="str">
        <f aca="false">F196&amp;"-"&amp;G196</f>
        <v>U-A</v>
      </c>
      <c r="I196" s="23" t="n">
        <f aca="false">(F196="G")+(G196="G")</f>
        <v>0</v>
      </c>
      <c r="J196" s="23" t="n">
        <f aca="false">(F196="C")+(G196="C")</f>
        <v>0</v>
      </c>
      <c r="K196" s="24" t="n">
        <f aca="false">I196+J196</f>
        <v>0</v>
      </c>
    </row>
    <row r="197" customFormat="false" ht="15" hidden="false" customHeight="false" outlineLevel="0" collapsed="false">
      <c r="A197" s="23" t="s">
        <v>43</v>
      </c>
      <c r="B197" s="23" t="s">
        <v>201</v>
      </c>
      <c r="C197" s="23" t="s">
        <v>208</v>
      </c>
      <c r="D197" s="23" t="n">
        <f aca="false">INDEX(Positions!$D$2:$D$1061,MATCH($A197&amp;"|54",Positions!$A$2:$A$1061,0))</f>
        <v>60</v>
      </c>
      <c r="E197" s="23" t="n">
        <f aca="false">INDEX(Positions!$D$2:$D$1061,MATCH($A197&amp;"|58",Positions!$A$2:$A$1061,0))</f>
        <v>64</v>
      </c>
      <c r="F197" s="23" t="str">
        <f aca="false">INDEX(Positions!$E$2:$E$1061,MATCH($A197&amp;"|54",Positions!$A$2:$A$1061,0))</f>
        <v>U</v>
      </c>
      <c r="G197" s="23" t="str">
        <f aca="false">INDEX(Positions!$E$2:$E$1061,MATCH($A197&amp;"|58",Positions!$A$2:$A$1061,0))</f>
        <v>A</v>
      </c>
      <c r="H197" s="24" t="str">
        <f aca="false">F197&amp;"-"&amp;G197</f>
        <v>U-A</v>
      </c>
      <c r="I197" s="23" t="n">
        <f aca="false">(F197="G")+(G197="G")</f>
        <v>0</v>
      </c>
      <c r="J197" s="23" t="n">
        <f aca="false">(F197="C")+(G197="C")</f>
        <v>0</v>
      </c>
      <c r="K197" s="24" t="n">
        <f aca="false">I197+J197</f>
        <v>0</v>
      </c>
    </row>
    <row r="198" customFormat="false" ht="15" hidden="false" customHeight="false" outlineLevel="0" collapsed="false">
      <c r="A198" s="4" t="s">
        <v>44</v>
      </c>
      <c r="B198" s="4" t="s">
        <v>60</v>
      </c>
      <c r="C198" s="4" t="s">
        <v>180</v>
      </c>
      <c r="D198" s="4" t="n">
        <f aca="false">INDEX(Positions!$D$2:$D$1061,MATCH($A198&amp;"|1",Positions!$A$2:$A$1061,0))</f>
        <v>1</v>
      </c>
      <c r="E198" s="4" t="n">
        <f aca="false">INDEX(Positions!$D$2:$D$1061,MATCH($A198&amp;"|72",Positions!$A$2:$A$1061,0))</f>
        <v>71</v>
      </c>
      <c r="F198" s="4" t="str">
        <f aca="false">INDEX(Positions!$E$2:$E$1061,MATCH($A198&amp;"|1",Positions!$A$2:$A$1061,0))</f>
        <v>A</v>
      </c>
      <c r="G198" s="4" t="str">
        <f aca="false">INDEX(Positions!$E$2:$E$1061,MATCH($A198&amp;"|72",Positions!$A$2:$A$1061,0))</f>
        <v>U</v>
      </c>
      <c r="H198" s="3" t="str">
        <f aca="false">F198&amp;"-"&amp;G198</f>
        <v>A-U</v>
      </c>
      <c r="I198" s="4" t="n">
        <f aca="false">(F198="G")+(G198="G")</f>
        <v>0</v>
      </c>
      <c r="J198" s="4" t="n">
        <f aca="false">(F198="C")+(G198="C")</f>
        <v>0</v>
      </c>
      <c r="K198" s="3" t="n">
        <f aca="false">I198+J198</f>
        <v>0</v>
      </c>
    </row>
    <row r="199" customFormat="false" ht="15" hidden="false" customHeight="false" outlineLevel="0" collapsed="false">
      <c r="A199" s="4" t="s">
        <v>44</v>
      </c>
      <c r="B199" s="4" t="s">
        <v>60</v>
      </c>
      <c r="C199" s="4" t="s">
        <v>181</v>
      </c>
      <c r="D199" s="4" t="n">
        <f aca="false">INDEX(Positions!$D$2:$D$1061,MATCH($A199&amp;"|2",Positions!$A$2:$A$1061,0))</f>
        <v>2</v>
      </c>
      <c r="E199" s="4" t="n">
        <f aca="false">INDEX(Positions!$D$2:$D$1061,MATCH($A199&amp;"|71",Positions!$A$2:$A$1061,0))</f>
        <v>70</v>
      </c>
      <c r="F199" s="4" t="str">
        <f aca="false">INDEX(Positions!$E$2:$E$1061,MATCH($A199&amp;"|2",Positions!$A$2:$A$1061,0))</f>
        <v>U</v>
      </c>
      <c r="G199" s="4" t="str">
        <f aca="false">INDEX(Positions!$E$2:$E$1061,MATCH($A199&amp;"|71",Positions!$A$2:$A$1061,0))</f>
        <v>A</v>
      </c>
      <c r="H199" s="3" t="str">
        <f aca="false">F199&amp;"-"&amp;G199</f>
        <v>U-A</v>
      </c>
      <c r="I199" s="4" t="n">
        <f aca="false">(F199="G")+(G199="G")</f>
        <v>0</v>
      </c>
      <c r="J199" s="4" t="n">
        <f aca="false">(F199="C")+(G199="C")</f>
        <v>0</v>
      </c>
      <c r="K199" s="3" t="n">
        <f aca="false">I199+J199</f>
        <v>0</v>
      </c>
    </row>
    <row r="200" customFormat="false" ht="15" hidden="false" customHeight="false" outlineLevel="0" collapsed="false">
      <c r="A200" s="4" t="s">
        <v>44</v>
      </c>
      <c r="B200" s="4" t="s">
        <v>60</v>
      </c>
      <c r="C200" s="4" t="s">
        <v>182</v>
      </c>
      <c r="D200" s="4" t="n">
        <f aca="false">INDEX(Positions!$D$2:$D$1061,MATCH($A200&amp;"|3",Positions!$A$2:$A$1061,0))</f>
        <v>3</v>
      </c>
      <c r="E200" s="4" t="n">
        <f aca="false">INDEX(Positions!$D$2:$D$1061,MATCH($A200&amp;"|70",Positions!$A$2:$A$1061,0))</f>
        <v>69</v>
      </c>
      <c r="F200" s="4" t="str">
        <f aca="false">INDEX(Positions!$E$2:$E$1061,MATCH($A200&amp;"|3",Positions!$A$2:$A$1061,0))</f>
        <v>A</v>
      </c>
      <c r="G200" s="4" t="str">
        <f aca="false">INDEX(Positions!$E$2:$E$1061,MATCH($A200&amp;"|70",Positions!$A$2:$A$1061,0))</f>
        <v>U</v>
      </c>
      <c r="H200" s="3" t="str">
        <f aca="false">F200&amp;"-"&amp;G200</f>
        <v>A-U</v>
      </c>
      <c r="I200" s="4" t="n">
        <f aca="false">(F200="G")+(G200="G")</f>
        <v>0</v>
      </c>
      <c r="J200" s="4" t="n">
        <f aca="false">(F200="C")+(G200="C")</f>
        <v>0</v>
      </c>
      <c r="K200" s="3" t="n">
        <f aca="false">I200+J200</f>
        <v>0</v>
      </c>
    </row>
    <row r="201" customFormat="false" ht="15" hidden="false" customHeight="false" outlineLevel="0" collapsed="false">
      <c r="A201" s="4" t="s">
        <v>44</v>
      </c>
      <c r="B201" s="4" t="s">
        <v>60</v>
      </c>
      <c r="C201" s="4" t="s">
        <v>183</v>
      </c>
      <c r="D201" s="4" t="n">
        <f aca="false">INDEX(Positions!$D$2:$D$1061,MATCH($A201&amp;"|4",Positions!$A$2:$A$1061,0))</f>
        <v>4</v>
      </c>
      <c r="E201" s="4" t="n">
        <f aca="false">INDEX(Positions!$D$2:$D$1061,MATCH($A201&amp;"|69",Positions!$A$2:$A$1061,0))</f>
        <v>68</v>
      </c>
      <c r="F201" s="4" t="str">
        <f aca="false">INDEX(Positions!$E$2:$E$1061,MATCH($A201&amp;"|4",Positions!$A$2:$A$1061,0))</f>
        <v>U</v>
      </c>
      <c r="G201" s="4" t="str">
        <f aca="false">INDEX(Positions!$E$2:$E$1061,MATCH($A201&amp;"|69",Positions!$A$2:$A$1061,0))</f>
        <v>A</v>
      </c>
      <c r="H201" s="3" t="str">
        <f aca="false">F201&amp;"-"&amp;G201</f>
        <v>U-A</v>
      </c>
      <c r="I201" s="4" t="n">
        <f aca="false">(F201="G")+(G201="G")</f>
        <v>0</v>
      </c>
      <c r="J201" s="4" t="n">
        <f aca="false">(F201="C")+(G201="C")</f>
        <v>0</v>
      </c>
      <c r="K201" s="3" t="n">
        <f aca="false">I201+J201</f>
        <v>0</v>
      </c>
    </row>
    <row r="202" customFormat="false" ht="15" hidden="false" customHeight="false" outlineLevel="0" collapsed="false">
      <c r="A202" s="4" t="s">
        <v>44</v>
      </c>
      <c r="B202" s="4" t="s">
        <v>60</v>
      </c>
      <c r="C202" s="4" t="s">
        <v>184</v>
      </c>
      <c r="D202" s="4" t="n">
        <f aca="false">INDEX(Positions!$D$2:$D$1061,MATCH($A202&amp;"|5",Positions!$A$2:$A$1061,0))</f>
        <v>5</v>
      </c>
      <c r="E202" s="4" t="n">
        <f aca="false">INDEX(Positions!$D$2:$D$1061,MATCH($A202&amp;"|68",Positions!$A$2:$A$1061,0))</f>
        <v>67</v>
      </c>
      <c r="F202" s="4" t="str">
        <f aca="false">INDEX(Positions!$E$2:$E$1061,MATCH($A202&amp;"|5",Positions!$A$2:$A$1061,0))</f>
        <v>A</v>
      </c>
      <c r="G202" s="4" t="str">
        <f aca="false">INDEX(Positions!$E$2:$E$1061,MATCH($A202&amp;"|68",Positions!$A$2:$A$1061,0))</f>
        <v>A</v>
      </c>
      <c r="H202" s="3" t="str">
        <f aca="false">F202&amp;"-"&amp;G202</f>
        <v>A-A</v>
      </c>
      <c r="I202" s="4" t="n">
        <f aca="false">(F202="G")+(G202="G")</f>
        <v>0</v>
      </c>
      <c r="J202" s="4" t="n">
        <f aca="false">(F202="C")+(G202="C")</f>
        <v>0</v>
      </c>
      <c r="K202" s="3" t="n">
        <f aca="false">I202+J202</f>
        <v>0</v>
      </c>
    </row>
    <row r="203" customFormat="false" ht="15" hidden="false" customHeight="false" outlineLevel="0" collapsed="false">
      <c r="A203" s="4" t="s">
        <v>44</v>
      </c>
      <c r="B203" s="4" t="s">
        <v>60</v>
      </c>
      <c r="C203" s="4" t="s">
        <v>185</v>
      </c>
      <c r="D203" s="4" t="n">
        <f aca="false">INDEX(Positions!$D$2:$D$1061,MATCH($A203&amp;"|6",Positions!$A$2:$A$1061,0))</f>
        <v>6</v>
      </c>
      <c r="E203" s="4" t="n">
        <f aca="false">INDEX(Positions!$D$2:$D$1061,MATCH($A203&amp;"|67",Positions!$A$2:$A$1061,0))</f>
        <v>66</v>
      </c>
      <c r="F203" s="4" t="str">
        <f aca="false">INDEX(Positions!$E$2:$E$1061,MATCH($A203&amp;"|6",Positions!$A$2:$A$1061,0))</f>
        <v>A</v>
      </c>
      <c r="G203" s="4" t="str">
        <f aca="false">INDEX(Positions!$E$2:$E$1061,MATCH($A203&amp;"|67",Positions!$A$2:$A$1061,0))</f>
        <v>U</v>
      </c>
      <c r="H203" s="3" t="str">
        <f aca="false">F203&amp;"-"&amp;G203</f>
        <v>A-U</v>
      </c>
      <c r="I203" s="4" t="n">
        <f aca="false">(F203="G")+(G203="G")</f>
        <v>0</v>
      </c>
      <c r="J203" s="4" t="n">
        <f aca="false">(F203="C")+(G203="C")</f>
        <v>0</v>
      </c>
      <c r="K203" s="3" t="n">
        <f aca="false">I203+J203</f>
        <v>0</v>
      </c>
    </row>
    <row r="204" customFormat="false" ht="15" hidden="false" customHeight="false" outlineLevel="0" collapsed="false">
      <c r="A204" s="4" t="s">
        <v>44</v>
      </c>
      <c r="B204" s="4" t="s">
        <v>60</v>
      </c>
      <c r="C204" s="4" t="s">
        <v>186</v>
      </c>
      <c r="D204" s="4" t="n">
        <f aca="false">INDEX(Positions!$D$2:$D$1061,MATCH($A204&amp;"|7",Positions!$A$2:$A$1061,0))</f>
        <v>7</v>
      </c>
      <c r="E204" s="4" t="n">
        <f aca="false">INDEX(Positions!$D$2:$D$1061,MATCH($A204&amp;"|66",Positions!$A$2:$A$1061,0))</f>
        <v>65</v>
      </c>
      <c r="F204" s="4" t="str">
        <f aca="false">INDEX(Positions!$E$2:$E$1061,MATCH($A204&amp;"|7",Positions!$A$2:$A$1061,0))</f>
        <v>A</v>
      </c>
      <c r="G204" s="4" t="str">
        <f aca="false">INDEX(Positions!$E$2:$E$1061,MATCH($A204&amp;"|66",Positions!$A$2:$A$1061,0))</f>
        <v>U</v>
      </c>
      <c r="H204" s="3" t="str">
        <f aca="false">F204&amp;"-"&amp;G204</f>
        <v>A-U</v>
      </c>
      <c r="I204" s="4" t="n">
        <f aca="false">(F204="G")+(G204="G")</f>
        <v>0</v>
      </c>
      <c r="J204" s="4" t="n">
        <f aca="false">(F204="C")+(G204="C")</f>
        <v>0</v>
      </c>
      <c r="K204" s="3" t="n">
        <f aca="false">I204+J204</f>
        <v>0</v>
      </c>
    </row>
    <row r="205" customFormat="false" ht="15" hidden="false" customHeight="false" outlineLevel="0" collapsed="false">
      <c r="A205" s="4" t="s">
        <v>44</v>
      </c>
      <c r="B205" s="4" t="s">
        <v>75</v>
      </c>
      <c r="C205" s="4" t="s">
        <v>187</v>
      </c>
      <c r="D205" s="4" t="n">
        <f aca="false">INDEX(Positions!$D$2:$D$1061,MATCH($A205&amp;"|10",Positions!$A$2:$A$1061,0))</f>
        <v>10</v>
      </c>
      <c r="E205" s="4" t="n">
        <f aca="false">INDEX(Positions!$D$2:$D$1061,MATCH($A205&amp;"|25",Positions!$A$2:$A$1061,0))</f>
        <v>25</v>
      </c>
      <c r="F205" s="4" t="str">
        <f aca="false">INDEX(Positions!$E$2:$E$1061,MATCH($A205&amp;"|10",Positions!$A$2:$A$1061,0))</f>
        <v>A</v>
      </c>
      <c r="G205" s="4" t="str">
        <f aca="false">INDEX(Positions!$E$2:$E$1061,MATCH($A205&amp;"|25",Positions!$A$2:$A$1061,0))</f>
        <v>U</v>
      </c>
      <c r="H205" s="3" t="str">
        <f aca="false">F205&amp;"-"&amp;G205</f>
        <v>A-U</v>
      </c>
      <c r="I205" s="4" t="n">
        <f aca="false">(F205="G")+(G205="G")</f>
        <v>0</v>
      </c>
      <c r="J205" s="4" t="n">
        <f aca="false">(F205="C")+(G205="C")</f>
        <v>0</v>
      </c>
      <c r="K205" s="3" t="n">
        <f aca="false">I205+J205</f>
        <v>0</v>
      </c>
    </row>
    <row r="206" customFormat="false" ht="15" hidden="false" customHeight="false" outlineLevel="0" collapsed="false">
      <c r="A206" s="4" t="s">
        <v>44</v>
      </c>
      <c r="B206" s="4" t="s">
        <v>75</v>
      </c>
      <c r="C206" s="4" t="s">
        <v>188</v>
      </c>
      <c r="D206" s="4" t="n">
        <f aca="false">INDEX(Positions!$D$2:$D$1061,MATCH($A206&amp;"|11",Positions!$A$2:$A$1061,0))</f>
        <v>11</v>
      </c>
      <c r="E206" s="4" t="n">
        <f aca="false">INDEX(Positions!$D$2:$D$1061,MATCH($A206&amp;"|24",Positions!$A$2:$A$1061,0))</f>
        <v>24</v>
      </c>
      <c r="F206" s="4" t="str">
        <f aca="false">INDEX(Positions!$E$2:$E$1061,MATCH($A206&amp;"|11",Positions!$A$2:$A$1061,0))</f>
        <v>A</v>
      </c>
      <c r="G206" s="4" t="str">
        <f aca="false">INDEX(Positions!$E$2:$E$1061,MATCH($A206&amp;"|24",Positions!$A$2:$A$1061,0))</f>
        <v>G</v>
      </c>
      <c r="H206" s="3" t="str">
        <f aca="false">F206&amp;"-"&amp;G206</f>
        <v>A-G</v>
      </c>
      <c r="I206" s="4" t="n">
        <f aca="false">(F206="G")+(G206="G")</f>
        <v>1</v>
      </c>
      <c r="J206" s="4" t="n">
        <f aca="false">(F206="C")+(G206="C")</f>
        <v>0</v>
      </c>
      <c r="K206" s="3" t="n">
        <f aca="false">I206+J206</f>
        <v>1</v>
      </c>
    </row>
    <row r="207" customFormat="false" ht="15" hidden="false" customHeight="false" outlineLevel="0" collapsed="false">
      <c r="A207" s="4" t="s">
        <v>44</v>
      </c>
      <c r="B207" s="4" t="s">
        <v>75</v>
      </c>
      <c r="C207" s="4" t="s">
        <v>189</v>
      </c>
      <c r="D207" s="4" t="n">
        <f aca="false">INDEX(Positions!$D$2:$D$1061,MATCH($A207&amp;"|12",Positions!$A$2:$A$1061,0))</f>
        <v>12</v>
      </c>
      <c r="E207" s="4" t="n">
        <f aca="false">INDEX(Positions!$D$2:$D$1061,MATCH($A207&amp;"|23",Positions!$A$2:$A$1061,0))</f>
        <v>23</v>
      </c>
      <c r="F207" s="4" t="str">
        <f aca="false">INDEX(Positions!$E$2:$E$1061,MATCH($A207&amp;"|12",Positions!$A$2:$A$1061,0))</f>
        <v>U</v>
      </c>
      <c r="G207" s="4" t="str">
        <f aca="false">INDEX(Positions!$E$2:$E$1061,MATCH($A207&amp;"|23",Positions!$A$2:$A$1061,0))</f>
        <v>G</v>
      </c>
      <c r="H207" s="3" t="str">
        <f aca="false">F207&amp;"-"&amp;G207</f>
        <v>U-G</v>
      </c>
      <c r="I207" s="4" t="n">
        <f aca="false">(F207="G")+(G207="G")</f>
        <v>1</v>
      </c>
      <c r="J207" s="4" t="n">
        <f aca="false">(F207="C")+(G207="C")</f>
        <v>0</v>
      </c>
      <c r="K207" s="3" t="n">
        <f aca="false">I207+J207</f>
        <v>1</v>
      </c>
    </row>
    <row r="208" customFormat="false" ht="15" hidden="false" customHeight="false" outlineLevel="0" collapsed="false">
      <c r="A208" s="4" t="s">
        <v>44</v>
      </c>
      <c r="B208" s="4" t="s">
        <v>75</v>
      </c>
      <c r="C208" s="4" t="s">
        <v>190</v>
      </c>
      <c r="D208" s="4" t="n">
        <f aca="false">INDEX(Positions!$D$2:$D$1061,MATCH($A208&amp;"|13",Positions!$A$2:$A$1061,0))</f>
        <v>13</v>
      </c>
      <c r="E208" s="4" t="n">
        <f aca="false">INDEX(Positions!$D$2:$D$1061,MATCH($A208&amp;"|22",Positions!$A$2:$A$1061,0))</f>
        <v>22</v>
      </c>
      <c r="F208" s="4" t="str">
        <f aca="false">INDEX(Positions!$E$2:$E$1061,MATCH($A208&amp;"|13",Positions!$A$2:$A$1061,0))</f>
        <v>U</v>
      </c>
      <c r="G208" s="4" t="str">
        <f aca="false">INDEX(Positions!$E$2:$E$1061,MATCH($A208&amp;"|22",Positions!$A$2:$A$1061,0))</f>
        <v>G</v>
      </c>
      <c r="H208" s="3" t="str">
        <f aca="false">F208&amp;"-"&amp;G208</f>
        <v>U-G</v>
      </c>
      <c r="I208" s="4" t="n">
        <f aca="false">(F208="G")+(G208="G")</f>
        <v>1</v>
      </c>
      <c r="J208" s="4" t="n">
        <f aca="false">(F208="C")+(G208="C")</f>
        <v>0</v>
      </c>
      <c r="K208" s="3" t="n">
        <f aca="false">I208+J208</f>
        <v>1</v>
      </c>
    </row>
    <row r="209" customFormat="false" ht="15" hidden="false" customHeight="false" outlineLevel="0" collapsed="false">
      <c r="A209" s="4" t="s">
        <v>44</v>
      </c>
      <c r="B209" s="4" t="s">
        <v>96</v>
      </c>
      <c r="C209" s="4" t="s">
        <v>191</v>
      </c>
      <c r="D209" s="4" t="n">
        <f aca="false">INDEX(Positions!$D$2:$D$1061,MATCH($A209&amp;"|27",Positions!$A$2:$A$1061,0))</f>
        <v>27</v>
      </c>
      <c r="E209" s="4" t="n">
        <f aca="false">INDEX(Positions!$D$2:$D$1061,MATCH($A209&amp;"|43",Positions!$A$2:$A$1061,0))</f>
        <v>43</v>
      </c>
      <c r="F209" s="4" t="str">
        <f aca="false">INDEX(Positions!$E$2:$E$1061,MATCH($A209&amp;"|27",Positions!$A$2:$A$1061,0))</f>
        <v>A</v>
      </c>
      <c r="G209" s="4" t="str">
        <f aca="false">INDEX(Positions!$E$2:$E$1061,MATCH($A209&amp;"|43",Positions!$A$2:$A$1061,0))</f>
        <v>U</v>
      </c>
      <c r="H209" s="3" t="str">
        <f aca="false">F209&amp;"-"&amp;G209</f>
        <v>A-U</v>
      </c>
      <c r="I209" s="4" t="n">
        <f aca="false">(F209="G")+(G209="G")</f>
        <v>0</v>
      </c>
      <c r="J209" s="4" t="n">
        <f aca="false">(F209="C")+(G209="C")</f>
        <v>0</v>
      </c>
      <c r="K209" s="3" t="n">
        <f aca="false">I209+J209</f>
        <v>0</v>
      </c>
    </row>
    <row r="210" customFormat="false" ht="15" hidden="false" customHeight="false" outlineLevel="0" collapsed="false">
      <c r="A210" s="4" t="s">
        <v>44</v>
      </c>
      <c r="B210" s="4" t="s">
        <v>96</v>
      </c>
      <c r="C210" s="4" t="s">
        <v>192</v>
      </c>
      <c r="D210" s="4" t="n">
        <f aca="false">INDEX(Positions!$D$2:$D$1061,MATCH($A210&amp;"|28",Positions!$A$2:$A$1061,0))</f>
        <v>28</v>
      </c>
      <c r="E210" s="4" t="n">
        <f aca="false">INDEX(Positions!$D$2:$D$1061,MATCH($A210&amp;"|42",Positions!$A$2:$A$1061,0))</f>
        <v>42</v>
      </c>
      <c r="F210" s="4" t="str">
        <f aca="false">INDEX(Positions!$E$2:$E$1061,MATCH($A210&amp;"|28",Positions!$A$2:$A$1061,0))</f>
        <v>U</v>
      </c>
      <c r="G210" s="4" t="str">
        <f aca="false">INDEX(Positions!$E$2:$E$1061,MATCH($A210&amp;"|42",Positions!$A$2:$A$1061,0))</f>
        <v>G</v>
      </c>
      <c r="H210" s="3" t="str">
        <f aca="false">F210&amp;"-"&amp;G210</f>
        <v>U-G</v>
      </c>
      <c r="I210" s="4" t="n">
        <f aca="false">(F210="G")+(G210="G")</f>
        <v>1</v>
      </c>
      <c r="J210" s="4" t="n">
        <f aca="false">(F210="C")+(G210="C")</f>
        <v>0</v>
      </c>
      <c r="K210" s="3" t="n">
        <f aca="false">I210+J210</f>
        <v>1</v>
      </c>
    </row>
    <row r="211" customFormat="false" ht="15" hidden="false" customHeight="false" outlineLevel="0" collapsed="false">
      <c r="A211" s="4" t="s">
        <v>44</v>
      </c>
      <c r="B211" s="4" t="s">
        <v>96</v>
      </c>
      <c r="C211" s="4" t="s">
        <v>193</v>
      </c>
      <c r="D211" s="4" t="n">
        <f aca="false">INDEX(Positions!$D$2:$D$1061,MATCH($A211&amp;"|29",Positions!$A$2:$A$1061,0))</f>
        <v>29</v>
      </c>
      <c r="E211" s="4" t="n">
        <f aca="false">INDEX(Positions!$D$2:$D$1061,MATCH($A211&amp;"|41",Positions!$A$2:$A$1061,0))</f>
        <v>41</v>
      </c>
      <c r="F211" s="4" t="str">
        <f aca="false">INDEX(Positions!$E$2:$E$1061,MATCH($A211&amp;"|29",Positions!$A$2:$A$1061,0))</f>
        <v>A</v>
      </c>
      <c r="G211" s="4" t="str">
        <f aca="false">INDEX(Positions!$E$2:$E$1061,MATCH($A211&amp;"|41",Positions!$A$2:$A$1061,0))</f>
        <v>U</v>
      </c>
      <c r="H211" s="3" t="str">
        <f aca="false">F211&amp;"-"&amp;G211</f>
        <v>A-U</v>
      </c>
      <c r="I211" s="4" t="n">
        <f aca="false">(F211="G")+(G211="G")</f>
        <v>0</v>
      </c>
      <c r="J211" s="4" t="n">
        <f aca="false">(F211="C")+(G211="C")</f>
        <v>0</v>
      </c>
      <c r="K211" s="3" t="n">
        <f aca="false">I211+J211</f>
        <v>0</v>
      </c>
    </row>
    <row r="212" customFormat="false" ht="15" hidden="false" customHeight="false" outlineLevel="0" collapsed="false">
      <c r="A212" s="4" t="s">
        <v>44</v>
      </c>
      <c r="B212" s="4" t="s">
        <v>96</v>
      </c>
      <c r="C212" s="4" t="s">
        <v>194</v>
      </c>
      <c r="D212" s="4" t="n">
        <f aca="false">INDEX(Positions!$D$2:$D$1061,MATCH($A212&amp;"|30",Positions!$A$2:$A$1061,0))</f>
        <v>30</v>
      </c>
      <c r="E212" s="4" t="n">
        <f aca="false">INDEX(Positions!$D$2:$D$1061,MATCH($A212&amp;"|40",Positions!$A$2:$A$1061,0))</f>
        <v>40</v>
      </c>
      <c r="F212" s="4" t="str">
        <f aca="false">INDEX(Positions!$E$2:$E$1061,MATCH($A212&amp;"|30",Positions!$A$2:$A$1061,0))</f>
        <v>U</v>
      </c>
      <c r="G212" s="4" t="str">
        <f aca="false">INDEX(Positions!$E$2:$E$1061,MATCH($A212&amp;"|40",Positions!$A$2:$A$1061,0))</f>
        <v>A</v>
      </c>
      <c r="H212" s="3" t="str">
        <f aca="false">F212&amp;"-"&amp;G212</f>
        <v>U-A</v>
      </c>
      <c r="I212" s="4" t="n">
        <f aca="false">(F212="G")+(G212="G")</f>
        <v>0</v>
      </c>
      <c r="J212" s="4" t="n">
        <f aca="false">(F212="C")+(G212="C")</f>
        <v>0</v>
      </c>
      <c r="K212" s="3" t="n">
        <f aca="false">I212+J212</f>
        <v>0</v>
      </c>
    </row>
    <row r="213" customFormat="false" ht="15" hidden="false" customHeight="false" outlineLevel="0" collapsed="false">
      <c r="A213" s="4" t="s">
        <v>44</v>
      </c>
      <c r="B213" s="4" t="s">
        <v>96</v>
      </c>
      <c r="C213" s="4" t="s">
        <v>195</v>
      </c>
      <c r="D213" s="4" t="n">
        <f aca="false">INDEX(Positions!$D$2:$D$1061,MATCH($A213&amp;"|31",Positions!$A$2:$A$1061,0))</f>
        <v>31</v>
      </c>
      <c r="E213" s="4" t="n">
        <f aca="false">INDEX(Positions!$D$2:$D$1061,MATCH($A213&amp;"|39",Positions!$A$2:$A$1061,0))</f>
        <v>39</v>
      </c>
      <c r="F213" s="4" t="str">
        <f aca="false">INDEX(Positions!$E$2:$E$1061,MATCH($A213&amp;"|31",Positions!$A$2:$A$1061,0))</f>
        <v>U</v>
      </c>
      <c r="G213" s="4" t="str">
        <f aca="false">INDEX(Positions!$E$2:$E$1061,MATCH($A213&amp;"|39",Positions!$A$2:$A$1061,0))</f>
        <v>A</v>
      </c>
      <c r="H213" s="3" t="str">
        <f aca="false">F213&amp;"-"&amp;G213</f>
        <v>U-A</v>
      </c>
      <c r="I213" s="4" t="n">
        <f aca="false">(F213="G")+(G213="G")</f>
        <v>0</v>
      </c>
      <c r="J213" s="4" t="n">
        <f aca="false">(F213="C")+(G213="C")</f>
        <v>0</v>
      </c>
      <c r="K213" s="3" t="n">
        <f aca="false">I213+J213</f>
        <v>0</v>
      </c>
    </row>
    <row r="214" customFormat="false" ht="15" hidden="false" customHeight="false" outlineLevel="0" collapsed="false">
      <c r="A214" s="4" t="s">
        <v>44</v>
      </c>
      <c r="B214" s="4" t="s">
        <v>126</v>
      </c>
      <c r="C214" s="4" t="s">
        <v>196</v>
      </c>
      <c r="D214" s="4" t="n">
        <f aca="false">INDEX(Positions!$D$2:$D$1061,MATCH($A214&amp;"|49",Positions!$A$2:$A$1061,0))</f>
        <v>48</v>
      </c>
      <c r="E214" s="4" t="n">
        <f aca="false">INDEX(Positions!$D$2:$D$1061,MATCH($A214&amp;"|65",Positions!$A$2:$A$1061,0))</f>
        <v>64</v>
      </c>
      <c r="F214" s="4" t="str">
        <f aca="false">INDEX(Positions!$E$2:$E$1061,MATCH($A214&amp;"|49",Positions!$A$2:$A$1061,0))</f>
        <v>A</v>
      </c>
      <c r="G214" s="4" t="str">
        <f aca="false">INDEX(Positions!$E$2:$E$1061,MATCH($A214&amp;"|65",Positions!$A$2:$A$1061,0))</f>
        <v>U</v>
      </c>
      <c r="H214" s="3" t="str">
        <f aca="false">F214&amp;"-"&amp;G214</f>
        <v>A-U</v>
      </c>
      <c r="I214" s="4" t="n">
        <f aca="false">(F214="G")+(G214="G")</f>
        <v>0</v>
      </c>
      <c r="J214" s="4" t="n">
        <f aca="false">(F214="C")+(G214="C")</f>
        <v>0</v>
      </c>
      <c r="K214" s="3" t="n">
        <f aca="false">I214+J214</f>
        <v>0</v>
      </c>
    </row>
    <row r="215" customFormat="false" ht="15" hidden="false" customHeight="false" outlineLevel="0" collapsed="false">
      <c r="A215" s="4" t="s">
        <v>44</v>
      </c>
      <c r="B215" s="4" t="s">
        <v>126</v>
      </c>
      <c r="C215" s="4" t="s">
        <v>197</v>
      </c>
      <c r="D215" s="4" t="n">
        <f aca="false">INDEX(Positions!$D$2:$D$1061,MATCH($A215&amp;"|50",Positions!$A$2:$A$1061,0))</f>
        <v>49</v>
      </c>
      <c r="E215" s="4" t="n">
        <f aca="false">INDEX(Positions!$D$2:$D$1061,MATCH($A215&amp;"|64",Positions!$A$2:$A$1061,0))</f>
        <v>63</v>
      </c>
      <c r="F215" s="4" t="str">
        <f aca="false">INDEX(Positions!$E$2:$E$1061,MATCH($A215&amp;"|50",Positions!$A$2:$A$1061,0))</f>
        <v>A</v>
      </c>
      <c r="G215" s="4" t="str">
        <f aca="false">INDEX(Positions!$E$2:$E$1061,MATCH($A215&amp;"|64",Positions!$A$2:$A$1061,0))</f>
        <v>U</v>
      </c>
      <c r="H215" s="3" t="str">
        <f aca="false">F215&amp;"-"&amp;G215</f>
        <v>A-U</v>
      </c>
      <c r="I215" s="4" t="n">
        <f aca="false">(F215="G")+(G215="G")</f>
        <v>0</v>
      </c>
      <c r="J215" s="4" t="n">
        <f aca="false">(F215="C")+(G215="C")</f>
        <v>0</v>
      </c>
      <c r="K215" s="3" t="n">
        <f aca="false">I215+J215</f>
        <v>0</v>
      </c>
    </row>
    <row r="216" customFormat="false" ht="15" hidden="false" customHeight="false" outlineLevel="0" collapsed="false">
      <c r="A216" s="4" t="s">
        <v>44</v>
      </c>
      <c r="B216" s="4" t="s">
        <v>126</v>
      </c>
      <c r="C216" s="4" t="s">
        <v>198</v>
      </c>
      <c r="D216" s="4" t="n">
        <f aca="false">INDEX(Positions!$D$2:$D$1061,MATCH($A216&amp;"|51",Positions!$A$2:$A$1061,0))</f>
        <v>50</v>
      </c>
      <c r="E216" s="4" t="n">
        <f aca="false">INDEX(Positions!$D$2:$D$1061,MATCH($A216&amp;"|63",Positions!$A$2:$A$1061,0))</f>
        <v>62</v>
      </c>
      <c r="F216" s="4" t="str">
        <f aca="false">INDEX(Positions!$E$2:$E$1061,MATCH($A216&amp;"|51",Positions!$A$2:$A$1061,0))</f>
        <v>A</v>
      </c>
      <c r="G216" s="4" t="str">
        <f aca="false">INDEX(Positions!$E$2:$E$1061,MATCH($A216&amp;"|63",Positions!$A$2:$A$1061,0))</f>
        <v>U</v>
      </c>
      <c r="H216" s="3" t="str">
        <f aca="false">F216&amp;"-"&amp;G216</f>
        <v>A-U</v>
      </c>
      <c r="I216" s="4" t="n">
        <f aca="false">(F216="G")+(G216="G")</f>
        <v>0</v>
      </c>
      <c r="J216" s="4" t="n">
        <f aca="false">(F216="C")+(G216="C")</f>
        <v>0</v>
      </c>
      <c r="K216" s="3" t="n">
        <f aca="false">I216+J216</f>
        <v>0</v>
      </c>
    </row>
    <row r="217" customFormat="false" ht="15" hidden="false" customHeight="false" outlineLevel="0" collapsed="false">
      <c r="A217" s="4" t="s">
        <v>44</v>
      </c>
      <c r="B217" s="4" t="s">
        <v>126</v>
      </c>
      <c r="C217" s="4" t="s">
        <v>199</v>
      </c>
      <c r="D217" s="4" t="n">
        <f aca="false">INDEX(Positions!$D$2:$D$1061,MATCH($A217&amp;"|52",Positions!$A$2:$A$1061,0))</f>
        <v>51</v>
      </c>
      <c r="E217" s="4" t="n">
        <f aca="false">INDEX(Positions!$D$2:$D$1061,MATCH($A217&amp;"|62",Positions!$A$2:$A$1061,0))</f>
        <v>61</v>
      </c>
      <c r="F217" s="4" t="str">
        <f aca="false">INDEX(Positions!$E$2:$E$1061,MATCH($A217&amp;"|52",Positions!$A$2:$A$1061,0))</f>
        <v>G</v>
      </c>
      <c r="G217" s="4" t="str">
        <f aca="false">INDEX(Positions!$E$2:$E$1061,MATCH($A217&amp;"|62",Positions!$A$2:$A$1061,0))</f>
        <v>U</v>
      </c>
      <c r="H217" s="3" t="str">
        <f aca="false">F217&amp;"-"&amp;G217</f>
        <v>G-U</v>
      </c>
      <c r="I217" s="4" t="n">
        <f aca="false">(F217="G")+(G217="G")</f>
        <v>1</v>
      </c>
      <c r="J217" s="4" t="n">
        <f aca="false">(F217="C")+(G217="C")</f>
        <v>0</v>
      </c>
      <c r="K217" s="3" t="n">
        <f aca="false">I217+J217</f>
        <v>1</v>
      </c>
    </row>
    <row r="218" customFormat="false" ht="15" hidden="false" customHeight="false" outlineLevel="0" collapsed="false">
      <c r="A218" s="4" t="s">
        <v>44</v>
      </c>
      <c r="B218" s="4" t="s">
        <v>126</v>
      </c>
      <c r="C218" s="4" t="s">
        <v>200</v>
      </c>
      <c r="D218" s="4" t="n">
        <f aca="false">INDEX(Positions!$D$2:$D$1061,MATCH($A218&amp;"|53",Positions!$A$2:$A$1061,0))</f>
        <v>52</v>
      </c>
      <c r="E218" s="4" t="n">
        <f aca="false">INDEX(Positions!$D$2:$D$1061,MATCH($A218&amp;"|61",Positions!$A$2:$A$1061,0))</f>
        <v>60</v>
      </c>
      <c r="F218" s="4" t="str">
        <f aca="false">INDEX(Positions!$E$2:$E$1061,MATCH($A218&amp;"|53",Positions!$A$2:$A$1061,0))</f>
        <v>G</v>
      </c>
      <c r="G218" s="4" t="str">
        <f aca="false">INDEX(Positions!$E$2:$E$1061,MATCH($A218&amp;"|61",Positions!$A$2:$A$1061,0))</f>
        <v>C</v>
      </c>
      <c r="H218" s="3" t="str">
        <f aca="false">F218&amp;"-"&amp;G218</f>
        <v>G-C</v>
      </c>
      <c r="I218" s="4" t="n">
        <f aca="false">(F218="G")+(G218="G")</f>
        <v>1</v>
      </c>
      <c r="J218" s="4" t="n">
        <f aca="false">(F218="C")+(G218="C")</f>
        <v>1</v>
      </c>
      <c r="K218" s="3" t="n">
        <f aca="false">I218+J218</f>
        <v>2</v>
      </c>
    </row>
    <row r="219" customFormat="false" ht="15" hidden="false" customHeight="false" outlineLevel="0" collapsed="false">
      <c r="A219" s="23" t="s">
        <v>44</v>
      </c>
      <c r="B219" s="23" t="s">
        <v>201</v>
      </c>
      <c r="C219" s="23" t="s">
        <v>202</v>
      </c>
      <c r="D219" s="23" t="n">
        <f aca="false">INDEX(Positions!$D$2:$D$1061,MATCH($A219&amp;"|8",Positions!$A$2:$A$1061,0))</f>
        <v>8</v>
      </c>
      <c r="E219" s="23" t="n">
        <f aca="false">INDEX(Positions!$D$2:$D$1061,MATCH($A219&amp;"|14",Positions!$A$2:$A$1061,0))</f>
        <v>14</v>
      </c>
      <c r="F219" s="23" t="str">
        <f aca="false">INDEX(Positions!$E$2:$E$1061,MATCH($A219&amp;"|8",Positions!$A$2:$A$1061,0))</f>
        <v>U</v>
      </c>
      <c r="G219" s="23" t="str">
        <f aca="false">INDEX(Positions!$E$2:$E$1061,MATCH($A219&amp;"|14",Positions!$A$2:$A$1061,0))</f>
        <v>A</v>
      </c>
      <c r="H219" s="24" t="str">
        <f aca="false">F219&amp;"-"&amp;G219</f>
        <v>U-A</v>
      </c>
      <c r="I219" s="23" t="n">
        <f aca="false">(F219="G")+(G219="G")</f>
        <v>0</v>
      </c>
      <c r="J219" s="23" t="n">
        <f aca="false">(F219="C")+(G219="C")</f>
        <v>0</v>
      </c>
      <c r="K219" s="24" t="n">
        <f aca="false">I219+J219</f>
        <v>0</v>
      </c>
    </row>
    <row r="220" customFormat="false" ht="15" hidden="false" customHeight="false" outlineLevel="0" collapsed="false">
      <c r="A220" s="23" t="s">
        <v>44</v>
      </c>
      <c r="B220" s="23" t="s">
        <v>201</v>
      </c>
      <c r="C220" s="23" t="s">
        <v>203</v>
      </c>
      <c r="D220" s="23" t="n">
        <f aca="false">INDEX(Positions!$D$2:$D$1061,MATCH($A220&amp;"|15",Positions!$A$2:$A$1061,0))</f>
        <v>15</v>
      </c>
      <c r="E220" s="23" t="n">
        <f aca="false">INDEX(Positions!$D$2:$D$1061,MATCH($A220&amp;"|48",Positions!$A$2:$A$1061,0))</f>
        <v>47</v>
      </c>
      <c r="F220" s="23" t="str">
        <f aca="false">INDEX(Positions!$E$2:$E$1061,MATCH($A220&amp;"|15",Positions!$A$2:$A$1061,0))</f>
        <v>C</v>
      </c>
      <c r="G220" s="23" t="str">
        <f aca="false">INDEX(Positions!$E$2:$E$1061,MATCH($A220&amp;"|48",Positions!$A$2:$A$1061,0))</f>
        <v>G</v>
      </c>
      <c r="H220" s="24" t="str">
        <f aca="false">F220&amp;"-"&amp;G220</f>
        <v>C-G</v>
      </c>
      <c r="I220" s="23" t="n">
        <f aca="false">(F220="G")+(G220="G")</f>
        <v>1</v>
      </c>
      <c r="J220" s="23" t="n">
        <f aca="false">(F220="C")+(G220="C")</f>
        <v>1</v>
      </c>
      <c r="K220" s="24" t="n">
        <f aca="false">I220+J220</f>
        <v>2</v>
      </c>
    </row>
    <row r="221" customFormat="false" ht="15" hidden="false" customHeight="false" outlineLevel="0" collapsed="false">
      <c r="A221" s="23" t="s">
        <v>44</v>
      </c>
      <c r="B221" s="23" t="s">
        <v>201</v>
      </c>
      <c r="C221" s="23" t="s">
        <v>204</v>
      </c>
      <c r="D221" s="23" t="n">
        <f aca="false">INDEX(Positions!$D$2:$D$1061,MATCH($A221&amp;"|18",Positions!$A$2:$A$1061,0))</f>
        <v>18</v>
      </c>
      <c r="E221" s="23" t="n">
        <f aca="false">INDEX(Positions!$D$2:$D$1061,MATCH($A221&amp;"|55",Positions!$A$2:$A$1061,0))</f>
        <v>54</v>
      </c>
      <c r="F221" s="23" t="str">
        <f aca="false">INDEX(Positions!$E$2:$E$1061,MATCH($A221&amp;"|18",Positions!$A$2:$A$1061,0))</f>
        <v>G</v>
      </c>
      <c r="G221" s="23" t="str">
        <f aca="false">INDEX(Positions!$E$2:$E$1061,MATCH($A221&amp;"|55",Positions!$A$2:$A$1061,0))</f>
        <v>U</v>
      </c>
      <c r="H221" s="24" t="str">
        <f aca="false">F221&amp;"-"&amp;G221</f>
        <v>G-U</v>
      </c>
      <c r="I221" s="23" t="n">
        <f aca="false">(F221="G")+(G221="G")</f>
        <v>1</v>
      </c>
      <c r="J221" s="23" t="n">
        <f aca="false">(F221="C")+(G221="C")</f>
        <v>0</v>
      </c>
      <c r="K221" s="24" t="n">
        <f aca="false">I221+J221</f>
        <v>1</v>
      </c>
    </row>
    <row r="222" customFormat="false" ht="15" hidden="false" customHeight="false" outlineLevel="0" collapsed="false">
      <c r="A222" s="23" t="s">
        <v>44</v>
      </c>
      <c r="B222" s="23" t="s">
        <v>201</v>
      </c>
      <c r="C222" s="23" t="s">
        <v>205</v>
      </c>
      <c r="D222" s="23" t="n">
        <f aca="false">INDEX(Positions!$D$2:$D$1061,MATCH($A222&amp;"|19",Positions!$A$2:$A$1061,0))</f>
        <v>19</v>
      </c>
      <c r="E222" s="23" t="n">
        <f aca="false">INDEX(Positions!$D$2:$D$1061,MATCH($A222&amp;"|56",Positions!$A$2:$A$1061,0))</f>
        <v>55</v>
      </c>
      <c r="F222" s="23" t="str">
        <f aca="false">INDEX(Positions!$E$2:$E$1061,MATCH($A222&amp;"|19",Positions!$A$2:$A$1061,0))</f>
        <v>G</v>
      </c>
      <c r="G222" s="23" t="str">
        <f aca="false">INDEX(Positions!$E$2:$E$1061,MATCH($A222&amp;"|56",Positions!$A$2:$A$1061,0))</f>
        <v>C</v>
      </c>
      <c r="H222" s="24" t="str">
        <f aca="false">F222&amp;"-"&amp;G222</f>
        <v>G-C</v>
      </c>
      <c r="I222" s="23" t="n">
        <f aca="false">(F222="G")+(G222="G")</f>
        <v>1</v>
      </c>
      <c r="J222" s="23" t="n">
        <f aca="false">(F222="C")+(G222="C")</f>
        <v>1</v>
      </c>
      <c r="K222" s="24" t="n">
        <f aca="false">I222+J222</f>
        <v>2</v>
      </c>
    </row>
    <row r="223" customFormat="false" ht="15" hidden="false" customHeight="false" outlineLevel="0" collapsed="false">
      <c r="A223" s="23" t="s">
        <v>44</v>
      </c>
      <c r="B223" s="23" t="s">
        <v>201</v>
      </c>
      <c r="C223" s="23" t="s">
        <v>206</v>
      </c>
      <c r="D223" s="23" t="n">
        <f aca="false">INDEX(Positions!$D$2:$D$1061,MATCH($A223&amp;"|26",Positions!$A$2:$A$1061,0))</f>
        <v>26</v>
      </c>
      <c r="E223" s="23" t="n">
        <f aca="false">INDEX(Positions!$D$2:$D$1061,MATCH($A223&amp;"|44",Positions!$A$2:$A$1061,0))</f>
        <v>44</v>
      </c>
      <c r="F223" s="23" t="str">
        <f aca="false">INDEX(Positions!$E$2:$E$1061,MATCH($A223&amp;"|26",Positions!$A$2:$A$1061,0))</f>
        <v>U</v>
      </c>
      <c r="G223" s="23" t="str">
        <f aca="false">INDEX(Positions!$E$2:$E$1061,MATCH($A223&amp;"|44",Positions!$A$2:$A$1061,0))</f>
        <v>A</v>
      </c>
      <c r="H223" s="24" t="str">
        <f aca="false">F223&amp;"-"&amp;G223</f>
        <v>U-A</v>
      </c>
      <c r="I223" s="23" t="n">
        <f aca="false">(F223="G")+(G223="G")</f>
        <v>0</v>
      </c>
      <c r="J223" s="23" t="n">
        <f aca="false">(F223="C")+(G223="C")</f>
        <v>0</v>
      </c>
      <c r="K223" s="24" t="n">
        <f aca="false">I223+J223</f>
        <v>0</v>
      </c>
    </row>
    <row r="224" customFormat="false" ht="15" hidden="false" customHeight="false" outlineLevel="0" collapsed="false">
      <c r="A224" s="23" t="s">
        <v>44</v>
      </c>
      <c r="B224" s="23" t="s">
        <v>201</v>
      </c>
      <c r="C224" s="23" t="s">
        <v>207</v>
      </c>
      <c r="D224" s="23" t="n">
        <f aca="false">INDEX(Positions!$D$2:$D$1061,MATCH($A224&amp;"|32",Positions!$A$2:$A$1061,0))</f>
        <v>32</v>
      </c>
      <c r="E224" s="23" t="n">
        <f aca="false">INDEX(Positions!$D$2:$D$1061,MATCH($A224&amp;"|38",Positions!$A$2:$A$1061,0))</f>
        <v>38</v>
      </c>
      <c r="F224" s="23" t="str">
        <f aca="false">INDEX(Positions!$E$2:$E$1061,MATCH($A224&amp;"|32",Positions!$A$2:$A$1061,0))</f>
        <v>A</v>
      </c>
      <c r="G224" s="23" t="str">
        <f aca="false">INDEX(Positions!$E$2:$E$1061,MATCH($A224&amp;"|38",Positions!$A$2:$A$1061,0))</f>
        <v>U</v>
      </c>
      <c r="H224" s="24" t="str">
        <f aca="false">F224&amp;"-"&amp;G224</f>
        <v>A-U</v>
      </c>
      <c r="I224" s="23" t="n">
        <f aca="false">(F224="G")+(G224="G")</f>
        <v>0</v>
      </c>
      <c r="J224" s="23" t="n">
        <f aca="false">(F224="C")+(G224="C")</f>
        <v>0</v>
      </c>
      <c r="K224" s="24" t="n">
        <f aca="false">I224+J224</f>
        <v>0</v>
      </c>
    </row>
    <row r="225" customFormat="false" ht="15" hidden="false" customHeight="false" outlineLevel="0" collapsed="false">
      <c r="A225" s="23" t="s">
        <v>44</v>
      </c>
      <c r="B225" s="23" t="s">
        <v>201</v>
      </c>
      <c r="C225" s="23" t="s">
        <v>208</v>
      </c>
      <c r="D225" s="23" t="n">
        <f aca="false">INDEX(Positions!$D$2:$D$1061,MATCH($A225&amp;"|54",Positions!$A$2:$A$1061,0))</f>
        <v>53</v>
      </c>
      <c r="E225" s="23" t="n">
        <f aca="false">INDEX(Positions!$D$2:$D$1061,MATCH($A225&amp;"|58",Positions!$A$2:$A$1061,0))</f>
        <v>57</v>
      </c>
      <c r="F225" s="23" t="str">
        <f aca="false">INDEX(Positions!$E$2:$E$1061,MATCH($A225&amp;"|54",Positions!$A$2:$A$1061,0))</f>
        <v>A</v>
      </c>
      <c r="G225" s="23" t="str">
        <f aca="false">INDEX(Positions!$E$2:$E$1061,MATCH($A225&amp;"|58",Positions!$A$2:$A$1061,0))</f>
        <v>U</v>
      </c>
      <c r="H225" s="24" t="str">
        <f aca="false">F225&amp;"-"&amp;G225</f>
        <v>A-U</v>
      </c>
      <c r="I225" s="23" t="n">
        <f aca="false">(F225="G")+(G225="G")</f>
        <v>0</v>
      </c>
      <c r="J225" s="23" t="n">
        <f aca="false">(F225="C")+(G225="C")</f>
        <v>0</v>
      </c>
      <c r="K225" s="24" t="n">
        <f aca="false">I225+J225</f>
        <v>0</v>
      </c>
    </row>
    <row r="226" customFormat="false" ht="15" hidden="false" customHeight="false" outlineLevel="0" collapsed="false">
      <c r="A226" s="4" t="s">
        <v>45</v>
      </c>
      <c r="B226" s="4" t="s">
        <v>60</v>
      </c>
      <c r="C226" s="4" t="s">
        <v>180</v>
      </c>
      <c r="D226" s="4" t="n">
        <f aca="false">INDEX(Positions!$D$2:$D$1061,MATCH($A226&amp;"|1",Positions!$A$2:$A$1061,0))</f>
        <v>1</v>
      </c>
      <c r="E226" s="4" t="n">
        <f aca="false">INDEX(Positions!$D$2:$D$1061,MATCH($A226&amp;"|72",Positions!$A$2:$A$1061,0))</f>
        <v>85</v>
      </c>
      <c r="F226" s="4" t="str">
        <f aca="false">INDEX(Positions!$E$2:$E$1061,MATCH($A226&amp;"|1",Positions!$A$2:$A$1061,0))</f>
        <v>C</v>
      </c>
      <c r="G226" s="4" t="str">
        <f aca="false">INDEX(Positions!$E$2:$E$1061,MATCH($A226&amp;"|72",Positions!$A$2:$A$1061,0))</f>
        <v>G</v>
      </c>
      <c r="H226" s="3" t="str">
        <f aca="false">F226&amp;"-"&amp;G226</f>
        <v>C-G</v>
      </c>
      <c r="I226" s="4" t="n">
        <f aca="false">(F226="G")+(G226="G")</f>
        <v>1</v>
      </c>
      <c r="J226" s="4" t="n">
        <f aca="false">(F226="C")+(G226="C")</f>
        <v>1</v>
      </c>
      <c r="K226" s="3" t="n">
        <f aca="false">I226+J226</f>
        <v>2</v>
      </c>
    </row>
    <row r="227" customFormat="false" ht="15" hidden="false" customHeight="false" outlineLevel="0" collapsed="false">
      <c r="A227" s="4" t="s">
        <v>45</v>
      </c>
      <c r="B227" s="4" t="s">
        <v>60</v>
      </c>
      <c r="C227" s="4" t="s">
        <v>181</v>
      </c>
      <c r="D227" s="4" t="n">
        <f aca="false">INDEX(Positions!$D$2:$D$1061,MATCH($A227&amp;"|2",Positions!$A$2:$A$1061,0))</f>
        <v>2</v>
      </c>
      <c r="E227" s="4" t="n">
        <f aca="false">INDEX(Positions!$D$2:$D$1061,MATCH($A227&amp;"|71",Positions!$A$2:$A$1061,0))</f>
        <v>84</v>
      </c>
      <c r="F227" s="4" t="str">
        <f aca="false">INDEX(Positions!$E$2:$E$1061,MATCH($A227&amp;"|2",Positions!$A$2:$A$1061,0))</f>
        <v>C</v>
      </c>
      <c r="G227" s="4" t="str">
        <f aca="false">INDEX(Positions!$E$2:$E$1061,MATCH($A227&amp;"|71",Positions!$A$2:$A$1061,0))</f>
        <v>G</v>
      </c>
      <c r="H227" s="3" t="str">
        <f aca="false">F227&amp;"-"&amp;G227</f>
        <v>C-G</v>
      </c>
      <c r="I227" s="4" t="n">
        <f aca="false">(F227="G")+(G227="G")</f>
        <v>1</v>
      </c>
      <c r="J227" s="4" t="n">
        <f aca="false">(F227="C")+(G227="C")</f>
        <v>1</v>
      </c>
      <c r="K227" s="3" t="n">
        <f aca="false">I227+J227</f>
        <v>2</v>
      </c>
    </row>
    <row r="228" customFormat="false" ht="15" hidden="false" customHeight="false" outlineLevel="0" collapsed="false">
      <c r="A228" s="4" t="s">
        <v>45</v>
      </c>
      <c r="B228" s="4" t="s">
        <v>60</v>
      </c>
      <c r="C228" s="4" t="s">
        <v>182</v>
      </c>
      <c r="D228" s="4" t="n">
        <f aca="false">INDEX(Positions!$D$2:$D$1061,MATCH($A228&amp;"|3",Positions!$A$2:$A$1061,0))</f>
        <v>3</v>
      </c>
      <c r="E228" s="4" t="n">
        <f aca="false">INDEX(Positions!$D$2:$D$1061,MATCH($A228&amp;"|70",Positions!$A$2:$A$1061,0))</f>
        <v>83</v>
      </c>
      <c r="F228" s="4" t="str">
        <f aca="false">INDEX(Positions!$E$2:$E$1061,MATCH($A228&amp;"|3",Positions!$A$2:$A$1061,0))</f>
        <v>U</v>
      </c>
      <c r="G228" s="4" t="str">
        <f aca="false">INDEX(Positions!$E$2:$E$1061,MATCH($A228&amp;"|70",Positions!$A$2:$A$1061,0))</f>
        <v>A</v>
      </c>
      <c r="H228" s="3" t="str">
        <f aca="false">F228&amp;"-"&amp;G228</f>
        <v>U-A</v>
      </c>
      <c r="I228" s="4" t="n">
        <f aca="false">(F228="G")+(G228="G")</f>
        <v>0</v>
      </c>
      <c r="J228" s="4" t="n">
        <f aca="false">(F228="C")+(G228="C")</f>
        <v>0</v>
      </c>
      <c r="K228" s="3" t="n">
        <f aca="false">I228+J228</f>
        <v>0</v>
      </c>
    </row>
    <row r="229" customFormat="false" ht="15" hidden="false" customHeight="false" outlineLevel="0" collapsed="false">
      <c r="A229" s="4" t="s">
        <v>45</v>
      </c>
      <c r="B229" s="4" t="s">
        <v>60</v>
      </c>
      <c r="C229" s="4" t="s">
        <v>183</v>
      </c>
      <c r="D229" s="4" t="n">
        <f aca="false">INDEX(Positions!$D$2:$D$1061,MATCH($A229&amp;"|4",Positions!$A$2:$A$1061,0))</f>
        <v>4</v>
      </c>
      <c r="E229" s="4" t="n">
        <f aca="false">INDEX(Positions!$D$2:$D$1061,MATCH($A229&amp;"|69",Positions!$A$2:$A$1061,0))</f>
        <v>82</v>
      </c>
      <c r="F229" s="4" t="str">
        <f aca="false">INDEX(Positions!$E$2:$E$1061,MATCH($A229&amp;"|4",Positions!$A$2:$A$1061,0))</f>
        <v>U</v>
      </c>
      <c r="G229" s="4" t="str">
        <f aca="false">INDEX(Positions!$E$2:$E$1061,MATCH($A229&amp;"|69",Positions!$A$2:$A$1061,0))</f>
        <v>A</v>
      </c>
      <c r="H229" s="3" t="str">
        <f aca="false">F229&amp;"-"&amp;G229</f>
        <v>U-A</v>
      </c>
      <c r="I229" s="4" t="n">
        <f aca="false">(F229="G")+(G229="G")</f>
        <v>0</v>
      </c>
      <c r="J229" s="4" t="n">
        <f aca="false">(F229="C")+(G229="C")</f>
        <v>0</v>
      </c>
      <c r="K229" s="3" t="n">
        <f aca="false">I229+J229</f>
        <v>0</v>
      </c>
    </row>
    <row r="230" customFormat="false" ht="15" hidden="false" customHeight="false" outlineLevel="0" collapsed="false">
      <c r="A230" s="4" t="s">
        <v>45</v>
      </c>
      <c r="B230" s="4" t="s">
        <v>60</v>
      </c>
      <c r="C230" s="4" t="s">
        <v>184</v>
      </c>
      <c r="D230" s="4" t="n">
        <f aca="false">INDEX(Positions!$D$2:$D$1061,MATCH($A230&amp;"|5",Positions!$A$2:$A$1061,0))</f>
        <v>5</v>
      </c>
      <c r="E230" s="4" t="n">
        <f aca="false">INDEX(Positions!$D$2:$D$1061,MATCH($A230&amp;"|68",Positions!$A$2:$A$1061,0))</f>
        <v>81</v>
      </c>
      <c r="F230" s="4" t="str">
        <f aca="false">INDEX(Positions!$E$2:$E$1061,MATCH($A230&amp;"|5",Positions!$A$2:$A$1061,0))</f>
        <v>U</v>
      </c>
      <c r="G230" s="4" t="str">
        <f aca="false">INDEX(Positions!$E$2:$E$1061,MATCH($A230&amp;"|68",Positions!$A$2:$A$1061,0))</f>
        <v>G</v>
      </c>
      <c r="H230" s="3" t="str">
        <f aca="false">F230&amp;"-"&amp;G230</f>
        <v>U-G</v>
      </c>
      <c r="I230" s="4" t="n">
        <f aca="false">(F230="G")+(G230="G")</f>
        <v>1</v>
      </c>
      <c r="J230" s="4" t="n">
        <f aca="false">(F230="C")+(G230="C")</f>
        <v>0</v>
      </c>
      <c r="K230" s="3" t="n">
        <f aca="false">I230+J230</f>
        <v>1</v>
      </c>
    </row>
    <row r="231" customFormat="false" ht="15" hidden="false" customHeight="false" outlineLevel="0" collapsed="false">
      <c r="A231" s="4" t="s">
        <v>45</v>
      </c>
      <c r="B231" s="4" t="s">
        <v>60</v>
      </c>
      <c r="C231" s="4" t="s">
        <v>185</v>
      </c>
      <c r="D231" s="4" t="n">
        <f aca="false">INDEX(Positions!$D$2:$D$1061,MATCH($A231&amp;"|6",Positions!$A$2:$A$1061,0))</f>
        <v>6</v>
      </c>
      <c r="E231" s="4" t="n">
        <f aca="false">INDEX(Positions!$D$2:$D$1061,MATCH($A231&amp;"|67",Positions!$A$2:$A$1061,0))</f>
        <v>80</v>
      </c>
      <c r="F231" s="4" t="str">
        <f aca="false">INDEX(Positions!$E$2:$E$1061,MATCH($A231&amp;"|6",Positions!$A$2:$A$1061,0))</f>
        <v>A</v>
      </c>
      <c r="G231" s="4" t="str">
        <f aca="false">INDEX(Positions!$E$2:$E$1061,MATCH($A231&amp;"|67",Positions!$A$2:$A$1061,0))</f>
        <v>U</v>
      </c>
      <c r="H231" s="3" t="str">
        <f aca="false">F231&amp;"-"&amp;G231</f>
        <v>A-U</v>
      </c>
      <c r="I231" s="4" t="n">
        <f aca="false">(F231="G")+(G231="G")</f>
        <v>0</v>
      </c>
      <c r="J231" s="4" t="n">
        <f aca="false">(F231="C")+(G231="C")</f>
        <v>0</v>
      </c>
      <c r="K231" s="3" t="n">
        <f aca="false">I231+J231</f>
        <v>0</v>
      </c>
    </row>
    <row r="232" customFormat="false" ht="15" hidden="false" customHeight="false" outlineLevel="0" collapsed="false">
      <c r="A232" s="4" t="s">
        <v>45</v>
      </c>
      <c r="B232" s="4" t="s">
        <v>60</v>
      </c>
      <c r="C232" s="4" t="s">
        <v>186</v>
      </c>
      <c r="D232" s="4" t="n">
        <f aca="false">INDEX(Positions!$D$2:$D$1061,MATCH($A232&amp;"|7",Positions!$A$2:$A$1061,0))</f>
        <v>7</v>
      </c>
      <c r="E232" s="4" t="n">
        <f aca="false">INDEX(Positions!$D$2:$D$1061,MATCH($A232&amp;"|66",Positions!$A$2:$A$1061,0))</f>
        <v>79</v>
      </c>
      <c r="F232" s="4" t="str">
        <f aca="false">INDEX(Positions!$E$2:$E$1061,MATCH($A232&amp;"|7",Positions!$A$2:$A$1061,0))</f>
        <v>U</v>
      </c>
      <c r="G232" s="4" t="str">
        <f aca="false">INDEX(Positions!$E$2:$E$1061,MATCH($A232&amp;"|66",Positions!$A$2:$A$1061,0))</f>
        <v>A</v>
      </c>
      <c r="H232" s="3" t="str">
        <f aca="false">F232&amp;"-"&amp;G232</f>
        <v>U-A</v>
      </c>
      <c r="I232" s="4" t="n">
        <f aca="false">(F232="G")+(G232="G")</f>
        <v>0</v>
      </c>
      <c r="J232" s="4" t="n">
        <f aca="false">(F232="C")+(G232="C")</f>
        <v>0</v>
      </c>
      <c r="K232" s="3" t="n">
        <f aca="false">I232+J232</f>
        <v>0</v>
      </c>
    </row>
    <row r="233" customFormat="false" ht="15" hidden="false" customHeight="false" outlineLevel="0" collapsed="false">
      <c r="A233" s="4" t="s">
        <v>45</v>
      </c>
      <c r="B233" s="4" t="s">
        <v>75</v>
      </c>
      <c r="C233" s="4" t="s">
        <v>187</v>
      </c>
      <c r="D233" s="4" t="n">
        <f aca="false">INDEX(Positions!$D$2:$D$1061,MATCH($A233&amp;"|10",Positions!$A$2:$A$1061,0))</f>
        <v>10</v>
      </c>
      <c r="E233" s="4" t="n">
        <f aca="false">INDEX(Positions!$D$2:$D$1061,MATCH($A233&amp;"|25",Positions!$A$2:$A$1061,0))</f>
        <v>26</v>
      </c>
      <c r="F233" s="4" t="str">
        <f aca="false">INDEX(Positions!$E$2:$E$1061,MATCH($A233&amp;"|10",Positions!$A$2:$A$1061,0))</f>
        <v>A</v>
      </c>
      <c r="G233" s="4" t="str">
        <f aca="false">INDEX(Positions!$E$2:$E$1061,MATCH($A233&amp;"|25",Positions!$A$2:$A$1061,0))</f>
        <v>C</v>
      </c>
      <c r="H233" s="3" t="str">
        <f aca="false">F233&amp;"-"&amp;G233</f>
        <v>A-C</v>
      </c>
      <c r="I233" s="4" t="n">
        <f aca="false">(F233="G")+(G233="G")</f>
        <v>0</v>
      </c>
      <c r="J233" s="4" t="n">
        <f aca="false">(F233="C")+(G233="C")</f>
        <v>1</v>
      </c>
      <c r="K233" s="3" t="n">
        <f aca="false">I233+J233</f>
        <v>1</v>
      </c>
    </row>
    <row r="234" customFormat="false" ht="15" hidden="false" customHeight="false" outlineLevel="0" collapsed="false">
      <c r="A234" s="4" t="s">
        <v>45</v>
      </c>
      <c r="B234" s="4" t="s">
        <v>75</v>
      </c>
      <c r="C234" s="4" t="s">
        <v>188</v>
      </c>
      <c r="D234" s="4" t="n">
        <f aca="false">INDEX(Positions!$D$2:$D$1061,MATCH($A234&amp;"|11",Positions!$A$2:$A$1061,0))</f>
        <v>11</v>
      </c>
      <c r="E234" s="4" t="n">
        <f aca="false">INDEX(Positions!$D$2:$D$1061,MATCH($A234&amp;"|24",Positions!$A$2:$A$1061,0))</f>
        <v>25</v>
      </c>
      <c r="F234" s="4" t="str">
        <f aca="false">INDEX(Positions!$E$2:$E$1061,MATCH($A234&amp;"|11",Positions!$A$2:$A$1061,0))</f>
        <v>A</v>
      </c>
      <c r="G234" s="4" t="str">
        <f aca="false">INDEX(Positions!$E$2:$E$1061,MATCH($A234&amp;"|24",Positions!$A$2:$A$1061,0))</f>
        <v>U</v>
      </c>
      <c r="H234" s="3" t="str">
        <f aca="false">F234&amp;"-"&amp;G234</f>
        <v>A-U</v>
      </c>
      <c r="I234" s="4" t="n">
        <f aca="false">(F234="G")+(G234="G")</f>
        <v>0</v>
      </c>
      <c r="J234" s="4" t="n">
        <f aca="false">(F234="C")+(G234="C")</f>
        <v>0</v>
      </c>
      <c r="K234" s="3" t="n">
        <f aca="false">I234+J234</f>
        <v>0</v>
      </c>
    </row>
    <row r="235" customFormat="false" ht="15" hidden="false" customHeight="false" outlineLevel="0" collapsed="false">
      <c r="A235" s="4" t="s">
        <v>45</v>
      </c>
      <c r="B235" s="4" t="s">
        <v>75</v>
      </c>
      <c r="C235" s="4" t="s">
        <v>189</v>
      </c>
      <c r="D235" s="4" t="n">
        <f aca="false">INDEX(Positions!$D$2:$D$1061,MATCH($A235&amp;"|12",Positions!$A$2:$A$1061,0))</f>
        <v>12</v>
      </c>
      <c r="E235" s="4" t="n">
        <f aca="false">INDEX(Positions!$D$2:$D$1061,MATCH($A235&amp;"|23",Positions!$A$2:$A$1061,0))</f>
        <v>24</v>
      </c>
      <c r="F235" s="4" t="str">
        <f aca="false">INDEX(Positions!$E$2:$E$1061,MATCH($A235&amp;"|12",Positions!$A$2:$A$1061,0))</f>
        <v>G</v>
      </c>
      <c r="G235" s="4" t="str">
        <f aca="false">INDEX(Positions!$E$2:$E$1061,MATCH($A235&amp;"|23",Positions!$A$2:$A$1061,0))</f>
        <v>U</v>
      </c>
      <c r="H235" s="3" t="str">
        <f aca="false">F235&amp;"-"&amp;G235</f>
        <v>G-U</v>
      </c>
      <c r="I235" s="4" t="n">
        <f aca="false">(F235="G")+(G235="G")</f>
        <v>1</v>
      </c>
      <c r="J235" s="4" t="n">
        <f aca="false">(F235="C")+(G235="C")</f>
        <v>0</v>
      </c>
      <c r="K235" s="3" t="n">
        <f aca="false">I235+J235</f>
        <v>1</v>
      </c>
    </row>
    <row r="236" customFormat="false" ht="15" hidden="false" customHeight="false" outlineLevel="0" collapsed="false">
      <c r="A236" s="4" t="s">
        <v>45</v>
      </c>
      <c r="B236" s="4" t="s">
        <v>75</v>
      </c>
      <c r="C236" s="4" t="s">
        <v>190</v>
      </c>
      <c r="D236" s="4" t="n">
        <f aca="false">INDEX(Positions!$D$2:$D$1061,MATCH($A236&amp;"|13",Positions!$A$2:$A$1061,0))</f>
        <v>13</v>
      </c>
      <c r="E236" s="4" t="n">
        <f aca="false">INDEX(Positions!$D$2:$D$1061,MATCH($A236&amp;"|22",Positions!$A$2:$A$1061,0))</f>
        <v>23</v>
      </c>
      <c r="F236" s="4" t="str">
        <f aca="false">INDEX(Positions!$E$2:$E$1061,MATCH($A236&amp;"|13",Positions!$A$2:$A$1061,0))</f>
        <v>G</v>
      </c>
      <c r="G236" s="4" t="str">
        <f aca="false">INDEX(Positions!$E$2:$E$1061,MATCH($A236&amp;"|22",Positions!$A$2:$A$1061,0))</f>
        <v>U</v>
      </c>
      <c r="H236" s="3" t="str">
        <f aca="false">F236&amp;"-"&amp;G236</f>
        <v>G-U</v>
      </c>
      <c r="I236" s="4" t="n">
        <f aca="false">(F236="G")+(G236="G")</f>
        <v>1</v>
      </c>
      <c r="J236" s="4" t="n">
        <f aca="false">(F236="C")+(G236="C")</f>
        <v>0</v>
      </c>
      <c r="K236" s="3" t="n">
        <f aca="false">I236+J236</f>
        <v>1</v>
      </c>
    </row>
    <row r="237" customFormat="false" ht="15" hidden="false" customHeight="false" outlineLevel="0" collapsed="false">
      <c r="A237" s="4" t="s">
        <v>45</v>
      </c>
      <c r="B237" s="4" t="s">
        <v>96</v>
      </c>
      <c r="C237" s="4" t="s">
        <v>191</v>
      </c>
      <c r="D237" s="4" t="n">
        <f aca="false">INDEX(Positions!$D$2:$D$1061,MATCH($A237&amp;"|27",Positions!$A$2:$A$1061,0))</f>
        <v>28</v>
      </c>
      <c r="E237" s="4" t="n">
        <f aca="false">INDEX(Positions!$D$2:$D$1061,MATCH($A237&amp;"|43",Positions!$A$2:$A$1061,0))</f>
        <v>44</v>
      </c>
      <c r="F237" s="4" t="str">
        <f aca="false">INDEX(Positions!$E$2:$E$1061,MATCH($A237&amp;"|27",Positions!$A$2:$A$1061,0))</f>
        <v>U</v>
      </c>
      <c r="G237" s="4" t="str">
        <f aca="false">INDEX(Positions!$E$2:$E$1061,MATCH($A237&amp;"|43",Positions!$A$2:$A$1061,0))</f>
        <v>A</v>
      </c>
      <c r="H237" s="3" t="str">
        <f aca="false">F237&amp;"-"&amp;G237</f>
        <v>U-A</v>
      </c>
      <c r="I237" s="4" t="n">
        <f aca="false">(F237="G")+(G237="G")</f>
        <v>0</v>
      </c>
      <c r="J237" s="4" t="n">
        <f aca="false">(F237="C")+(G237="C")</f>
        <v>0</v>
      </c>
      <c r="K237" s="3" t="n">
        <f aca="false">I237+J237</f>
        <v>0</v>
      </c>
    </row>
    <row r="238" customFormat="false" ht="15" hidden="false" customHeight="false" outlineLevel="0" collapsed="false">
      <c r="A238" s="4" t="s">
        <v>45</v>
      </c>
      <c r="B238" s="4" t="s">
        <v>96</v>
      </c>
      <c r="C238" s="4" t="s">
        <v>192</v>
      </c>
      <c r="D238" s="4" t="n">
        <f aca="false">INDEX(Positions!$D$2:$D$1061,MATCH($A238&amp;"|28",Positions!$A$2:$A$1061,0))</f>
        <v>29</v>
      </c>
      <c r="E238" s="4" t="n">
        <f aca="false">INDEX(Positions!$D$2:$D$1061,MATCH($A238&amp;"|42",Positions!$A$2:$A$1061,0))</f>
        <v>43</v>
      </c>
      <c r="F238" s="4" t="str">
        <f aca="false">INDEX(Positions!$E$2:$E$1061,MATCH($A238&amp;"|28",Positions!$A$2:$A$1061,0))</f>
        <v>A</v>
      </c>
      <c r="G238" s="4" t="str">
        <f aca="false">INDEX(Positions!$E$2:$E$1061,MATCH($A238&amp;"|42",Positions!$A$2:$A$1061,0))</f>
        <v>U</v>
      </c>
      <c r="H238" s="3" t="str">
        <f aca="false">F238&amp;"-"&amp;G238</f>
        <v>A-U</v>
      </c>
      <c r="I238" s="4" t="n">
        <f aca="false">(F238="G")+(G238="G")</f>
        <v>0</v>
      </c>
      <c r="J238" s="4" t="n">
        <f aca="false">(F238="C")+(G238="C")</f>
        <v>0</v>
      </c>
      <c r="K238" s="3" t="n">
        <f aca="false">I238+J238</f>
        <v>0</v>
      </c>
    </row>
    <row r="239" customFormat="false" ht="15" hidden="false" customHeight="false" outlineLevel="0" collapsed="false">
      <c r="A239" s="4" t="s">
        <v>45</v>
      </c>
      <c r="B239" s="4" t="s">
        <v>96</v>
      </c>
      <c r="C239" s="4" t="s">
        <v>193</v>
      </c>
      <c r="D239" s="4" t="n">
        <f aca="false">INDEX(Positions!$D$2:$D$1061,MATCH($A239&amp;"|29",Positions!$A$2:$A$1061,0))</f>
        <v>30</v>
      </c>
      <c r="E239" s="4" t="n">
        <f aca="false">INDEX(Positions!$D$2:$D$1061,MATCH($A239&amp;"|41",Positions!$A$2:$A$1061,0))</f>
        <v>42</v>
      </c>
      <c r="F239" s="4" t="str">
        <f aca="false">INDEX(Positions!$E$2:$E$1061,MATCH($A239&amp;"|29",Positions!$A$2:$A$1061,0))</f>
        <v>A</v>
      </c>
      <c r="G239" s="4" t="str">
        <f aca="false">INDEX(Positions!$E$2:$E$1061,MATCH($A239&amp;"|41",Positions!$A$2:$A$1061,0))</f>
        <v>U</v>
      </c>
      <c r="H239" s="3" t="str">
        <f aca="false">F239&amp;"-"&amp;G239</f>
        <v>A-U</v>
      </c>
      <c r="I239" s="4" t="n">
        <f aca="false">(F239="G")+(G239="G")</f>
        <v>0</v>
      </c>
      <c r="J239" s="4" t="n">
        <f aca="false">(F239="C")+(G239="C")</f>
        <v>0</v>
      </c>
      <c r="K239" s="3" t="n">
        <f aca="false">I239+J239</f>
        <v>0</v>
      </c>
    </row>
    <row r="240" customFormat="false" ht="15" hidden="false" customHeight="false" outlineLevel="0" collapsed="false">
      <c r="A240" s="4" t="s">
        <v>45</v>
      </c>
      <c r="B240" s="4" t="s">
        <v>96</v>
      </c>
      <c r="C240" s="4" t="s">
        <v>194</v>
      </c>
      <c r="D240" s="4" t="n">
        <f aca="false">INDEX(Positions!$D$2:$D$1061,MATCH($A240&amp;"|30",Positions!$A$2:$A$1061,0))</f>
        <v>31</v>
      </c>
      <c r="E240" s="4" t="n">
        <f aca="false">INDEX(Positions!$D$2:$D$1061,MATCH($A240&amp;"|40",Positions!$A$2:$A$1061,0))</f>
        <v>41</v>
      </c>
      <c r="F240" s="4" t="str">
        <f aca="false">INDEX(Positions!$E$2:$E$1061,MATCH($A240&amp;"|30",Positions!$A$2:$A$1061,0))</f>
        <v>U</v>
      </c>
      <c r="G240" s="4" t="str">
        <f aca="false">INDEX(Positions!$E$2:$E$1061,MATCH($A240&amp;"|40",Positions!$A$2:$A$1061,0))</f>
        <v>A</v>
      </c>
      <c r="H240" s="3" t="str">
        <f aca="false">F240&amp;"-"&amp;G240</f>
        <v>U-A</v>
      </c>
      <c r="I240" s="4" t="n">
        <f aca="false">(F240="G")+(G240="G")</f>
        <v>0</v>
      </c>
      <c r="J240" s="4" t="n">
        <f aca="false">(F240="C")+(G240="C")</f>
        <v>0</v>
      </c>
      <c r="K240" s="3" t="n">
        <f aca="false">I240+J240</f>
        <v>0</v>
      </c>
    </row>
    <row r="241" customFormat="false" ht="15" hidden="false" customHeight="false" outlineLevel="0" collapsed="false">
      <c r="A241" s="4" t="s">
        <v>45</v>
      </c>
      <c r="B241" s="4" t="s">
        <v>96</v>
      </c>
      <c r="C241" s="4" t="s">
        <v>195</v>
      </c>
      <c r="D241" s="4" t="n">
        <f aca="false">INDEX(Positions!$D$2:$D$1061,MATCH($A241&amp;"|31",Positions!$A$2:$A$1061,0))</f>
        <v>32</v>
      </c>
      <c r="E241" s="4" t="n">
        <f aca="false">INDEX(Positions!$D$2:$D$1061,MATCH($A241&amp;"|39",Positions!$A$2:$A$1061,0))</f>
        <v>40</v>
      </c>
      <c r="F241" s="4" t="str">
        <f aca="false">INDEX(Positions!$E$2:$E$1061,MATCH($A241&amp;"|31",Positions!$A$2:$A$1061,0))</f>
        <v>A</v>
      </c>
      <c r="G241" s="4" t="str">
        <f aca="false">INDEX(Positions!$E$2:$E$1061,MATCH($A241&amp;"|39",Positions!$A$2:$A$1061,0))</f>
        <v>A</v>
      </c>
      <c r="H241" s="3" t="str">
        <f aca="false">F241&amp;"-"&amp;G241</f>
        <v>A-A</v>
      </c>
      <c r="I241" s="4" t="n">
        <f aca="false">(F241="G")+(G241="G")</f>
        <v>0</v>
      </c>
      <c r="J241" s="4" t="n">
        <f aca="false">(F241="C")+(G241="C")</f>
        <v>0</v>
      </c>
      <c r="K241" s="3" t="n">
        <f aca="false">I241+J241</f>
        <v>0</v>
      </c>
    </row>
    <row r="242" customFormat="false" ht="15" hidden="false" customHeight="false" outlineLevel="0" collapsed="false">
      <c r="A242" s="4" t="s">
        <v>45</v>
      </c>
      <c r="B242" s="4" t="s">
        <v>126</v>
      </c>
      <c r="C242" s="4" t="s">
        <v>196</v>
      </c>
      <c r="D242" s="4" t="n">
        <f aca="false">INDEX(Positions!$D$2:$D$1061,MATCH($A242&amp;"|49",Positions!$A$2:$A$1061,0))</f>
        <v>62</v>
      </c>
      <c r="E242" s="4" t="n">
        <f aca="false">INDEX(Positions!$D$2:$D$1061,MATCH($A242&amp;"|65",Positions!$A$2:$A$1061,0))</f>
        <v>78</v>
      </c>
      <c r="F242" s="4" t="str">
        <f aca="false">INDEX(Positions!$E$2:$E$1061,MATCH($A242&amp;"|49",Positions!$A$2:$A$1061,0))</f>
        <v>U</v>
      </c>
      <c r="G242" s="4" t="str">
        <f aca="false">INDEX(Positions!$E$2:$E$1061,MATCH($A242&amp;"|65",Positions!$A$2:$A$1061,0))</f>
        <v>A</v>
      </c>
      <c r="H242" s="3" t="str">
        <f aca="false">F242&amp;"-"&amp;G242</f>
        <v>U-A</v>
      </c>
      <c r="I242" s="4" t="n">
        <f aca="false">(F242="G")+(G242="G")</f>
        <v>0</v>
      </c>
      <c r="J242" s="4" t="n">
        <f aca="false">(F242="C")+(G242="C")</f>
        <v>0</v>
      </c>
      <c r="K242" s="3" t="n">
        <f aca="false">I242+J242</f>
        <v>0</v>
      </c>
    </row>
    <row r="243" customFormat="false" ht="15" hidden="false" customHeight="false" outlineLevel="0" collapsed="false">
      <c r="A243" s="4" t="s">
        <v>45</v>
      </c>
      <c r="B243" s="4" t="s">
        <v>126</v>
      </c>
      <c r="C243" s="4" t="s">
        <v>197</v>
      </c>
      <c r="D243" s="4" t="n">
        <f aca="false">INDEX(Positions!$D$2:$D$1061,MATCH($A243&amp;"|50",Positions!$A$2:$A$1061,0))</f>
        <v>63</v>
      </c>
      <c r="E243" s="4" t="n">
        <f aca="false">INDEX(Positions!$D$2:$D$1061,MATCH($A243&amp;"|64",Positions!$A$2:$A$1061,0))</f>
        <v>77</v>
      </c>
      <c r="F243" s="4" t="str">
        <f aca="false">INDEX(Positions!$E$2:$E$1061,MATCH($A243&amp;"|50",Positions!$A$2:$A$1061,0))</f>
        <v>U</v>
      </c>
      <c r="G243" s="4" t="str">
        <f aca="false">INDEX(Positions!$E$2:$E$1061,MATCH($A243&amp;"|64",Positions!$A$2:$A$1061,0))</f>
        <v>A</v>
      </c>
      <c r="H243" s="3" t="str">
        <f aca="false">F243&amp;"-"&amp;G243</f>
        <v>U-A</v>
      </c>
      <c r="I243" s="4" t="n">
        <f aca="false">(F243="G")+(G243="G")</f>
        <v>0</v>
      </c>
      <c r="J243" s="4" t="n">
        <f aca="false">(F243="C")+(G243="C")</f>
        <v>0</v>
      </c>
      <c r="K243" s="3" t="n">
        <f aca="false">I243+J243</f>
        <v>0</v>
      </c>
    </row>
    <row r="244" customFormat="false" ht="15" hidden="false" customHeight="false" outlineLevel="0" collapsed="false">
      <c r="A244" s="4" t="s">
        <v>45</v>
      </c>
      <c r="B244" s="4" t="s">
        <v>126</v>
      </c>
      <c r="C244" s="4" t="s">
        <v>198</v>
      </c>
      <c r="D244" s="4" t="n">
        <f aca="false">INDEX(Positions!$D$2:$D$1061,MATCH($A244&amp;"|51",Positions!$A$2:$A$1061,0))</f>
        <v>64</v>
      </c>
      <c r="E244" s="4" t="n">
        <f aca="false">INDEX(Positions!$D$2:$D$1061,MATCH($A244&amp;"|63",Positions!$A$2:$A$1061,0))</f>
        <v>76</v>
      </c>
      <c r="F244" s="4" t="str">
        <f aca="false">INDEX(Positions!$E$2:$E$1061,MATCH($A244&amp;"|51",Positions!$A$2:$A$1061,0))</f>
        <v>U</v>
      </c>
      <c r="G244" s="4" t="str">
        <f aca="false">INDEX(Positions!$E$2:$E$1061,MATCH($A244&amp;"|63",Positions!$A$2:$A$1061,0))</f>
        <v>A</v>
      </c>
      <c r="H244" s="3" t="str">
        <f aca="false">F244&amp;"-"&amp;G244</f>
        <v>U-A</v>
      </c>
      <c r="I244" s="4" t="n">
        <f aca="false">(F244="G")+(G244="G")</f>
        <v>0</v>
      </c>
      <c r="J244" s="4" t="n">
        <f aca="false">(F244="C")+(G244="C")</f>
        <v>0</v>
      </c>
      <c r="K244" s="3" t="n">
        <f aca="false">I244+J244</f>
        <v>0</v>
      </c>
    </row>
    <row r="245" customFormat="false" ht="15" hidden="false" customHeight="false" outlineLevel="0" collapsed="false">
      <c r="A245" s="4" t="s">
        <v>45</v>
      </c>
      <c r="B245" s="4" t="s">
        <v>126</v>
      </c>
      <c r="C245" s="4" t="s">
        <v>199</v>
      </c>
      <c r="D245" s="4" t="n">
        <f aca="false">INDEX(Positions!$D$2:$D$1061,MATCH($A245&amp;"|52",Positions!$A$2:$A$1061,0))</f>
        <v>65</v>
      </c>
      <c r="E245" s="4" t="n">
        <f aca="false">INDEX(Positions!$D$2:$D$1061,MATCH($A245&amp;"|62",Positions!$A$2:$A$1061,0))</f>
        <v>75</v>
      </c>
      <c r="F245" s="4" t="str">
        <f aca="false">INDEX(Positions!$E$2:$E$1061,MATCH($A245&amp;"|52",Positions!$A$2:$A$1061,0))</f>
        <v>C</v>
      </c>
      <c r="G245" s="4" t="str">
        <f aca="false">INDEX(Positions!$E$2:$E$1061,MATCH($A245&amp;"|62",Positions!$A$2:$A$1061,0))</f>
        <v>G</v>
      </c>
      <c r="H245" s="3" t="str">
        <f aca="false">F245&amp;"-"&amp;G245</f>
        <v>C-G</v>
      </c>
      <c r="I245" s="4" t="n">
        <f aca="false">(F245="G")+(G245="G")</f>
        <v>1</v>
      </c>
      <c r="J245" s="4" t="n">
        <f aca="false">(F245="C")+(G245="C")</f>
        <v>1</v>
      </c>
      <c r="K245" s="3" t="n">
        <f aca="false">I245+J245</f>
        <v>2</v>
      </c>
    </row>
    <row r="246" customFormat="false" ht="15" hidden="false" customHeight="false" outlineLevel="0" collapsed="false">
      <c r="A246" s="4" t="s">
        <v>45</v>
      </c>
      <c r="B246" s="4" t="s">
        <v>126</v>
      </c>
      <c r="C246" s="4" t="s">
        <v>200</v>
      </c>
      <c r="D246" s="4" t="n">
        <f aca="false">INDEX(Positions!$D$2:$D$1061,MATCH($A246&amp;"|53",Positions!$A$2:$A$1061,0))</f>
        <v>66</v>
      </c>
      <c r="E246" s="4" t="n">
        <f aca="false">INDEX(Positions!$D$2:$D$1061,MATCH($A246&amp;"|61",Positions!$A$2:$A$1061,0))</f>
        <v>74</v>
      </c>
      <c r="F246" s="4" t="str">
        <f aca="false">INDEX(Positions!$E$2:$E$1061,MATCH($A246&amp;"|53",Positions!$A$2:$A$1061,0))</f>
        <v>G</v>
      </c>
      <c r="G246" s="4" t="str">
        <f aca="false">INDEX(Positions!$E$2:$E$1061,MATCH($A246&amp;"|61",Positions!$A$2:$A$1061,0))</f>
        <v>C</v>
      </c>
      <c r="H246" s="3" t="str">
        <f aca="false">F246&amp;"-"&amp;G246</f>
        <v>G-C</v>
      </c>
      <c r="I246" s="4" t="n">
        <f aca="false">(F246="G")+(G246="G")</f>
        <v>1</v>
      </c>
      <c r="J246" s="4" t="n">
        <f aca="false">(F246="C")+(G246="C")</f>
        <v>1</v>
      </c>
      <c r="K246" s="3" t="n">
        <f aca="false">I246+J246</f>
        <v>2</v>
      </c>
    </row>
    <row r="247" customFormat="false" ht="15" hidden="false" customHeight="false" outlineLevel="0" collapsed="false">
      <c r="A247" s="23" t="s">
        <v>45</v>
      </c>
      <c r="B247" s="23" t="s">
        <v>201</v>
      </c>
      <c r="C247" s="23" t="s">
        <v>202</v>
      </c>
      <c r="D247" s="23" t="n">
        <f aca="false">INDEX(Positions!$D$2:$D$1061,MATCH($A247&amp;"|8",Positions!$A$2:$A$1061,0))</f>
        <v>8</v>
      </c>
      <c r="E247" s="23" t="n">
        <f aca="false">INDEX(Positions!$D$2:$D$1061,MATCH($A247&amp;"|14",Positions!$A$2:$A$1061,0))</f>
        <v>14</v>
      </c>
      <c r="F247" s="23" t="str">
        <f aca="false">INDEX(Positions!$E$2:$E$1061,MATCH($A247&amp;"|8",Positions!$A$2:$A$1061,0))</f>
        <v>U</v>
      </c>
      <c r="G247" s="23" t="str">
        <f aca="false">INDEX(Positions!$E$2:$E$1061,MATCH($A247&amp;"|14",Positions!$A$2:$A$1061,0))</f>
        <v>U</v>
      </c>
      <c r="H247" s="24" t="str">
        <f aca="false">F247&amp;"-"&amp;G247</f>
        <v>U-U</v>
      </c>
      <c r="I247" s="23" t="n">
        <f aca="false">(F247="G")+(G247="G")</f>
        <v>0</v>
      </c>
      <c r="J247" s="23" t="n">
        <f aca="false">(F247="C")+(G247="C")</f>
        <v>0</v>
      </c>
      <c r="K247" s="24" t="n">
        <f aca="false">I247+J247</f>
        <v>0</v>
      </c>
    </row>
    <row r="248" customFormat="false" ht="15" hidden="false" customHeight="false" outlineLevel="0" collapsed="false">
      <c r="A248" s="23" t="s">
        <v>45</v>
      </c>
      <c r="B248" s="23" t="s">
        <v>201</v>
      </c>
      <c r="C248" s="23" t="s">
        <v>203</v>
      </c>
      <c r="D248" s="23" t="n">
        <f aca="false">INDEX(Positions!$D$2:$D$1061,MATCH($A248&amp;"|15",Positions!$A$2:$A$1061,0))</f>
        <v>15</v>
      </c>
      <c r="E248" s="23" t="n">
        <f aca="false">INDEX(Positions!$D$2:$D$1061,MATCH($A248&amp;"|48",Positions!$A$2:$A$1061,0))</f>
        <v>61</v>
      </c>
      <c r="F248" s="23" t="str">
        <f aca="false">INDEX(Positions!$E$2:$E$1061,MATCH($A248&amp;"|15",Positions!$A$2:$A$1061,0))</f>
        <v>U</v>
      </c>
      <c r="G248" s="23" t="str">
        <f aca="false">INDEX(Positions!$E$2:$E$1061,MATCH($A248&amp;"|48",Positions!$A$2:$A$1061,0))</f>
        <v>G</v>
      </c>
      <c r="H248" s="24" t="str">
        <f aca="false">F248&amp;"-"&amp;G248</f>
        <v>U-G</v>
      </c>
      <c r="I248" s="23" t="n">
        <f aca="false">(F248="G")+(G248="G")</f>
        <v>1</v>
      </c>
      <c r="J248" s="23" t="n">
        <f aca="false">(F248="C")+(G248="C")</f>
        <v>0</v>
      </c>
      <c r="K248" s="24" t="n">
        <f aca="false">I248+J248</f>
        <v>1</v>
      </c>
    </row>
    <row r="249" customFormat="false" ht="15" hidden="false" customHeight="false" outlineLevel="0" collapsed="false">
      <c r="A249" s="23" t="s">
        <v>45</v>
      </c>
      <c r="B249" s="23" t="s">
        <v>201</v>
      </c>
      <c r="C249" s="23" t="s">
        <v>204</v>
      </c>
      <c r="D249" s="23" t="n">
        <f aca="false">INDEX(Positions!$D$2:$D$1061,MATCH($A249&amp;"|18",Positions!$A$2:$A$1061,0))</f>
        <v>19</v>
      </c>
      <c r="E249" s="23" t="n">
        <f aca="false">INDEX(Positions!$D$2:$D$1061,MATCH($A249&amp;"|55",Positions!$A$2:$A$1061,0))</f>
        <v>68</v>
      </c>
      <c r="F249" s="23" t="str">
        <f aca="false">INDEX(Positions!$E$2:$E$1061,MATCH($A249&amp;"|18",Positions!$A$2:$A$1061,0))</f>
        <v>G</v>
      </c>
      <c r="G249" s="23" t="str">
        <f aca="false">INDEX(Positions!$E$2:$E$1061,MATCH($A249&amp;"|55",Positions!$A$2:$A$1061,0))</f>
        <v>U</v>
      </c>
      <c r="H249" s="24" t="str">
        <f aca="false">F249&amp;"-"&amp;G249</f>
        <v>G-U</v>
      </c>
      <c r="I249" s="23" t="n">
        <f aca="false">(F249="G")+(G249="G")</f>
        <v>1</v>
      </c>
      <c r="J249" s="23" t="n">
        <f aca="false">(F249="C")+(G249="C")</f>
        <v>0</v>
      </c>
      <c r="K249" s="24" t="n">
        <f aca="false">I249+J249</f>
        <v>1</v>
      </c>
    </row>
    <row r="250" customFormat="false" ht="15" hidden="false" customHeight="false" outlineLevel="0" collapsed="false">
      <c r="A250" s="23" t="s">
        <v>45</v>
      </c>
      <c r="B250" s="23" t="s">
        <v>201</v>
      </c>
      <c r="C250" s="23" t="s">
        <v>205</v>
      </c>
      <c r="D250" s="23" t="n">
        <f aca="false">INDEX(Positions!$D$2:$D$1061,MATCH($A250&amp;"|19",Positions!$A$2:$A$1061,0))</f>
        <v>20</v>
      </c>
      <c r="E250" s="23" t="n">
        <f aca="false">INDEX(Positions!$D$2:$D$1061,MATCH($A250&amp;"|56",Positions!$A$2:$A$1061,0))</f>
        <v>69</v>
      </c>
      <c r="F250" s="23" t="str">
        <f aca="false">INDEX(Positions!$E$2:$E$1061,MATCH($A250&amp;"|19",Positions!$A$2:$A$1061,0))</f>
        <v>G</v>
      </c>
      <c r="G250" s="23" t="str">
        <f aca="false">INDEX(Positions!$E$2:$E$1061,MATCH($A250&amp;"|56",Positions!$A$2:$A$1061,0))</f>
        <v>C</v>
      </c>
      <c r="H250" s="24" t="str">
        <f aca="false">F250&amp;"-"&amp;G250</f>
        <v>G-C</v>
      </c>
      <c r="I250" s="23" t="n">
        <f aca="false">(F250="G")+(G250="G")</f>
        <v>1</v>
      </c>
      <c r="J250" s="23" t="n">
        <f aca="false">(F250="C")+(G250="C")</f>
        <v>1</v>
      </c>
      <c r="K250" s="24" t="n">
        <f aca="false">I250+J250</f>
        <v>2</v>
      </c>
    </row>
    <row r="251" customFormat="false" ht="15" hidden="false" customHeight="false" outlineLevel="0" collapsed="false">
      <c r="A251" s="23" t="s">
        <v>45</v>
      </c>
      <c r="B251" s="23" t="s">
        <v>201</v>
      </c>
      <c r="C251" s="23" t="s">
        <v>206</v>
      </c>
      <c r="D251" s="23" t="n">
        <f aca="false">INDEX(Positions!$D$2:$D$1061,MATCH($A251&amp;"|26",Positions!$A$2:$A$1061,0))</f>
        <v>27</v>
      </c>
      <c r="E251" s="23" t="n">
        <f aca="false">INDEX(Positions!$D$2:$D$1061,MATCH($A251&amp;"|44",Positions!$A$2:$A$1061,0))</f>
        <v>45</v>
      </c>
      <c r="F251" s="23" t="str">
        <f aca="false">INDEX(Positions!$E$2:$E$1061,MATCH($A251&amp;"|26",Positions!$A$2:$A$1061,0))</f>
        <v>U</v>
      </c>
      <c r="G251" s="23" t="str">
        <f aca="false">INDEX(Positions!$E$2:$E$1061,MATCH($A251&amp;"|44",Positions!$A$2:$A$1061,0))</f>
        <v>A</v>
      </c>
      <c r="H251" s="24" t="str">
        <f aca="false">F251&amp;"-"&amp;G251</f>
        <v>U-A</v>
      </c>
      <c r="I251" s="23" t="n">
        <f aca="false">(F251="G")+(G251="G")</f>
        <v>0</v>
      </c>
      <c r="J251" s="23" t="n">
        <f aca="false">(F251="C")+(G251="C")</f>
        <v>0</v>
      </c>
      <c r="K251" s="24" t="n">
        <f aca="false">I251+J251</f>
        <v>0</v>
      </c>
    </row>
    <row r="252" customFormat="false" ht="15" hidden="false" customHeight="false" outlineLevel="0" collapsed="false">
      <c r="A252" s="23" t="s">
        <v>45</v>
      </c>
      <c r="B252" s="23" t="s">
        <v>201</v>
      </c>
      <c r="C252" s="23" t="s">
        <v>207</v>
      </c>
      <c r="D252" s="23" t="n">
        <f aca="false">INDEX(Positions!$D$2:$D$1061,MATCH($A252&amp;"|32",Positions!$A$2:$A$1061,0))</f>
        <v>33</v>
      </c>
      <c r="E252" s="23" t="n">
        <f aca="false">INDEX(Positions!$D$2:$D$1061,MATCH($A252&amp;"|38",Positions!$A$2:$A$1061,0))</f>
        <v>39</v>
      </c>
      <c r="F252" s="23" t="str">
        <f aca="false">INDEX(Positions!$E$2:$E$1061,MATCH($A252&amp;"|32",Positions!$A$2:$A$1061,0))</f>
        <v>U</v>
      </c>
      <c r="G252" s="23" t="str">
        <f aca="false">INDEX(Positions!$E$2:$E$1061,MATCH($A252&amp;"|38",Positions!$A$2:$A$1061,0))</f>
        <v>A</v>
      </c>
      <c r="H252" s="24" t="str">
        <f aca="false">F252&amp;"-"&amp;G252</f>
        <v>U-A</v>
      </c>
      <c r="I252" s="23" t="n">
        <f aca="false">(F252="G")+(G252="G")</f>
        <v>0</v>
      </c>
      <c r="J252" s="23" t="n">
        <f aca="false">(F252="C")+(G252="C")</f>
        <v>0</v>
      </c>
      <c r="K252" s="24" t="n">
        <f aca="false">I252+J252</f>
        <v>0</v>
      </c>
    </row>
    <row r="253" customFormat="false" ht="15" hidden="false" customHeight="false" outlineLevel="0" collapsed="false">
      <c r="A253" s="23" t="s">
        <v>45</v>
      </c>
      <c r="B253" s="23" t="s">
        <v>201</v>
      </c>
      <c r="C253" s="23" t="s">
        <v>208</v>
      </c>
      <c r="D253" s="23" t="n">
        <f aca="false">INDEX(Positions!$D$2:$D$1061,MATCH($A253&amp;"|54",Positions!$A$2:$A$1061,0))</f>
        <v>67</v>
      </c>
      <c r="E253" s="23" t="n">
        <f aca="false">INDEX(Positions!$D$2:$D$1061,MATCH($A253&amp;"|58",Positions!$A$2:$A$1061,0))</f>
        <v>71</v>
      </c>
      <c r="F253" s="23" t="str">
        <f aca="false">INDEX(Positions!$E$2:$E$1061,MATCH($A253&amp;"|54",Positions!$A$2:$A$1061,0))</f>
        <v>A</v>
      </c>
      <c r="G253" s="23" t="str">
        <f aca="false">INDEX(Positions!$E$2:$E$1061,MATCH($A253&amp;"|58",Positions!$A$2:$A$1061,0))</f>
        <v>U</v>
      </c>
      <c r="H253" s="24" t="str">
        <f aca="false">F253&amp;"-"&amp;G253</f>
        <v>A-U</v>
      </c>
      <c r="I253" s="23" t="n">
        <f aca="false">(F253="G")+(G253="G")</f>
        <v>0</v>
      </c>
      <c r="J253" s="23" t="n">
        <f aca="false">(F253="C")+(G253="C")</f>
        <v>0</v>
      </c>
      <c r="K253" s="24" t="n">
        <f aca="false">I253+J253</f>
        <v>0</v>
      </c>
    </row>
    <row r="254" customFormat="false" ht="15" hidden="false" customHeight="false" outlineLevel="0" collapsed="false">
      <c r="A254" s="4" t="s">
        <v>46</v>
      </c>
      <c r="B254" s="4" t="s">
        <v>60</v>
      </c>
      <c r="C254" s="4" t="s">
        <v>180</v>
      </c>
      <c r="D254" s="4" t="n">
        <f aca="false">INDEX(Positions!$D$2:$D$1061,MATCH($A254&amp;"|1",Positions!$A$2:$A$1061,0))</f>
        <v>1</v>
      </c>
      <c r="E254" s="4" t="n">
        <f aca="false">INDEX(Positions!$D$2:$D$1061,MATCH($A254&amp;"|72",Positions!$A$2:$A$1061,0))</f>
        <v>73</v>
      </c>
      <c r="F254" s="4" t="str">
        <f aca="false">INDEX(Positions!$E$2:$E$1061,MATCH($A254&amp;"|1",Positions!$A$2:$A$1061,0))</f>
        <v>G</v>
      </c>
      <c r="G254" s="4" t="str">
        <f aca="false">INDEX(Positions!$E$2:$E$1061,MATCH($A254&amp;"|72",Positions!$A$2:$A$1061,0))</f>
        <v>G</v>
      </c>
      <c r="H254" s="3" t="str">
        <f aca="false">F254&amp;"-"&amp;G254</f>
        <v>G-G</v>
      </c>
      <c r="I254" s="4" t="n">
        <f aca="false">(F254="G")+(G254="G")</f>
        <v>2</v>
      </c>
      <c r="J254" s="4" t="n">
        <f aca="false">(F254="C")+(G254="C")</f>
        <v>0</v>
      </c>
      <c r="K254" s="3" t="n">
        <f aca="false">I254+J254</f>
        <v>2</v>
      </c>
    </row>
    <row r="255" customFormat="false" ht="15" hidden="false" customHeight="false" outlineLevel="0" collapsed="false">
      <c r="A255" s="4" t="s">
        <v>46</v>
      </c>
      <c r="B255" s="4" t="s">
        <v>60</v>
      </c>
      <c r="C255" s="4" t="s">
        <v>181</v>
      </c>
      <c r="D255" s="4" t="n">
        <f aca="false">INDEX(Positions!$D$2:$D$1061,MATCH($A255&amp;"|2",Positions!$A$2:$A$1061,0))</f>
        <v>2</v>
      </c>
      <c r="E255" s="4" t="n">
        <f aca="false">INDEX(Positions!$D$2:$D$1061,MATCH($A255&amp;"|71",Positions!$A$2:$A$1061,0))</f>
        <v>72</v>
      </c>
      <c r="F255" s="4" t="str">
        <f aca="false">INDEX(Positions!$E$2:$E$1061,MATCH($A255&amp;"|2",Positions!$A$2:$A$1061,0))</f>
        <v>A</v>
      </c>
      <c r="G255" s="4" t="str">
        <f aca="false">INDEX(Positions!$E$2:$E$1061,MATCH($A255&amp;"|71",Positions!$A$2:$A$1061,0))</f>
        <v>U</v>
      </c>
      <c r="H255" s="3" t="str">
        <f aca="false">F255&amp;"-"&amp;G255</f>
        <v>A-U</v>
      </c>
      <c r="I255" s="4" t="n">
        <f aca="false">(F255="G")+(G255="G")</f>
        <v>0</v>
      </c>
      <c r="J255" s="4" t="n">
        <f aca="false">(F255="C")+(G255="C")</f>
        <v>0</v>
      </c>
      <c r="K255" s="3" t="n">
        <f aca="false">I255+J255</f>
        <v>0</v>
      </c>
    </row>
    <row r="256" customFormat="false" ht="15" hidden="false" customHeight="false" outlineLevel="0" collapsed="false">
      <c r="A256" s="4" t="s">
        <v>46</v>
      </c>
      <c r="B256" s="4" t="s">
        <v>60</v>
      </c>
      <c r="C256" s="4" t="s">
        <v>182</v>
      </c>
      <c r="D256" s="4" t="n">
        <f aca="false">INDEX(Positions!$D$2:$D$1061,MATCH($A256&amp;"|3",Positions!$A$2:$A$1061,0))</f>
        <v>3</v>
      </c>
      <c r="E256" s="4" t="n">
        <f aca="false">INDEX(Positions!$D$2:$D$1061,MATCH($A256&amp;"|70",Positions!$A$2:$A$1061,0))</f>
        <v>71</v>
      </c>
      <c r="F256" s="4" t="str">
        <f aca="false">INDEX(Positions!$E$2:$E$1061,MATCH($A256&amp;"|3",Positions!$A$2:$A$1061,0))</f>
        <v>A</v>
      </c>
      <c r="G256" s="4" t="str">
        <f aca="false">INDEX(Positions!$E$2:$E$1061,MATCH($A256&amp;"|70",Positions!$A$2:$A$1061,0))</f>
        <v>U</v>
      </c>
      <c r="H256" s="3" t="str">
        <f aca="false">F256&amp;"-"&amp;G256</f>
        <v>A-U</v>
      </c>
      <c r="I256" s="4" t="n">
        <f aca="false">(F256="G")+(G256="G")</f>
        <v>0</v>
      </c>
      <c r="J256" s="4" t="n">
        <f aca="false">(F256="C")+(G256="C")</f>
        <v>0</v>
      </c>
      <c r="K256" s="3" t="n">
        <f aca="false">I256+J256</f>
        <v>0</v>
      </c>
    </row>
    <row r="257" customFormat="false" ht="15" hidden="false" customHeight="false" outlineLevel="0" collapsed="false">
      <c r="A257" s="4" t="s">
        <v>46</v>
      </c>
      <c r="B257" s="4" t="s">
        <v>60</v>
      </c>
      <c r="C257" s="4" t="s">
        <v>183</v>
      </c>
      <c r="D257" s="4" t="n">
        <f aca="false">INDEX(Positions!$D$2:$D$1061,MATCH($A257&amp;"|4",Positions!$A$2:$A$1061,0))</f>
        <v>4</v>
      </c>
      <c r="E257" s="4" t="n">
        <f aca="false">INDEX(Positions!$D$2:$D$1061,MATCH($A257&amp;"|69",Positions!$A$2:$A$1061,0))</f>
        <v>70</v>
      </c>
      <c r="F257" s="4" t="str">
        <f aca="false">INDEX(Positions!$E$2:$E$1061,MATCH($A257&amp;"|4",Positions!$A$2:$A$1061,0))</f>
        <v>A</v>
      </c>
      <c r="G257" s="4" t="str">
        <f aca="false">INDEX(Positions!$E$2:$E$1061,MATCH($A257&amp;"|69",Positions!$A$2:$A$1061,0))</f>
        <v>U</v>
      </c>
      <c r="H257" s="3" t="str">
        <f aca="false">F257&amp;"-"&amp;G257</f>
        <v>A-U</v>
      </c>
      <c r="I257" s="4" t="n">
        <f aca="false">(F257="G")+(G257="G")</f>
        <v>0</v>
      </c>
      <c r="J257" s="4" t="n">
        <f aca="false">(F257="C")+(G257="C")</f>
        <v>0</v>
      </c>
      <c r="K257" s="3" t="n">
        <f aca="false">I257+J257</f>
        <v>0</v>
      </c>
    </row>
    <row r="258" customFormat="false" ht="15" hidden="false" customHeight="false" outlineLevel="0" collapsed="false">
      <c r="A258" s="4" t="s">
        <v>46</v>
      </c>
      <c r="B258" s="4" t="s">
        <v>60</v>
      </c>
      <c r="C258" s="4" t="s">
        <v>184</v>
      </c>
      <c r="D258" s="4" t="n">
        <f aca="false">INDEX(Positions!$D$2:$D$1061,MATCH($A258&amp;"|5",Positions!$A$2:$A$1061,0))</f>
        <v>5</v>
      </c>
      <c r="E258" s="4" t="n">
        <f aca="false">INDEX(Positions!$D$2:$D$1061,MATCH($A258&amp;"|68",Positions!$A$2:$A$1061,0))</f>
        <v>69</v>
      </c>
      <c r="F258" s="4" t="str">
        <f aca="false">INDEX(Positions!$E$2:$E$1061,MATCH($A258&amp;"|5",Positions!$A$2:$A$1061,0))</f>
        <v>U</v>
      </c>
      <c r="G258" s="4" t="str">
        <f aca="false">INDEX(Positions!$E$2:$E$1061,MATCH($A258&amp;"|68",Positions!$A$2:$A$1061,0))</f>
        <v>A</v>
      </c>
      <c r="H258" s="3" t="str">
        <f aca="false">F258&amp;"-"&amp;G258</f>
        <v>U-A</v>
      </c>
      <c r="I258" s="4" t="n">
        <f aca="false">(F258="G")+(G258="G")</f>
        <v>0</v>
      </c>
      <c r="J258" s="4" t="n">
        <f aca="false">(F258="C")+(G258="C")</f>
        <v>0</v>
      </c>
      <c r="K258" s="3" t="n">
        <f aca="false">I258+J258</f>
        <v>0</v>
      </c>
    </row>
    <row r="259" customFormat="false" ht="15" hidden="false" customHeight="false" outlineLevel="0" collapsed="false">
      <c r="A259" s="4" t="s">
        <v>46</v>
      </c>
      <c r="B259" s="4" t="s">
        <v>60</v>
      </c>
      <c r="C259" s="4" t="s">
        <v>185</v>
      </c>
      <c r="D259" s="4" t="n">
        <f aca="false">INDEX(Positions!$D$2:$D$1061,MATCH($A259&amp;"|6",Positions!$A$2:$A$1061,0))</f>
        <v>6</v>
      </c>
      <c r="E259" s="4" t="n">
        <f aca="false">INDEX(Positions!$D$2:$D$1061,MATCH($A259&amp;"|67",Positions!$A$2:$A$1061,0))</f>
        <v>68</v>
      </c>
      <c r="F259" s="4" t="str">
        <f aca="false">INDEX(Positions!$E$2:$E$1061,MATCH($A259&amp;"|6",Positions!$A$2:$A$1061,0))</f>
        <v>U</v>
      </c>
      <c r="G259" s="4" t="str">
        <f aca="false">INDEX(Positions!$E$2:$E$1061,MATCH($A259&amp;"|67",Positions!$A$2:$A$1061,0))</f>
        <v>A</v>
      </c>
      <c r="H259" s="3" t="str">
        <f aca="false">F259&amp;"-"&amp;G259</f>
        <v>U-A</v>
      </c>
      <c r="I259" s="4" t="n">
        <f aca="false">(F259="G")+(G259="G")</f>
        <v>0</v>
      </c>
      <c r="J259" s="4" t="n">
        <f aca="false">(F259="C")+(G259="C")</f>
        <v>0</v>
      </c>
      <c r="K259" s="3" t="n">
        <f aca="false">I259+J259</f>
        <v>0</v>
      </c>
    </row>
    <row r="260" customFormat="false" ht="15" hidden="false" customHeight="false" outlineLevel="0" collapsed="false">
      <c r="A260" s="4" t="s">
        <v>46</v>
      </c>
      <c r="B260" s="4" t="s">
        <v>60</v>
      </c>
      <c r="C260" s="4" t="s">
        <v>186</v>
      </c>
      <c r="D260" s="4" t="n">
        <f aca="false">INDEX(Positions!$D$2:$D$1061,MATCH($A260&amp;"|7",Positions!$A$2:$A$1061,0))</f>
        <v>7</v>
      </c>
      <c r="E260" s="4" t="n">
        <f aca="false">INDEX(Positions!$D$2:$D$1061,MATCH($A260&amp;"|66",Positions!$A$2:$A$1061,0))</f>
        <v>67</v>
      </c>
      <c r="F260" s="4" t="str">
        <f aca="false">INDEX(Positions!$E$2:$E$1061,MATCH($A260&amp;"|7",Positions!$A$2:$A$1061,0))</f>
        <v>U</v>
      </c>
      <c r="G260" s="4" t="str">
        <f aca="false">INDEX(Positions!$E$2:$E$1061,MATCH($A260&amp;"|66",Positions!$A$2:$A$1061,0))</f>
        <v>G</v>
      </c>
      <c r="H260" s="3" t="str">
        <f aca="false">F260&amp;"-"&amp;G260</f>
        <v>U-G</v>
      </c>
      <c r="I260" s="4" t="n">
        <f aca="false">(F260="G")+(G260="G")</f>
        <v>1</v>
      </c>
      <c r="J260" s="4" t="n">
        <f aca="false">(F260="C")+(G260="C")</f>
        <v>0</v>
      </c>
      <c r="K260" s="3" t="n">
        <f aca="false">I260+J260</f>
        <v>1</v>
      </c>
    </row>
    <row r="261" customFormat="false" ht="15" hidden="false" customHeight="false" outlineLevel="0" collapsed="false">
      <c r="A261" s="4" t="s">
        <v>46</v>
      </c>
      <c r="B261" s="4" t="s">
        <v>75</v>
      </c>
      <c r="C261" s="4" t="s">
        <v>187</v>
      </c>
      <c r="D261" s="4" t="n">
        <f aca="false">INDEX(Positions!$D$2:$D$1061,MATCH($A261&amp;"|10",Positions!$A$2:$A$1061,0))</f>
        <v>10</v>
      </c>
      <c r="E261" s="4" t="n">
        <f aca="false">INDEX(Positions!$D$2:$D$1061,MATCH($A261&amp;"|25",Positions!$A$2:$A$1061,0))</f>
        <v>27</v>
      </c>
      <c r="F261" s="4" t="str">
        <f aca="false">INDEX(Positions!$E$2:$E$1061,MATCH($A261&amp;"|10",Positions!$A$2:$A$1061,0))</f>
        <v>A</v>
      </c>
      <c r="G261" s="4" t="str">
        <f aca="false">INDEX(Positions!$E$2:$E$1061,MATCH($A261&amp;"|25",Positions!$A$2:$A$1061,0))</f>
        <v>U</v>
      </c>
      <c r="H261" s="3" t="str">
        <f aca="false">F261&amp;"-"&amp;G261</f>
        <v>A-U</v>
      </c>
      <c r="I261" s="4" t="n">
        <f aca="false">(F261="G")+(G261="G")</f>
        <v>0</v>
      </c>
      <c r="J261" s="4" t="n">
        <f aca="false">(F261="C")+(G261="C")</f>
        <v>0</v>
      </c>
      <c r="K261" s="3" t="n">
        <f aca="false">I261+J261</f>
        <v>0</v>
      </c>
    </row>
    <row r="262" customFormat="false" ht="15" hidden="false" customHeight="false" outlineLevel="0" collapsed="false">
      <c r="A262" s="4" t="s">
        <v>46</v>
      </c>
      <c r="B262" s="4" t="s">
        <v>75</v>
      </c>
      <c r="C262" s="4" t="s">
        <v>188</v>
      </c>
      <c r="D262" s="4" t="n">
        <f aca="false">INDEX(Positions!$D$2:$D$1061,MATCH($A262&amp;"|11",Positions!$A$2:$A$1061,0))</f>
        <v>11</v>
      </c>
      <c r="E262" s="4" t="n">
        <f aca="false">INDEX(Positions!$D$2:$D$1061,MATCH($A262&amp;"|24",Positions!$A$2:$A$1061,0))</f>
        <v>26</v>
      </c>
      <c r="F262" s="4" t="str">
        <f aca="false">INDEX(Positions!$E$2:$E$1061,MATCH($A262&amp;"|11",Positions!$A$2:$A$1061,0))</f>
        <v>U</v>
      </c>
      <c r="G262" s="4" t="str">
        <f aca="false">INDEX(Positions!$E$2:$E$1061,MATCH($A262&amp;"|24",Positions!$A$2:$A$1061,0))</f>
        <v>A</v>
      </c>
      <c r="H262" s="3" t="str">
        <f aca="false">F262&amp;"-"&amp;G262</f>
        <v>U-A</v>
      </c>
      <c r="I262" s="4" t="n">
        <f aca="false">(F262="G")+(G262="G")</f>
        <v>0</v>
      </c>
      <c r="J262" s="4" t="n">
        <f aca="false">(F262="C")+(G262="C")</f>
        <v>0</v>
      </c>
      <c r="K262" s="3" t="n">
        <f aca="false">I262+J262</f>
        <v>0</v>
      </c>
    </row>
    <row r="263" customFormat="false" ht="15" hidden="false" customHeight="false" outlineLevel="0" collapsed="false">
      <c r="A263" s="4" t="s">
        <v>46</v>
      </c>
      <c r="B263" s="4" t="s">
        <v>75</v>
      </c>
      <c r="C263" s="4" t="s">
        <v>189</v>
      </c>
      <c r="D263" s="4" t="n">
        <f aca="false">INDEX(Positions!$D$2:$D$1061,MATCH($A263&amp;"|12",Positions!$A$2:$A$1061,0))</f>
        <v>12</v>
      </c>
      <c r="E263" s="4" t="n">
        <f aca="false">INDEX(Positions!$D$2:$D$1061,MATCH($A263&amp;"|23",Positions!$A$2:$A$1061,0))</f>
        <v>25</v>
      </c>
      <c r="F263" s="4" t="str">
        <f aca="false">INDEX(Positions!$E$2:$E$1061,MATCH($A263&amp;"|12",Positions!$A$2:$A$1061,0))</f>
        <v>U</v>
      </c>
      <c r="G263" s="4" t="str">
        <f aca="false">INDEX(Positions!$E$2:$E$1061,MATCH($A263&amp;"|23",Positions!$A$2:$A$1061,0))</f>
        <v>A</v>
      </c>
      <c r="H263" s="3" t="str">
        <f aca="false">F263&amp;"-"&amp;G263</f>
        <v>U-A</v>
      </c>
      <c r="I263" s="4" t="n">
        <f aca="false">(F263="G")+(G263="G")</f>
        <v>0</v>
      </c>
      <c r="J263" s="4" t="n">
        <f aca="false">(F263="C")+(G263="C")</f>
        <v>0</v>
      </c>
      <c r="K263" s="3" t="n">
        <f aca="false">I263+J263</f>
        <v>0</v>
      </c>
    </row>
    <row r="264" customFormat="false" ht="15" hidden="false" customHeight="false" outlineLevel="0" collapsed="false">
      <c r="A264" s="4" t="s">
        <v>46</v>
      </c>
      <c r="B264" s="4" t="s">
        <v>75</v>
      </c>
      <c r="C264" s="4" t="s">
        <v>190</v>
      </c>
      <c r="D264" s="4" t="n">
        <f aca="false">INDEX(Positions!$D$2:$D$1061,MATCH($A264&amp;"|13",Positions!$A$2:$A$1061,0))</f>
        <v>13</v>
      </c>
      <c r="E264" s="4" t="n">
        <f aca="false">INDEX(Positions!$D$2:$D$1061,MATCH($A264&amp;"|22",Positions!$A$2:$A$1061,0))</f>
        <v>24</v>
      </c>
      <c r="F264" s="4" t="str">
        <f aca="false">INDEX(Positions!$E$2:$E$1061,MATCH($A264&amp;"|13",Positions!$A$2:$A$1061,0))</f>
        <v>U</v>
      </c>
      <c r="G264" s="4" t="str">
        <f aca="false">INDEX(Positions!$E$2:$E$1061,MATCH($A264&amp;"|22",Positions!$A$2:$A$1061,0))</f>
        <v>A</v>
      </c>
      <c r="H264" s="3" t="str">
        <f aca="false">F264&amp;"-"&amp;G264</f>
        <v>U-A</v>
      </c>
      <c r="I264" s="4" t="n">
        <f aca="false">(F264="G")+(G264="G")</f>
        <v>0</v>
      </c>
      <c r="J264" s="4" t="n">
        <f aca="false">(F264="C")+(G264="C")</f>
        <v>0</v>
      </c>
      <c r="K264" s="3" t="n">
        <f aca="false">I264+J264</f>
        <v>0</v>
      </c>
    </row>
    <row r="265" customFormat="false" ht="15" hidden="false" customHeight="false" outlineLevel="0" collapsed="false">
      <c r="A265" s="4" t="s">
        <v>46</v>
      </c>
      <c r="B265" s="4" t="s">
        <v>96</v>
      </c>
      <c r="C265" s="4" t="s">
        <v>191</v>
      </c>
      <c r="D265" s="4" t="n">
        <f aca="false">INDEX(Positions!$D$2:$D$1061,MATCH($A265&amp;"|27",Positions!$A$2:$A$1061,0))</f>
        <v>29</v>
      </c>
      <c r="E265" s="4" t="n">
        <f aca="false">INDEX(Positions!$D$2:$D$1061,MATCH($A265&amp;"|43",Positions!$A$2:$A$1061,0))</f>
        <v>45</v>
      </c>
      <c r="F265" s="4" t="str">
        <f aca="false">INDEX(Positions!$E$2:$E$1061,MATCH($A265&amp;"|27",Positions!$A$2:$A$1061,0))</f>
        <v>U</v>
      </c>
      <c r="G265" s="4" t="str">
        <f aca="false">INDEX(Positions!$E$2:$E$1061,MATCH($A265&amp;"|43",Positions!$A$2:$A$1061,0))</f>
        <v>A</v>
      </c>
      <c r="H265" s="3" t="str">
        <f aca="false">F265&amp;"-"&amp;G265</f>
        <v>U-A</v>
      </c>
      <c r="I265" s="4" t="n">
        <f aca="false">(F265="G")+(G265="G")</f>
        <v>0</v>
      </c>
      <c r="J265" s="4" t="n">
        <f aca="false">(F265="C")+(G265="C")</f>
        <v>0</v>
      </c>
      <c r="K265" s="3" t="n">
        <f aca="false">I265+J265</f>
        <v>0</v>
      </c>
    </row>
    <row r="266" customFormat="false" ht="15" hidden="false" customHeight="false" outlineLevel="0" collapsed="false">
      <c r="A266" s="4" t="s">
        <v>46</v>
      </c>
      <c r="B266" s="4" t="s">
        <v>96</v>
      </c>
      <c r="C266" s="4" t="s">
        <v>192</v>
      </c>
      <c r="D266" s="4" t="n">
        <f aca="false">INDEX(Positions!$D$2:$D$1061,MATCH($A266&amp;"|28",Positions!$A$2:$A$1061,0))</f>
        <v>30</v>
      </c>
      <c r="E266" s="4" t="n">
        <f aca="false">INDEX(Positions!$D$2:$D$1061,MATCH($A266&amp;"|42",Positions!$A$2:$A$1061,0))</f>
        <v>44</v>
      </c>
      <c r="F266" s="4" t="str">
        <f aca="false">INDEX(Positions!$E$2:$E$1061,MATCH($A266&amp;"|28",Positions!$A$2:$A$1061,0))</f>
        <v>U</v>
      </c>
      <c r="G266" s="4" t="str">
        <f aca="false">INDEX(Positions!$E$2:$E$1061,MATCH($A266&amp;"|42",Positions!$A$2:$A$1061,0))</f>
        <v>A</v>
      </c>
      <c r="H266" s="3" t="str">
        <f aca="false">F266&amp;"-"&amp;G266</f>
        <v>U-A</v>
      </c>
      <c r="I266" s="4" t="n">
        <f aca="false">(F266="G")+(G266="G")</f>
        <v>0</v>
      </c>
      <c r="J266" s="4" t="n">
        <f aca="false">(F266="C")+(G266="C")</f>
        <v>0</v>
      </c>
      <c r="K266" s="3" t="n">
        <f aca="false">I266+J266</f>
        <v>0</v>
      </c>
    </row>
    <row r="267" customFormat="false" ht="15" hidden="false" customHeight="false" outlineLevel="0" collapsed="false">
      <c r="A267" s="4" t="s">
        <v>46</v>
      </c>
      <c r="B267" s="4" t="s">
        <v>96</v>
      </c>
      <c r="C267" s="4" t="s">
        <v>193</v>
      </c>
      <c r="D267" s="4" t="n">
        <f aca="false">INDEX(Positions!$D$2:$D$1061,MATCH($A267&amp;"|29",Positions!$A$2:$A$1061,0))</f>
        <v>31</v>
      </c>
      <c r="E267" s="4" t="n">
        <f aca="false">INDEX(Positions!$D$2:$D$1061,MATCH($A267&amp;"|41",Positions!$A$2:$A$1061,0))</f>
        <v>43</v>
      </c>
      <c r="F267" s="4" t="str">
        <f aca="false">INDEX(Positions!$E$2:$E$1061,MATCH($A267&amp;"|29",Positions!$A$2:$A$1061,0))</f>
        <v>G</v>
      </c>
      <c r="G267" s="4" t="str">
        <f aca="false">INDEX(Positions!$E$2:$E$1061,MATCH($A267&amp;"|41",Positions!$A$2:$A$1061,0))</f>
        <v>U</v>
      </c>
      <c r="H267" s="3" t="str">
        <f aca="false">F267&amp;"-"&amp;G267</f>
        <v>G-U</v>
      </c>
      <c r="I267" s="4" t="n">
        <f aca="false">(F267="G")+(G267="G")</f>
        <v>1</v>
      </c>
      <c r="J267" s="4" t="n">
        <f aca="false">(F267="C")+(G267="C")</f>
        <v>0</v>
      </c>
      <c r="K267" s="3" t="n">
        <f aca="false">I267+J267</f>
        <v>1</v>
      </c>
    </row>
    <row r="268" customFormat="false" ht="15" hidden="false" customHeight="false" outlineLevel="0" collapsed="false">
      <c r="A268" s="4" t="s">
        <v>46</v>
      </c>
      <c r="B268" s="4" t="s">
        <v>96</v>
      </c>
      <c r="C268" s="4" t="s">
        <v>194</v>
      </c>
      <c r="D268" s="4" t="n">
        <f aca="false">INDEX(Positions!$D$2:$D$1061,MATCH($A268&amp;"|30",Positions!$A$2:$A$1061,0))</f>
        <v>32</v>
      </c>
      <c r="E268" s="4" t="n">
        <f aca="false">INDEX(Positions!$D$2:$D$1061,MATCH($A268&amp;"|40",Positions!$A$2:$A$1061,0))</f>
        <v>42</v>
      </c>
      <c r="F268" s="4" t="str">
        <f aca="false">INDEX(Positions!$E$2:$E$1061,MATCH($A268&amp;"|30",Positions!$A$2:$A$1061,0))</f>
        <v>A</v>
      </c>
      <c r="G268" s="4" t="str">
        <f aca="false">INDEX(Positions!$E$2:$E$1061,MATCH($A268&amp;"|40",Positions!$A$2:$A$1061,0))</f>
        <v>U</v>
      </c>
      <c r="H268" s="3" t="str">
        <f aca="false">F268&amp;"-"&amp;G268</f>
        <v>A-U</v>
      </c>
      <c r="I268" s="4" t="n">
        <f aca="false">(F268="G")+(G268="G")</f>
        <v>0</v>
      </c>
      <c r="J268" s="4" t="n">
        <f aca="false">(F268="C")+(G268="C")</f>
        <v>0</v>
      </c>
      <c r="K268" s="3" t="n">
        <f aca="false">I268+J268</f>
        <v>0</v>
      </c>
    </row>
    <row r="269" customFormat="false" ht="15" hidden="false" customHeight="false" outlineLevel="0" collapsed="false">
      <c r="A269" s="4" t="s">
        <v>46</v>
      </c>
      <c r="B269" s="4" t="s">
        <v>96</v>
      </c>
      <c r="C269" s="4" t="s">
        <v>195</v>
      </c>
      <c r="D269" s="4" t="n">
        <f aca="false">INDEX(Positions!$D$2:$D$1061,MATCH($A269&amp;"|31",Positions!$A$2:$A$1061,0))</f>
        <v>33</v>
      </c>
      <c r="E269" s="4" t="n">
        <f aca="false">INDEX(Positions!$D$2:$D$1061,MATCH($A269&amp;"|39",Positions!$A$2:$A$1061,0))</f>
        <v>41</v>
      </c>
      <c r="F269" s="4" t="str">
        <f aca="false">INDEX(Positions!$E$2:$E$1061,MATCH($A269&amp;"|31",Positions!$A$2:$A$1061,0))</f>
        <v>A</v>
      </c>
      <c r="G269" s="4" t="str">
        <f aca="false">INDEX(Positions!$E$2:$E$1061,MATCH($A269&amp;"|39",Positions!$A$2:$A$1061,0))</f>
        <v>C</v>
      </c>
      <c r="H269" s="3" t="str">
        <f aca="false">F269&amp;"-"&amp;G269</f>
        <v>A-C</v>
      </c>
      <c r="I269" s="4" t="n">
        <f aca="false">(F269="G")+(G269="G")</f>
        <v>0</v>
      </c>
      <c r="J269" s="4" t="n">
        <f aca="false">(F269="C")+(G269="C")</f>
        <v>1</v>
      </c>
      <c r="K269" s="3" t="n">
        <f aca="false">I269+J269</f>
        <v>1</v>
      </c>
    </row>
    <row r="270" customFormat="false" ht="15" hidden="false" customHeight="false" outlineLevel="0" collapsed="false">
      <c r="A270" s="4" t="s">
        <v>46</v>
      </c>
      <c r="B270" s="4" t="s">
        <v>126</v>
      </c>
      <c r="C270" s="4" t="s">
        <v>196</v>
      </c>
      <c r="D270" s="4" t="n">
        <f aca="false">INDEX(Positions!$D$2:$D$1061,MATCH($A270&amp;"|49",Positions!$A$2:$A$1061,0))</f>
        <v>50</v>
      </c>
      <c r="E270" s="4" t="n">
        <f aca="false">INDEX(Positions!$D$2:$D$1061,MATCH($A270&amp;"|65",Positions!$A$2:$A$1061,0))</f>
        <v>66</v>
      </c>
      <c r="F270" s="4" t="str">
        <f aca="false">INDEX(Positions!$E$2:$E$1061,MATCH($A270&amp;"|49",Positions!$A$2:$A$1061,0))</f>
        <v>U</v>
      </c>
      <c r="G270" s="4" t="str">
        <f aca="false">INDEX(Positions!$E$2:$E$1061,MATCH($A270&amp;"|65",Positions!$A$2:$A$1061,0))</f>
        <v>A</v>
      </c>
      <c r="H270" s="3" t="str">
        <f aca="false">F270&amp;"-"&amp;G270</f>
        <v>U-A</v>
      </c>
      <c r="I270" s="4" t="n">
        <f aca="false">(F270="G")+(G270="G")</f>
        <v>0</v>
      </c>
      <c r="J270" s="4" t="n">
        <f aca="false">(F270="C")+(G270="C")</f>
        <v>0</v>
      </c>
      <c r="K270" s="3" t="n">
        <f aca="false">I270+J270</f>
        <v>0</v>
      </c>
    </row>
    <row r="271" customFormat="false" ht="15" hidden="false" customHeight="false" outlineLevel="0" collapsed="false">
      <c r="A271" s="4" t="s">
        <v>46</v>
      </c>
      <c r="B271" s="4" t="s">
        <v>126</v>
      </c>
      <c r="C271" s="4" t="s">
        <v>197</v>
      </c>
      <c r="D271" s="4" t="n">
        <f aca="false">INDEX(Positions!$D$2:$D$1061,MATCH($A271&amp;"|50",Positions!$A$2:$A$1061,0))</f>
        <v>51</v>
      </c>
      <c r="E271" s="4" t="n">
        <f aca="false">INDEX(Positions!$D$2:$D$1061,MATCH($A271&amp;"|64",Positions!$A$2:$A$1061,0))</f>
        <v>65</v>
      </c>
      <c r="F271" s="4" t="str">
        <f aca="false">INDEX(Positions!$E$2:$E$1061,MATCH($A271&amp;"|50",Positions!$A$2:$A$1061,0))</f>
        <v>U</v>
      </c>
      <c r="G271" s="4" t="str">
        <f aca="false">INDEX(Positions!$E$2:$E$1061,MATCH($A271&amp;"|64",Positions!$A$2:$A$1061,0))</f>
        <v>G</v>
      </c>
      <c r="H271" s="3" t="str">
        <f aca="false">F271&amp;"-"&amp;G271</f>
        <v>U-G</v>
      </c>
      <c r="I271" s="4" t="n">
        <f aca="false">(F271="G")+(G271="G")</f>
        <v>1</v>
      </c>
      <c r="J271" s="4" t="n">
        <f aca="false">(F271="C")+(G271="C")</f>
        <v>0</v>
      </c>
      <c r="K271" s="3" t="n">
        <f aca="false">I271+J271</f>
        <v>1</v>
      </c>
    </row>
    <row r="272" customFormat="false" ht="15" hidden="false" customHeight="false" outlineLevel="0" collapsed="false">
      <c r="A272" s="4" t="s">
        <v>46</v>
      </c>
      <c r="B272" s="4" t="s">
        <v>126</v>
      </c>
      <c r="C272" s="4" t="s">
        <v>198</v>
      </c>
      <c r="D272" s="4" t="n">
        <f aca="false">INDEX(Positions!$D$2:$D$1061,MATCH($A272&amp;"|51",Positions!$A$2:$A$1061,0))</f>
        <v>52</v>
      </c>
      <c r="E272" s="4" t="n">
        <f aca="false">INDEX(Positions!$D$2:$D$1061,MATCH($A272&amp;"|63",Positions!$A$2:$A$1061,0))</f>
        <v>64</v>
      </c>
      <c r="F272" s="4" t="str">
        <f aca="false">INDEX(Positions!$E$2:$E$1061,MATCH($A272&amp;"|51",Positions!$A$2:$A$1061,0))</f>
        <v>A</v>
      </c>
      <c r="G272" s="4" t="str">
        <f aca="false">INDEX(Positions!$E$2:$E$1061,MATCH($A272&amp;"|63",Positions!$A$2:$A$1061,0))</f>
        <v>U</v>
      </c>
      <c r="H272" s="3" t="str">
        <f aca="false">F272&amp;"-"&amp;G272</f>
        <v>A-U</v>
      </c>
      <c r="I272" s="4" t="n">
        <f aca="false">(F272="G")+(G272="G")</f>
        <v>0</v>
      </c>
      <c r="J272" s="4" t="n">
        <f aca="false">(F272="C")+(G272="C")</f>
        <v>0</v>
      </c>
      <c r="K272" s="3" t="n">
        <f aca="false">I272+J272</f>
        <v>0</v>
      </c>
    </row>
    <row r="273" customFormat="false" ht="15" hidden="false" customHeight="false" outlineLevel="0" collapsed="false">
      <c r="A273" s="4" t="s">
        <v>46</v>
      </c>
      <c r="B273" s="4" t="s">
        <v>126</v>
      </c>
      <c r="C273" s="4" t="s">
        <v>199</v>
      </c>
      <c r="D273" s="4" t="n">
        <f aca="false">INDEX(Positions!$D$2:$D$1061,MATCH($A273&amp;"|52",Positions!$A$2:$A$1061,0))</f>
        <v>53</v>
      </c>
      <c r="E273" s="4" t="n">
        <f aca="false">INDEX(Positions!$D$2:$D$1061,MATCH($A273&amp;"|62",Positions!$A$2:$A$1061,0))</f>
        <v>63</v>
      </c>
      <c r="F273" s="4" t="str">
        <f aca="false">INDEX(Positions!$E$2:$E$1061,MATCH($A273&amp;"|52",Positions!$A$2:$A$1061,0))</f>
        <v>A</v>
      </c>
      <c r="G273" s="4" t="str">
        <f aca="false">INDEX(Positions!$E$2:$E$1061,MATCH($A273&amp;"|62",Positions!$A$2:$A$1061,0))</f>
        <v>U</v>
      </c>
      <c r="H273" s="3" t="str">
        <f aca="false">F273&amp;"-"&amp;G273</f>
        <v>A-U</v>
      </c>
      <c r="I273" s="4" t="n">
        <f aca="false">(F273="G")+(G273="G")</f>
        <v>0</v>
      </c>
      <c r="J273" s="4" t="n">
        <f aca="false">(F273="C")+(G273="C")</f>
        <v>0</v>
      </c>
      <c r="K273" s="3" t="n">
        <f aca="false">I273+J273</f>
        <v>0</v>
      </c>
    </row>
    <row r="274" customFormat="false" ht="15" hidden="false" customHeight="false" outlineLevel="0" collapsed="false">
      <c r="A274" s="4" t="s">
        <v>46</v>
      </c>
      <c r="B274" s="4" t="s">
        <v>126</v>
      </c>
      <c r="C274" s="4" t="s">
        <v>200</v>
      </c>
      <c r="D274" s="4" t="n">
        <f aca="false">INDEX(Positions!$D$2:$D$1061,MATCH($A274&amp;"|53",Positions!$A$2:$A$1061,0))</f>
        <v>54</v>
      </c>
      <c r="E274" s="4" t="n">
        <f aca="false">INDEX(Positions!$D$2:$D$1061,MATCH($A274&amp;"|61",Positions!$A$2:$A$1061,0))</f>
        <v>62</v>
      </c>
      <c r="F274" s="4" t="str">
        <f aca="false">INDEX(Positions!$E$2:$E$1061,MATCH($A274&amp;"|53",Positions!$A$2:$A$1061,0))</f>
        <v>G</v>
      </c>
      <c r="G274" s="4" t="str">
        <f aca="false">INDEX(Positions!$E$2:$E$1061,MATCH($A274&amp;"|61",Positions!$A$2:$A$1061,0))</f>
        <v>C</v>
      </c>
      <c r="H274" s="3" t="str">
        <f aca="false">F274&amp;"-"&amp;G274</f>
        <v>G-C</v>
      </c>
      <c r="I274" s="4" t="n">
        <f aca="false">(F274="G")+(G274="G")</f>
        <v>1</v>
      </c>
      <c r="J274" s="4" t="n">
        <f aca="false">(F274="C")+(G274="C")</f>
        <v>1</v>
      </c>
      <c r="K274" s="3" t="n">
        <f aca="false">I274+J274</f>
        <v>2</v>
      </c>
    </row>
    <row r="275" customFormat="false" ht="15" hidden="false" customHeight="false" outlineLevel="0" collapsed="false">
      <c r="A275" s="23" t="s">
        <v>46</v>
      </c>
      <c r="B275" s="23" t="s">
        <v>201</v>
      </c>
      <c r="C275" s="23" t="s">
        <v>202</v>
      </c>
      <c r="D275" s="23" t="n">
        <f aca="false">INDEX(Positions!$D$2:$D$1061,MATCH($A275&amp;"|8",Positions!$A$2:$A$1061,0))</f>
        <v>8</v>
      </c>
      <c r="E275" s="23" t="n">
        <f aca="false">INDEX(Positions!$D$2:$D$1061,MATCH($A275&amp;"|14",Positions!$A$2:$A$1061,0))</f>
        <v>14</v>
      </c>
      <c r="F275" s="23" t="str">
        <f aca="false">INDEX(Positions!$E$2:$E$1061,MATCH($A275&amp;"|8",Positions!$A$2:$A$1061,0))</f>
        <v>U</v>
      </c>
      <c r="G275" s="23" t="str">
        <f aca="false">INDEX(Positions!$E$2:$E$1061,MATCH($A275&amp;"|14",Positions!$A$2:$A$1061,0))</f>
        <v>A</v>
      </c>
      <c r="H275" s="24" t="str">
        <f aca="false">F275&amp;"-"&amp;G275</f>
        <v>U-A</v>
      </c>
      <c r="I275" s="23" t="n">
        <f aca="false">(F275="G")+(G275="G")</f>
        <v>0</v>
      </c>
      <c r="J275" s="23" t="n">
        <f aca="false">(F275="C")+(G275="C")</f>
        <v>0</v>
      </c>
      <c r="K275" s="24" t="n">
        <f aca="false">I275+J275</f>
        <v>0</v>
      </c>
    </row>
    <row r="276" customFormat="false" ht="15" hidden="false" customHeight="false" outlineLevel="0" collapsed="false">
      <c r="A276" s="23" t="s">
        <v>46</v>
      </c>
      <c r="B276" s="23" t="s">
        <v>201</v>
      </c>
      <c r="C276" s="23" t="s">
        <v>203</v>
      </c>
      <c r="D276" s="23" t="n">
        <f aca="false">INDEX(Positions!$D$2:$D$1061,MATCH($A276&amp;"|15",Positions!$A$2:$A$1061,0))</f>
        <v>15</v>
      </c>
      <c r="E276" s="23" t="n">
        <f aca="false">INDEX(Positions!$D$2:$D$1061,MATCH($A276&amp;"|48",Positions!$A$2:$A$1061,0))</f>
        <v>49</v>
      </c>
      <c r="F276" s="23" t="str">
        <f aca="false">INDEX(Positions!$E$2:$E$1061,MATCH($A276&amp;"|15",Positions!$A$2:$A$1061,0))</f>
        <v>U</v>
      </c>
      <c r="G276" s="23" t="str">
        <f aca="false">INDEX(Positions!$E$2:$E$1061,MATCH($A276&amp;"|48",Positions!$A$2:$A$1061,0))</f>
        <v>A</v>
      </c>
      <c r="H276" s="24" t="str">
        <f aca="false">F276&amp;"-"&amp;G276</f>
        <v>U-A</v>
      </c>
      <c r="I276" s="23" t="n">
        <f aca="false">(F276="G")+(G276="G")</f>
        <v>0</v>
      </c>
      <c r="J276" s="23" t="n">
        <f aca="false">(F276="C")+(G276="C")</f>
        <v>0</v>
      </c>
      <c r="K276" s="24" t="n">
        <f aca="false">I276+J276</f>
        <v>0</v>
      </c>
    </row>
    <row r="277" customFormat="false" ht="15" hidden="false" customHeight="false" outlineLevel="0" collapsed="false">
      <c r="A277" s="23" t="s">
        <v>46</v>
      </c>
      <c r="B277" s="23" t="s">
        <v>201</v>
      </c>
      <c r="C277" s="23" t="s">
        <v>204</v>
      </c>
      <c r="D277" s="23" t="n">
        <f aca="false">INDEX(Positions!$D$2:$D$1061,MATCH($A277&amp;"|18",Positions!$A$2:$A$1061,0))</f>
        <v>17</v>
      </c>
      <c r="E277" s="23" t="n">
        <f aca="false">INDEX(Positions!$D$2:$D$1061,MATCH($A277&amp;"|55",Positions!$A$2:$A$1061,0))</f>
        <v>56</v>
      </c>
      <c r="F277" s="23" t="str">
        <f aca="false">INDEX(Positions!$E$2:$E$1061,MATCH($A277&amp;"|18",Positions!$A$2:$A$1061,0))</f>
        <v>G</v>
      </c>
      <c r="G277" s="23" t="str">
        <f aca="false">INDEX(Positions!$E$2:$E$1061,MATCH($A277&amp;"|55",Positions!$A$2:$A$1061,0))</f>
        <v>U</v>
      </c>
      <c r="H277" s="24" t="str">
        <f aca="false">F277&amp;"-"&amp;G277</f>
        <v>G-U</v>
      </c>
      <c r="I277" s="23" t="n">
        <f aca="false">(F277="G")+(G277="G")</f>
        <v>1</v>
      </c>
      <c r="J277" s="23" t="n">
        <f aca="false">(F277="C")+(G277="C")</f>
        <v>0</v>
      </c>
      <c r="K277" s="24" t="n">
        <f aca="false">I277+J277</f>
        <v>1</v>
      </c>
    </row>
    <row r="278" customFormat="false" ht="15" hidden="false" customHeight="false" outlineLevel="0" collapsed="false">
      <c r="A278" s="23" t="s">
        <v>46</v>
      </c>
      <c r="B278" s="23" t="s">
        <v>201</v>
      </c>
      <c r="C278" s="23" t="s">
        <v>205</v>
      </c>
      <c r="D278" s="23" t="n">
        <f aca="false">INDEX(Positions!$D$2:$D$1061,MATCH($A278&amp;"|19",Positions!$A$2:$A$1061,0))</f>
        <v>18</v>
      </c>
      <c r="E278" s="23" t="n">
        <f aca="false">INDEX(Positions!$D$2:$D$1061,MATCH($A278&amp;"|56",Positions!$A$2:$A$1061,0))</f>
        <v>57</v>
      </c>
      <c r="F278" s="23" t="str">
        <f aca="false">INDEX(Positions!$E$2:$E$1061,MATCH($A278&amp;"|19",Positions!$A$2:$A$1061,0))</f>
        <v>G</v>
      </c>
      <c r="G278" s="23" t="str">
        <f aca="false">INDEX(Positions!$E$2:$E$1061,MATCH($A278&amp;"|56",Positions!$A$2:$A$1061,0))</f>
        <v>C</v>
      </c>
      <c r="H278" s="24" t="str">
        <f aca="false">F278&amp;"-"&amp;G278</f>
        <v>G-C</v>
      </c>
      <c r="I278" s="23" t="n">
        <f aca="false">(F278="G")+(G278="G")</f>
        <v>1</v>
      </c>
      <c r="J278" s="23" t="n">
        <f aca="false">(F278="C")+(G278="C")</f>
        <v>1</v>
      </c>
      <c r="K278" s="24" t="n">
        <f aca="false">I278+J278</f>
        <v>2</v>
      </c>
    </row>
    <row r="279" customFormat="false" ht="15" hidden="false" customHeight="false" outlineLevel="0" collapsed="false">
      <c r="A279" s="23" t="s">
        <v>46</v>
      </c>
      <c r="B279" s="23" t="s">
        <v>201</v>
      </c>
      <c r="C279" s="23" t="s">
        <v>206</v>
      </c>
      <c r="D279" s="23" t="n">
        <f aca="false">INDEX(Positions!$D$2:$D$1061,MATCH($A279&amp;"|26",Positions!$A$2:$A$1061,0))</f>
        <v>28</v>
      </c>
      <c r="E279" s="23" t="n">
        <f aca="false">INDEX(Positions!$D$2:$D$1061,MATCH($A279&amp;"|44",Positions!$A$2:$A$1061,0))</f>
        <v>46</v>
      </c>
      <c r="F279" s="23" t="str">
        <f aca="false">INDEX(Positions!$E$2:$E$1061,MATCH($A279&amp;"|26",Positions!$A$2:$A$1061,0))</f>
        <v>U</v>
      </c>
      <c r="G279" s="23" t="str">
        <f aca="false">INDEX(Positions!$E$2:$E$1061,MATCH($A279&amp;"|44",Positions!$A$2:$A$1061,0))</f>
        <v>A</v>
      </c>
      <c r="H279" s="24" t="str">
        <f aca="false">F279&amp;"-"&amp;G279</f>
        <v>U-A</v>
      </c>
      <c r="I279" s="23" t="n">
        <f aca="false">(F279="G")+(G279="G")</f>
        <v>0</v>
      </c>
      <c r="J279" s="23" t="n">
        <f aca="false">(F279="C")+(G279="C")</f>
        <v>0</v>
      </c>
      <c r="K279" s="24" t="n">
        <f aca="false">I279+J279</f>
        <v>0</v>
      </c>
    </row>
    <row r="280" customFormat="false" ht="15" hidden="false" customHeight="false" outlineLevel="0" collapsed="false">
      <c r="A280" s="23" t="s">
        <v>46</v>
      </c>
      <c r="B280" s="23" t="s">
        <v>201</v>
      </c>
      <c r="C280" s="23" t="s">
        <v>207</v>
      </c>
      <c r="D280" s="23" t="n">
        <f aca="false">INDEX(Positions!$D$2:$D$1061,MATCH($A280&amp;"|32",Positions!$A$2:$A$1061,0))</f>
        <v>34</v>
      </c>
      <c r="E280" s="23" t="n">
        <f aca="false">INDEX(Positions!$D$2:$D$1061,MATCH($A280&amp;"|38",Positions!$A$2:$A$1061,0))</f>
        <v>40</v>
      </c>
      <c r="F280" s="23" t="str">
        <f aca="false">INDEX(Positions!$E$2:$E$1061,MATCH($A280&amp;"|32",Positions!$A$2:$A$1061,0))</f>
        <v>G</v>
      </c>
      <c r="G280" s="23" t="str">
        <f aca="false">INDEX(Positions!$E$2:$E$1061,MATCH($A280&amp;"|38",Positions!$A$2:$A$1061,0))</f>
        <v>C</v>
      </c>
      <c r="H280" s="24" t="str">
        <f aca="false">F280&amp;"-"&amp;G280</f>
        <v>G-C</v>
      </c>
      <c r="I280" s="23" t="n">
        <f aca="false">(F280="G")+(G280="G")</f>
        <v>1</v>
      </c>
      <c r="J280" s="23" t="n">
        <f aca="false">(F280="C")+(G280="C")</f>
        <v>1</v>
      </c>
      <c r="K280" s="24" t="n">
        <f aca="false">I280+J280</f>
        <v>2</v>
      </c>
    </row>
    <row r="281" customFormat="false" ht="15" hidden="false" customHeight="false" outlineLevel="0" collapsed="false">
      <c r="A281" s="23" t="s">
        <v>46</v>
      </c>
      <c r="B281" s="23" t="s">
        <v>201</v>
      </c>
      <c r="C281" s="23" t="s">
        <v>208</v>
      </c>
      <c r="D281" s="23" t="n">
        <f aca="false">INDEX(Positions!$D$2:$D$1061,MATCH($A281&amp;"|54",Positions!$A$2:$A$1061,0))</f>
        <v>55</v>
      </c>
      <c r="E281" s="23" t="n">
        <f aca="false">INDEX(Positions!$D$2:$D$1061,MATCH($A281&amp;"|58",Positions!$A$2:$A$1061,0))</f>
        <v>59</v>
      </c>
      <c r="F281" s="23" t="str">
        <f aca="false">INDEX(Positions!$E$2:$E$1061,MATCH($A281&amp;"|54",Positions!$A$2:$A$1061,0))</f>
        <v>A</v>
      </c>
      <c r="G281" s="23" t="str">
        <f aca="false">INDEX(Positions!$E$2:$E$1061,MATCH($A281&amp;"|58",Positions!$A$2:$A$1061,0))</f>
        <v>U</v>
      </c>
      <c r="H281" s="24" t="str">
        <f aca="false">F281&amp;"-"&amp;G281</f>
        <v>A-U</v>
      </c>
      <c r="I281" s="23" t="n">
        <f aca="false">(F281="G")+(G281="G")</f>
        <v>0</v>
      </c>
      <c r="J281" s="23" t="n">
        <f aca="false">(F281="C")+(G281="C")</f>
        <v>0</v>
      </c>
      <c r="K281" s="24" t="n">
        <f aca="false">I281+J281</f>
        <v>0</v>
      </c>
    </row>
    <row r="282" customFormat="false" ht="15" hidden="false" customHeight="false" outlineLevel="0" collapsed="false">
      <c r="A282" s="4" t="s">
        <v>47</v>
      </c>
      <c r="B282" s="4" t="s">
        <v>60</v>
      </c>
      <c r="C282" s="4" t="s">
        <v>180</v>
      </c>
      <c r="D282" s="4" t="n">
        <f aca="false">INDEX(Positions!$D$2:$D$1061,MATCH($A282&amp;"|1",Positions!$A$2:$A$1061,0))</f>
        <v>1</v>
      </c>
      <c r="E282" s="4" t="n">
        <f aca="false">INDEX(Positions!$D$2:$D$1061,MATCH($A282&amp;"|72",Positions!$A$2:$A$1061,0))</f>
        <v>74</v>
      </c>
      <c r="F282" s="4" t="str">
        <f aca="false">INDEX(Positions!$E$2:$E$1061,MATCH($A282&amp;"|1",Positions!$A$2:$A$1061,0))</f>
        <v>C</v>
      </c>
      <c r="G282" s="4" t="str">
        <f aca="false">INDEX(Positions!$E$2:$E$1061,MATCH($A282&amp;"|72",Positions!$A$2:$A$1061,0))</f>
        <v>A</v>
      </c>
      <c r="H282" s="3" t="str">
        <f aca="false">F282&amp;"-"&amp;G282</f>
        <v>C-A</v>
      </c>
      <c r="I282" s="4" t="n">
        <f aca="false">(F282="G")+(G282="G")</f>
        <v>0</v>
      </c>
      <c r="J282" s="4" t="n">
        <f aca="false">(F282="C")+(G282="C")</f>
        <v>1</v>
      </c>
      <c r="K282" s="3" t="n">
        <f aca="false">I282+J282</f>
        <v>1</v>
      </c>
    </row>
    <row r="283" customFormat="false" ht="15" hidden="false" customHeight="false" outlineLevel="0" collapsed="false">
      <c r="A283" s="4" t="s">
        <v>47</v>
      </c>
      <c r="B283" s="4" t="s">
        <v>60</v>
      </c>
      <c r="C283" s="4" t="s">
        <v>181</v>
      </c>
      <c r="D283" s="4" t="n">
        <f aca="false">INDEX(Positions!$D$2:$D$1061,MATCH($A283&amp;"|2",Positions!$A$2:$A$1061,0))</f>
        <v>2</v>
      </c>
      <c r="E283" s="4" t="n">
        <f aca="false">INDEX(Positions!$D$2:$D$1061,MATCH($A283&amp;"|71",Positions!$A$2:$A$1061,0))</f>
        <v>73</v>
      </c>
      <c r="F283" s="4" t="str">
        <f aca="false">INDEX(Positions!$E$2:$E$1061,MATCH($A283&amp;"|2",Positions!$A$2:$A$1061,0))</f>
        <v>C</v>
      </c>
      <c r="G283" s="4" t="str">
        <f aca="false">INDEX(Positions!$E$2:$E$1061,MATCH($A283&amp;"|71",Positions!$A$2:$A$1061,0))</f>
        <v>G</v>
      </c>
      <c r="H283" s="3" t="str">
        <f aca="false">F283&amp;"-"&amp;G283</f>
        <v>C-G</v>
      </c>
      <c r="I283" s="4" t="n">
        <f aca="false">(F283="G")+(G283="G")</f>
        <v>1</v>
      </c>
      <c r="J283" s="4" t="n">
        <f aca="false">(F283="C")+(G283="C")</f>
        <v>1</v>
      </c>
      <c r="K283" s="3" t="n">
        <f aca="false">I283+J283</f>
        <v>2</v>
      </c>
    </row>
    <row r="284" customFormat="false" ht="15" hidden="false" customHeight="false" outlineLevel="0" collapsed="false">
      <c r="A284" s="4" t="s">
        <v>47</v>
      </c>
      <c r="B284" s="4" t="s">
        <v>60</v>
      </c>
      <c r="C284" s="4" t="s">
        <v>182</v>
      </c>
      <c r="D284" s="4" t="n">
        <f aca="false">INDEX(Positions!$D$2:$D$1061,MATCH($A284&amp;"|3",Positions!$A$2:$A$1061,0))</f>
        <v>3</v>
      </c>
      <c r="E284" s="4" t="n">
        <f aca="false">INDEX(Positions!$D$2:$D$1061,MATCH($A284&amp;"|70",Positions!$A$2:$A$1061,0))</f>
        <v>72</v>
      </c>
      <c r="F284" s="4" t="str">
        <f aca="false">INDEX(Positions!$E$2:$E$1061,MATCH($A284&amp;"|3",Positions!$A$2:$A$1061,0))</f>
        <v>A</v>
      </c>
      <c r="G284" s="4" t="str">
        <f aca="false">INDEX(Positions!$E$2:$E$1061,MATCH($A284&amp;"|70",Positions!$A$2:$A$1061,0))</f>
        <v>U</v>
      </c>
      <c r="H284" s="3" t="str">
        <f aca="false">F284&amp;"-"&amp;G284</f>
        <v>A-U</v>
      </c>
      <c r="I284" s="4" t="n">
        <f aca="false">(F284="G")+(G284="G")</f>
        <v>0</v>
      </c>
      <c r="J284" s="4" t="n">
        <f aca="false">(F284="C")+(G284="C")</f>
        <v>0</v>
      </c>
      <c r="K284" s="3" t="n">
        <f aca="false">I284+J284</f>
        <v>0</v>
      </c>
    </row>
    <row r="285" customFormat="false" ht="15" hidden="false" customHeight="false" outlineLevel="0" collapsed="false">
      <c r="A285" s="4" t="s">
        <v>47</v>
      </c>
      <c r="B285" s="4" t="s">
        <v>60</v>
      </c>
      <c r="C285" s="4" t="s">
        <v>183</v>
      </c>
      <c r="D285" s="4" t="n">
        <f aca="false">INDEX(Positions!$D$2:$D$1061,MATCH($A285&amp;"|4",Positions!$A$2:$A$1061,0))</f>
        <v>4</v>
      </c>
      <c r="E285" s="4" t="n">
        <f aca="false">INDEX(Positions!$D$2:$D$1061,MATCH($A285&amp;"|69",Positions!$A$2:$A$1061,0))</f>
        <v>71</v>
      </c>
      <c r="F285" s="4" t="str">
        <f aca="false">INDEX(Positions!$E$2:$E$1061,MATCH($A285&amp;"|4",Positions!$A$2:$A$1061,0))</f>
        <v>C</v>
      </c>
      <c r="G285" s="4" t="str">
        <f aca="false">INDEX(Positions!$E$2:$E$1061,MATCH($A285&amp;"|69",Positions!$A$2:$A$1061,0))</f>
        <v>G</v>
      </c>
      <c r="H285" s="3" t="str">
        <f aca="false">F285&amp;"-"&amp;G285</f>
        <v>C-G</v>
      </c>
      <c r="I285" s="4" t="n">
        <f aca="false">(F285="G")+(G285="G")</f>
        <v>1</v>
      </c>
      <c r="J285" s="4" t="n">
        <f aca="false">(F285="C")+(G285="C")</f>
        <v>1</v>
      </c>
      <c r="K285" s="3" t="n">
        <f aca="false">I285+J285</f>
        <v>2</v>
      </c>
    </row>
    <row r="286" customFormat="false" ht="15" hidden="false" customHeight="false" outlineLevel="0" collapsed="false">
      <c r="A286" s="4" t="s">
        <v>47</v>
      </c>
      <c r="B286" s="4" t="s">
        <v>60</v>
      </c>
      <c r="C286" s="4" t="s">
        <v>184</v>
      </c>
      <c r="D286" s="4" t="n">
        <f aca="false">INDEX(Positions!$D$2:$D$1061,MATCH($A286&amp;"|5",Positions!$A$2:$A$1061,0))</f>
        <v>5</v>
      </c>
      <c r="E286" s="4" t="n">
        <f aca="false">INDEX(Positions!$D$2:$D$1061,MATCH($A286&amp;"|68",Positions!$A$2:$A$1061,0))</f>
        <v>70</v>
      </c>
      <c r="F286" s="4" t="str">
        <f aca="false">INDEX(Positions!$E$2:$E$1061,MATCH($A286&amp;"|5",Positions!$A$2:$A$1061,0))</f>
        <v>U</v>
      </c>
      <c r="G286" s="4" t="str">
        <f aca="false">INDEX(Positions!$E$2:$E$1061,MATCH($A286&amp;"|68",Positions!$A$2:$A$1061,0))</f>
        <v>A</v>
      </c>
      <c r="H286" s="3" t="str">
        <f aca="false">F286&amp;"-"&amp;G286</f>
        <v>U-A</v>
      </c>
      <c r="I286" s="4" t="n">
        <f aca="false">(F286="G")+(G286="G")</f>
        <v>0</v>
      </c>
      <c r="J286" s="4" t="n">
        <f aca="false">(F286="C")+(G286="C")</f>
        <v>0</v>
      </c>
      <c r="K286" s="3" t="n">
        <f aca="false">I286+J286</f>
        <v>0</v>
      </c>
    </row>
    <row r="287" customFormat="false" ht="15" hidden="false" customHeight="false" outlineLevel="0" collapsed="false">
      <c r="A287" s="4" t="s">
        <v>47</v>
      </c>
      <c r="B287" s="4" t="s">
        <v>60</v>
      </c>
      <c r="C287" s="4" t="s">
        <v>185</v>
      </c>
      <c r="D287" s="4" t="n">
        <f aca="false">INDEX(Positions!$D$2:$D$1061,MATCH($A287&amp;"|6",Positions!$A$2:$A$1061,0))</f>
        <v>6</v>
      </c>
      <c r="E287" s="4" t="n">
        <f aca="false">INDEX(Positions!$D$2:$D$1061,MATCH($A287&amp;"|67",Positions!$A$2:$A$1061,0))</f>
        <v>69</v>
      </c>
      <c r="F287" s="4" t="str">
        <f aca="false">INDEX(Positions!$E$2:$E$1061,MATCH($A287&amp;"|6",Positions!$A$2:$A$1061,0))</f>
        <v>A</v>
      </c>
      <c r="G287" s="4" t="str">
        <f aca="false">INDEX(Positions!$E$2:$E$1061,MATCH($A287&amp;"|67",Positions!$A$2:$A$1061,0))</f>
        <v>U</v>
      </c>
      <c r="H287" s="3" t="str">
        <f aca="false">F287&amp;"-"&amp;G287</f>
        <v>A-U</v>
      </c>
      <c r="I287" s="4" t="n">
        <f aca="false">(F287="G")+(G287="G")</f>
        <v>0</v>
      </c>
      <c r="J287" s="4" t="n">
        <f aca="false">(F287="C")+(G287="C")</f>
        <v>0</v>
      </c>
      <c r="K287" s="3" t="n">
        <f aca="false">I287+J287</f>
        <v>0</v>
      </c>
    </row>
    <row r="288" customFormat="false" ht="15" hidden="false" customHeight="false" outlineLevel="0" collapsed="false">
      <c r="A288" s="4" t="s">
        <v>47</v>
      </c>
      <c r="B288" s="4" t="s">
        <v>60</v>
      </c>
      <c r="C288" s="4" t="s">
        <v>186</v>
      </c>
      <c r="D288" s="4" t="n">
        <f aca="false">INDEX(Positions!$D$2:$D$1061,MATCH($A288&amp;"|7",Positions!$A$2:$A$1061,0))</f>
        <v>7</v>
      </c>
      <c r="E288" s="4" t="n">
        <f aca="false">INDEX(Positions!$D$2:$D$1061,MATCH($A288&amp;"|66",Positions!$A$2:$A$1061,0))</f>
        <v>68</v>
      </c>
      <c r="F288" s="4" t="str">
        <f aca="false">INDEX(Positions!$E$2:$E$1061,MATCH($A288&amp;"|7",Positions!$A$2:$A$1061,0))</f>
        <v>C</v>
      </c>
      <c r="G288" s="4" t="str">
        <f aca="false">INDEX(Positions!$E$2:$E$1061,MATCH($A288&amp;"|66",Positions!$A$2:$A$1061,0))</f>
        <v>G</v>
      </c>
      <c r="H288" s="3" t="str">
        <f aca="false">F288&amp;"-"&amp;G288</f>
        <v>C-G</v>
      </c>
      <c r="I288" s="4" t="n">
        <f aca="false">(F288="G")+(G288="G")</f>
        <v>1</v>
      </c>
      <c r="J288" s="4" t="n">
        <f aca="false">(F288="C")+(G288="C")</f>
        <v>1</v>
      </c>
      <c r="K288" s="3" t="n">
        <f aca="false">I288+J288</f>
        <v>2</v>
      </c>
    </row>
    <row r="289" customFormat="false" ht="15" hidden="false" customHeight="false" outlineLevel="0" collapsed="false">
      <c r="A289" s="4" t="s">
        <v>47</v>
      </c>
      <c r="B289" s="4" t="s">
        <v>75</v>
      </c>
      <c r="C289" s="4" t="s">
        <v>187</v>
      </c>
      <c r="D289" s="4" t="n">
        <f aca="false">INDEX(Positions!$D$2:$D$1061,MATCH($A289&amp;"|10",Positions!$A$2:$A$1061,0))</f>
        <v>10</v>
      </c>
      <c r="E289" s="4" t="n">
        <f aca="false">INDEX(Positions!$D$2:$D$1061,MATCH($A289&amp;"|25",Positions!$A$2:$A$1061,0))</f>
        <v>26</v>
      </c>
      <c r="F289" s="4" t="str">
        <f aca="false">INDEX(Positions!$E$2:$E$1061,MATCH($A289&amp;"|10",Positions!$A$2:$A$1061,0))</f>
        <v>A</v>
      </c>
      <c r="G289" s="4" t="str">
        <f aca="false">INDEX(Positions!$E$2:$E$1061,MATCH($A289&amp;"|25",Positions!$A$2:$A$1061,0))</f>
        <v>U</v>
      </c>
      <c r="H289" s="3" t="str">
        <f aca="false">F289&amp;"-"&amp;G289</f>
        <v>A-U</v>
      </c>
      <c r="I289" s="4" t="n">
        <f aca="false">(F289="G")+(G289="G")</f>
        <v>0</v>
      </c>
      <c r="J289" s="4" t="n">
        <f aca="false">(F289="C")+(G289="C")</f>
        <v>0</v>
      </c>
      <c r="K289" s="3" t="n">
        <f aca="false">I289+J289</f>
        <v>0</v>
      </c>
    </row>
    <row r="290" customFormat="false" ht="15" hidden="false" customHeight="false" outlineLevel="0" collapsed="false">
      <c r="A290" s="4" t="s">
        <v>47</v>
      </c>
      <c r="B290" s="4" t="s">
        <v>75</v>
      </c>
      <c r="C290" s="4" t="s">
        <v>188</v>
      </c>
      <c r="D290" s="4" t="n">
        <f aca="false">INDEX(Positions!$D$2:$D$1061,MATCH($A290&amp;"|11",Positions!$A$2:$A$1061,0))</f>
        <v>11</v>
      </c>
      <c r="E290" s="4" t="n">
        <f aca="false">INDEX(Positions!$D$2:$D$1061,MATCH($A290&amp;"|24",Positions!$A$2:$A$1061,0))</f>
        <v>25</v>
      </c>
      <c r="F290" s="4" t="str">
        <f aca="false">INDEX(Positions!$E$2:$E$1061,MATCH($A290&amp;"|11",Positions!$A$2:$A$1061,0))</f>
        <v>U</v>
      </c>
      <c r="G290" s="4" t="str">
        <f aca="false">INDEX(Positions!$E$2:$E$1061,MATCH($A290&amp;"|24",Positions!$A$2:$A$1061,0))</f>
        <v>A</v>
      </c>
      <c r="H290" s="3" t="str">
        <f aca="false">F290&amp;"-"&amp;G290</f>
        <v>U-A</v>
      </c>
      <c r="I290" s="4" t="n">
        <f aca="false">(F290="G")+(G290="G")</f>
        <v>0</v>
      </c>
      <c r="J290" s="4" t="n">
        <f aca="false">(F290="C")+(G290="C")</f>
        <v>0</v>
      </c>
      <c r="K290" s="3" t="n">
        <f aca="false">I290+J290</f>
        <v>0</v>
      </c>
    </row>
    <row r="291" customFormat="false" ht="15" hidden="false" customHeight="false" outlineLevel="0" collapsed="false">
      <c r="A291" s="4" t="s">
        <v>47</v>
      </c>
      <c r="B291" s="4" t="s">
        <v>75</v>
      </c>
      <c r="C291" s="4" t="s">
        <v>189</v>
      </c>
      <c r="D291" s="4" t="n">
        <f aca="false">INDEX(Positions!$D$2:$D$1061,MATCH($A291&amp;"|12",Positions!$A$2:$A$1061,0))</f>
        <v>12</v>
      </c>
      <c r="E291" s="4" t="n">
        <f aca="false">INDEX(Positions!$D$2:$D$1061,MATCH($A291&amp;"|23",Positions!$A$2:$A$1061,0))</f>
        <v>24</v>
      </c>
      <c r="F291" s="4" t="str">
        <f aca="false">INDEX(Positions!$E$2:$E$1061,MATCH($A291&amp;"|12",Positions!$A$2:$A$1061,0))</f>
        <v>G</v>
      </c>
      <c r="G291" s="4" t="str">
        <f aca="false">INDEX(Positions!$E$2:$E$1061,MATCH($A291&amp;"|23",Positions!$A$2:$A$1061,0))</f>
        <v>U</v>
      </c>
      <c r="H291" s="3" t="str">
        <f aca="false">F291&amp;"-"&amp;G291</f>
        <v>G-U</v>
      </c>
      <c r="I291" s="4" t="n">
        <f aca="false">(F291="G")+(G291="G")</f>
        <v>1</v>
      </c>
      <c r="J291" s="4" t="n">
        <f aca="false">(F291="C")+(G291="C")</f>
        <v>0</v>
      </c>
      <c r="K291" s="3" t="n">
        <f aca="false">I291+J291</f>
        <v>1</v>
      </c>
    </row>
    <row r="292" customFormat="false" ht="15" hidden="false" customHeight="false" outlineLevel="0" collapsed="false">
      <c r="A292" s="4" t="s">
        <v>47</v>
      </c>
      <c r="B292" s="4" t="s">
        <v>75</v>
      </c>
      <c r="C292" s="4" t="s">
        <v>190</v>
      </c>
      <c r="D292" s="4" t="n">
        <f aca="false">INDEX(Positions!$D$2:$D$1061,MATCH($A292&amp;"|13",Positions!$A$2:$A$1061,0))</f>
        <v>13</v>
      </c>
      <c r="E292" s="4" t="n">
        <f aca="false">INDEX(Positions!$D$2:$D$1061,MATCH($A292&amp;"|22",Positions!$A$2:$A$1061,0))</f>
        <v>23</v>
      </c>
      <c r="F292" s="4" t="str">
        <f aca="false">INDEX(Positions!$E$2:$E$1061,MATCH($A292&amp;"|13",Positions!$A$2:$A$1061,0))</f>
        <v>A</v>
      </c>
      <c r="G292" s="4" t="str">
        <f aca="false">INDEX(Positions!$E$2:$E$1061,MATCH($A292&amp;"|22",Positions!$A$2:$A$1061,0))</f>
        <v>U</v>
      </c>
      <c r="H292" s="3" t="str">
        <f aca="false">F292&amp;"-"&amp;G292</f>
        <v>A-U</v>
      </c>
      <c r="I292" s="4" t="n">
        <f aca="false">(F292="G")+(G292="G")</f>
        <v>0</v>
      </c>
      <c r="J292" s="4" t="n">
        <f aca="false">(F292="C")+(G292="C")</f>
        <v>0</v>
      </c>
      <c r="K292" s="3" t="n">
        <f aca="false">I292+J292</f>
        <v>0</v>
      </c>
    </row>
    <row r="293" customFormat="false" ht="15" hidden="false" customHeight="false" outlineLevel="0" collapsed="false">
      <c r="A293" s="4" t="s">
        <v>47</v>
      </c>
      <c r="B293" s="4" t="s">
        <v>96</v>
      </c>
      <c r="C293" s="4" t="s">
        <v>191</v>
      </c>
      <c r="D293" s="4" t="n">
        <f aca="false">INDEX(Positions!$D$2:$D$1061,MATCH($A293&amp;"|27",Positions!$A$2:$A$1061,0))</f>
        <v>28</v>
      </c>
      <c r="E293" s="4" t="n">
        <f aca="false">INDEX(Positions!$D$2:$D$1061,MATCH($A293&amp;"|43",Positions!$A$2:$A$1061,0))</f>
        <v>44</v>
      </c>
      <c r="F293" s="4" t="str">
        <f aca="false">INDEX(Positions!$E$2:$E$1061,MATCH($A293&amp;"|27",Positions!$A$2:$A$1061,0))</f>
        <v>G</v>
      </c>
      <c r="G293" s="4" t="str">
        <f aca="false">INDEX(Positions!$E$2:$E$1061,MATCH($A293&amp;"|43",Positions!$A$2:$A$1061,0))</f>
        <v>U</v>
      </c>
      <c r="H293" s="3" t="str">
        <f aca="false">F293&amp;"-"&amp;G293</f>
        <v>G-U</v>
      </c>
      <c r="I293" s="4" t="n">
        <f aca="false">(F293="G")+(G293="G")</f>
        <v>1</v>
      </c>
      <c r="J293" s="4" t="n">
        <f aca="false">(F293="C")+(G293="C")</f>
        <v>0</v>
      </c>
      <c r="K293" s="3" t="n">
        <f aca="false">I293+J293</f>
        <v>1</v>
      </c>
    </row>
    <row r="294" customFormat="false" ht="15" hidden="false" customHeight="false" outlineLevel="0" collapsed="false">
      <c r="A294" s="4" t="s">
        <v>47</v>
      </c>
      <c r="B294" s="4" t="s">
        <v>96</v>
      </c>
      <c r="C294" s="4" t="s">
        <v>192</v>
      </c>
      <c r="D294" s="4" t="n">
        <f aca="false">INDEX(Positions!$D$2:$D$1061,MATCH($A294&amp;"|28",Positions!$A$2:$A$1061,0))</f>
        <v>29</v>
      </c>
      <c r="E294" s="4" t="n">
        <f aca="false">INDEX(Positions!$D$2:$D$1061,MATCH($A294&amp;"|42",Positions!$A$2:$A$1061,0))</f>
        <v>43</v>
      </c>
      <c r="F294" s="4" t="str">
        <f aca="false">INDEX(Positions!$E$2:$E$1061,MATCH($A294&amp;"|28",Positions!$A$2:$A$1061,0))</f>
        <v>A</v>
      </c>
      <c r="G294" s="4" t="str">
        <f aca="false">INDEX(Positions!$E$2:$E$1061,MATCH($A294&amp;"|42",Positions!$A$2:$A$1061,0))</f>
        <v>U</v>
      </c>
      <c r="H294" s="3" t="str">
        <f aca="false">F294&amp;"-"&amp;G294</f>
        <v>A-U</v>
      </c>
      <c r="I294" s="4" t="n">
        <f aca="false">(F294="G")+(G294="G")</f>
        <v>0</v>
      </c>
      <c r="J294" s="4" t="n">
        <f aca="false">(F294="C")+(G294="C")</f>
        <v>0</v>
      </c>
      <c r="K294" s="3" t="n">
        <f aca="false">I294+J294</f>
        <v>0</v>
      </c>
    </row>
    <row r="295" customFormat="false" ht="15" hidden="false" customHeight="false" outlineLevel="0" collapsed="false">
      <c r="A295" s="4" t="s">
        <v>47</v>
      </c>
      <c r="B295" s="4" t="s">
        <v>96</v>
      </c>
      <c r="C295" s="4" t="s">
        <v>193</v>
      </c>
      <c r="D295" s="4" t="n">
        <f aca="false">INDEX(Positions!$D$2:$D$1061,MATCH($A295&amp;"|29",Positions!$A$2:$A$1061,0))</f>
        <v>30</v>
      </c>
      <c r="E295" s="4" t="n">
        <f aca="false">INDEX(Positions!$D$2:$D$1061,MATCH($A295&amp;"|41",Positions!$A$2:$A$1061,0))</f>
        <v>42</v>
      </c>
      <c r="F295" s="4" t="str">
        <f aca="false">INDEX(Positions!$E$2:$E$1061,MATCH($A295&amp;"|29",Positions!$A$2:$A$1061,0))</f>
        <v>U</v>
      </c>
      <c r="G295" s="4" t="str">
        <f aca="false">INDEX(Positions!$E$2:$E$1061,MATCH($A295&amp;"|41",Positions!$A$2:$A$1061,0))</f>
        <v>A</v>
      </c>
      <c r="H295" s="3" t="str">
        <f aca="false">F295&amp;"-"&amp;G295</f>
        <v>U-A</v>
      </c>
      <c r="I295" s="4" t="n">
        <f aca="false">(F295="G")+(G295="G")</f>
        <v>0</v>
      </c>
      <c r="J295" s="4" t="n">
        <f aca="false">(F295="C")+(G295="C")</f>
        <v>0</v>
      </c>
      <c r="K295" s="3" t="n">
        <f aca="false">I295+J295</f>
        <v>0</v>
      </c>
    </row>
    <row r="296" customFormat="false" ht="15" hidden="false" customHeight="false" outlineLevel="0" collapsed="false">
      <c r="A296" s="4" t="s">
        <v>47</v>
      </c>
      <c r="B296" s="4" t="s">
        <v>96</v>
      </c>
      <c r="C296" s="4" t="s">
        <v>194</v>
      </c>
      <c r="D296" s="4" t="n">
        <f aca="false">INDEX(Positions!$D$2:$D$1061,MATCH($A296&amp;"|30",Positions!$A$2:$A$1061,0))</f>
        <v>31</v>
      </c>
      <c r="E296" s="4" t="n">
        <f aca="false">INDEX(Positions!$D$2:$D$1061,MATCH($A296&amp;"|40",Positions!$A$2:$A$1061,0))</f>
        <v>41</v>
      </c>
      <c r="F296" s="4" t="str">
        <f aca="false">INDEX(Positions!$E$2:$E$1061,MATCH($A296&amp;"|30",Positions!$A$2:$A$1061,0))</f>
        <v>U</v>
      </c>
      <c r="G296" s="4" t="str">
        <f aca="false">INDEX(Positions!$E$2:$E$1061,MATCH($A296&amp;"|40",Positions!$A$2:$A$1061,0))</f>
        <v>A</v>
      </c>
      <c r="H296" s="3" t="str">
        <f aca="false">F296&amp;"-"&amp;G296</f>
        <v>U-A</v>
      </c>
      <c r="I296" s="4" t="n">
        <f aca="false">(F296="G")+(G296="G")</f>
        <v>0</v>
      </c>
      <c r="J296" s="4" t="n">
        <f aca="false">(F296="C")+(G296="C")</f>
        <v>0</v>
      </c>
      <c r="K296" s="3" t="n">
        <f aca="false">I296+J296</f>
        <v>0</v>
      </c>
    </row>
    <row r="297" customFormat="false" ht="15" hidden="false" customHeight="false" outlineLevel="0" collapsed="false">
      <c r="A297" s="4" t="s">
        <v>47</v>
      </c>
      <c r="B297" s="4" t="s">
        <v>96</v>
      </c>
      <c r="C297" s="4" t="s">
        <v>195</v>
      </c>
      <c r="D297" s="4" t="n">
        <f aca="false">INDEX(Positions!$D$2:$D$1061,MATCH($A297&amp;"|31",Positions!$A$2:$A$1061,0))</f>
        <v>32</v>
      </c>
      <c r="E297" s="4" t="n">
        <f aca="false">INDEX(Positions!$D$2:$D$1061,MATCH($A297&amp;"|39",Positions!$A$2:$A$1061,0))</f>
        <v>40</v>
      </c>
      <c r="F297" s="4" t="str">
        <f aca="false">INDEX(Positions!$E$2:$E$1061,MATCH($A297&amp;"|31",Positions!$A$2:$A$1061,0))</f>
        <v>A</v>
      </c>
      <c r="G297" s="4" t="str">
        <f aca="false">INDEX(Positions!$E$2:$E$1061,MATCH($A297&amp;"|39",Positions!$A$2:$A$1061,0))</f>
        <v>U</v>
      </c>
      <c r="H297" s="3" t="str">
        <f aca="false">F297&amp;"-"&amp;G297</f>
        <v>A-U</v>
      </c>
      <c r="I297" s="4" t="n">
        <f aca="false">(F297="G")+(G297="G")</f>
        <v>0</v>
      </c>
      <c r="J297" s="4" t="n">
        <f aca="false">(F297="C")+(G297="C")</f>
        <v>0</v>
      </c>
      <c r="K297" s="3" t="n">
        <f aca="false">I297+J297</f>
        <v>0</v>
      </c>
    </row>
    <row r="298" customFormat="false" ht="15" hidden="false" customHeight="false" outlineLevel="0" collapsed="false">
      <c r="A298" s="4" t="s">
        <v>47</v>
      </c>
      <c r="B298" s="4" t="s">
        <v>126</v>
      </c>
      <c r="C298" s="4" t="s">
        <v>196</v>
      </c>
      <c r="D298" s="4" t="n">
        <f aca="false">INDEX(Positions!$D$2:$D$1061,MATCH($A298&amp;"|49",Positions!$A$2:$A$1061,0))</f>
        <v>51</v>
      </c>
      <c r="E298" s="4" t="n">
        <f aca="false">INDEX(Positions!$D$2:$D$1061,MATCH($A298&amp;"|65",Positions!$A$2:$A$1061,0))</f>
        <v>67</v>
      </c>
      <c r="F298" s="4" t="str">
        <f aca="false">INDEX(Positions!$E$2:$E$1061,MATCH($A298&amp;"|49",Positions!$A$2:$A$1061,0))</f>
        <v>A</v>
      </c>
      <c r="G298" s="4" t="str">
        <f aca="false">INDEX(Positions!$E$2:$E$1061,MATCH($A298&amp;"|65",Positions!$A$2:$A$1061,0))</f>
        <v>U</v>
      </c>
      <c r="H298" s="3" t="str">
        <f aca="false">F298&amp;"-"&amp;G298</f>
        <v>A-U</v>
      </c>
      <c r="I298" s="4" t="n">
        <f aca="false">(F298="G")+(G298="G")</f>
        <v>0</v>
      </c>
      <c r="J298" s="4" t="n">
        <f aca="false">(F298="C")+(G298="C")</f>
        <v>0</v>
      </c>
      <c r="K298" s="3" t="n">
        <f aca="false">I298+J298</f>
        <v>0</v>
      </c>
    </row>
    <row r="299" customFormat="false" ht="15" hidden="false" customHeight="false" outlineLevel="0" collapsed="false">
      <c r="A299" s="4" t="s">
        <v>47</v>
      </c>
      <c r="B299" s="4" t="s">
        <v>126</v>
      </c>
      <c r="C299" s="4" t="s">
        <v>197</v>
      </c>
      <c r="D299" s="4" t="n">
        <f aca="false">INDEX(Positions!$D$2:$D$1061,MATCH($A299&amp;"|50",Positions!$A$2:$A$1061,0))</f>
        <v>52</v>
      </c>
      <c r="E299" s="4" t="n">
        <f aca="false">INDEX(Positions!$D$2:$D$1061,MATCH($A299&amp;"|64",Positions!$A$2:$A$1061,0))</f>
        <v>66</v>
      </c>
      <c r="F299" s="4" t="str">
        <f aca="false">INDEX(Positions!$E$2:$E$1061,MATCH($A299&amp;"|50",Positions!$A$2:$A$1061,0))</f>
        <v>U</v>
      </c>
      <c r="G299" s="4" t="str">
        <f aca="false">INDEX(Positions!$E$2:$E$1061,MATCH($A299&amp;"|64",Positions!$A$2:$A$1061,0))</f>
        <v>G</v>
      </c>
      <c r="H299" s="3" t="str">
        <f aca="false">F299&amp;"-"&amp;G299</f>
        <v>U-G</v>
      </c>
      <c r="I299" s="4" t="n">
        <f aca="false">(F299="G")+(G299="G")</f>
        <v>1</v>
      </c>
      <c r="J299" s="4" t="n">
        <f aca="false">(F299="C")+(G299="C")</f>
        <v>0</v>
      </c>
      <c r="K299" s="3" t="n">
        <f aca="false">I299+J299</f>
        <v>1</v>
      </c>
    </row>
    <row r="300" customFormat="false" ht="15" hidden="false" customHeight="false" outlineLevel="0" collapsed="false">
      <c r="A300" s="4" t="s">
        <v>47</v>
      </c>
      <c r="B300" s="4" t="s">
        <v>126</v>
      </c>
      <c r="C300" s="4" t="s">
        <v>198</v>
      </c>
      <c r="D300" s="4" t="n">
        <f aca="false">INDEX(Positions!$D$2:$D$1061,MATCH($A300&amp;"|51",Positions!$A$2:$A$1061,0))</f>
        <v>53</v>
      </c>
      <c r="E300" s="4" t="n">
        <f aca="false">INDEX(Positions!$D$2:$D$1061,MATCH($A300&amp;"|63",Positions!$A$2:$A$1061,0))</f>
        <v>65</v>
      </c>
      <c r="F300" s="4" t="str">
        <f aca="false">INDEX(Positions!$E$2:$E$1061,MATCH($A300&amp;"|51",Positions!$A$2:$A$1061,0))</f>
        <v>U</v>
      </c>
      <c r="G300" s="4" t="str">
        <f aca="false">INDEX(Positions!$E$2:$E$1061,MATCH($A300&amp;"|63",Positions!$A$2:$A$1061,0))</f>
        <v>A</v>
      </c>
      <c r="H300" s="3" t="str">
        <f aca="false">F300&amp;"-"&amp;G300</f>
        <v>U-A</v>
      </c>
      <c r="I300" s="4" t="n">
        <f aca="false">(F300="G")+(G300="G")</f>
        <v>0</v>
      </c>
      <c r="J300" s="4" t="n">
        <f aca="false">(F300="C")+(G300="C")</f>
        <v>0</v>
      </c>
      <c r="K300" s="3" t="n">
        <f aca="false">I300+J300</f>
        <v>0</v>
      </c>
    </row>
    <row r="301" customFormat="false" ht="15" hidden="false" customHeight="false" outlineLevel="0" collapsed="false">
      <c r="A301" s="4" t="s">
        <v>47</v>
      </c>
      <c r="B301" s="4" t="s">
        <v>126</v>
      </c>
      <c r="C301" s="4" t="s">
        <v>199</v>
      </c>
      <c r="D301" s="4" t="n">
        <f aca="false">INDEX(Positions!$D$2:$D$1061,MATCH($A301&amp;"|52",Positions!$A$2:$A$1061,0))</f>
        <v>54</v>
      </c>
      <c r="E301" s="4" t="n">
        <f aca="false">INDEX(Positions!$D$2:$D$1061,MATCH($A301&amp;"|62",Positions!$A$2:$A$1061,0))</f>
        <v>64</v>
      </c>
      <c r="F301" s="4" t="str">
        <f aca="false">INDEX(Positions!$E$2:$E$1061,MATCH($A301&amp;"|52",Positions!$A$2:$A$1061,0))</f>
        <v>C</v>
      </c>
      <c r="G301" s="4" t="str">
        <f aca="false">INDEX(Positions!$E$2:$E$1061,MATCH($A301&amp;"|62",Positions!$A$2:$A$1061,0))</f>
        <v>U</v>
      </c>
      <c r="H301" s="3" t="str">
        <f aca="false">F301&amp;"-"&amp;G301</f>
        <v>C-U</v>
      </c>
      <c r="I301" s="4" t="n">
        <f aca="false">(F301="G")+(G301="G")</f>
        <v>0</v>
      </c>
      <c r="J301" s="4" t="n">
        <f aca="false">(F301="C")+(G301="C")</f>
        <v>1</v>
      </c>
      <c r="K301" s="3" t="n">
        <f aca="false">I301+J301</f>
        <v>1</v>
      </c>
    </row>
    <row r="302" customFormat="false" ht="15" hidden="false" customHeight="false" outlineLevel="0" collapsed="false">
      <c r="A302" s="4" t="s">
        <v>47</v>
      </c>
      <c r="B302" s="4" t="s">
        <v>126</v>
      </c>
      <c r="C302" s="4" t="s">
        <v>200</v>
      </c>
      <c r="D302" s="4" t="n">
        <f aca="false">INDEX(Positions!$D$2:$D$1061,MATCH($A302&amp;"|53",Positions!$A$2:$A$1061,0))</f>
        <v>55</v>
      </c>
      <c r="E302" s="4" t="n">
        <f aca="false">INDEX(Positions!$D$2:$D$1061,MATCH($A302&amp;"|61",Positions!$A$2:$A$1061,0))</f>
        <v>63</v>
      </c>
      <c r="F302" s="4" t="str">
        <f aca="false">INDEX(Positions!$E$2:$E$1061,MATCH($A302&amp;"|53",Positions!$A$2:$A$1061,0))</f>
        <v>G</v>
      </c>
      <c r="G302" s="4" t="str">
        <f aca="false">INDEX(Positions!$E$2:$E$1061,MATCH($A302&amp;"|61",Positions!$A$2:$A$1061,0))</f>
        <v>C</v>
      </c>
      <c r="H302" s="3" t="str">
        <f aca="false">F302&amp;"-"&amp;G302</f>
        <v>G-C</v>
      </c>
      <c r="I302" s="4" t="n">
        <f aca="false">(F302="G")+(G302="G")</f>
        <v>1</v>
      </c>
      <c r="J302" s="4" t="n">
        <f aca="false">(F302="C")+(G302="C")</f>
        <v>1</v>
      </c>
      <c r="K302" s="3" t="n">
        <f aca="false">I302+J302</f>
        <v>2</v>
      </c>
    </row>
    <row r="303" customFormat="false" ht="15" hidden="false" customHeight="false" outlineLevel="0" collapsed="false">
      <c r="A303" s="23" t="s">
        <v>47</v>
      </c>
      <c r="B303" s="23" t="s">
        <v>201</v>
      </c>
      <c r="C303" s="23" t="s">
        <v>202</v>
      </c>
      <c r="D303" s="23" t="n">
        <f aca="false">INDEX(Positions!$D$2:$D$1061,MATCH($A303&amp;"|8",Positions!$A$2:$A$1061,0))</f>
        <v>8</v>
      </c>
      <c r="E303" s="23" t="n">
        <f aca="false">INDEX(Positions!$D$2:$D$1061,MATCH($A303&amp;"|14",Positions!$A$2:$A$1061,0))</f>
        <v>14</v>
      </c>
      <c r="F303" s="23" t="str">
        <f aca="false">INDEX(Positions!$E$2:$E$1061,MATCH($A303&amp;"|8",Positions!$A$2:$A$1061,0))</f>
        <v>U</v>
      </c>
      <c r="G303" s="23" t="str">
        <f aca="false">INDEX(Positions!$E$2:$E$1061,MATCH($A303&amp;"|14",Positions!$A$2:$A$1061,0))</f>
        <v>A</v>
      </c>
      <c r="H303" s="24" t="str">
        <f aca="false">F303&amp;"-"&amp;G303</f>
        <v>U-A</v>
      </c>
      <c r="I303" s="23" t="n">
        <f aca="false">(F303="G")+(G303="G")</f>
        <v>0</v>
      </c>
      <c r="J303" s="23" t="n">
        <f aca="false">(F303="C")+(G303="C")</f>
        <v>0</v>
      </c>
      <c r="K303" s="24" t="n">
        <f aca="false">I303+J303</f>
        <v>0</v>
      </c>
    </row>
    <row r="304" customFormat="false" ht="15" hidden="false" customHeight="false" outlineLevel="0" collapsed="false">
      <c r="A304" s="23" t="s">
        <v>47</v>
      </c>
      <c r="B304" s="23" t="s">
        <v>201</v>
      </c>
      <c r="C304" s="23" t="s">
        <v>203</v>
      </c>
      <c r="D304" s="23" t="n">
        <f aca="false">INDEX(Positions!$D$2:$D$1061,MATCH($A304&amp;"|15",Positions!$A$2:$A$1061,0))</f>
        <v>15</v>
      </c>
      <c r="E304" s="23" t="n">
        <f aca="false">INDEX(Positions!$D$2:$D$1061,MATCH($A304&amp;"|48",Positions!$A$2:$A$1061,0))</f>
        <v>50</v>
      </c>
      <c r="F304" s="23" t="str">
        <f aca="false">INDEX(Positions!$E$2:$E$1061,MATCH($A304&amp;"|15",Positions!$A$2:$A$1061,0))</f>
        <v>U</v>
      </c>
      <c r="G304" s="23" t="str">
        <f aca="false">INDEX(Positions!$E$2:$E$1061,MATCH($A304&amp;"|48",Positions!$A$2:$A$1061,0))</f>
        <v>G</v>
      </c>
      <c r="H304" s="24" t="str">
        <f aca="false">F304&amp;"-"&amp;G304</f>
        <v>U-G</v>
      </c>
      <c r="I304" s="23" t="n">
        <f aca="false">(F304="G")+(G304="G")</f>
        <v>1</v>
      </c>
      <c r="J304" s="23" t="n">
        <f aca="false">(F304="C")+(G304="C")</f>
        <v>0</v>
      </c>
      <c r="K304" s="24" t="n">
        <f aca="false">I304+J304</f>
        <v>1</v>
      </c>
    </row>
    <row r="305" customFormat="false" ht="15" hidden="false" customHeight="false" outlineLevel="0" collapsed="false">
      <c r="A305" s="23" t="s">
        <v>47</v>
      </c>
      <c r="B305" s="23" t="s">
        <v>201</v>
      </c>
      <c r="C305" s="23" t="s">
        <v>204</v>
      </c>
      <c r="D305" s="23" t="n">
        <f aca="false">INDEX(Positions!$D$2:$D$1061,MATCH($A305&amp;"|18",Positions!$A$2:$A$1061,0))</f>
        <v>18</v>
      </c>
      <c r="E305" s="23" t="n">
        <f aca="false">INDEX(Positions!$D$2:$D$1061,MATCH($A305&amp;"|55",Positions!$A$2:$A$1061,0))</f>
        <v>57</v>
      </c>
      <c r="F305" s="23" t="str">
        <f aca="false">INDEX(Positions!$E$2:$E$1061,MATCH($A305&amp;"|18",Positions!$A$2:$A$1061,0))</f>
        <v>G</v>
      </c>
      <c r="G305" s="23" t="str">
        <f aca="false">INDEX(Positions!$E$2:$E$1061,MATCH($A305&amp;"|55",Positions!$A$2:$A$1061,0))</f>
        <v>U</v>
      </c>
      <c r="H305" s="24" t="str">
        <f aca="false">F305&amp;"-"&amp;G305</f>
        <v>G-U</v>
      </c>
      <c r="I305" s="23" t="n">
        <f aca="false">(F305="G")+(G305="G")</f>
        <v>1</v>
      </c>
      <c r="J305" s="23" t="n">
        <f aca="false">(F305="C")+(G305="C")</f>
        <v>0</v>
      </c>
      <c r="K305" s="24" t="n">
        <f aca="false">I305+J305</f>
        <v>1</v>
      </c>
    </row>
    <row r="306" customFormat="false" ht="15" hidden="false" customHeight="false" outlineLevel="0" collapsed="false">
      <c r="A306" s="23" t="s">
        <v>47</v>
      </c>
      <c r="B306" s="23" t="s">
        <v>201</v>
      </c>
      <c r="C306" s="23" t="s">
        <v>205</v>
      </c>
      <c r="D306" s="23" t="n">
        <f aca="false">INDEX(Positions!$D$2:$D$1061,MATCH($A306&amp;"|19",Positions!$A$2:$A$1061,0))</f>
        <v>19</v>
      </c>
      <c r="E306" s="23" t="n">
        <f aca="false">INDEX(Positions!$D$2:$D$1061,MATCH($A306&amp;"|56",Positions!$A$2:$A$1061,0))</f>
        <v>58</v>
      </c>
      <c r="F306" s="23" t="str">
        <f aca="false">INDEX(Positions!$E$2:$E$1061,MATCH($A306&amp;"|19",Positions!$A$2:$A$1061,0))</f>
        <v>G</v>
      </c>
      <c r="G306" s="23" t="str">
        <f aca="false">INDEX(Positions!$E$2:$E$1061,MATCH($A306&amp;"|56",Positions!$A$2:$A$1061,0))</f>
        <v>C</v>
      </c>
      <c r="H306" s="24" t="str">
        <f aca="false">F306&amp;"-"&amp;G306</f>
        <v>G-C</v>
      </c>
      <c r="I306" s="23" t="n">
        <f aca="false">(F306="G")+(G306="G")</f>
        <v>1</v>
      </c>
      <c r="J306" s="23" t="n">
        <f aca="false">(F306="C")+(G306="C")</f>
        <v>1</v>
      </c>
      <c r="K306" s="24" t="n">
        <f aca="false">I306+J306</f>
        <v>2</v>
      </c>
    </row>
    <row r="307" customFormat="false" ht="15" hidden="false" customHeight="false" outlineLevel="0" collapsed="false">
      <c r="A307" s="23" t="s">
        <v>47</v>
      </c>
      <c r="B307" s="23" t="s">
        <v>201</v>
      </c>
      <c r="C307" s="23" t="s">
        <v>206</v>
      </c>
      <c r="D307" s="23" t="n">
        <f aca="false">INDEX(Positions!$D$2:$D$1061,MATCH($A307&amp;"|26",Positions!$A$2:$A$1061,0))</f>
        <v>27</v>
      </c>
      <c r="E307" s="23" t="n">
        <f aca="false">INDEX(Positions!$D$2:$D$1061,MATCH($A307&amp;"|44",Positions!$A$2:$A$1061,0))</f>
        <v>45</v>
      </c>
      <c r="F307" s="23" t="str">
        <f aca="false">INDEX(Positions!$E$2:$E$1061,MATCH($A307&amp;"|26",Positions!$A$2:$A$1061,0))</f>
        <v>U</v>
      </c>
      <c r="G307" s="23" t="str">
        <f aca="false">INDEX(Positions!$E$2:$E$1061,MATCH($A307&amp;"|44",Positions!$A$2:$A$1061,0))</f>
        <v>A</v>
      </c>
      <c r="H307" s="24" t="str">
        <f aca="false">F307&amp;"-"&amp;G307</f>
        <v>U-A</v>
      </c>
      <c r="I307" s="23" t="n">
        <f aca="false">(F307="G")+(G307="G")</f>
        <v>0</v>
      </c>
      <c r="J307" s="23" t="n">
        <f aca="false">(F307="C")+(G307="C")</f>
        <v>0</v>
      </c>
      <c r="K307" s="24" t="n">
        <f aca="false">I307+J307</f>
        <v>0</v>
      </c>
    </row>
    <row r="308" customFormat="false" ht="15" hidden="false" customHeight="false" outlineLevel="0" collapsed="false">
      <c r="A308" s="23" t="s">
        <v>47</v>
      </c>
      <c r="B308" s="23" t="s">
        <v>201</v>
      </c>
      <c r="C308" s="23" t="s">
        <v>207</v>
      </c>
      <c r="D308" s="23" t="n">
        <f aca="false">INDEX(Positions!$D$2:$D$1061,MATCH($A308&amp;"|32",Positions!$A$2:$A$1061,0))</f>
        <v>33</v>
      </c>
      <c r="E308" s="23" t="n">
        <f aca="false">INDEX(Positions!$D$2:$D$1061,MATCH($A308&amp;"|38",Positions!$A$2:$A$1061,0))</f>
        <v>39</v>
      </c>
      <c r="F308" s="23" t="str">
        <f aca="false">INDEX(Positions!$E$2:$E$1061,MATCH($A308&amp;"|32",Positions!$A$2:$A$1061,0))</f>
        <v>G</v>
      </c>
      <c r="G308" s="23" t="str">
        <f aca="false">INDEX(Positions!$E$2:$E$1061,MATCH($A308&amp;"|38",Positions!$A$2:$A$1061,0))</f>
        <v>U</v>
      </c>
      <c r="H308" s="24" t="str">
        <f aca="false">F308&amp;"-"&amp;G308</f>
        <v>G-U</v>
      </c>
      <c r="I308" s="23" t="n">
        <f aca="false">(F308="G")+(G308="G")</f>
        <v>1</v>
      </c>
      <c r="J308" s="23" t="n">
        <f aca="false">(F308="C")+(G308="C")</f>
        <v>0</v>
      </c>
      <c r="K308" s="24" t="n">
        <f aca="false">I308+J308</f>
        <v>1</v>
      </c>
    </row>
    <row r="309" customFormat="false" ht="15" hidden="false" customHeight="false" outlineLevel="0" collapsed="false">
      <c r="A309" s="23" t="s">
        <v>47</v>
      </c>
      <c r="B309" s="23" t="s">
        <v>201</v>
      </c>
      <c r="C309" s="23" t="s">
        <v>208</v>
      </c>
      <c r="D309" s="23" t="n">
        <f aca="false">INDEX(Positions!$D$2:$D$1061,MATCH($A309&amp;"|54",Positions!$A$2:$A$1061,0))</f>
        <v>56</v>
      </c>
      <c r="E309" s="23" t="n">
        <f aca="false">INDEX(Positions!$D$2:$D$1061,MATCH($A309&amp;"|58",Positions!$A$2:$A$1061,0))</f>
        <v>60</v>
      </c>
      <c r="F309" s="23" t="str">
        <f aca="false">INDEX(Positions!$E$2:$E$1061,MATCH($A309&amp;"|54",Positions!$A$2:$A$1061,0))</f>
        <v>U</v>
      </c>
      <c r="G309" s="23" t="str">
        <f aca="false">INDEX(Positions!$E$2:$E$1061,MATCH($A309&amp;"|58",Positions!$A$2:$A$1061,0))</f>
        <v>A</v>
      </c>
      <c r="H309" s="24" t="str">
        <f aca="false">F309&amp;"-"&amp;G309</f>
        <v>U-A</v>
      </c>
      <c r="I309" s="23" t="n">
        <f aca="false">(F309="G")+(G309="G")</f>
        <v>0</v>
      </c>
      <c r="J309" s="23" t="n">
        <f aca="false">(F309="C")+(G309="C")</f>
        <v>0</v>
      </c>
      <c r="K309" s="24" t="n">
        <f aca="false">I309+J309</f>
        <v>0</v>
      </c>
    </row>
    <row r="310" customFormat="false" ht="15" hidden="false" customHeight="false" outlineLevel="0" collapsed="false">
      <c r="A310" s="4" t="s">
        <v>48</v>
      </c>
      <c r="B310" s="4" t="s">
        <v>60</v>
      </c>
      <c r="C310" s="4" t="s">
        <v>180</v>
      </c>
      <c r="D310" s="4" t="n">
        <f aca="false">INDEX(Positions!$D$2:$D$1061,MATCH($A310&amp;"|1",Positions!$A$2:$A$1061,0))</f>
        <v>1</v>
      </c>
      <c r="E310" s="4" t="n">
        <f aca="false">INDEX(Positions!$D$2:$D$1061,MATCH($A310&amp;"|72",Positions!$A$2:$A$1061,0))</f>
        <v>82</v>
      </c>
      <c r="F310" s="4" t="str">
        <f aca="false">INDEX(Positions!$E$2:$E$1061,MATCH($A310&amp;"|1",Positions!$A$2:$A$1061,0))</f>
        <v>A</v>
      </c>
      <c r="G310" s="4" t="str">
        <f aca="false">INDEX(Positions!$E$2:$E$1061,MATCH($A310&amp;"|72",Positions!$A$2:$A$1061,0))</f>
        <v>U</v>
      </c>
      <c r="H310" s="3" t="str">
        <f aca="false">F310&amp;"-"&amp;G310</f>
        <v>A-U</v>
      </c>
      <c r="I310" s="4" t="n">
        <f aca="false">(F310="G")+(G310="G")</f>
        <v>0</v>
      </c>
      <c r="J310" s="4" t="n">
        <f aca="false">(F310="C")+(G310="C")</f>
        <v>0</v>
      </c>
      <c r="K310" s="3" t="n">
        <f aca="false">I310+J310</f>
        <v>0</v>
      </c>
    </row>
    <row r="311" customFormat="false" ht="15" hidden="false" customHeight="false" outlineLevel="0" collapsed="false">
      <c r="A311" s="4" t="s">
        <v>48</v>
      </c>
      <c r="B311" s="4" t="s">
        <v>60</v>
      </c>
      <c r="C311" s="4" t="s">
        <v>181</v>
      </c>
      <c r="D311" s="4" t="n">
        <f aca="false">INDEX(Positions!$D$2:$D$1061,MATCH($A311&amp;"|2",Positions!$A$2:$A$1061,0))</f>
        <v>2</v>
      </c>
      <c r="E311" s="4" t="n">
        <f aca="false">INDEX(Positions!$D$2:$D$1061,MATCH($A311&amp;"|71",Positions!$A$2:$A$1061,0))</f>
        <v>81</v>
      </c>
      <c r="F311" s="4" t="str">
        <f aca="false">INDEX(Positions!$E$2:$E$1061,MATCH($A311&amp;"|2",Positions!$A$2:$A$1061,0))</f>
        <v>G</v>
      </c>
      <c r="G311" s="4" t="str">
        <f aca="false">INDEX(Positions!$E$2:$E$1061,MATCH($A311&amp;"|71",Positions!$A$2:$A$1061,0))</f>
        <v>U</v>
      </c>
      <c r="H311" s="3" t="str">
        <f aca="false">F311&amp;"-"&amp;G311</f>
        <v>G-U</v>
      </c>
      <c r="I311" s="4" t="n">
        <f aca="false">(F311="G")+(G311="G")</f>
        <v>1</v>
      </c>
      <c r="J311" s="4" t="n">
        <f aca="false">(F311="C")+(G311="C")</f>
        <v>0</v>
      </c>
      <c r="K311" s="3" t="n">
        <f aca="false">I311+J311</f>
        <v>1</v>
      </c>
    </row>
    <row r="312" customFormat="false" ht="15" hidden="false" customHeight="false" outlineLevel="0" collapsed="false">
      <c r="A312" s="4" t="s">
        <v>48</v>
      </c>
      <c r="B312" s="4" t="s">
        <v>60</v>
      </c>
      <c r="C312" s="4" t="s">
        <v>182</v>
      </c>
      <c r="D312" s="4" t="n">
        <f aca="false">INDEX(Positions!$D$2:$D$1061,MATCH($A312&amp;"|3",Positions!$A$2:$A$1061,0))</f>
        <v>3</v>
      </c>
      <c r="E312" s="4" t="n">
        <f aca="false">INDEX(Positions!$D$2:$D$1061,MATCH($A312&amp;"|70",Positions!$A$2:$A$1061,0))</f>
        <v>80</v>
      </c>
      <c r="F312" s="4" t="str">
        <f aca="false">INDEX(Positions!$E$2:$E$1061,MATCH($A312&amp;"|3",Positions!$A$2:$A$1061,0))</f>
        <v>C</v>
      </c>
      <c r="G312" s="4" t="str">
        <f aca="false">INDEX(Positions!$E$2:$E$1061,MATCH($A312&amp;"|70",Positions!$A$2:$A$1061,0))</f>
        <v>G</v>
      </c>
      <c r="H312" s="3" t="str">
        <f aca="false">F312&amp;"-"&amp;G312</f>
        <v>C-G</v>
      </c>
      <c r="I312" s="4" t="n">
        <f aca="false">(F312="G")+(G312="G")</f>
        <v>1</v>
      </c>
      <c r="J312" s="4" t="n">
        <f aca="false">(F312="C")+(G312="C")</f>
        <v>1</v>
      </c>
      <c r="K312" s="3" t="n">
        <f aca="false">I312+J312</f>
        <v>2</v>
      </c>
    </row>
    <row r="313" customFormat="false" ht="15" hidden="false" customHeight="false" outlineLevel="0" collapsed="false">
      <c r="A313" s="4" t="s">
        <v>48</v>
      </c>
      <c r="B313" s="4" t="s">
        <v>60</v>
      </c>
      <c r="C313" s="4" t="s">
        <v>183</v>
      </c>
      <c r="D313" s="4" t="n">
        <f aca="false">INDEX(Positions!$D$2:$D$1061,MATCH($A313&amp;"|4",Positions!$A$2:$A$1061,0))</f>
        <v>4</v>
      </c>
      <c r="E313" s="4" t="n">
        <f aca="false">INDEX(Positions!$D$2:$D$1061,MATCH($A313&amp;"|69",Positions!$A$2:$A$1061,0))</f>
        <v>79</v>
      </c>
      <c r="F313" s="4" t="str">
        <f aca="false">INDEX(Positions!$E$2:$E$1061,MATCH($A313&amp;"|4",Positions!$A$2:$A$1061,0))</f>
        <v>A</v>
      </c>
      <c r="G313" s="4" t="str">
        <f aca="false">INDEX(Positions!$E$2:$E$1061,MATCH($A313&amp;"|69",Positions!$A$2:$A$1061,0))</f>
        <v>U</v>
      </c>
      <c r="H313" s="3" t="str">
        <f aca="false">F313&amp;"-"&amp;G313</f>
        <v>A-U</v>
      </c>
      <c r="I313" s="4" t="n">
        <f aca="false">(F313="G")+(G313="G")</f>
        <v>0</v>
      </c>
      <c r="J313" s="4" t="n">
        <f aca="false">(F313="C")+(G313="C")</f>
        <v>0</v>
      </c>
      <c r="K313" s="3" t="n">
        <f aca="false">I313+J313</f>
        <v>0</v>
      </c>
    </row>
    <row r="314" customFormat="false" ht="15" hidden="false" customHeight="false" outlineLevel="0" collapsed="false">
      <c r="A314" s="4" t="s">
        <v>48</v>
      </c>
      <c r="B314" s="4" t="s">
        <v>60</v>
      </c>
      <c r="C314" s="4" t="s">
        <v>184</v>
      </c>
      <c r="D314" s="4" t="n">
        <f aca="false">INDEX(Positions!$D$2:$D$1061,MATCH($A314&amp;"|5",Positions!$A$2:$A$1061,0))</f>
        <v>5</v>
      </c>
      <c r="E314" s="4" t="n">
        <f aca="false">INDEX(Positions!$D$2:$D$1061,MATCH($A314&amp;"|68",Positions!$A$2:$A$1061,0))</f>
        <v>78</v>
      </c>
      <c r="F314" s="4" t="str">
        <f aca="false">INDEX(Positions!$E$2:$E$1061,MATCH($A314&amp;"|5",Positions!$A$2:$A$1061,0))</f>
        <v>G</v>
      </c>
      <c r="G314" s="4" t="str">
        <f aca="false">INDEX(Positions!$E$2:$E$1061,MATCH($A314&amp;"|68",Positions!$A$2:$A$1061,0))</f>
        <v>U</v>
      </c>
      <c r="H314" s="3" t="str">
        <f aca="false">F314&amp;"-"&amp;G314</f>
        <v>G-U</v>
      </c>
      <c r="I314" s="4" t="n">
        <f aca="false">(F314="G")+(G314="G")</f>
        <v>1</v>
      </c>
      <c r="J314" s="4" t="n">
        <f aca="false">(F314="C")+(G314="C")</f>
        <v>0</v>
      </c>
      <c r="K314" s="3" t="n">
        <f aca="false">I314+J314</f>
        <v>1</v>
      </c>
    </row>
    <row r="315" customFormat="false" ht="15" hidden="false" customHeight="false" outlineLevel="0" collapsed="false">
      <c r="A315" s="4" t="s">
        <v>48</v>
      </c>
      <c r="B315" s="4" t="s">
        <v>60</v>
      </c>
      <c r="C315" s="4" t="s">
        <v>185</v>
      </c>
      <c r="D315" s="4" t="n">
        <f aca="false">INDEX(Positions!$D$2:$D$1061,MATCH($A315&amp;"|6",Positions!$A$2:$A$1061,0))</f>
        <v>6</v>
      </c>
      <c r="E315" s="4" t="n">
        <f aca="false">INDEX(Positions!$D$2:$D$1061,MATCH($A315&amp;"|67",Positions!$A$2:$A$1061,0))</f>
        <v>77</v>
      </c>
      <c r="F315" s="4" t="str">
        <f aca="false">INDEX(Positions!$E$2:$E$1061,MATCH($A315&amp;"|6",Positions!$A$2:$A$1061,0))</f>
        <v>G</v>
      </c>
      <c r="G315" s="4" t="str">
        <f aca="false">INDEX(Positions!$E$2:$E$1061,MATCH($A315&amp;"|67",Positions!$A$2:$A$1061,0))</f>
        <v>U</v>
      </c>
      <c r="H315" s="3" t="str">
        <f aca="false">F315&amp;"-"&amp;G315</f>
        <v>G-U</v>
      </c>
      <c r="I315" s="4" t="n">
        <f aca="false">(F315="G")+(G315="G")</f>
        <v>1</v>
      </c>
      <c r="J315" s="4" t="n">
        <f aca="false">(F315="C")+(G315="C")</f>
        <v>0</v>
      </c>
      <c r="K315" s="3" t="n">
        <f aca="false">I315+J315</f>
        <v>1</v>
      </c>
    </row>
    <row r="316" customFormat="false" ht="15" hidden="false" customHeight="false" outlineLevel="0" collapsed="false">
      <c r="A316" s="4" t="s">
        <v>48</v>
      </c>
      <c r="B316" s="4" t="s">
        <v>60</v>
      </c>
      <c r="C316" s="4" t="s">
        <v>186</v>
      </c>
      <c r="D316" s="4" t="n">
        <f aca="false">INDEX(Positions!$D$2:$D$1061,MATCH($A316&amp;"|7",Positions!$A$2:$A$1061,0))</f>
        <v>7</v>
      </c>
      <c r="E316" s="4" t="n">
        <f aca="false">INDEX(Positions!$D$2:$D$1061,MATCH($A316&amp;"|66",Positions!$A$2:$A$1061,0))</f>
        <v>76</v>
      </c>
      <c r="F316" s="4" t="str">
        <f aca="false">INDEX(Positions!$E$2:$E$1061,MATCH($A316&amp;"|7",Positions!$A$2:$A$1061,0))</f>
        <v>U</v>
      </c>
      <c r="G316" s="4" t="str">
        <f aca="false">INDEX(Positions!$E$2:$E$1061,MATCH($A316&amp;"|66",Positions!$A$2:$A$1061,0))</f>
        <v>U</v>
      </c>
      <c r="H316" s="3" t="str">
        <f aca="false">F316&amp;"-"&amp;G316</f>
        <v>U-U</v>
      </c>
      <c r="I316" s="4" t="n">
        <f aca="false">(F316="G")+(G316="G")</f>
        <v>0</v>
      </c>
      <c r="J316" s="4" t="n">
        <f aca="false">(F316="C")+(G316="C")</f>
        <v>0</v>
      </c>
      <c r="K316" s="3" t="n">
        <f aca="false">I316+J316</f>
        <v>0</v>
      </c>
    </row>
    <row r="317" customFormat="false" ht="15" hidden="false" customHeight="false" outlineLevel="0" collapsed="false">
      <c r="A317" s="4" t="s">
        <v>48</v>
      </c>
      <c r="B317" s="4" t="s">
        <v>75</v>
      </c>
      <c r="C317" s="4" t="s">
        <v>187</v>
      </c>
      <c r="D317" s="4" t="n">
        <f aca="false">INDEX(Positions!$D$2:$D$1061,MATCH($A317&amp;"|10",Positions!$A$2:$A$1061,0))</f>
        <v>10</v>
      </c>
      <c r="E317" s="4" t="n">
        <f aca="false">INDEX(Positions!$D$2:$D$1061,MATCH($A317&amp;"|25",Positions!$A$2:$A$1061,0))</f>
        <v>27</v>
      </c>
      <c r="F317" s="4" t="str">
        <f aca="false">INDEX(Positions!$E$2:$E$1061,MATCH($A317&amp;"|10",Positions!$A$2:$A$1061,0))</f>
        <v>G</v>
      </c>
      <c r="G317" s="4" t="str">
        <f aca="false">INDEX(Positions!$E$2:$E$1061,MATCH($A317&amp;"|25",Positions!$A$2:$A$1061,0))</f>
        <v>U</v>
      </c>
      <c r="H317" s="3" t="str">
        <f aca="false">F317&amp;"-"&amp;G317</f>
        <v>G-U</v>
      </c>
      <c r="I317" s="4" t="n">
        <f aca="false">(F317="G")+(G317="G")</f>
        <v>1</v>
      </c>
      <c r="J317" s="4" t="n">
        <f aca="false">(F317="C")+(G317="C")</f>
        <v>0</v>
      </c>
      <c r="K317" s="3" t="n">
        <f aca="false">I317+J317</f>
        <v>1</v>
      </c>
    </row>
    <row r="318" customFormat="false" ht="15" hidden="false" customHeight="false" outlineLevel="0" collapsed="false">
      <c r="A318" s="4" t="s">
        <v>48</v>
      </c>
      <c r="B318" s="4" t="s">
        <v>75</v>
      </c>
      <c r="C318" s="4" t="s">
        <v>188</v>
      </c>
      <c r="D318" s="4" t="n">
        <f aca="false">INDEX(Positions!$D$2:$D$1061,MATCH($A318&amp;"|11",Positions!$A$2:$A$1061,0))</f>
        <v>11</v>
      </c>
      <c r="E318" s="4" t="n">
        <f aca="false">INDEX(Positions!$D$2:$D$1061,MATCH($A318&amp;"|24",Positions!$A$2:$A$1061,0))</f>
        <v>26</v>
      </c>
      <c r="F318" s="4" t="str">
        <f aca="false">INDEX(Positions!$E$2:$E$1061,MATCH($A318&amp;"|11",Positions!$A$2:$A$1061,0))</f>
        <v>G</v>
      </c>
      <c r="G318" s="4" t="str">
        <f aca="false">INDEX(Positions!$E$2:$E$1061,MATCH($A318&amp;"|24",Positions!$A$2:$A$1061,0))</f>
        <v>U</v>
      </c>
      <c r="H318" s="3" t="str">
        <f aca="false">F318&amp;"-"&amp;G318</f>
        <v>G-U</v>
      </c>
      <c r="I318" s="4" t="n">
        <f aca="false">(F318="G")+(G318="G")</f>
        <v>1</v>
      </c>
      <c r="J318" s="4" t="n">
        <f aca="false">(F318="C")+(G318="C")</f>
        <v>0</v>
      </c>
      <c r="K318" s="3" t="n">
        <f aca="false">I318+J318</f>
        <v>1</v>
      </c>
    </row>
    <row r="319" customFormat="false" ht="15" hidden="false" customHeight="false" outlineLevel="0" collapsed="false">
      <c r="A319" s="4" t="s">
        <v>48</v>
      </c>
      <c r="B319" s="4" t="s">
        <v>75</v>
      </c>
      <c r="C319" s="4" t="s">
        <v>189</v>
      </c>
      <c r="D319" s="4" t="n">
        <f aca="false">INDEX(Positions!$D$2:$D$1061,MATCH($A319&amp;"|12",Positions!$A$2:$A$1061,0))</f>
        <v>12</v>
      </c>
      <c r="E319" s="4" t="n">
        <f aca="false">INDEX(Positions!$D$2:$D$1061,MATCH($A319&amp;"|23",Positions!$A$2:$A$1061,0))</f>
        <v>25</v>
      </c>
      <c r="F319" s="4" t="str">
        <f aca="false">INDEX(Positions!$E$2:$E$1061,MATCH($A319&amp;"|12",Positions!$A$2:$A$1061,0))</f>
        <v>U</v>
      </c>
      <c r="G319" s="4" t="str">
        <f aca="false">INDEX(Positions!$E$2:$E$1061,MATCH($A319&amp;"|23",Positions!$A$2:$A$1061,0))</f>
        <v>A</v>
      </c>
      <c r="H319" s="3" t="str">
        <f aca="false">F319&amp;"-"&amp;G319</f>
        <v>U-A</v>
      </c>
      <c r="I319" s="4" t="n">
        <f aca="false">(F319="G")+(G319="G")</f>
        <v>0</v>
      </c>
      <c r="J319" s="4" t="n">
        <f aca="false">(F319="C")+(G319="C")</f>
        <v>0</v>
      </c>
      <c r="K319" s="3" t="n">
        <f aca="false">I319+J319</f>
        <v>0</v>
      </c>
    </row>
    <row r="320" customFormat="false" ht="15" hidden="false" customHeight="false" outlineLevel="0" collapsed="false">
      <c r="A320" s="4" t="s">
        <v>48</v>
      </c>
      <c r="B320" s="4" t="s">
        <v>75</v>
      </c>
      <c r="C320" s="4" t="s">
        <v>190</v>
      </c>
      <c r="D320" s="4" t="n">
        <f aca="false">INDEX(Positions!$D$2:$D$1061,MATCH($A320&amp;"|13",Positions!$A$2:$A$1061,0))</f>
        <v>13</v>
      </c>
      <c r="E320" s="4" t="n">
        <f aca="false">INDEX(Positions!$D$2:$D$1061,MATCH($A320&amp;"|22",Positions!$A$2:$A$1061,0))</f>
        <v>24</v>
      </c>
      <c r="F320" s="4" t="str">
        <f aca="false">INDEX(Positions!$E$2:$E$1061,MATCH($A320&amp;"|13",Positions!$A$2:$A$1061,0))</f>
        <v>U</v>
      </c>
      <c r="G320" s="4" t="str">
        <f aca="false">INDEX(Positions!$E$2:$E$1061,MATCH($A320&amp;"|22",Positions!$A$2:$A$1061,0))</f>
        <v>A</v>
      </c>
      <c r="H320" s="3" t="str">
        <f aca="false">F320&amp;"-"&amp;G320</f>
        <v>U-A</v>
      </c>
      <c r="I320" s="4" t="n">
        <f aca="false">(F320="G")+(G320="G")</f>
        <v>0</v>
      </c>
      <c r="J320" s="4" t="n">
        <f aca="false">(F320="C")+(G320="C")</f>
        <v>0</v>
      </c>
      <c r="K320" s="3" t="n">
        <f aca="false">I320+J320</f>
        <v>0</v>
      </c>
    </row>
    <row r="321" customFormat="false" ht="15" hidden="false" customHeight="false" outlineLevel="0" collapsed="false">
      <c r="A321" s="4" t="s">
        <v>48</v>
      </c>
      <c r="B321" s="4" t="s">
        <v>96</v>
      </c>
      <c r="C321" s="4" t="s">
        <v>191</v>
      </c>
      <c r="D321" s="4" t="n">
        <f aca="false">INDEX(Positions!$D$2:$D$1061,MATCH($A321&amp;"|27",Positions!$A$2:$A$1061,0))</f>
        <v>29</v>
      </c>
      <c r="E321" s="4" t="n">
        <f aca="false">INDEX(Positions!$D$2:$D$1061,MATCH($A321&amp;"|43",Positions!$A$2:$A$1061,0))</f>
        <v>45</v>
      </c>
      <c r="F321" s="4" t="str">
        <f aca="false">INDEX(Positions!$E$2:$E$1061,MATCH($A321&amp;"|27",Positions!$A$2:$A$1061,0))</f>
        <v>U</v>
      </c>
      <c r="G321" s="4" t="str">
        <f aca="false">INDEX(Positions!$E$2:$E$1061,MATCH($A321&amp;"|43",Positions!$A$2:$A$1061,0))</f>
        <v>A</v>
      </c>
      <c r="H321" s="3" t="str">
        <f aca="false">F321&amp;"-"&amp;G321</f>
        <v>U-A</v>
      </c>
      <c r="I321" s="4" t="n">
        <f aca="false">(F321="G")+(G321="G")</f>
        <v>0</v>
      </c>
      <c r="J321" s="4" t="n">
        <f aca="false">(F321="C")+(G321="C")</f>
        <v>0</v>
      </c>
      <c r="K321" s="3" t="n">
        <f aca="false">I321+J321</f>
        <v>0</v>
      </c>
    </row>
    <row r="322" customFormat="false" ht="15" hidden="false" customHeight="false" outlineLevel="0" collapsed="false">
      <c r="A322" s="4" t="s">
        <v>48</v>
      </c>
      <c r="B322" s="4" t="s">
        <v>96</v>
      </c>
      <c r="C322" s="4" t="s">
        <v>192</v>
      </c>
      <c r="D322" s="4" t="n">
        <f aca="false">INDEX(Positions!$D$2:$D$1061,MATCH($A322&amp;"|28",Positions!$A$2:$A$1061,0))</f>
        <v>30</v>
      </c>
      <c r="E322" s="4" t="n">
        <f aca="false">INDEX(Positions!$D$2:$D$1061,MATCH($A322&amp;"|42",Positions!$A$2:$A$1061,0))</f>
        <v>44</v>
      </c>
      <c r="F322" s="4" t="str">
        <f aca="false">INDEX(Positions!$E$2:$E$1061,MATCH($A322&amp;"|28",Positions!$A$2:$A$1061,0))</f>
        <v>A</v>
      </c>
      <c r="G322" s="4" t="str">
        <f aca="false">INDEX(Positions!$E$2:$E$1061,MATCH($A322&amp;"|42",Positions!$A$2:$A$1061,0))</f>
        <v>U</v>
      </c>
      <c r="H322" s="3" t="str">
        <f aca="false">F322&amp;"-"&amp;G322</f>
        <v>A-U</v>
      </c>
      <c r="I322" s="4" t="n">
        <f aca="false">(F322="G")+(G322="G")</f>
        <v>0</v>
      </c>
      <c r="J322" s="4" t="n">
        <f aca="false">(F322="C")+(G322="C")</f>
        <v>0</v>
      </c>
      <c r="K322" s="3" t="n">
        <f aca="false">I322+J322</f>
        <v>0</v>
      </c>
    </row>
    <row r="323" customFormat="false" ht="15" hidden="false" customHeight="false" outlineLevel="0" collapsed="false">
      <c r="A323" s="4" t="s">
        <v>48</v>
      </c>
      <c r="B323" s="4" t="s">
        <v>96</v>
      </c>
      <c r="C323" s="4" t="s">
        <v>193</v>
      </c>
      <c r="D323" s="4" t="n">
        <f aca="false">INDEX(Positions!$D$2:$D$1061,MATCH($A323&amp;"|29",Positions!$A$2:$A$1061,0))</f>
        <v>31</v>
      </c>
      <c r="E323" s="4" t="n">
        <f aca="false">INDEX(Positions!$D$2:$D$1061,MATCH($A323&amp;"|41",Positions!$A$2:$A$1061,0))</f>
        <v>43</v>
      </c>
      <c r="F323" s="4" t="str">
        <f aca="false">INDEX(Positions!$E$2:$E$1061,MATCH($A323&amp;"|29",Positions!$A$2:$A$1061,0))</f>
        <v>A</v>
      </c>
      <c r="G323" s="4" t="str">
        <f aca="false">INDEX(Positions!$E$2:$E$1061,MATCH($A323&amp;"|41",Positions!$A$2:$A$1061,0))</f>
        <v>U</v>
      </c>
      <c r="H323" s="3" t="str">
        <f aca="false">F323&amp;"-"&amp;G323</f>
        <v>A-U</v>
      </c>
      <c r="I323" s="4" t="n">
        <f aca="false">(F323="G")+(G323="G")</f>
        <v>0</v>
      </c>
      <c r="J323" s="4" t="n">
        <f aca="false">(F323="C")+(G323="C")</f>
        <v>0</v>
      </c>
      <c r="K323" s="3" t="n">
        <f aca="false">I323+J323</f>
        <v>0</v>
      </c>
    </row>
    <row r="324" customFormat="false" ht="15" hidden="false" customHeight="false" outlineLevel="0" collapsed="false">
      <c r="A324" s="4" t="s">
        <v>48</v>
      </c>
      <c r="B324" s="4" t="s">
        <v>96</v>
      </c>
      <c r="C324" s="4" t="s">
        <v>194</v>
      </c>
      <c r="D324" s="4" t="n">
        <f aca="false">INDEX(Positions!$D$2:$D$1061,MATCH($A324&amp;"|30",Positions!$A$2:$A$1061,0))</f>
        <v>32</v>
      </c>
      <c r="E324" s="4" t="n">
        <f aca="false">INDEX(Positions!$D$2:$D$1061,MATCH($A324&amp;"|40",Positions!$A$2:$A$1061,0))</f>
        <v>42</v>
      </c>
      <c r="F324" s="4" t="str">
        <f aca="false">INDEX(Positions!$E$2:$E$1061,MATCH($A324&amp;"|30",Positions!$A$2:$A$1061,0))</f>
        <v>U</v>
      </c>
      <c r="G324" s="4" t="str">
        <f aca="false">INDEX(Positions!$E$2:$E$1061,MATCH($A324&amp;"|40",Positions!$A$2:$A$1061,0))</f>
        <v>G</v>
      </c>
      <c r="H324" s="3" t="str">
        <f aca="false">F324&amp;"-"&amp;G324</f>
        <v>U-G</v>
      </c>
      <c r="I324" s="4" t="n">
        <f aca="false">(F324="G")+(G324="G")</f>
        <v>1</v>
      </c>
      <c r="J324" s="4" t="n">
        <f aca="false">(F324="C")+(G324="C")</f>
        <v>0</v>
      </c>
      <c r="K324" s="3" t="n">
        <f aca="false">I324+J324</f>
        <v>1</v>
      </c>
    </row>
    <row r="325" customFormat="false" ht="15" hidden="false" customHeight="false" outlineLevel="0" collapsed="false">
      <c r="A325" s="4" t="s">
        <v>48</v>
      </c>
      <c r="B325" s="4" t="s">
        <v>96</v>
      </c>
      <c r="C325" s="4" t="s">
        <v>195</v>
      </c>
      <c r="D325" s="4" t="n">
        <f aca="false">INDEX(Positions!$D$2:$D$1061,MATCH($A325&amp;"|31",Positions!$A$2:$A$1061,0))</f>
        <v>33</v>
      </c>
      <c r="E325" s="4" t="n">
        <f aca="false">INDEX(Positions!$D$2:$D$1061,MATCH($A325&amp;"|39",Positions!$A$2:$A$1061,0))</f>
        <v>41</v>
      </c>
      <c r="F325" s="4" t="str">
        <f aca="false">INDEX(Positions!$E$2:$E$1061,MATCH($A325&amp;"|31",Positions!$A$2:$A$1061,0))</f>
        <v>C</v>
      </c>
      <c r="G325" s="4" t="str">
        <f aca="false">INDEX(Positions!$E$2:$E$1061,MATCH($A325&amp;"|39",Positions!$A$2:$A$1061,0))</f>
        <v>G</v>
      </c>
      <c r="H325" s="3" t="str">
        <f aca="false">F325&amp;"-"&amp;G325</f>
        <v>C-G</v>
      </c>
      <c r="I325" s="4" t="n">
        <f aca="false">(F325="G")+(G325="G")</f>
        <v>1</v>
      </c>
      <c r="J325" s="4" t="n">
        <f aca="false">(F325="C")+(G325="C")</f>
        <v>1</v>
      </c>
      <c r="K325" s="3" t="n">
        <f aca="false">I325+J325</f>
        <v>2</v>
      </c>
    </row>
    <row r="326" customFormat="false" ht="15" hidden="false" customHeight="false" outlineLevel="0" collapsed="false">
      <c r="A326" s="4" t="s">
        <v>48</v>
      </c>
      <c r="B326" s="4" t="s">
        <v>126</v>
      </c>
      <c r="C326" s="4" t="s">
        <v>196</v>
      </c>
      <c r="D326" s="4" t="n">
        <f aca="false">INDEX(Positions!$D$2:$D$1061,MATCH($A326&amp;"|49",Positions!$A$2:$A$1061,0))</f>
        <v>59</v>
      </c>
      <c r="E326" s="4" t="n">
        <f aca="false">INDEX(Positions!$D$2:$D$1061,MATCH($A326&amp;"|65",Positions!$A$2:$A$1061,0))</f>
        <v>75</v>
      </c>
      <c r="F326" s="4" t="str">
        <f aca="false">INDEX(Positions!$E$2:$E$1061,MATCH($A326&amp;"|49",Positions!$A$2:$A$1061,0))</f>
        <v>C</v>
      </c>
      <c r="G326" s="4" t="str">
        <f aca="false">INDEX(Positions!$E$2:$E$1061,MATCH($A326&amp;"|65",Positions!$A$2:$A$1061,0))</f>
        <v>G</v>
      </c>
      <c r="H326" s="3" t="str">
        <f aca="false">F326&amp;"-"&amp;G326</f>
        <v>C-G</v>
      </c>
      <c r="I326" s="4" t="n">
        <f aca="false">(F326="G")+(G326="G")</f>
        <v>1</v>
      </c>
      <c r="J326" s="4" t="n">
        <f aca="false">(F326="C")+(G326="C")</f>
        <v>1</v>
      </c>
      <c r="K326" s="3" t="n">
        <f aca="false">I326+J326</f>
        <v>2</v>
      </c>
    </row>
    <row r="327" customFormat="false" ht="15" hidden="false" customHeight="false" outlineLevel="0" collapsed="false">
      <c r="A327" s="4" t="s">
        <v>48</v>
      </c>
      <c r="B327" s="4" t="s">
        <v>126</v>
      </c>
      <c r="C327" s="4" t="s">
        <v>197</v>
      </c>
      <c r="D327" s="4" t="n">
        <f aca="false">INDEX(Positions!$D$2:$D$1061,MATCH($A327&amp;"|50",Positions!$A$2:$A$1061,0))</f>
        <v>60</v>
      </c>
      <c r="E327" s="4" t="n">
        <f aca="false">INDEX(Positions!$D$2:$D$1061,MATCH($A327&amp;"|64",Positions!$A$2:$A$1061,0))</f>
        <v>74</v>
      </c>
      <c r="F327" s="4" t="str">
        <f aca="false">INDEX(Positions!$E$2:$E$1061,MATCH($A327&amp;"|50",Positions!$A$2:$A$1061,0))</f>
        <v>U</v>
      </c>
      <c r="G327" s="4" t="str">
        <f aca="false">INDEX(Positions!$E$2:$E$1061,MATCH($A327&amp;"|64",Positions!$A$2:$A$1061,0))</f>
        <v>G</v>
      </c>
      <c r="H327" s="3" t="str">
        <f aca="false">F327&amp;"-"&amp;G327</f>
        <v>U-G</v>
      </c>
      <c r="I327" s="4" t="n">
        <f aca="false">(F327="G")+(G327="G")</f>
        <v>1</v>
      </c>
      <c r="J327" s="4" t="n">
        <f aca="false">(F327="C")+(G327="C")</f>
        <v>0</v>
      </c>
      <c r="K327" s="3" t="n">
        <f aca="false">I327+J327</f>
        <v>1</v>
      </c>
    </row>
    <row r="328" customFormat="false" ht="15" hidden="false" customHeight="false" outlineLevel="0" collapsed="false">
      <c r="A328" s="4" t="s">
        <v>48</v>
      </c>
      <c r="B328" s="4" t="s">
        <v>126</v>
      </c>
      <c r="C328" s="4" t="s">
        <v>198</v>
      </c>
      <c r="D328" s="4" t="n">
        <f aca="false">INDEX(Positions!$D$2:$D$1061,MATCH($A328&amp;"|51",Positions!$A$2:$A$1061,0))</f>
        <v>61</v>
      </c>
      <c r="E328" s="4" t="n">
        <f aca="false">INDEX(Positions!$D$2:$D$1061,MATCH($A328&amp;"|63",Positions!$A$2:$A$1061,0))</f>
        <v>73</v>
      </c>
      <c r="F328" s="4" t="str">
        <f aca="false">INDEX(Positions!$E$2:$E$1061,MATCH($A328&amp;"|51",Positions!$A$2:$A$1061,0))</f>
        <v>U</v>
      </c>
      <c r="G328" s="4" t="str">
        <f aca="false">INDEX(Positions!$E$2:$E$1061,MATCH($A328&amp;"|63",Positions!$A$2:$A$1061,0))</f>
        <v>A</v>
      </c>
      <c r="H328" s="3" t="str">
        <f aca="false">F328&amp;"-"&amp;G328</f>
        <v>U-A</v>
      </c>
      <c r="I328" s="4" t="n">
        <f aca="false">(F328="G")+(G328="G")</f>
        <v>0</v>
      </c>
      <c r="J328" s="4" t="n">
        <f aca="false">(F328="C")+(G328="C")</f>
        <v>0</v>
      </c>
      <c r="K328" s="3" t="n">
        <f aca="false">I328+J328</f>
        <v>0</v>
      </c>
    </row>
    <row r="329" customFormat="false" ht="15" hidden="false" customHeight="false" outlineLevel="0" collapsed="false">
      <c r="A329" s="4" t="s">
        <v>48</v>
      </c>
      <c r="B329" s="4" t="s">
        <v>126</v>
      </c>
      <c r="C329" s="4" t="s">
        <v>199</v>
      </c>
      <c r="D329" s="4" t="n">
        <f aca="false">INDEX(Positions!$D$2:$D$1061,MATCH($A329&amp;"|52",Positions!$A$2:$A$1061,0))</f>
        <v>62</v>
      </c>
      <c r="E329" s="4" t="n">
        <f aca="false">INDEX(Positions!$D$2:$D$1061,MATCH($A329&amp;"|62",Positions!$A$2:$A$1061,0))</f>
        <v>72</v>
      </c>
      <c r="F329" s="4" t="str">
        <f aca="false">INDEX(Positions!$E$2:$E$1061,MATCH($A329&amp;"|52",Positions!$A$2:$A$1061,0))</f>
        <v>U</v>
      </c>
      <c r="G329" s="4" t="str">
        <f aca="false">INDEX(Positions!$E$2:$E$1061,MATCH($A329&amp;"|62",Positions!$A$2:$A$1061,0))</f>
        <v>C</v>
      </c>
      <c r="H329" s="3" t="str">
        <f aca="false">F329&amp;"-"&amp;G329</f>
        <v>U-C</v>
      </c>
      <c r="I329" s="4" t="n">
        <f aca="false">(F329="G")+(G329="G")</f>
        <v>0</v>
      </c>
      <c r="J329" s="4" t="n">
        <f aca="false">(F329="C")+(G329="C")</f>
        <v>1</v>
      </c>
      <c r="K329" s="3" t="n">
        <f aca="false">I329+J329</f>
        <v>1</v>
      </c>
    </row>
    <row r="330" customFormat="false" ht="15" hidden="false" customHeight="false" outlineLevel="0" collapsed="false">
      <c r="A330" s="4" t="s">
        <v>48</v>
      </c>
      <c r="B330" s="4" t="s">
        <v>126</v>
      </c>
      <c r="C330" s="4" t="s">
        <v>200</v>
      </c>
      <c r="D330" s="4" t="n">
        <f aca="false">INDEX(Positions!$D$2:$D$1061,MATCH($A330&amp;"|53",Positions!$A$2:$A$1061,0))</f>
        <v>63</v>
      </c>
      <c r="E330" s="4" t="n">
        <f aca="false">INDEX(Positions!$D$2:$D$1061,MATCH($A330&amp;"|61",Positions!$A$2:$A$1061,0))</f>
        <v>71</v>
      </c>
      <c r="F330" s="4" t="str">
        <f aca="false">INDEX(Positions!$E$2:$E$1061,MATCH($A330&amp;"|53",Positions!$A$2:$A$1061,0))</f>
        <v>G</v>
      </c>
      <c r="G330" s="4" t="str">
        <f aca="false">INDEX(Positions!$E$2:$E$1061,MATCH($A330&amp;"|61",Positions!$A$2:$A$1061,0))</f>
        <v>C</v>
      </c>
      <c r="H330" s="3" t="str">
        <f aca="false">F330&amp;"-"&amp;G330</f>
        <v>G-C</v>
      </c>
      <c r="I330" s="4" t="n">
        <f aca="false">(F330="G")+(G330="G")</f>
        <v>1</v>
      </c>
      <c r="J330" s="4" t="n">
        <f aca="false">(F330="C")+(G330="C")</f>
        <v>1</v>
      </c>
      <c r="K330" s="3" t="n">
        <f aca="false">I330+J330</f>
        <v>2</v>
      </c>
    </row>
    <row r="331" customFormat="false" ht="15" hidden="false" customHeight="false" outlineLevel="0" collapsed="false">
      <c r="A331" s="23" t="s">
        <v>48</v>
      </c>
      <c r="B331" s="23" t="s">
        <v>201</v>
      </c>
      <c r="C331" s="23" t="s">
        <v>202</v>
      </c>
      <c r="D331" s="23" t="n">
        <f aca="false">INDEX(Positions!$D$2:$D$1061,MATCH($A331&amp;"|8",Positions!$A$2:$A$1061,0))</f>
        <v>8</v>
      </c>
      <c r="E331" s="23" t="n">
        <f aca="false">INDEX(Positions!$D$2:$D$1061,MATCH($A331&amp;"|14",Positions!$A$2:$A$1061,0))</f>
        <v>14</v>
      </c>
      <c r="F331" s="23" t="str">
        <f aca="false">INDEX(Positions!$E$2:$E$1061,MATCH($A331&amp;"|8",Positions!$A$2:$A$1061,0))</f>
        <v>U</v>
      </c>
      <c r="G331" s="23" t="str">
        <f aca="false">INDEX(Positions!$E$2:$E$1061,MATCH($A331&amp;"|14",Positions!$A$2:$A$1061,0))</f>
        <v>G</v>
      </c>
      <c r="H331" s="24" t="str">
        <f aca="false">F331&amp;"-"&amp;G331</f>
        <v>U-G</v>
      </c>
      <c r="I331" s="23" t="n">
        <f aca="false">(F331="G")+(G331="G")</f>
        <v>1</v>
      </c>
      <c r="J331" s="23" t="n">
        <f aca="false">(F331="C")+(G331="C")</f>
        <v>0</v>
      </c>
      <c r="K331" s="24" t="n">
        <f aca="false">I331+J331</f>
        <v>1</v>
      </c>
    </row>
    <row r="332" customFormat="false" ht="15" hidden="false" customHeight="false" outlineLevel="0" collapsed="false">
      <c r="A332" s="23" t="s">
        <v>48</v>
      </c>
      <c r="B332" s="23" t="s">
        <v>201</v>
      </c>
      <c r="C332" s="23" t="s">
        <v>203</v>
      </c>
      <c r="D332" s="23" t="n">
        <f aca="false">INDEX(Positions!$D$2:$D$1061,MATCH($A332&amp;"|15",Positions!$A$2:$A$1061,0))</f>
        <v>15</v>
      </c>
      <c r="E332" s="23" t="n">
        <f aca="false">INDEX(Positions!$D$2:$D$1061,MATCH($A332&amp;"|48",Positions!$A$2:$A$1061,0))</f>
        <v>58</v>
      </c>
      <c r="F332" s="23" t="str">
        <f aca="false">INDEX(Positions!$E$2:$E$1061,MATCH($A332&amp;"|15",Positions!$A$2:$A$1061,0))</f>
        <v>C</v>
      </c>
      <c r="G332" s="23" t="str">
        <f aca="false">INDEX(Positions!$E$2:$E$1061,MATCH($A332&amp;"|48",Positions!$A$2:$A$1061,0))</f>
        <v>U</v>
      </c>
      <c r="H332" s="24" t="str">
        <f aca="false">F332&amp;"-"&amp;G332</f>
        <v>C-U</v>
      </c>
      <c r="I332" s="23" t="n">
        <f aca="false">(F332="G")+(G332="G")</f>
        <v>0</v>
      </c>
      <c r="J332" s="23" t="n">
        <f aca="false">(F332="C")+(G332="C")</f>
        <v>1</v>
      </c>
      <c r="K332" s="24" t="n">
        <f aca="false">I332+J332</f>
        <v>1</v>
      </c>
    </row>
    <row r="333" customFormat="false" ht="15" hidden="false" customHeight="false" outlineLevel="0" collapsed="false">
      <c r="A333" s="23" t="s">
        <v>48</v>
      </c>
      <c r="B333" s="23" t="s">
        <v>201</v>
      </c>
      <c r="C333" s="23" t="s">
        <v>204</v>
      </c>
      <c r="D333" s="23" t="n">
        <f aca="false">INDEX(Positions!$D$2:$D$1061,MATCH($A333&amp;"|18",Positions!$A$2:$A$1061,0))</f>
        <v>18</v>
      </c>
      <c r="E333" s="23" t="n">
        <f aca="false">INDEX(Positions!$D$2:$D$1061,MATCH($A333&amp;"|55",Positions!$A$2:$A$1061,0))</f>
        <v>65</v>
      </c>
      <c r="F333" s="23" t="str">
        <f aca="false">INDEX(Positions!$E$2:$E$1061,MATCH($A333&amp;"|18",Positions!$A$2:$A$1061,0))</f>
        <v>G</v>
      </c>
      <c r="G333" s="23" t="str">
        <f aca="false">INDEX(Positions!$E$2:$E$1061,MATCH($A333&amp;"|55",Positions!$A$2:$A$1061,0))</f>
        <v>C</v>
      </c>
      <c r="H333" s="24" t="str">
        <f aca="false">F333&amp;"-"&amp;G333</f>
        <v>G-C</v>
      </c>
      <c r="I333" s="23" t="n">
        <f aca="false">(F333="G")+(G333="G")</f>
        <v>1</v>
      </c>
      <c r="J333" s="23" t="n">
        <f aca="false">(F333="C")+(G333="C")</f>
        <v>1</v>
      </c>
      <c r="K333" s="24" t="n">
        <f aca="false">I333+J333</f>
        <v>2</v>
      </c>
    </row>
    <row r="334" customFormat="false" ht="15" hidden="false" customHeight="false" outlineLevel="0" collapsed="false">
      <c r="A334" s="23" t="s">
        <v>48</v>
      </c>
      <c r="B334" s="23" t="s">
        <v>201</v>
      </c>
      <c r="C334" s="23" t="s">
        <v>205</v>
      </c>
      <c r="D334" s="23" t="n">
        <f aca="false">INDEX(Positions!$D$2:$D$1061,MATCH($A334&amp;"|19",Positions!$A$2:$A$1061,0))</f>
        <v>19</v>
      </c>
      <c r="E334" s="23" t="n">
        <f aca="false">INDEX(Positions!$D$2:$D$1061,MATCH($A334&amp;"|56",Positions!$A$2:$A$1061,0))</f>
        <v>66</v>
      </c>
      <c r="F334" s="23" t="str">
        <f aca="false">INDEX(Positions!$E$2:$E$1061,MATCH($A334&amp;"|19",Positions!$A$2:$A$1061,0))</f>
        <v>G</v>
      </c>
      <c r="G334" s="23" t="str">
        <f aca="false">INDEX(Positions!$E$2:$E$1061,MATCH($A334&amp;"|56",Positions!$A$2:$A$1061,0))</f>
        <v>C</v>
      </c>
      <c r="H334" s="24" t="str">
        <f aca="false">F334&amp;"-"&amp;G334</f>
        <v>G-C</v>
      </c>
      <c r="I334" s="23" t="n">
        <f aca="false">(F334="G")+(G334="G")</f>
        <v>1</v>
      </c>
      <c r="J334" s="23" t="n">
        <f aca="false">(F334="C")+(G334="C")</f>
        <v>1</v>
      </c>
      <c r="K334" s="24" t="n">
        <f aca="false">I334+J334</f>
        <v>2</v>
      </c>
    </row>
    <row r="335" customFormat="false" ht="15" hidden="false" customHeight="false" outlineLevel="0" collapsed="false">
      <c r="A335" s="23" t="s">
        <v>48</v>
      </c>
      <c r="B335" s="23" t="s">
        <v>201</v>
      </c>
      <c r="C335" s="23" t="s">
        <v>206</v>
      </c>
      <c r="D335" s="23" t="n">
        <f aca="false">INDEX(Positions!$D$2:$D$1061,MATCH($A335&amp;"|26",Positions!$A$2:$A$1061,0))</f>
        <v>28</v>
      </c>
      <c r="E335" s="23" t="n">
        <f aca="false">INDEX(Positions!$D$2:$D$1061,MATCH($A335&amp;"|44",Positions!$A$2:$A$1061,0))</f>
        <v>46</v>
      </c>
      <c r="F335" s="23" t="str">
        <f aca="false">INDEX(Positions!$E$2:$E$1061,MATCH($A335&amp;"|26",Positions!$A$2:$A$1061,0))</f>
        <v>U</v>
      </c>
      <c r="G335" s="23" t="str">
        <f aca="false">INDEX(Positions!$E$2:$E$1061,MATCH($A335&amp;"|44",Positions!$A$2:$A$1061,0))</f>
        <v>A</v>
      </c>
      <c r="H335" s="24" t="str">
        <f aca="false">F335&amp;"-"&amp;G335</f>
        <v>U-A</v>
      </c>
      <c r="I335" s="23" t="n">
        <f aca="false">(F335="G")+(G335="G")</f>
        <v>0</v>
      </c>
      <c r="J335" s="23" t="n">
        <f aca="false">(F335="C")+(G335="C")</f>
        <v>0</v>
      </c>
      <c r="K335" s="24" t="n">
        <f aca="false">I335+J335</f>
        <v>0</v>
      </c>
    </row>
    <row r="336" customFormat="false" ht="15" hidden="false" customHeight="false" outlineLevel="0" collapsed="false">
      <c r="A336" s="23" t="s">
        <v>48</v>
      </c>
      <c r="B336" s="23" t="s">
        <v>201</v>
      </c>
      <c r="C336" s="23" t="s">
        <v>207</v>
      </c>
      <c r="D336" s="23" t="n">
        <f aca="false">INDEX(Positions!$D$2:$D$1061,MATCH($A336&amp;"|32",Positions!$A$2:$A$1061,0))</f>
        <v>34</v>
      </c>
      <c r="E336" s="23" t="n">
        <f aca="false">INDEX(Positions!$D$2:$D$1061,MATCH($A336&amp;"|38",Positions!$A$2:$A$1061,0))</f>
        <v>40</v>
      </c>
      <c r="F336" s="23" t="str">
        <f aca="false">INDEX(Positions!$E$2:$E$1061,MATCH($A336&amp;"|32",Positions!$A$2:$A$1061,0))</f>
        <v>U</v>
      </c>
      <c r="G336" s="23" t="str">
        <f aca="false">INDEX(Positions!$E$2:$E$1061,MATCH($A336&amp;"|38",Positions!$A$2:$A$1061,0))</f>
        <v>G</v>
      </c>
      <c r="H336" s="24" t="str">
        <f aca="false">F336&amp;"-"&amp;G336</f>
        <v>U-G</v>
      </c>
      <c r="I336" s="23" t="n">
        <f aca="false">(F336="G")+(G336="G")</f>
        <v>1</v>
      </c>
      <c r="J336" s="23" t="n">
        <f aca="false">(F336="C")+(G336="C")</f>
        <v>0</v>
      </c>
      <c r="K336" s="24" t="n">
        <f aca="false">I336+J336</f>
        <v>1</v>
      </c>
    </row>
    <row r="337" customFormat="false" ht="15" hidden="false" customHeight="false" outlineLevel="0" collapsed="false">
      <c r="A337" s="23" t="s">
        <v>48</v>
      </c>
      <c r="B337" s="23" t="s">
        <v>201</v>
      </c>
      <c r="C337" s="23" t="s">
        <v>208</v>
      </c>
      <c r="D337" s="23" t="n">
        <f aca="false">INDEX(Positions!$D$2:$D$1061,MATCH($A337&amp;"|54",Positions!$A$2:$A$1061,0))</f>
        <v>64</v>
      </c>
      <c r="E337" s="23" t="n">
        <f aca="false">INDEX(Positions!$D$2:$D$1061,MATCH($A337&amp;"|58",Positions!$A$2:$A$1061,0))</f>
        <v>68</v>
      </c>
      <c r="F337" s="23" t="str">
        <f aca="false">INDEX(Positions!$E$2:$E$1061,MATCH($A337&amp;"|54",Positions!$A$2:$A$1061,0))</f>
        <v>U</v>
      </c>
      <c r="G337" s="23" t="str">
        <f aca="false">INDEX(Positions!$E$2:$E$1061,MATCH($A337&amp;"|58",Positions!$A$2:$A$1061,0))</f>
        <v>A</v>
      </c>
      <c r="H337" s="24" t="str">
        <f aca="false">F337&amp;"-"&amp;G337</f>
        <v>U-A</v>
      </c>
      <c r="I337" s="23" t="n">
        <f aca="false">(F337="G")+(G337="G")</f>
        <v>0</v>
      </c>
      <c r="J337" s="23" t="n">
        <f aca="false">(F337="C")+(G337="C")</f>
        <v>0</v>
      </c>
      <c r="K337" s="24" t="n">
        <f aca="false">I337+J337</f>
        <v>0</v>
      </c>
    </row>
    <row r="338" customFormat="false" ht="15" hidden="false" customHeight="false" outlineLevel="0" collapsed="false">
      <c r="A338" s="4" t="s">
        <v>49</v>
      </c>
      <c r="B338" s="4" t="s">
        <v>60</v>
      </c>
      <c r="C338" s="4" t="s">
        <v>180</v>
      </c>
      <c r="D338" s="4" t="n">
        <f aca="false">INDEX(Positions!$D$2:$D$1061,MATCH($A338&amp;"|1",Positions!$A$2:$A$1061,0))</f>
        <v>1</v>
      </c>
      <c r="E338" s="4" t="n">
        <f aca="false">INDEX(Positions!$D$2:$D$1061,MATCH($A338&amp;"|72",Positions!$A$2:$A$1061,0))</f>
        <v>75</v>
      </c>
      <c r="F338" s="4" t="str">
        <f aca="false">INDEX(Positions!$E$2:$E$1061,MATCH($A338&amp;"|1",Positions!$A$2:$A$1061,0))</f>
        <v>A</v>
      </c>
      <c r="G338" s="4" t="str">
        <f aca="false">INDEX(Positions!$E$2:$E$1061,MATCH($A338&amp;"|72",Positions!$A$2:$A$1061,0))</f>
        <v>U</v>
      </c>
      <c r="H338" s="3" t="str">
        <f aca="false">F338&amp;"-"&amp;G338</f>
        <v>A-U</v>
      </c>
      <c r="I338" s="4" t="n">
        <f aca="false">(F338="G")+(G338="G")</f>
        <v>0</v>
      </c>
      <c r="J338" s="4" t="n">
        <f aca="false">(F338="C")+(G338="C")</f>
        <v>0</v>
      </c>
      <c r="K338" s="3" t="n">
        <f aca="false">I338+J338</f>
        <v>0</v>
      </c>
    </row>
    <row r="339" customFormat="false" ht="15" hidden="false" customHeight="false" outlineLevel="0" collapsed="false">
      <c r="A339" s="4" t="s">
        <v>49</v>
      </c>
      <c r="B339" s="4" t="s">
        <v>60</v>
      </c>
      <c r="C339" s="4" t="s">
        <v>181</v>
      </c>
      <c r="D339" s="4" t="n">
        <f aca="false">INDEX(Positions!$D$2:$D$1061,MATCH($A339&amp;"|2",Positions!$A$2:$A$1061,0))</f>
        <v>2</v>
      </c>
      <c r="E339" s="4" t="n">
        <f aca="false">INDEX(Positions!$D$2:$D$1061,MATCH($A339&amp;"|71",Positions!$A$2:$A$1061,0))</f>
        <v>74</v>
      </c>
      <c r="F339" s="4" t="str">
        <f aca="false">INDEX(Positions!$E$2:$E$1061,MATCH($A339&amp;"|2",Positions!$A$2:$A$1061,0))</f>
        <v>A</v>
      </c>
      <c r="G339" s="4" t="str">
        <f aca="false">INDEX(Positions!$E$2:$E$1061,MATCH($A339&amp;"|71",Positions!$A$2:$A$1061,0))</f>
        <v>U</v>
      </c>
      <c r="H339" s="3" t="str">
        <f aca="false">F339&amp;"-"&amp;G339</f>
        <v>A-U</v>
      </c>
      <c r="I339" s="4" t="n">
        <f aca="false">(F339="G")+(G339="G")</f>
        <v>0</v>
      </c>
      <c r="J339" s="4" t="n">
        <f aca="false">(F339="C")+(G339="C")</f>
        <v>0</v>
      </c>
      <c r="K339" s="3" t="n">
        <f aca="false">I339+J339</f>
        <v>0</v>
      </c>
    </row>
    <row r="340" customFormat="false" ht="15" hidden="false" customHeight="false" outlineLevel="0" collapsed="false">
      <c r="A340" s="4" t="s">
        <v>49</v>
      </c>
      <c r="B340" s="4" t="s">
        <v>60</v>
      </c>
      <c r="C340" s="4" t="s">
        <v>182</v>
      </c>
      <c r="D340" s="4" t="n">
        <f aca="false">INDEX(Positions!$D$2:$D$1061,MATCH($A340&amp;"|3",Positions!$A$2:$A$1061,0))</f>
        <v>3</v>
      </c>
      <c r="E340" s="4" t="n">
        <f aca="false">INDEX(Positions!$D$2:$D$1061,MATCH($A340&amp;"|70",Positions!$A$2:$A$1061,0))</f>
        <v>73</v>
      </c>
      <c r="F340" s="4" t="str">
        <f aca="false">INDEX(Positions!$E$2:$E$1061,MATCH($A340&amp;"|3",Positions!$A$2:$A$1061,0))</f>
        <v>U</v>
      </c>
      <c r="G340" s="4" t="str">
        <f aca="false">INDEX(Positions!$E$2:$E$1061,MATCH($A340&amp;"|70",Positions!$A$2:$A$1061,0))</f>
        <v>A</v>
      </c>
      <c r="H340" s="3" t="str">
        <f aca="false">F340&amp;"-"&amp;G340</f>
        <v>U-A</v>
      </c>
      <c r="I340" s="4" t="n">
        <f aca="false">(F340="G")+(G340="G")</f>
        <v>0</v>
      </c>
      <c r="J340" s="4" t="n">
        <f aca="false">(F340="C")+(G340="C")</f>
        <v>0</v>
      </c>
      <c r="K340" s="3" t="n">
        <f aca="false">I340+J340</f>
        <v>0</v>
      </c>
    </row>
    <row r="341" customFormat="false" ht="15" hidden="false" customHeight="false" outlineLevel="0" collapsed="false">
      <c r="A341" s="4" t="s">
        <v>49</v>
      </c>
      <c r="B341" s="4" t="s">
        <v>60</v>
      </c>
      <c r="C341" s="4" t="s">
        <v>183</v>
      </c>
      <c r="D341" s="4" t="n">
        <f aca="false">INDEX(Positions!$D$2:$D$1061,MATCH($A341&amp;"|4",Positions!$A$2:$A$1061,0))</f>
        <v>4</v>
      </c>
      <c r="E341" s="4" t="n">
        <f aca="false">INDEX(Positions!$D$2:$D$1061,MATCH($A341&amp;"|69",Positions!$A$2:$A$1061,0))</f>
        <v>72</v>
      </c>
      <c r="F341" s="4" t="str">
        <f aca="false">INDEX(Positions!$E$2:$E$1061,MATCH($A341&amp;"|4",Positions!$A$2:$A$1061,0))</f>
        <v>U</v>
      </c>
      <c r="G341" s="4" t="str">
        <f aca="false">INDEX(Positions!$E$2:$E$1061,MATCH($A341&amp;"|69",Positions!$A$2:$A$1061,0))</f>
        <v>G</v>
      </c>
      <c r="H341" s="3" t="str">
        <f aca="false">F341&amp;"-"&amp;G341</f>
        <v>U-G</v>
      </c>
      <c r="I341" s="4" t="n">
        <f aca="false">(F341="G")+(G341="G")</f>
        <v>1</v>
      </c>
      <c r="J341" s="4" t="n">
        <f aca="false">(F341="C")+(G341="C")</f>
        <v>0</v>
      </c>
      <c r="K341" s="3" t="n">
        <f aca="false">I341+J341</f>
        <v>1</v>
      </c>
    </row>
    <row r="342" customFormat="false" ht="15" hidden="false" customHeight="false" outlineLevel="0" collapsed="false">
      <c r="A342" s="4" t="s">
        <v>49</v>
      </c>
      <c r="B342" s="4" t="s">
        <v>60</v>
      </c>
      <c r="C342" s="4" t="s">
        <v>184</v>
      </c>
      <c r="D342" s="4" t="n">
        <f aca="false">INDEX(Positions!$D$2:$D$1061,MATCH($A342&amp;"|5",Positions!$A$2:$A$1061,0))</f>
        <v>5</v>
      </c>
      <c r="E342" s="4" t="n">
        <f aca="false">INDEX(Positions!$D$2:$D$1061,MATCH($A342&amp;"|68",Positions!$A$2:$A$1061,0))</f>
        <v>71</v>
      </c>
      <c r="F342" s="4" t="str">
        <f aca="false">INDEX(Positions!$E$2:$E$1061,MATCH($A342&amp;"|5",Positions!$A$2:$A$1061,0))</f>
        <v>C</v>
      </c>
      <c r="G342" s="4" t="str">
        <f aca="false">INDEX(Positions!$E$2:$E$1061,MATCH($A342&amp;"|68",Positions!$A$2:$A$1061,0))</f>
        <v>G</v>
      </c>
      <c r="H342" s="3" t="str">
        <f aca="false">F342&amp;"-"&amp;G342</f>
        <v>C-G</v>
      </c>
      <c r="I342" s="4" t="n">
        <f aca="false">(F342="G")+(G342="G")</f>
        <v>1</v>
      </c>
      <c r="J342" s="4" t="n">
        <f aca="false">(F342="C")+(G342="C")</f>
        <v>1</v>
      </c>
      <c r="K342" s="3" t="n">
        <f aca="false">I342+J342</f>
        <v>2</v>
      </c>
    </row>
    <row r="343" customFormat="false" ht="15" hidden="false" customHeight="false" outlineLevel="0" collapsed="false">
      <c r="A343" s="4" t="s">
        <v>49</v>
      </c>
      <c r="B343" s="4" t="s">
        <v>60</v>
      </c>
      <c r="C343" s="4" t="s">
        <v>185</v>
      </c>
      <c r="D343" s="4" t="n">
        <f aca="false">INDEX(Positions!$D$2:$D$1061,MATCH($A343&amp;"|6",Positions!$A$2:$A$1061,0))</f>
        <v>6</v>
      </c>
      <c r="E343" s="4" t="n">
        <f aca="false">INDEX(Positions!$D$2:$D$1061,MATCH($A343&amp;"|67",Positions!$A$2:$A$1061,0))</f>
        <v>70</v>
      </c>
      <c r="F343" s="4" t="str">
        <f aca="false">INDEX(Positions!$E$2:$E$1061,MATCH($A343&amp;"|6",Positions!$A$2:$A$1061,0))</f>
        <v>A</v>
      </c>
      <c r="G343" s="4" t="str">
        <f aca="false">INDEX(Positions!$E$2:$E$1061,MATCH($A343&amp;"|67",Positions!$A$2:$A$1061,0))</f>
        <v>U</v>
      </c>
      <c r="H343" s="3" t="str">
        <f aca="false">F343&amp;"-"&amp;G343</f>
        <v>A-U</v>
      </c>
      <c r="I343" s="4" t="n">
        <f aca="false">(F343="G")+(G343="G")</f>
        <v>0</v>
      </c>
      <c r="J343" s="4" t="n">
        <f aca="false">(F343="C")+(G343="C")</f>
        <v>0</v>
      </c>
      <c r="K343" s="3" t="n">
        <f aca="false">I343+J343</f>
        <v>0</v>
      </c>
    </row>
    <row r="344" customFormat="false" ht="15" hidden="false" customHeight="false" outlineLevel="0" collapsed="false">
      <c r="A344" s="4" t="s">
        <v>49</v>
      </c>
      <c r="B344" s="4" t="s">
        <v>60</v>
      </c>
      <c r="C344" s="4" t="s">
        <v>186</v>
      </c>
      <c r="D344" s="4" t="n">
        <f aca="false">INDEX(Positions!$D$2:$D$1061,MATCH($A344&amp;"|7",Positions!$A$2:$A$1061,0))</f>
        <v>7</v>
      </c>
      <c r="E344" s="4" t="n">
        <f aca="false">INDEX(Positions!$D$2:$D$1061,MATCH($A344&amp;"|66",Positions!$A$2:$A$1061,0))</f>
        <v>69</v>
      </c>
      <c r="F344" s="4" t="str">
        <f aca="false">INDEX(Positions!$E$2:$E$1061,MATCH($A344&amp;"|7",Positions!$A$2:$A$1061,0))</f>
        <v>U</v>
      </c>
      <c r="G344" s="4" t="str">
        <f aca="false">INDEX(Positions!$E$2:$E$1061,MATCH($A344&amp;"|66",Positions!$A$2:$A$1061,0))</f>
        <v>A</v>
      </c>
      <c r="H344" s="3" t="str">
        <f aca="false">F344&amp;"-"&amp;G344</f>
        <v>U-A</v>
      </c>
      <c r="I344" s="4" t="n">
        <f aca="false">(F344="G")+(G344="G")</f>
        <v>0</v>
      </c>
      <c r="J344" s="4" t="n">
        <f aca="false">(F344="C")+(G344="C")</f>
        <v>0</v>
      </c>
      <c r="K344" s="3" t="n">
        <f aca="false">I344+J344</f>
        <v>0</v>
      </c>
    </row>
    <row r="345" customFormat="false" ht="15" hidden="false" customHeight="false" outlineLevel="0" collapsed="false">
      <c r="A345" s="4" t="s">
        <v>49</v>
      </c>
      <c r="B345" s="4" t="s">
        <v>75</v>
      </c>
      <c r="C345" s="4" t="s">
        <v>187</v>
      </c>
      <c r="D345" s="4" t="n">
        <f aca="false">INDEX(Positions!$D$2:$D$1061,MATCH($A345&amp;"|10",Positions!$A$2:$A$1061,0))</f>
        <v>10</v>
      </c>
      <c r="E345" s="4" t="n">
        <f aca="false">INDEX(Positions!$D$2:$D$1061,MATCH($A345&amp;"|25",Positions!$A$2:$A$1061,0))</f>
        <v>25</v>
      </c>
      <c r="F345" s="4" t="str">
        <f aca="false">INDEX(Positions!$E$2:$E$1061,MATCH($A345&amp;"|10",Positions!$A$2:$A$1061,0))</f>
        <v>A</v>
      </c>
      <c r="G345" s="4" t="str">
        <f aca="false">INDEX(Positions!$E$2:$E$1061,MATCH($A345&amp;"|25",Positions!$A$2:$A$1061,0))</f>
        <v>U</v>
      </c>
      <c r="H345" s="3" t="str">
        <f aca="false">F345&amp;"-"&amp;G345</f>
        <v>A-U</v>
      </c>
      <c r="I345" s="4" t="n">
        <f aca="false">(F345="G")+(G345="G")</f>
        <v>0</v>
      </c>
      <c r="J345" s="4" t="n">
        <f aca="false">(F345="C")+(G345="C")</f>
        <v>0</v>
      </c>
      <c r="K345" s="3" t="n">
        <f aca="false">I345+J345</f>
        <v>0</v>
      </c>
    </row>
    <row r="346" customFormat="false" ht="15" hidden="false" customHeight="false" outlineLevel="0" collapsed="false">
      <c r="A346" s="4" t="s">
        <v>49</v>
      </c>
      <c r="B346" s="4" t="s">
        <v>75</v>
      </c>
      <c r="C346" s="4" t="s">
        <v>188</v>
      </c>
      <c r="D346" s="4" t="n">
        <f aca="false">INDEX(Positions!$D$2:$D$1061,MATCH($A346&amp;"|11",Positions!$A$2:$A$1061,0))</f>
        <v>11</v>
      </c>
      <c r="E346" s="4" t="n">
        <f aca="false">INDEX(Positions!$D$2:$D$1061,MATCH($A346&amp;"|24",Positions!$A$2:$A$1061,0))</f>
        <v>24</v>
      </c>
      <c r="F346" s="4" t="str">
        <f aca="false">INDEX(Positions!$E$2:$E$1061,MATCH($A346&amp;"|11",Positions!$A$2:$A$1061,0))</f>
        <v>A</v>
      </c>
      <c r="G346" s="4" t="str">
        <f aca="false">INDEX(Positions!$E$2:$E$1061,MATCH($A346&amp;"|24",Positions!$A$2:$A$1061,0))</f>
        <v>U</v>
      </c>
      <c r="H346" s="3" t="str">
        <f aca="false">F346&amp;"-"&amp;G346</f>
        <v>A-U</v>
      </c>
      <c r="I346" s="4" t="n">
        <f aca="false">(F346="G")+(G346="G")</f>
        <v>0</v>
      </c>
      <c r="J346" s="4" t="n">
        <f aca="false">(F346="C")+(G346="C")</f>
        <v>0</v>
      </c>
      <c r="K346" s="3" t="n">
        <f aca="false">I346+J346</f>
        <v>0</v>
      </c>
    </row>
    <row r="347" customFormat="false" ht="15" hidden="false" customHeight="false" outlineLevel="0" collapsed="false">
      <c r="A347" s="4" t="s">
        <v>49</v>
      </c>
      <c r="B347" s="4" t="s">
        <v>75</v>
      </c>
      <c r="C347" s="4" t="s">
        <v>189</v>
      </c>
      <c r="D347" s="4" t="n">
        <f aca="false">INDEX(Positions!$D$2:$D$1061,MATCH($A347&amp;"|12",Positions!$A$2:$A$1061,0))</f>
        <v>12</v>
      </c>
      <c r="E347" s="4" t="n">
        <f aca="false">INDEX(Positions!$D$2:$D$1061,MATCH($A347&amp;"|23",Positions!$A$2:$A$1061,0))</f>
        <v>23</v>
      </c>
      <c r="F347" s="4" t="str">
        <f aca="false">INDEX(Positions!$E$2:$E$1061,MATCH($A347&amp;"|12",Positions!$A$2:$A$1061,0))</f>
        <v>U</v>
      </c>
      <c r="G347" s="4" t="str">
        <f aca="false">INDEX(Positions!$E$2:$E$1061,MATCH($A347&amp;"|23",Positions!$A$2:$A$1061,0))</f>
        <v>A</v>
      </c>
      <c r="H347" s="3" t="str">
        <f aca="false">F347&amp;"-"&amp;G347</f>
        <v>U-A</v>
      </c>
      <c r="I347" s="4" t="n">
        <f aca="false">(F347="G")+(G347="G")</f>
        <v>0</v>
      </c>
      <c r="J347" s="4" t="n">
        <f aca="false">(F347="C")+(G347="C")</f>
        <v>0</v>
      </c>
      <c r="K347" s="3" t="n">
        <f aca="false">I347+J347</f>
        <v>0</v>
      </c>
    </row>
    <row r="348" customFormat="false" ht="15" hidden="false" customHeight="false" outlineLevel="0" collapsed="false">
      <c r="A348" s="4" t="s">
        <v>49</v>
      </c>
      <c r="B348" s="4" t="s">
        <v>75</v>
      </c>
      <c r="C348" s="4" t="s">
        <v>190</v>
      </c>
      <c r="D348" s="4" t="n">
        <f aca="false">INDEX(Positions!$D$2:$D$1061,MATCH($A348&amp;"|13",Positions!$A$2:$A$1061,0))</f>
        <v>13</v>
      </c>
      <c r="E348" s="4" t="n">
        <f aca="false">INDEX(Positions!$D$2:$D$1061,MATCH($A348&amp;"|22",Positions!$A$2:$A$1061,0))</f>
        <v>22</v>
      </c>
      <c r="F348" s="4" t="str">
        <f aca="false">INDEX(Positions!$E$2:$E$1061,MATCH($A348&amp;"|13",Positions!$A$2:$A$1061,0))</f>
        <v>A</v>
      </c>
      <c r="G348" s="4" t="str">
        <f aca="false">INDEX(Positions!$E$2:$E$1061,MATCH($A348&amp;"|22",Positions!$A$2:$A$1061,0))</f>
        <v>U</v>
      </c>
      <c r="H348" s="3" t="str">
        <f aca="false">F348&amp;"-"&amp;G348</f>
        <v>A-U</v>
      </c>
      <c r="I348" s="4" t="n">
        <f aca="false">(F348="G")+(G348="G")</f>
        <v>0</v>
      </c>
      <c r="J348" s="4" t="n">
        <f aca="false">(F348="C")+(G348="C")</f>
        <v>0</v>
      </c>
      <c r="K348" s="3" t="n">
        <f aca="false">I348+J348</f>
        <v>0</v>
      </c>
    </row>
    <row r="349" customFormat="false" ht="15" hidden="false" customHeight="false" outlineLevel="0" collapsed="false">
      <c r="A349" s="4" t="s">
        <v>49</v>
      </c>
      <c r="B349" s="4" t="s">
        <v>96</v>
      </c>
      <c r="C349" s="4" t="s">
        <v>191</v>
      </c>
      <c r="D349" s="4" t="n">
        <f aca="false">INDEX(Positions!$D$2:$D$1061,MATCH($A349&amp;"|27",Positions!$A$2:$A$1061,0))</f>
        <v>27</v>
      </c>
      <c r="E349" s="4" t="n">
        <f aca="false">INDEX(Positions!$D$2:$D$1061,MATCH($A349&amp;"|43",Positions!$A$2:$A$1061,0))</f>
        <v>43</v>
      </c>
      <c r="F349" s="4" t="str">
        <f aca="false">INDEX(Positions!$E$2:$E$1061,MATCH($A349&amp;"|27",Positions!$A$2:$A$1061,0))</f>
        <v>G</v>
      </c>
      <c r="G349" s="4" t="str">
        <f aca="false">INDEX(Positions!$E$2:$E$1061,MATCH($A349&amp;"|43",Positions!$A$2:$A$1061,0))</f>
        <v>U</v>
      </c>
      <c r="H349" s="3" t="str">
        <f aca="false">F349&amp;"-"&amp;G349</f>
        <v>G-U</v>
      </c>
      <c r="I349" s="4" t="n">
        <f aca="false">(F349="G")+(G349="G")</f>
        <v>1</v>
      </c>
      <c r="J349" s="4" t="n">
        <f aca="false">(F349="C")+(G349="C")</f>
        <v>0</v>
      </c>
      <c r="K349" s="3" t="n">
        <f aca="false">I349+J349</f>
        <v>1</v>
      </c>
    </row>
    <row r="350" customFormat="false" ht="15" hidden="false" customHeight="false" outlineLevel="0" collapsed="false">
      <c r="A350" s="4" t="s">
        <v>49</v>
      </c>
      <c r="B350" s="4" t="s">
        <v>96</v>
      </c>
      <c r="C350" s="4" t="s">
        <v>192</v>
      </c>
      <c r="D350" s="4" t="n">
        <f aca="false">INDEX(Positions!$D$2:$D$1061,MATCH($A350&amp;"|28",Positions!$A$2:$A$1061,0))</f>
        <v>28</v>
      </c>
      <c r="E350" s="4" t="n">
        <f aca="false">INDEX(Positions!$D$2:$D$1061,MATCH($A350&amp;"|42",Positions!$A$2:$A$1061,0))</f>
        <v>42</v>
      </c>
      <c r="F350" s="4" t="str">
        <f aca="false">INDEX(Positions!$E$2:$E$1061,MATCH($A350&amp;"|28",Positions!$A$2:$A$1061,0))</f>
        <v>G</v>
      </c>
      <c r="G350" s="4" t="str">
        <f aca="false">INDEX(Positions!$E$2:$E$1061,MATCH($A350&amp;"|42",Positions!$A$2:$A$1061,0))</f>
        <v>U</v>
      </c>
      <c r="H350" s="3" t="str">
        <f aca="false">F350&amp;"-"&amp;G350</f>
        <v>G-U</v>
      </c>
      <c r="I350" s="4" t="n">
        <f aca="false">(F350="G")+(G350="G")</f>
        <v>1</v>
      </c>
      <c r="J350" s="4" t="n">
        <f aca="false">(F350="C")+(G350="C")</f>
        <v>0</v>
      </c>
      <c r="K350" s="3" t="n">
        <f aca="false">I350+J350</f>
        <v>1</v>
      </c>
    </row>
    <row r="351" customFormat="false" ht="15" hidden="false" customHeight="false" outlineLevel="0" collapsed="false">
      <c r="A351" s="4" t="s">
        <v>49</v>
      </c>
      <c r="B351" s="4" t="s">
        <v>96</v>
      </c>
      <c r="C351" s="4" t="s">
        <v>193</v>
      </c>
      <c r="D351" s="4" t="n">
        <f aca="false">INDEX(Positions!$D$2:$D$1061,MATCH($A351&amp;"|29",Positions!$A$2:$A$1061,0))</f>
        <v>29</v>
      </c>
      <c r="E351" s="4" t="n">
        <f aca="false">INDEX(Positions!$D$2:$D$1061,MATCH($A351&amp;"|41",Positions!$A$2:$A$1061,0))</f>
        <v>41</v>
      </c>
      <c r="F351" s="4" t="str">
        <f aca="false">INDEX(Positions!$E$2:$E$1061,MATCH($A351&amp;"|29",Positions!$A$2:$A$1061,0))</f>
        <v>A</v>
      </c>
      <c r="G351" s="4" t="str">
        <f aca="false">INDEX(Positions!$E$2:$E$1061,MATCH($A351&amp;"|41",Positions!$A$2:$A$1061,0))</f>
        <v>U</v>
      </c>
      <c r="H351" s="3" t="str">
        <f aca="false">F351&amp;"-"&amp;G351</f>
        <v>A-U</v>
      </c>
      <c r="I351" s="4" t="n">
        <f aca="false">(F351="G")+(G351="G")</f>
        <v>0</v>
      </c>
      <c r="J351" s="4" t="n">
        <f aca="false">(F351="C")+(G351="C")</f>
        <v>0</v>
      </c>
      <c r="K351" s="3" t="n">
        <f aca="false">I351+J351</f>
        <v>0</v>
      </c>
    </row>
    <row r="352" customFormat="false" ht="15" hidden="false" customHeight="false" outlineLevel="0" collapsed="false">
      <c r="A352" s="4" t="s">
        <v>49</v>
      </c>
      <c r="B352" s="4" t="s">
        <v>96</v>
      </c>
      <c r="C352" s="4" t="s">
        <v>194</v>
      </c>
      <c r="D352" s="4" t="n">
        <f aca="false">INDEX(Positions!$D$2:$D$1061,MATCH($A352&amp;"|30",Positions!$A$2:$A$1061,0))</f>
        <v>30</v>
      </c>
      <c r="E352" s="4" t="n">
        <f aca="false">INDEX(Positions!$D$2:$D$1061,MATCH($A352&amp;"|40",Positions!$A$2:$A$1061,0))</f>
        <v>40</v>
      </c>
      <c r="F352" s="4" t="str">
        <f aca="false">INDEX(Positions!$E$2:$E$1061,MATCH($A352&amp;"|30",Positions!$A$2:$A$1061,0))</f>
        <v>G</v>
      </c>
      <c r="G352" s="4" t="str">
        <f aca="false">INDEX(Positions!$E$2:$E$1061,MATCH($A352&amp;"|40",Positions!$A$2:$A$1061,0))</f>
        <v>C</v>
      </c>
      <c r="H352" s="3" t="str">
        <f aca="false">F352&amp;"-"&amp;G352</f>
        <v>G-C</v>
      </c>
      <c r="I352" s="4" t="n">
        <f aca="false">(F352="G")+(G352="G")</f>
        <v>1</v>
      </c>
      <c r="J352" s="4" t="n">
        <f aca="false">(F352="C")+(G352="C")</f>
        <v>1</v>
      </c>
      <c r="K352" s="3" t="n">
        <f aca="false">I352+J352</f>
        <v>2</v>
      </c>
    </row>
    <row r="353" customFormat="false" ht="15" hidden="false" customHeight="false" outlineLevel="0" collapsed="false">
      <c r="A353" s="4" t="s">
        <v>49</v>
      </c>
      <c r="B353" s="4" t="s">
        <v>96</v>
      </c>
      <c r="C353" s="4" t="s">
        <v>195</v>
      </c>
      <c r="D353" s="4" t="n">
        <f aca="false">INDEX(Positions!$D$2:$D$1061,MATCH($A353&amp;"|31",Positions!$A$2:$A$1061,0))</f>
        <v>31</v>
      </c>
      <c r="E353" s="4" t="n">
        <f aca="false">INDEX(Positions!$D$2:$D$1061,MATCH($A353&amp;"|39",Positions!$A$2:$A$1061,0))</f>
        <v>39</v>
      </c>
      <c r="F353" s="4" t="str">
        <f aca="false">INDEX(Positions!$E$2:$E$1061,MATCH($A353&amp;"|31",Positions!$A$2:$A$1061,0))</f>
        <v>U</v>
      </c>
      <c r="G353" s="4" t="str">
        <f aca="false">INDEX(Positions!$E$2:$E$1061,MATCH($A353&amp;"|39",Positions!$A$2:$A$1061,0))</f>
        <v>G</v>
      </c>
      <c r="H353" s="3" t="str">
        <f aca="false">F353&amp;"-"&amp;G353</f>
        <v>U-G</v>
      </c>
      <c r="I353" s="4" t="n">
        <f aca="false">(F353="G")+(G353="G")</f>
        <v>1</v>
      </c>
      <c r="J353" s="4" t="n">
        <f aca="false">(F353="C")+(G353="C")</f>
        <v>0</v>
      </c>
      <c r="K353" s="3" t="n">
        <f aca="false">I353+J353</f>
        <v>1</v>
      </c>
    </row>
    <row r="354" customFormat="false" ht="15" hidden="false" customHeight="false" outlineLevel="0" collapsed="false">
      <c r="A354" s="4" t="s">
        <v>49</v>
      </c>
      <c r="B354" s="4" t="s">
        <v>126</v>
      </c>
      <c r="C354" s="4" t="s">
        <v>196</v>
      </c>
      <c r="D354" s="4" t="n">
        <f aca="false">INDEX(Positions!$D$2:$D$1061,MATCH($A354&amp;"|49",Positions!$A$2:$A$1061,0))</f>
        <v>52</v>
      </c>
      <c r="E354" s="4" t="n">
        <f aca="false">INDEX(Positions!$D$2:$D$1061,MATCH($A354&amp;"|65",Positions!$A$2:$A$1061,0))</f>
        <v>68</v>
      </c>
      <c r="F354" s="4" t="str">
        <f aca="false">INDEX(Positions!$E$2:$E$1061,MATCH($A354&amp;"|49",Positions!$A$2:$A$1061,0))</f>
        <v>G</v>
      </c>
      <c r="G354" s="4" t="str">
        <f aca="false">INDEX(Positions!$E$2:$E$1061,MATCH($A354&amp;"|65",Positions!$A$2:$A$1061,0))</f>
        <v>C</v>
      </c>
      <c r="H354" s="3" t="str">
        <f aca="false">F354&amp;"-"&amp;G354</f>
        <v>G-C</v>
      </c>
      <c r="I354" s="4" t="n">
        <f aca="false">(F354="G")+(G354="G")</f>
        <v>1</v>
      </c>
      <c r="J354" s="4" t="n">
        <f aca="false">(F354="C")+(G354="C")</f>
        <v>1</v>
      </c>
      <c r="K354" s="3" t="n">
        <f aca="false">I354+J354</f>
        <v>2</v>
      </c>
    </row>
    <row r="355" customFormat="false" ht="15" hidden="false" customHeight="false" outlineLevel="0" collapsed="false">
      <c r="A355" s="4" t="s">
        <v>49</v>
      </c>
      <c r="B355" s="4" t="s">
        <v>126</v>
      </c>
      <c r="C355" s="4" t="s">
        <v>197</v>
      </c>
      <c r="D355" s="4" t="n">
        <f aca="false">INDEX(Positions!$D$2:$D$1061,MATCH($A355&amp;"|50",Positions!$A$2:$A$1061,0))</f>
        <v>53</v>
      </c>
      <c r="E355" s="4" t="n">
        <f aca="false">INDEX(Positions!$D$2:$D$1061,MATCH($A355&amp;"|64",Positions!$A$2:$A$1061,0))</f>
        <v>67</v>
      </c>
      <c r="F355" s="4" t="str">
        <f aca="false">INDEX(Positions!$E$2:$E$1061,MATCH($A355&amp;"|50",Positions!$A$2:$A$1061,0))</f>
        <v>G</v>
      </c>
      <c r="G355" s="4" t="str">
        <f aca="false">INDEX(Positions!$E$2:$E$1061,MATCH($A355&amp;"|64",Positions!$A$2:$A$1061,0))</f>
        <v>U</v>
      </c>
      <c r="H355" s="3" t="str">
        <f aca="false">F355&amp;"-"&amp;G355</f>
        <v>G-U</v>
      </c>
      <c r="I355" s="4" t="n">
        <f aca="false">(F355="G")+(G355="G")</f>
        <v>1</v>
      </c>
      <c r="J355" s="4" t="n">
        <f aca="false">(F355="C")+(G355="C")</f>
        <v>0</v>
      </c>
      <c r="K355" s="3" t="n">
        <f aca="false">I355+J355</f>
        <v>1</v>
      </c>
    </row>
    <row r="356" customFormat="false" ht="15" hidden="false" customHeight="false" outlineLevel="0" collapsed="false">
      <c r="A356" s="4" t="s">
        <v>49</v>
      </c>
      <c r="B356" s="4" t="s">
        <v>126</v>
      </c>
      <c r="C356" s="4" t="s">
        <v>198</v>
      </c>
      <c r="D356" s="4" t="n">
        <f aca="false">INDEX(Positions!$D$2:$D$1061,MATCH($A356&amp;"|51",Positions!$A$2:$A$1061,0))</f>
        <v>54</v>
      </c>
      <c r="E356" s="4" t="n">
        <f aca="false">INDEX(Positions!$D$2:$D$1061,MATCH($A356&amp;"|63",Positions!$A$2:$A$1061,0))</f>
        <v>66</v>
      </c>
      <c r="F356" s="4" t="str">
        <f aca="false">INDEX(Positions!$E$2:$E$1061,MATCH($A356&amp;"|51",Positions!$A$2:$A$1061,0))</f>
        <v>C</v>
      </c>
      <c r="G356" s="4" t="str">
        <f aca="false">INDEX(Positions!$E$2:$E$1061,MATCH($A356&amp;"|63",Positions!$A$2:$A$1061,0))</f>
        <v>U</v>
      </c>
      <c r="H356" s="3" t="str">
        <f aca="false">F356&amp;"-"&amp;G356</f>
        <v>C-U</v>
      </c>
      <c r="I356" s="4" t="n">
        <f aca="false">(F356="G")+(G356="G")</f>
        <v>0</v>
      </c>
      <c r="J356" s="4" t="n">
        <f aca="false">(F356="C")+(G356="C")</f>
        <v>1</v>
      </c>
      <c r="K356" s="3" t="n">
        <f aca="false">I356+J356</f>
        <v>1</v>
      </c>
    </row>
    <row r="357" customFormat="false" ht="15" hidden="false" customHeight="false" outlineLevel="0" collapsed="false">
      <c r="A357" s="4" t="s">
        <v>49</v>
      </c>
      <c r="B357" s="4" t="s">
        <v>126</v>
      </c>
      <c r="C357" s="4" t="s">
        <v>199</v>
      </c>
      <c r="D357" s="4" t="n">
        <f aca="false">INDEX(Positions!$D$2:$D$1061,MATCH($A357&amp;"|52",Positions!$A$2:$A$1061,0))</f>
        <v>55</v>
      </c>
      <c r="E357" s="4" t="n">
        <f aca="false">INDEX(Positions!$D$2:$D$1061,MATCH($A357&amp;"|62",Positions!$A$2:$A$1061,0))</f>
        <v>65</v>
      </c>
      <c r="F357" s="4" t="str">
        <f aca="false">INDEX(Positions!$E$2:$E$1061,MATCH($A357&amp;"|52",Positions!$A$2:$A$1061,0))</f>
        <v>A</v>
      </c>
      <c r="G357" s="4" t="str">
        <f aca="false">INDEX(Positions!$E$2:$E$1061,MATCH($A357&amp;"|62",Positions!$A$2:$A$1061,0))</f>
        <v>U</v>
      </c>
      <c r="H357" s="3" t="str">
        <f aca="false">F357&amp;"-"&amp;G357</f>
        <v>A-U</v>
      </c>
      <c r="I357" s="4" t="n">
        <f aca="false">(F357="G")+(G357="G")</f>
        <v>0</v>
      </c>
      <c r="J357" s="4" t="n">
        <f aca="false">(F357="C")+(G357="C")</f>
        <v>0</v>
      </c>
      <c r="K357" s="3" t="n">
        <f aca="false">I357+J357</f>
        <v>0</v>
      </c>
    </row>
    <row r="358" customFormat="false" ht="15" hidden="false" customHeight="false" outlineLevel="0" collapsed="false">
      <c r="A358" s="4" t="s">
        <v>49</v>
      </c>
      <c r="B358" s="4" t="s">
        <v>126</v>
      </c>
      <c r="C358" s="4" t="s">
        <v>200</v>
      </c>
      <c r="D358" s="4" t="n">
        <f aca="false">INDEX(Positions!$D$2:$D$1061,MATCH($A358&amp;"|53",Positions!$A$2:$A$1061,0))</f>
        <v>56</v>
      </c>
      <c r="E358" s="4" t="n">
        <f aca="false">INDEX(Positions!$D$2:$D$1061,MATCH($A358&amp;"|61",Positions!$A$2:$A$1061,0))</f>
        <v>64</v>
      </c>
      <c r="F358" s="4" t="str">
        <f aca="false">INDEX(Positions!$E$2:$E$1061,MATCH($A358&amp;"|53",Positions!$A$2:$A$1061,0))</f>
        <v>G</v>
      </c>
      <c r="G358" s="4" t="str">
        <f aca="false">INDEX(Positions!$E$2:$E$1061,MATCH($A358&amp;"|61",Positions!$A$2:$A$1061,0))</f>
        <v>C</v>
      </c>
      <c r="H358" s="3" t="str">
        <f aca="false">F358&amp;"-"&amp;G358</f>
        <v>G-C</v>
      </c>
      <c r="I358" s="4" t="n">
        <f aca="false">(F358="G")+(G358="G")</f>
        <v>1</v>
      </c>
      <c r="J358" s="4" t="n">
        <f aca="false">(F358="C")+(G358="C")</f>
        <v>1</v>
      </c>
      <c r="K358" s="3" t="n">
        <f aca="false">I358+J358</f>
        <v>2</v>
      </c>
    </row>
    <row r="359" customFormat="false" ht="15" hidden="false" customHeight="false" outlineLevel="0" collapsed="false">
      <c r="A359" s="23" t="s">
        <v>49</v>
      </c>
      <c r="B359" s="23" t="s">
        <v>201</v>
      </c>
      <c r="C359" s="23" t="s">
        <v>202</v>
      </c>
      <c r="D359" s="23" t="n">
        <f aca="false">INDEX(Positions!$D$2:$D$1061,MATCH($A359&amp;"|8",Positions!$A$2:$A$1061,0))</f>
        <v>8</v>
      </c>
      <c r="E359" s="23" t="n">
        <f aca="false">INDEX(Positions!$D$2:$D$1061,MATCH($A359&amp;"|14",Positions!$A$2:$A$1061,0))</f>
        <v>14</v>
      </c>
      <c r="F359" s="23" t="str">
        <f aca="false">INDEX(Positions!$E$2:$E$1061,MATCH($A359&amp;"|8",Positions!$A$2:$A$1061,0))</f>
        <v>U</v>
      </c>
      <c r="G359" s="23" t="str">
        <f aca="false">INDEX(Positions!$E$2:$E$1061,MATCH($A359&amp;"|14",Positions!$A$2:$A$1061,0))</f>
        <v>A</v>
      </c>
      <c r="H359" s="24" t="str">
        <f aca="false">F359&amp;"-"&amp;G359</f>
        <v>U-A</v>
      </c>
      <c r="I359" s="23" t="n">
        <f aca="false">(F359="G")+(G359="G")</f>
        <v>0</v>
      </c>
      <c r="J359" s="23" t="n">
        <f aca="false">(F359="C")+(G359="C")</f>
        <v>0</v>
      </c>
      <c r="K359" s="24" t="n">
        <f aca="false">I359+J359</f>
        <v>0</v>
      </c>
    </row>
    <row r="360" customFormat="false" ht="15" hidden="false" customHeight="false" outlineLevel="0" collapsed="false">
      <c r="A360" s="23" t="s">
        <v>49</v>
      </c>
      <c r="B360" s="23" t="s">
        <v>201</v>
      </c>
      <c r="C360" s="23" t="s">
        <v>203</v>
      </c>
      <c r="D360" s="23" t="n">
        <f aca="false">INDEX(Positions!$D$2:$D$1061,MATCH($A360&amp;"|15",Positions!$A$2:$A$1061,0))</f>
        <v>15</v>
      </c>
      <c r="E360" s="23" t="n">
        <f aca="false">INDEX(Positions!$D$2:$D$1061,MATCH($A360&amp;"|48",Positions!$A$2:$A$1061,0))</f>
        <v>51</v>
      </c>
      <c r="F360" s="23" t="str">
        <f aca="false">INDEX(Positions!$E$2:$E$1061,MATCH($A360&amp;"|15",Positions!$A$2:$A$1061,0))</f>
        <v>U</v>
      </c>
      <c r="G360" s="23" t="str">
        <f aca="false">INDEX(Positions!$E$2:$E$1061,MATCH($A360&amp;"|48",Positions!$A$2:$A$1061,0))</f>
        <v>A</v>
      </c>
      <c r="H360" s="24" t="str">
        <f aca="false">F360&amp;"-"&amp;G360</f>
        <v>U-A</v>
      </c>
      <c r="I360" s="23" t="n">
        <f aca="false">(F360="G")+(G360="G")</f>
        <v>0</v>
      </c>
      <c r="J360" s="23" t="n">
        <f aca="false">(F360="C")+(G360="C")</f>
        <v>0</v>
      </c>
      <c r="K360" s="24" t="n">
        <f aca="false">I360+J360</f>
        <v>0</v>
      </c>
    </row>
    <row r="361" customFormat="false" ht="15" hidden="false" customHeight="false" outlineLevel="0" collapsed="false">
      <c r="A361" s="23" t="s">
        <v>49</v>
      </c>
      <c r="B361" s="23" t="s">
        <v>201</v>
      </c>
      <c r="C361" s="23" t="s">
        <v>204</v>
      </c>
      <c r="D361" s="23" t="n">
        <f aca="false">INDEX(Positions!$D$2:$D$1061,MATCH($A361&amp;"|18",Positions!$A$2:$A$1061,0))</f>
        <v>18</v>
      </c>
      <c r="E361" s="23" t="n">
        <f aca="false">INDEX(Positions!$D$2:$D$1061,MATCH($A361&amp;"|55",Positions!$A$2:$A$1061,0))</f>
        <v>58</v>
      </c>
      <c r="F361" s="23" t="str">
        <f aca="false">INDEX(Positions!$E$2:$E$1061,MATCH($A361&amp;"|18",Positions!$A$2:$A$1061,0))</f>
        <v>G</v>
      </c>
      <c r="G361" s="23" t="str">
        <f aca="false">INDEX(Positions!$E$2:$E$1061,MATCH($A361&amp;"|55",Positions!$A$2:$A$1061,0))</f>
        <v>U</v>
      </c>
      <c r="H361" s="24" t="str">
        <f aca="false">F361&amp;"-"&amp;G361</f>
        <v>G-U</v>
      </c>
      <c r="I361" s="23" t="n">
        <f aca="false">(F361="G")+(G361="G")</f>
        <v>1</v>
      </c>
      <c r="J361" s="23" t="n">
        <f aca="false">(F361="C")+(G361="C")</f>
        <v>0</v>
      </c>
      <c r="K361" s="24" t="n">
        <f aca="false">I361+J361</f>
        <v>1</v>
      </c>
    </row>
    <row r="362" customFormat="false" ht="15" hidden="false" customHeight="false" outlineLevel="0" collapsed="false">
      <c r="A362" s="23" t="s">
        <v>49</v>
      </c>
      <c r="B362" s="23" t="s">
        <v>201</v>
      </c>
      <c r="C362" s="23" t="s">
        <v>205</v>
      </c>
      <c r="D362" s="23" t="n">
        <f aca="false">INDEX(Positions!$D$2:$D$1061,MATCH($A362&amp;"|19",Positions!$A$2:$A$1061,0))</f>
        <v>19</v>
      </c>
      <c r="E362" s="23" t="n">
        <f aca="false">INDEX(Positions!$D$2:$D$1061,MATCH($A362&amp;"|56",Positions!$A$2:$A$1061,0))</f>
        <v>59</v>
      </c>
      <c r="F362" s="23" t="str">
        <f aca="false">INDEX(Positions!$E$2:$E$1061,MATCH($A362&amp;"|19",Positions!$A$2:$A$1061,0))</f>
        <v>G</v>
      </c>
      <c r="G362" s="23" t="str">
        <f aca="false">INDEX(Positions!$E$2:$E$1061,MATCH($A362&amp;"|56",Positions!$A$2:$A$1061,0))</f>
        <v>C</v>
      </c>
      <c r="H362" s="24" t="str">
        <f aca="false">F362&amp;"-"&amp;G362</f>
        <v>G-C</v>
      </c>
      <c r="I362" s="23" t="n">
        <f aca="false">(F362="G")+(G362="G")</f>
        <v>1</v>
      </c>
      <c r="J362" s="23" t="n">
        <f aca="false">(F362="C")+(G362="C")</f>
        <v>1</v>
      </c>
      <c r="K362" s="24" t="n">
        <f aca="false">I362+J362</f>
        <v>2</v>
      </c>
    </row>
    <row r="363" customFormat="false" ht="15" hidden="false" customHeight="false" outlineLevel="0" collapsed="false">
      <c r="A363" s="23" t="s">
        <v>49</v>
      </c>
      <c r="B363" s="23" t="s">
        <v>201</v>
      </c>
      <c r="C363" s="23" t="s">
        <v>206</v>
      </c>
      <c r="D363" s="23" t="n">
        <f aca="false">INDEX(Positions!$D$2:$D$1061,MATCH($A363&amp;"|26",Positions!$A$2:$A$1061,0))</f>
        <v>26</v>
      </c>
      <c r="E363" s="23" t="n">
        <f aca="false">INDEX(Positions!$D$2:$D$1061,MATCH($A363&amp;"|44",Positions!$A$2:$A$1061,0))</f>
        <v>44</v>
      </c>
      <c r="F363" s="23" t="str">
        <f aca="false">INDEX(Positions!$E$2:$E$1061,MATCH($A363&amp;"|26",Positions!$A$2:$A$1061,0))</f>
        <v>U</v>
      </c>
      <c r="G363" s="23" t="str">
        <f aca="false">INDEX(Positions!$E$2:$E$1061,MATCH($A363&amp;"|44",Positions!$A$2:$A$1061,0))</f>
        <v>G</v>
      </c>
      <c r="H363" s="24" t="str">
        <f aca="false">F363&amp;"-"&amp;G363</f>
        <v>U-G</v>
      </c>
      <c r="I363" s="23" t="n">
        <f aca="false">(F363="G")+(G363="G")</f>
        <v>1</v>
      </c>
      <c r="J363" s="23" t="n">
        <f aca="false">(F363="C")+(G363="C")</f>
        <v>0</v>
      </c>
      <c r="K363" s="24" t="n">
        <f aca="false">I363+J363</f>
        <v>1</v>
      </c>
    </row>
    <row r="364" customFormat="false" ht="15" hidden="false" customHeight="false" outlineLevel="0" collapsed="false">
      <c r="A364" s="23" t="s">
        <v>49</v>
      </c>
      <c r="B364" s="23" t="s">
        <v>201</v>
      </c>
      <c r="C364" s="23" t="s">
        <v>207</v>
      </c>
      <c r="D364" s="23" t="n">
        <f aca="false">INDEX(Positions!$D$2:$D$1061,MATCH($A364&amp;"|32",Positions!$A$2:$A$1061,0))</f>
        <v>32</v>
      </c>
      <c r="E364" s="23" t="n">
        <f aca="false">INDEX(Positions!$D$2:$D$1061,MATCH($A364&amp;"|38",Positions!$A$2:$A$1061,0))</f>
        <v>38</v>
      </c>
      <c r="F364" s="23" t="str">
        <f aca="false">INDEX(Positions!$E$2:$E$1061,MATCH($A364&amp;"|32",Positions!$A$2:$A$1061,0))</f>
        <v>A</v>
      </c>
      <c r="G364" s="23" t="str">
        <f aca="false">INDEX(Positions!$E$2:$E$1061,MATCH($A364&amp;"|38",Positions!$A$2:$A$1061,0))</f>
        <v>U</v>
      </c>
      <c r="H364" s="24" t="str">
        <f aca="false">F364&amp;"-"&amp;G364</f>
        <v>A-U</v>
      </c>
      <c r="I364" s="23" t="n">
        <f aca="false">(F364="G")+(G364="G")</f>
        <v>0</v>
      </c>
      <c r="J364" s="23" t="n">
        <f aca="false">(F364="C")+(G364="C")</f>
        <v>0</v>
      </c>
      <c r="K364" s="24" t="n">
        <f aca="false">I364+J364</f>
        <v>0</v>
      </c>
    </row>
    <row r="365" customFormat="false" ht="15" hidden="false" customHeight="false" outlineLevel="0" collapsed="false">
      <c r="A365" s="23" t="s">
        <v>49</v>
      </c>
      <c r="B365" s="23" t="s">
        <v>201</v>
      </c>
      <c r="C365" s="23" t="s">
        <v>208</v>
      </c>
      <c r="D365" s="23" t="n">
        <f aca="false">INDEX(Positions!$D$2:$D$1061,MATCH($A365&amp;"|54",Positions!$A$2:$A$1061,0))</f>
        <v>57</v>
      </c>
      <c r="E365" s="23" t="n">
        <f aca="false">INDEX(Positions!$D$2:$D$1061,MATCH($A365&amp;"|58",Positions!$A$2:$A$1061,0))</f>
        <v>61</v>
      </c>
      <c r="F365" s="23" t="str">
        <f aca="false">INDEX(Positions!$E$2:$E$1061,MATCH($A365&amp;"|54",Positions!$A$2:$A$1061,0))</f>
        <v>A</v>
      </c>
      <c r="G365" s="23" t="str">
        <f aca="false">INDEX(Positions!$E$2:$E$1061,MATCH($A365&amp;"|58",Positions!$A$2:$A$1061,0))</f>
        <v>C</v>
      </c>
      <c r="H365" s="24" t="str">
        <f aca="false">F365&amp;"-"&amp;G365</f>
        <v>A-C</v>
      </c>
      <c r="I365" s="23" t="n">
        <f aca="false">(F365="G")+(G365="G")</f>
        <v>0</v>
      </c>
      <c r="J365" s="23" t="n">
        <f aca="false">(F365="C")+(G365="C")</f>
        <v>1</v>
      </c>
      <c r="K365" s="24" t="n">
        <f aca="false">I365+J365</f>
        <v>1</v>
      </c>
    </row>
  </sheetData>
  <autoFilter ref="A1:K3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30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</cols>
  <sheetData>
    <row r="1" customFormat="false" ht="26.85" hidden="false" customHeight="false" outlineLevel="0" collapsed="false">
      <c r="A1" s="2" t="s">
        <v>1</v>
      </c>
      <c r="B1" s="2" t="s">
        <v>209</v>
      </c>
      <c r="C1" s="2" t="s">
        <v>210</v>
      </c>
      <c r="D1" s="2" t="s">
        <v>211</v>
      </c>
      <c r="E1" s="2" t="s">
        <v>212</v>
      </c>
      <c r="F1" s="2" t="s">
        <v>213</v>
      </c>
      <c r="G1" s="2" t="s">
        <v>177</v>
      </c>
      <c r="H1" s="2" t="s">
        <v>178</v>
      </c>
      <c r="I1" s="2" t="s">
        <v>179</v>
      </c>
      <c r="J1" s="2" t="s">
        <v>214</v>
      </c>
    </row>
    <row r="2" customFormat="false" ht="15" hidden="false" customHeight="false" outlineLevel="0" collapsed="false">
      <c r="A2" s="4" t="s">
        <v>37</v>
      </c>
      <c r="B2" s="4" t="s">
        <v>80</v>
      </c>
      <c r="C2" s="4" t="s">
        <v>215</v>
      </c>
      <c r="D2" s="4" t="s">
        <v>216</v>
      </c>
      <c r="E2" s="4" t="s">
        <v>217</v>
      </c>
      <c r="F2" s="4" t="n">
        <f aca="false">COUNTIFS(Positions!$B$2:$B$1061,A2,Positions!$F$2:$F$1061,B2)</f>
        <v>9</v>
      </c>
      <c r="G2" s="4" t="n">
        <f aca="false">COUNTIFS(Positions!$B$2:$B$1061,A2,Positions!$F$2:$F$1061,B2,Positions!$E$2:$E$1061,"G")</f>
        <v>3</v>
      </c>
      <c r="H2" s="4" t="n">
        <f aca="false">COUNTIFS(Positions!$B$2:$B$1061,A2,Positions!$F$2:$F$1061,B2,Positions!$E$2:$E$1061,"C")</f>
        <v>1</v>
      </c>
      <c r="I2" s="3" t="n">
        <f aca="false">G2+H2</f>
        <v>4</v>
      </c>
      <c r="J2" s="6" t="n">
        <f aca="false">IF(F2=0,0,I2/F2)</f>
        <v>0.444444444444444</v>
      </c>
    </row>
    <row r="3" customFormat="false" ht="15" hidden="false" customHeight="false" outlineLevel="0" collapsed="false">
      <c r="A3" s="4" t="s">
        <v>37</v>
      </c>
      <c r="B3" s="4" t="s">
        <v>102</v>
      </c>
      <c r="C3" s="4" t="s">
        <v>218</v>
      </c>
      <c r="D3" s="4" t="s">
        <v>219</v>
      </c>
      <c r="E3" s="4" t="s">
        <v>220</v>
      </c>
      <c r="F3" s="4" t="n">
        <f aca="false">COUNTIFS(Positions!$B$2:$B$1061,A3,Positions!$F$2:$F$1061,B3)</f>
        <v>7</v>
      </c>
      <c r="G3" s="4" t="n">
        <f aca="false">COUNTIFS(Positions!$B$2:$B$1061,A3,Positions!$F$2:$F$1061,B3,Positions!$E$2:$E$1061,"G")</f>
        <v>0</v>
      </c>
      <c r="H3" s="4" t="n">
        <f aca="false">COUNTIFS(Positions!$B$2:$B$1061,A3,Positions!$F$2:$F$1061,B3,Positions!$E$2:$E$1061,"C")</f>
        <v>1</v>
      </c>
      <c r="I3" s="3" t="n">
        <f aca="false">G3+H3</f>
        <v>1</v>
      </c>
      <c r="J3" s="6" t="n">
        <f aca="false">IF(F3=0,0,I3/F3)</f>
        <v>0.142857142857143</v>
      </c>
    </row>
    <row r="4" customFormat="false" ht="15" hidden="false" customHeight="false" outlineLevel="0" collapsed="false">
      <c r="A4" s="4" t="s">
        <v>37</v>
      </c>
      <c r="B4" s="4" t="s">
        <v>115</v>
      </c>
      <c r="C4" s="4" t="s">
        <v>221</v>
      </c>
      <c r="D4" s="4" t="s">
        <v>222</v>
      </c>
      <c r="E4" s="4" t="s">
        <v>223</v>
      </c>
      <c r="F4" s="4" t="n">
        <f aca="false">COUNTIFS(Positions!$B$2:$B$1061,A4,Positions!$F$2:$F$1061,B4)</f>
        <v>10</v>
      </c>
      <c r="G4" s="4" t="n">
        <f aca="false">COUNTIFS(Positions!$B$2:$B$1061,A4,Positions!$F$2:$F$1061,B4,Positions!$E$2:$E$1061,"G")</f>
        <v>1</v>
      </c>
      <c r="H4" s="4" t="n">
        <f aca="false">COUNTIFS(Positions!$B$2:$B$1061,A4,Positions!$F$2:$F$1061,B4,Positions!$E$2:$E$1061,"C")</f>
        <v>2</v>
      </c>
      <c r="I4" s="3" t="n">
        <f aca="false">G4+H4</f>
        <v>3</v>
      </c>
      <c r="J4" s="6" t="n">
        <f aca="false">IF(F4=0,0,I4/F4)</f>
        <v>0.3</v>
      </c>
    </row>
    <row r="5" customFormat="false" ht="15" hidden="false" customHeight="false" outlineLevel="0" collapsed="false">
      <c r="A5" s="4" t="s">
        <v>37</v>
      </c>
      <c r="B5" s="4" t="s">
        <v>132</v>
      </c>
      <c r="C5" s="4" t="s">
        <v>224</v>
      </c>
      <c r="D5" s="4" t="s">
        <v>225</v>
      </c>
      <c r="E5" s="4" t="s">
        <v>226</v>
      </c>
      <c r="F5" s="4" t="n">
        <f aca="false">COUNTIFS(Positions!$B$2:$B$1061,A5,Positions!$F$2:$F$1061,B5)</f>
        <v>7</v>
      </c>
      <c r="G5" s="4" t="n">
        <f aca="false">COUNTIFS(Positions!$B$2:$B$1061,A5,Positions!$F$2:$F$1061,B5,Positions!$E$2:$E$1061,"G")</f>
        <v>1</v>
      </c>
      <c r="H5" s="4" t="n">
        <f aca="false">COUNTIFS(Positions!$B$2:$B$1061,A5,Positions!$F$2:$F$1061,B5,Positions!$E$2:$E$1061,"C")</f>
        <v>2</v>
      </c>
      <c r="I5" s="3" t="n">
        <f aca="false">G5+H5</f>
        <v>3</v>
      </c>
      <c r="J5" s="6" t="n">
        <f aca="false">IF(F5=0,0,I5/F5)</f>
        <v>0.428571428571429</v>
      </c>
    </row>
    <row r="6" customFormat="false" ht="15" hidden="false" customHeight="false" outlineLevel="0" collapsed="false">
      <c r="A6" s="7" t="s">
        <v>37</v>
      </c>
      <c r="B6" s="7" t="s">
        <v>227</v>
      </c>
      <c r="C6" s="7" t="s">
        <v>228</v>
      </c>
      <c r="D6" s="7" t="s">
        <v>229</v>
      </c>
      <c r="E6" s="7" t="s">
        <v>230</v>
      </c>
      <c r="F6" s="7" t="n">
        <f aca="false">COUNTIFS(Positions!$B$2:$B$1061,A6,Positions!$F$2:$F$1061,"Position 8")+COUNTIFS(Positions!$B$2:$B$1061,A6,Positions!$F$2:$F$1061,"Position 9")+COUNTIFS(Positions!$B$2:$B$1061,A6,Positions!$F$2:$F$1061,"Position 26")</f>
        <v>3</v>
      </c>
      <c r="G6" s="7" t="n">
        <f aca="false">COUNTIFS(Positions!$B$2:$B$1061,A6,Positions!$F$2:$F$1061,"Position 8",Positions!$E$2:$E$1061,"G")+COUNTIFS(Positions!$B$2:$B$1061,A6,Positions!$F$2:$F$1061,"Position 9",Positions!$E$2:$E$1061,"G")+COUNTIFS(Positions!$B$2:$B$1061,A6,Positions!$F$2:$F$1061,"Position 26",Positions!$E$2:$E$1061,"G")</f>
        <v>2</v>
      </c>
      <c r="H6" s="7" t="n">
        <f aca="false">COUNTIFS(Positions!$B$2:$B$1061,A6,Positions!$F$2:$F$1061,"Position 8",Positions!$E$2:$E$1061,"C")+COUNTIFS(Positions!$B$2:$B$1061,A6,Positions!$F$2:$F$1061,"Position 9",Positions!$E$2:$E$1061,"C")+COUNTIFS(Positions!$B$2:$B$1061,A6,Positions!$F$2:$F$1061,"Position 26",Positions!$E$2:$E$1061,"C")</f>
        <v>0</v>
      </c>
      <c r="I6" s="8" t="n">
        <f aca="false">G6+H6</f>
        <v>2</v>
      </c>
      <c r="J6" s="25" t="n">
        <f aca="false">IF(F6=0,0,I6/F6)</f>
        <v>0.666666666666667</v>
      </c>
    </row>
    <row r="7" customFormat="false" ht="15" hidden="false" customHeight="false" outlineLevel="0" collapsed="false">
      <c r="A7" s="4" t="s">
        <v>38</v>
      </c>
      <c r="B7" s="4" t="s">
        <v>80</v>
      </c>
      <c r="C7" s="4" t="s">
        <v>215</v>
      </c>
      <c r="D7" s="4" t="s">
        <v>231</v>
      </c>
      <c r="E7" s="4" t="s">
        <v>232</v>
      </c>
      <c r="F7" s="4" t="n">
        <f aca="false">COUNTIFS(Positions!$B$2:$B$1061,A7,Positions!$F$2:$F$1061,B7)</f>
        <v>10</v>
      </c>
      <c r="G7" s="4" t="n">
        <f aca="false">COUNTIFS(Positions!$B$2:$B$1061,A7,Positions!$F$2:$F$1061,B7,Positions!$E$2:$E$1061,"G")</f>
        <v>3</v>
      </c>
      <c r="H7" s="4" t="n">
        <f aca="false">COUNTIFS(Positions!$B$2:$B$1061,A7,Positions!$F$2:$F$1061,B7,Positions!$E$2:$E$1061,"C")</f>
        <v>0</v>
      </c>
      <c r="I7" s="3" t="n">
        <f aca="false">G7+H7</f>
        <v>3</v>
      </c>
      <c r="J7" s="6" t="n">
        <f aca="false">IF(F7=0,0,I7/F7)</f>
        <v>0.3</v>
      </c>
    </row>
    <row r="8" customFormat="false" ht="15" hidden="false" customHeight="false" outlineLevel="0" collapsed="false">
      <c r="A8" s="4" t="s">
        <v>38</v>
      </c>
      <c r="B8" s="4" t="s">
        <v>102</v>
      </c>
      <c r="C8" s="4" t="s">
        <v>218</v>
      </c>
      <c r="D8" s="4" t="s">
        <v>233</v>
      </c>
      <c r="E8" s="4" t="s">
        <v>234</v>
      </c>
      <c r="F8" s="4" t="n">
        <f aca="false">COUNTIFS(Positions!$B$2:$B$1061,A8,Positions!$F$2:$F$1061,B8)</f>
        <v>7</v>
      </c>
      <c r="G8" s="4" t="n">
        <f aca="false">COUNTIFS(Positions!$B$2:$B$1061,A8,Positions!$F$2:$F$1061,B8,Positions!$E$2:$E$1061,"G")</f>
        <v>0</v>
      </c>
      <c r="H8" s="4" t="n">
        <f aca="false">COUNTIFS(Positions!$B$2:$B$1061,A8,Positions!$F$2:$F$1061,B8,Positions!$E$2:$E$1061,"C")</f>
        <v>1</v>
      </c>
      <c r="I8" s="3" t="n">
        <f aca="false">G8+H8</f>
        <v>1</v>
      </c>
      <c r="J8" s="6" t="n">
        <f aca="false">IF(F8=0,0,I8/F8)</f>
        <v>0.142857142857143</v>
      </c>
    </row>
    <row r="9" customFormat="false" ht="15" hidden="false" customHeight="false" outlineLevel="0" collapsed="false">
      <c r="A9" s="4" t="s">
        <v>38</v>
      </c>
      <c r="B9" s="4" t="s">
        <v>115</v>
      </c>
      <c r="C9" s="4" t="s">
        <v>221</v>
      </c>
      <c r="D9" s="4" t="s">
        <v>235</v>
      </c>
      <c r="E9" s="4" t="s">
        <v>236</v>
      </c>
      <c r="F9" s="4" t="n">
        <f aca="false">COUNTIFS(Positions!$B$2:$B$1061,A9,Positions!$F$2:$F$1061,B9)</f>
        <v>26</v>
      </c>
      <c r="G9" s="4" t="n">
        <f aca="false">COUNTIFS(Positions!$B$2:$B$1061,A9,Positions!$F$2:$F$1061,B9,Positions!$E$2:$E$1061,"G")</f>
        <v>6</v>
      </c>
      <c r="H9" s="4" t="n">
        <f aca="false">COUNTIFS(Positions!$B$2:$B$1061,A9,Positions!$F$2:$F$1061,B9,Positions!$E$2:$E$1061,"C")</f>
        <v>2</v>
      </c>
      <c r="I9" s="3" t="n">
        <f aca="false">G9+H9</f>
        <v>8</v>
      </c>
      <c r="J9" s="6" t="n">
        <f aca="false">IF(F9=0,0,I9/F9)</f>
        <v>0.307692307692308</v>
      </c>
    </row>
    <row r="10" customFormat="false" ht="15" hidden="false" customHeight="false" outlineLevel="0" collapsed="false">
      <c r="A10" s="4" t="s">
        <v>38</v>
      </c>
      <c r="B10" s="4" t="s">
        <v>132</v>
      </c>
      <c r="C10" s="4" t="s">
        <v>224</v>
      </c>
      <c r="D10" s="4" t="s">
        <v>237</v>
      </c>
      <c r="E10" s="4" t="s">
        <v>238</v>
      </c>
      <c r="F10" s="4" t="n">
        <f aca="false">COUNTIFS(Positions!$B$2:$B$1061,A10,Positions!$F$2:$F$1061,B10)</f>
        <v>7</v>
      </c>
      <c r="G10" s="4" t="n">
        <f aca="false">COUNTIFS(Positions!$B$2:$B$1061,A10,Positions!$F$2:$F$1061,B10,Positions!$E$2:$E$1061,"G")</f>
        <v>0</v>
      </c>
      <c r="H10" s="4" t="n">
        <f aca="false">COUNTIFS(Positions!$B$2:$B$1061,A10,Positions!$F$2:$F$1061,B10,Positions!$E$2:$E$1061,"C")</f>
        <v>1</v>
      </c>
      <c r="I10" s="3" t="n">
        <f aca="false">G10+H10</f>
        <v>1</v>
      </c>
      <c r="J10" s="6" t="n">
        <f aca="false">IF(F10=0,0,I10/F10)</f>
        <v>0.142857142857143</v>
      </c>
    </row>
    <row r="11" customFormat="false" ht="15" hidden="false" customHeight="false" outlineLevel="0" collapsed="false">
      <c r="A11" s="7" t="s">
        <v>38</v>
      </c>
      <c r="B11" s="7" t="s">
        <v>227</v>
      </c>
      <c r="C11" s="7" t="s">
        <v>228</v>
      </c>
      <c r="D11" s="7" t="s">
        <v>239</v>
      </c>
      <c r="E11" s="7" t="s">
        <v>240</v>
      </c>
      <c r="F11" s="7" t="n">
        <f aca="false">COUNTIFS(Positions!$B$2:$B$1061,A11,Positions!$F$2:$F$1061,"Position 8")+COUNTIFS(Positions!$B$2:$B$1061,A11,Positions!$F$2:$F$1061,"Position 9")+COUNTIFS(Positions!$B$2:$B$1061,A11,Positions!$F$2:$F$1061,"Position 26")</f>
        <v>3</v>
      </c>
      <c r="G11" s="7" t="n">
        <f aca="false">COUNTIFS(Positions!$B$2:$B$1061,A11,Positions!$F$2:$F$1061,"Position 8",Positions!$E$2:$E$1061,"G")+COUNTIFS(Positions!$B$2:$B$1061,A11,Positions!$F$2:$F$1061,"Position 9",Positions!$E$2:$E$1061,"G")+COUNTIFS(Positions!$B$2:$B$1061,A11,Positions!$F$2:$F$1061,"Position 26",Positions!$E$2:$E$1061,"G")</f>
        <v>0</v>
      </c>
      <c r="H11" s="7" t="n">
        <f aca="false">COUNTIFS(Positions!$B$2:$B$1061,A11,Positions!$F$2:$F$1061,"Position 8",Positions!$E$2:$E$1061,"C")+COUNTIFS(Positions!$B$2:$B$1061,A11,Positions!$F$2:$F$1061,"Position 9",Positions!$E$2:$E$1061,"C")+COUNTIFS(Positions!$B$2:$B$1061,A11,Positions!$F$2:$F$1061,"Position 26",Positions!$E$2:$E$1061,"C")</f>
        <v>0</v>
      </c>
      <c r="I11" s="8" t="n">
        <f aca="false">G11+H11</f>
        <v>0</v>
      </c>
      <c r="J11" s="25" t="n">
        <f aca="false">IF(F11=0,0,I11/F11)</f>
        <v>0</v>
      </c>
    </row>
    <row r="12" customFormat="false" ht="15" hidden="false" customHeight="false" outlineLevel="0" collapsed="false">
      <c r="A12" s="4" t="s">
        <v>39</v>
      </c>
      <c r="B12" s="4" t="s">
        <v>80</v>
      </c>
      <c r="C12" s="4" t="s">
        <v>215</v>
      </c>
      <c r="D12" s="4" t="s">
        <v>216</v>
      </c>
      <c r="E12" s="4" t="s">
        <v>241</v>
      </c>
      <c r="F12" s="4" t="n">
        <f aca="false">COUNTIFS(Positions!$B$2:$B$1061,A12,Positions!$F$2:$F$1061,B12)</f>
        <v>9</v>
      </c>
      <c r="G12" s="4" t="n">
        <f aca="false">COUNTIFS(Positions!$B$2:$B$1061,A12,Positions!$F$2:$F$1061,B12,Positions!$E$2:$E$1061,"G")</f>
        <v>3</v>
      </c>
      <c r="H12" s="4" t="n">
        <f aca="false">COUNTIFS(Positions!$B$2:$B$1061,A12,Positions!$F$2:$F$1061,B12,Positions!$E$2:$E$1061,"C")</f>
        <v>0</v>
      </c>
      <c r="I12" s="3" t="n">
        <f aca="false">G12+H12</f>
        <v>3</v>
      </c>
      <c r="J12" s="6" t="n">
        <f aca="false">IF(F12=0,0,I12/F12)</f>
        <v>0.333333333333333</v>
      </c>
    </row>
    <row r="13" customFormat="false" ht="15" hidden="false" customHeight="false" outlineLevel="0" collapsed="false">
      <c r="A13" s="4" t="s">
        <v>39</v>
      </c>
      <c r="B13" s="4" t="s">
        <v>102</v>
      </c>
      <c r="C13" s="4" t="s">
        <v>218</v>
      </c>
      <c r="D13" s="4" t="s">
        <v>219</v>
      </c>
      <c r="E13" s="4" t="s">
        <v>242</v>
      </c>
      <c r="F13" s="4" t="n">
        <f aca="false">COUNTIFS(Positions!$B$2:$B$1061,A13,Positions!$F$2:$F$1061,B13)</f>
        <v>7</v>
      </c>
      <c r="G13" s="4" t="n">
        <f aca="false">COUNTIFS(Positions!$B$2:$B$1061,A13,Positions!$F$2:$F$1061,B13,Positions!$E$2:$E$1061,"G")</f>
        <v>1</v>
      </c>
      <c r="H13" s="4" t="n">
        <f aca="false">COUNTIFS(Positions!$B$2:$B$1061,A13,Positions!$F$2:$F$1061,B13,Positions!$E$2:$E$1061,"C")</f>
        <v>2</v>
      </c>
      <c r="I13" s="3" t="n">
        <f aca="false">G13+H13</f>
        <v>3</v>
      </c>
      <c r="J13" s="6" t="n">
        <f aca="false">IF(F13=0,0,I13/F13)</f>
        <v>0.428571428571429</v>
      </c>
    </row>
    <row r="14" customFormat="false" ht="15" hidden="false" customHeight="false" outlineLevel="0" collapsed="false">
      <c r="A14" s="4" t="s">
        <v>39</v>
      </c>
      <c r="B14" s="4" t="s">
        <v>115</v>
      </c>
      <c r="C14" s="4" t="s">
        <v>221</v>
      </c>
      <c r="D14" s="4" t="s">
        <v>243</v>
      </c>
      <c r="E14" s="4" t="s">
        <v>244</v>
      </c>
      <c r="F14" s="4" t="n">
        <f aca="false">COUNTIFS(Positions!$B$2:$B$1061,A14,Positions!$F$2:$F$1061,B14)</f>
        <v>18</v>
      </c>
      <c r="G14" s="4" t="n">
        <f aca="false">COUNTIFS(Positions!$B$2:$B$1061,A14,Positions!$F$2:$F$1061,B14,Positions!$E$2:$E$1061,"G")</f>
        <v>3</v>
      </c>
      <c r="H14" s="4" t="n">
        <f aca="false">COUNTIFS(Positions!$B$2:$B$1061,A14,Positions!$F$2:$F$1061,B14,Positions!$E$2:$E$1061,"C")</f>
        <v>2</v>
      </c>
      <c r="I14" s="3" t="n">
        <f aca="false">G14+H14</f>
        <v>5</v>
      </c>
      <c r="J14" s="6" t="n">
        <f aca="false">IF(F14=0,0,I14/F14)</f>
        <v>0.277777777777778</v>
      </c>
    </row>
    <row r="15" customFormat="false" ht="15" hidden="false" customHeight="false" outlineLevel="0" collapsed="false">
      <c r="A15" s="4" t="s">
        <v>39</v>
      </c>
      <c r="B15" s="4" t="s">
        <v>132</v>
      </c>
      <c r="C15" s="4" t="s">
        <v>224</v>
      </c>
      <c r="D15" s="4" t="s">
        <v>245</v>
      </c>
      <c r="E15" s="4" t="s">
        <v>246</v>
      </c>
      <c r="F15" s="4" t="n">
        <f aca="false">COUNTIFS(Positions!$B$2:$B$1061,A15,Positions!$F$2:$F$1061,B15)</f>
        <v>7</v>
      </c>
      <c r="G15" s="4" t="n">
        <f aca="false">COUNTIFS(Positions!$B$2:$B$1061,A15,Positions!$F$2:$F$1061,B15,Positions!$E$2:$E$1061,"G")</f>
        <v>0</v>
      </c>
      <c r="H15" s="4" t="n">
        <f aca="false">COUNTIFS(Positions!$B$2:$B$1061,A15,Positions!$F$2:$F$1061,B15,Positions!$E$2:$E$1061,"C")</f>
        <v>2</v>
      </c>
      <c r="I15" s="3" t="n">
        <f aca="false">G15+H15</f>
        <v>2</v>
      </c>
      <c r="J15" s="6" t="n">
        <f aca="false">IF(F15=0,0,I15/F15)</f>
        <v>0.285714285714286</v>
      </c>
    </row>
    <row r="16" customFormat="false" ht="15" hidden="false" customHeight="false" outlineLevel="0" collapsed="false">
      <c r="A16" s="7" t="s">
        <v>39</v>
      </c>
      <c r="B16" s="7" t="s">
        <v>227</v>
      </c>
      <c r="C16" s="7" t="s">
        <v>228</v>
      </c>
      <c r="D16" s="7" t="s">
        <v>229</v>
      </c>
      <c r="E16" s="7" t="s">
        <v>247</v>
      </c>
      <c r="F16" s="7" t="n">
        <f aca="false">COUNTIFS(Positions!$B$2:$B$1061,A16,Positions!$F$2:$F$1061,"Position 8")+COUNTIFS(Positions!$B$2:$B$1061,A16,Positions!$F$2:$F$1061,"Position 9")+COUNTIFS(Positions!$B$2:$B$1061,A16,Positions!$F$2:$F$1061,"Position 26")</f>
        <v>3</v>
      </c>
      <c r="G16" s="7" t="n">
        <f aca="false">COUNTIFS(Positions!$B$2:$B$1061,A16,Positions!$F$2:$F$1061,"Position 8",Positions!$E$2:$E$1061,"G")+COUNTIFS(Positions!$B$2:$B$1061,A16,Positions!$F$2:$F$1061,"Position 9",Positions!$E$2:$E$1061,"G")+COUNTIFS(Positions!$B$2:$B$1061,A16,Positions!$F$2:$F$1061,"Position 26",Positions!$E$2:$E$1061,"G")</f>
        <v>1</v>
      </c>
      <c r="H16" s="7" t="n">
        <f aca="false">COUNTIFS(Positions!$B$2:$B$1061,A16,Positions!$F$2:$F$1061,"Position 8",Positions!$E$2:$E$1061,"C")+COUNTIFS(Positions!$B$2:$B$1061,A16,Positions!$F$2:$F$1061,"Position 9",Positions!$E$2:$E$1061,"C")+COUNTIFS(Positions!$B$2:$B$1061,A16,Positions!$F$2:$F$1061,"Position 26",Positions!$E$2:$E$1061,"C")</f>
        <v>0</v>
      </c>
      <c r="I16" s="8" t="n">
        <f aca="false">G16+H16</f>
        <v>1</v>
      </c>
      <c r="J16" s="25" t="n">
        <f aca="false">IF(F16=0,0,I16/F16)</f>
        <v>0.333333333333333</v>
      </c>
    </row>
    <row r="17" customFormat="false" ht="15" hidden="false" customHeight="false" outlineLevel="0" collapsed="false">
      <c r="A17" s="4" t="s">
        <v>40</v>
      </c>
      <c r="B17" s="4" t="s">
        <v>80</v>
      </c>
      <c r="C17" s="4" t="s">
        <v>215</v>
      </c>
      <c r="D17" s="4" t="s">
        <v>216</v>
      </c>
      <c r="E17" s="4" t="s">
        <v>248</v>
      </c>
      <c r="F17" s="4" t="n">
        <f aca="false">COUNTIFS(Positions!$B$2:$B$1061,A17,Positions!$F$2:$F$1061,B17)</f>
        <v>9</v>
      </c>
      <c r="G17" s="4" t="n">
        <f aca="false">COUNTIFS(Positions!$B$2:$B$1061,A17,Positions!$F$2:$F$1061,B17,Positions!$E$2:$E$1061,"G")</f>
        <v>3</v>
      </c>
      <c r="H17" s="4" t="n">
        <f aca="false">COUNTIFS(Positions!$B$2:$B$1061,A17,Positions!$F$2:$F$1061,B17,Positions!$E$2:$E$1061,"C")</f>
        <v>0</v>
      </c>
      <c r="I17" s="3" t="n">
        <f aca="false">G17+H17</f>
        <v>3</v>
      </c>
      <c r="J17" s="6" t="n">
        <f aca="false">IF(F17=0,0,I17/F17)</f>
        <v>0.333333333333333</v>
      </c>
    </row>
    <row r="18" customFormat="false" ht="15" hidden="false" customHeight="false" outlineLevel="0" collapsed="false">
      <c r="A18" s="4" t="s">
        <v>40</v>
      </c>
      <c r="B18" s="4" t="s">
        <v>102</v>
      </c>
      <c r="C18" s="4" t="s">
        <v>218</v>
      </c>
      <c r="D18" s="4" t="s">
        <v>219</v>
      </c>
      <c r="E18" s="4" t="s">
        <v>249</v>
      </c>
      <c r="F18" s="4" t="n">
        <f aca="false">COUNTIFS(Positions!$B$2:$B$1061,A18,Positions!$F$2:$F$1061,B18)</f>
        <v>7</v>
      </c>
      <c r="G18" s="4" t="n">
        <f aca="false">COUNTIFS(Positions!$B$2:$B$1061,A18,Positions!$F$2:$F$1061,B18,Positions!$E$2:$E$1061,"G")</f>
        <v>1</v>
      </c>
      <c r="H18" s="4" t="n">
        <f aca="false">COUNTIFS(Positions!$B$2:$B$1061,A18,Positions!$F$2:$F$1061,B18,Positions!$E$2:$E$1061,"C")</f>
        <v>1</v>
      </c>
      <c r="I18" s="3" t="n">
        <f aca="false">G18+H18</f>
        <v>2</v>
      </c>
      <c r="J18" s="6" t="n">
        <f aca="false">IF(F18=0,0,I18/F18)</f>
        <v>0.285714285714286</v>
      </c>
    </row>
    <row r="19" customFormat="false" ht="15" hidden="false" customHeight="false" outlineLevel="0" collapsed="false">
      <c r="A19" s="4" t="s">
        <v>40</v>
      </c>
      <c r="B19" s="4" t="s">
        <v>115</v>
      </c>
      <c r="C19" s="4" t="s">
        <v>221</v>
      </c>
      <c r="D19" s="4" t="s">
        <v>250</v>
      </c>
      <c r="E19" s="4" t="s">
        <v>251</v>
      </c>
      <c r="F19" s="4" t="n">
        <f aca="false">COUNTIFS(Positions!$B$2:$B$1061,A19,Positions!$F$2:$F$1061,B19)</f>
        <v>17</v>
      </c>
      <c r="G19" s="4" t="n">
        <f aca="false">COUNTIFS(Positions!$B$2:$B$1061,A19,Positions!$F$2:$F$1061,B19,Positions!$E$2:$E$1061,"G")</f>
        <v>0</v>
      </c>
      <c r="H19" s="4" t="n">
        <f aca="false">COUNTIFS(Positions!$B$2:$B$1061,A19,Positions!$F$2:$F$1061,B19,Positions!$E$2:$E$1061,"C")</f>
        <v>1</v>
      </c>
      <c r="I19" s="3" t="n">
        <f aca="false">G19+H19</f>
        <v>1</v>
      </c>
      <c r="J19" s="6" t="n">
        <f aca="false">IF(F19=0,0,I19/F19)</f>
        <v>0.0588235294117647</v>
      </c>
    </row>
    <row r="20" customFormat="false" ht="15" hidden="false" customHeight="false" outlineLevel="0" collapsed="false">
      <c r="A20" s="4" t="s">
        <v>40</v>
      </c>
      <c r="B20" s="4" t="s">
        <v>132</v>
      </c>
      <c r="C20" s="4" t="s">
        <v>224</v>
      </c>
      <c r="D20" s="4" t="s">
        <v>252</v>
      </c>
      <c r="E20" s="4" t="s">
        <v>253</v>
      </c>
      <c r="F20" s="4" t="n">
        <f aca="false">COUNTIFS(Positions!$B$2:$B$1061,A20,Positions!$F$2:$F$1061,B20)</f>
        <v>7</v>
      </c>
      <c r="G20" s="4" t="n">
        <f aca="false">COUNTIFS(Positions!$B$2:$B$1061,A20,Positions!$F$2:$F$1061,B20,Positions!$E$2:$E$1061,"G")</f>
        <v>0</v>
      </c>
      <c r="H20" s="4" t="n">
        <f aca="false">COUNTIFS(Positions!$B$2:$B$1061,A20,Positions!$F$2:$F$1061,B20,Positions!$E$2:$E$1061,"C")</f>
        <v>3</v>
      </c>
      <c r="I20" s="3" t="n">
        <f aca="false">G20+H20</f>
        <v>3</v>
      </c>
      <c r="J20" s="6" t="n">
        <f aca="false">IF(F20=0,0,I20/F20)</f>
        <v>0.428571428571429</v>
      </c>
    </row>
    <row r="21" customFormat="false" ht="15" hidden="false" customHeight="false" outlineLevel="0" collapsed="false">
      <c r="A21" s="7" t="s">
        <v>40</v>
      </c>
      <c r="B21" s="7" t="s">
        <v>227</v>
      </c>
      <c r="C21" s="7" t="s">
        <v>228</v>
      </c>
      <c r="D21" s="7" t="s">
        <v>229</v>
      </c>
      <c r="E21" s="7" t="s">
        <v>240</v>
      </c>
      <c r="F21" s="7" t="n">
        <f aca="false">COUNTIFS(Positions!$B$2:$B$1061,A21,Positions!$F$2:$F$1061,"Position 8")+COUNTIFS(Positions!$B$2:$B$1061,A21,Positions!$F$2:$F$1061,"Position 9")+COUNTIFS(Positions!$B$2:$B$1061,A21,Positions!$F$2:$F$1061,"Position 26")</f>
        <v>3</v>
      </c>
      <c r="G21" s="7" t="n">
        <f aca="false">COUNTIFS(Positions!$B$2:$B$1061,A21,Positions!$F$2:$F$1061,"Position 8",Positions!$E$2:$E$1061,"G")+COUNTIFS(Positions!$B$2:$B$1061,A21,Positions!$F$2:$F$1061,"Position 9",Positions!$E$2:$E$1061,"G")+COUNTIFS(Positions!$B$2:$B$1061,A21,Positions!$F$2:$F$1061,"Position 26",Positions!$E$2:$E$1061,"G")</f>
        <v>0</v>
      </c>
      <c r="H21" s="7" t="n">
        <f aca="false">COUNTIFS(Positions!$B$2:$B$1061,A21,Positions!$F$2:$F$1061,"Position 8",Positions!$E$2:$E$1061,"C")+COUNTIFS(Positions!$B$2:$B$1061,A21,Positions!$F$2:$F$1061,"Position 9",Positions!$E$2:$E$1061,"C")+COUNTIFS(Positions!$B$2:$B$1061,A21,Positions!$F$2:$F$1061,"Position 26",Positions!$E$2:$E$1061,"C")</f>
        <v>0</v>
      </c>
      <c r="I21" s="8" t="n">
        <f aca="false">G21+H21</f>
        <v>0</v>
      </c>
      <c r="J21" s="25" t="n">
        <f aca="false">IF(F21=0,0,I21/F21)</f>
        <v>0</v>
      </c>
    </row>
    <row r="22" customFormat="false" ht="15" hidden="false" customHeight="false" outlineLevel="0" collapsed="false">
      <c r="A22" s="4" t="s">
        <v>41</v>
      </c>
      <c r="B22" s="4" t="s">
        <v>80</v>
      </c>
      <c r="C22" s="4" t="s">
        <v>215</v>
      </c>
      <c r="D22" s="4" t="s">
        <v>231</v>
      </c>
      <c r="E22" s="4" t="s">
        <v>254</v>
      </c>
      <c r="F22" s="4" t="n">
        <f aca="false">COUNTIFS(Positions!$B$2:$B$1061,A22,Positions!$F$2:$F$1061,B22)</f>
        <v>10</v>
      </c>
      <c r="G22" s="4" t="n">
        <f aca="false">COUNTIFS(Positions!$B$2:$B$1061,A22,Positions!$F$2:$F$1061,B22,Positions!$E$2:$E$1061,"G")</f>
        <v>3</v>
      </c>
      <c r="H22" s="4" t="n">
        <f aca="false">COUNTIFS(Positions!$B$2:$B$1061,A22,Positions!$F$2:$F$1061,B22,Positions!$E$2:$E$1061,"C")</f>
        <v>1</v>
      </c>
      <c r="I22" s="3" t="n">
        <f aca="false">G22+H22</f>
        <v>4</v>
      </c>
      <c r="J22" s="6" t="n">
        <f aca="false">IF(F22=0,0,I22/F22)</f>
        <v>0.4</v>
      </c>
    </row>
    <row r="23" customFormat="false" ht="15" hidden="false" customHeight="false" outlineLevel="0" collapsed="false">
      <c r="A23" s="4" t="s">
        <v>41</v>
      </c>
      <c r="B23" s="4" t="s">
        <v>102</v>
      </c>
      <c r="C23" s="4" t="s">
        <v>218</v>
      </c>
      <c r="D23" s="4" t="s">
        <v>233</v>
      </c>
      <c r="E23" s="4" t="s">
        <v>255</v>
      </c>
      <c r="F23" s="4" t="n">
        <f aca="false">COUNTIFS(Positions!$B$2:$B$1061,A23,Positions!$F$2:$F$1061,B23)</f>
        <v>7</v>
      </c>
      <c r="G23" s="4" t="n">
        <f aca="false">COUNTIFS(Positions!$B$2:$B$1061,A23,Positions!$F$2:$F$1061,B23,Positions!$E$2:$E$1061,"G")</f>
        <v>1</v>
      </c>
      <c r="H23" s="4" t="n">
        <f aca="false">COUNTIFS(Positions!$B$2:$B$1061,A23,Positions!$F$2:$F$1061,B23,Positions!$E$2:$E$1061,"C")</f>
        <v>1</v>
      </c>
      <c r="I23" s="3" t="n">
        <f aca="false">G23+H23</f>
        <v>2</v>
      </c>
      <c r="J23" s="6" t="n">
        <f aca="false">IF(F23=0,0,I23/F23)</f>
        <v>0.285714285714286</v>
      </c>
    </row>
    <row r="24" customFormat="false" ht="15" hidden="false" customHeight="false" outlineLevel="0" collapsed="false">
      <c r="A24" s="4" t="s">
        <v>41</v>
      </c>
      <c r="B24" s="4" t="s">
        <v>115</v>
      </c>
      <c r="C24" s="4" t="s">
        <v>221</v>
      </c>
      <c r="D24" s="4" t="s">
        <v>256</v>
      </c>
      <c r="E24" s="4" t="s">
        <v>257</v>
      </c>
      <c r="F24" s="4" t="n">
        <f aca="false">COUNTIFS(Positions!$B$2:$B$1061,A24,Positions!$F$2:$F$1061,B24)</f>
        <v>17</v>
      </c>
      <c r="G24" s="4" t="n">
        <f aca="false">COUNTIFS(Positions!$B$2:$B$1061,A24,Positions!$F$2:$F$1061,B24,Positions!$E$2:$E$1061,"G")</f>
        <v>3</v>
      </c>
      <c r="H24" s="4" t="n">
        <f aca="false">COUNTIFS(Positions!$B$2:$B$1061,A24,Positions!$F$2:$F$1061,B24,Positions!$E$2:$E$1061,"C")</f>
        <v>1</v>
      </c>
      <c r="I24" s="3" t="n">
        <f aca="false">G24+H24</f>
        <v>4</v>
      </c>
      <c r="J24" s="6" t="n">
        <f aca="false">IF(F24=0,0,I24/F24)</f>
        <v>0.235294117647059</v>
      </c>
    </row>
    <row r="25" customFormat="false" ht="15" hidden="false" customHeight="false" outlineLevel="0" collapsed="false">
      <c r="A25" s="4" t="s">
        <v>41</v>
      </c>
      <c r="B25" s="4" t="s">
        <v>132</v>
      </c>
      <c r="C25" s="4" t="s">
        <v>224</v>
      </c>
      <c r="D25" s="4" t="s">
        <v>245</v>
      </c>
      <c r="E25" s="4" t="s">
        <v>258</v>
      </c>
      <c r="F25" s="4" t="n">
        <f aca="false">COUNTIFS(Positions!$B$2:$B$1061,A25,Positions!$F$2:$F$1061,B25)</f>
        <v>7</v>
      </c>
      <c r="G25" s="4" t="n">
        <f aca="false">COUNTIFS(Positions!$B$2:$B$1061,A25,Positions!$F$2:$F$1061,B25,Positions!$E$2:$E$1061,"G")</f>
        <v>2</v>
      </c>
      <c r="H25" s="4" t="n">
        <f aca="false">COUNTIFS(Positions!$B$2:$B$1061,A25,Positions!$F$2:$F$1061,B25,Positions!$E$2:$E$1061,"C")</f>
        <v>1</v>
      </c>
      <c r="I25" s="3" t="n">
        <f aca="false">G25+H25</f>
        <v>3</v>
      </c>
      <c r="J25" s="6" t="n">
        <f aca="false">IF(F25=0,0,I25/F25)</f>
        <v>0.428571428571429</v>
      </c>
    </row>
    <row r="26" customFormat="false" ht="15" hidden="false" customHeight="false" outlineLevel="0" collapsed="false">
      <c r="A26" s="7" t="s">
        <v>41</v>
      </c>
      <c r="B26" s="7" t="s">
        <v>227</v>
      </c>
      <c r="C26" s="7" t="s">
        <v>228</v>
      </c>
      <c r="D26" s="7" t="s">
        <v>239</v>
      </c>
      <c r="E26" s="7" t="s">
        <v>259</v>
      </c>
      <c r="F26" s="7" t="n">
        <f aca="false">COUNTIFS(Positions!$B$2:$B$1061,A26,Positions!$F$2:$F$1061,"Position 8")+COUNTIFS(Positions!$B$2:$B$1061,A26,Positions!$F$2:$F$1061,"Position 9")+COUNTIFS(Positions!$B$2:$B$1061,A26,Positions!$F$2:$F$1061,"Position 26")</f>
        <v>3</v>
      </c>
      <c r="G26" s="7" t="n">
        <f aca="false">COUNTIFS(Positions!$B$2:$B$1061,A26,Positions!$F$2:$F$1061,"Position 8",Positions!$E$2:$E$1061,"G")+COUNTIFS(Positions!$B$2:$B$1061,A26,Positions!$F$2:$F$1061,"Position 9",Positions!$E$2:$E$1061,"G")+COUNTIFS(Positions!$B$2:$B$1061,A26,Positions!$F$2:$F$1061,"Position 26",Positions!$E$2:$E$1061,"G")</f>
        <v>0</v>
      </c>
      <c r="H26" s="7" t="n">
        <f aca="false">COUNTIFS(Positions!$B$2:$B$1061,A26,Positions!$F$2:$F$1061,"Position 8",Positions!$E$2:$E$1061,"C")+COUNTIFS(Positions!$B$2:$B$1061,A26,Positions!$F$2:$F$1061,"Position 9",Positions!$E$2:$E$1061,"C")+COUNTIFS(Positions!$B$2:$B$1061,A26,Positions!$F$2:$F$1061,"Position 26",Positions!$E$2:$E$1061,"C")</f>
        <v>2</v>
      </c>
      <c r="I26" s="8" t="n">
        <f aca="false">G26+H26</f>
        <v>2</v>
      </c>
      <c r="J26" s="25" t="n">
        <f aca="false">IF(F26=0,0,I26/F26)</f>
        <v>0.666666666666667</v>
      </c>
    </row>
    <row r="27" customFormat="false" ht="15" hidden="false" customHeight="false" outlineLevel="0" collapsed="false">
      <c r="A27" s="4" t="s">
        <v>42</v>
      </c>
      <c r="B27" s="4" t="s">
        <v>80</v>
      </c>
      <c r="C27" s="4" t="s">
        <v>215</v>
      </c>
      <c r="D27" s="4" t="s">
        <v>215</v>
      </c>
      <c r="E27" s="4" t="s">
        <v>260</v>
      </c>
      <c r="F27" s="4" t="n">
        <f aca="false">COUNTIFS(Positions!$B$2:$B$1061,A27,Positions!$F$2:$F$1061,B27)</f>
        <v>8</v>
      </c>
      <c r="G27" s="4" t="n">
        <f aca="false">COUNTIFS(Positions!$B$2:$B$1061,A27,Positions!$F$2:$F$1061,B27,Positions!$E$2:$E$1061,"G")</f>
        <v>3</v>
      </c>
      <c r="H27" s="4" t="n">
        <f aca="false">COUNTIFS(Positions!$B$2:$B$1061,A27,Positions!$F$2:$F$1061,B27,Positions!$E$2:$E$1061,"C")</f>
        <v>1</v>
      </c>
      <c r="I27" s="3" t="n">
        <f aca="false">G27+H27</f>
        <v>4</v>
      </c>
      <c r="J27" s="6" t="n">
        <f aca="false">IF(F27=0,0,I27/F27)</f>
        <v>0.5</v>
      </c>
    </row>
    <row r="28" customFormat="false" ht="15" hidden="false" customHeight="false" outlineLevel="0" collapsed="false">
      <c r="A28" s="4" t="s">
        <v>42</v>
      </c>
      <c r="B28" s="4" t="s">
        <v>102</v>
      </c>
      <c r="C28" s="4" t="s">
        <v>218</v>
      </c>
      <c r="D28" s="4" t="s">
        <v>218</v>
      </c>
      <c r="E28" s="4" t="s">
        <v>261</v>
      </c>
      <c r="F28" s="4" t="n">
        <f aca="false">COUNTIFS(Positions!$B$2:$B$1061,A28,Positions!$F$2:$F$1061,B28)</f>
        <v>7</v>
      </c>
      <c r="G28" s="4" t="n">
        <f aca="false">COUNTIFS(Positions!$B$2:$B$1061,A28,Positions!$F$2:$F$1061,B28,Positions!$E$2:$E$1061,"G")</f>
        <v>1</v>
      </c>
      <c r="H28" s="4" t="n">
        <f aca="false">COUNTIFS(Positions!$B$2:$B$1061,A28,Positions!$F$2:$F$1061,B28,Positions!$E$2:$E$1061,"C")</f>
        <v>2</v>
      </c>
      <c r="I28" s="3" t="n">
        <f aca="false">G28+H28</f>
        <v>3</v>
      </c>
      <c r="J28" s="6" t="n">
        <f aca="false">IF(F28=0,0,I28/F28)</f>
        <v>0.428571428571429</v>
      </c>
    </row>
    <row r="29" customFormat="false" ht="15" hidden="false" customHeight="false" outlineLevel="0" collapsed="false">
      <c r="A29" s="4" t="s">
        <v>42</v>
      </c>
      <c r="B29" s="4" t="s">
        <v>115</v>
      </c>
      <c r="C29" s="4" t="s">
        <v>221</v>
      </c>
      <c r="D29" s="4" t="s">
        <v>262</v>
      </c>
      <c r="E29" s="4" t="s">
        <v>263</v>
      </c>
      <c r="F29" s="4" t="n">
        <f aca="false">COUNTIFS(Positions!$B$2:$B$1061,A29,Positions!$F$2:$F$1061,B29)</f>
        <v>25</v>
      </c>
      <c r="G29" s="4" t="n">
        <f aca="false">COUNTIFS(Positions!$B$2:$B$1061,A29,Positions!$F$2:$F$1061,B29,Positions!$E$2:$E$1061,"G")</f>
        <v>7</v>
      </c>
      <c r="H29" s="4" t="n">
        <f aca="false">COUNTIFS(Positions!$B$2:$B$1061,A29,Positions!$F$2:$F$1061,B29,Positions!$E$2:$E$1061,"C")</f>
        <v>4</v>
      </c>
      <c r="I29" s="3" t="n">
        <f aca="false">G29+H29</f>
        <v>11</v>
      </c>
      <c r="J29" s="6" t="n">
        <f aca="false">IF(F29=0,0,I29/F29)</f>
        <v>0.44</v>
      </c>
    </row>
    <row r="30" customFormat="false" ht="15" hidden="false" customHeight="false" outlineLevel="0" collapsed="false">
      <c r="A30" s="4" t="s">
        <v>42</v>
      </c>
      <c r="B30" s="4" t="s">
        <v>132</v>
      </c>
      <c r="C30" s="4" t="s">
        <v>224</v>
      </c>
      <c r="D30" s="4" t="s">
        <v>264</v>
      </c>
      <c r="E30" s="4" t="s">
        <v>265</v>
      </c>
      <c r="F30" s="4" t="n">
        <f aca="false">COUNTIFS(Positions!$B$2:$B$1061,A30,Positions!$F$2:$F$1061,B30)</f>
        <v>7</v>
      </c>
      <c r="G30" s="4" t="n">
        <f aca="false">COUNTIFS(Positions!$B$2:$B$1061,A30,Positions!$F$2:$F$1061,B30,Positions!$E$2:$E$1061,"G")</f>
        <v>1</v>
      </c>
      <c r="H30" s="4" t="n">
        <f aca="false">COUNTIFS(Positions!$B$2:$B$1061,A30,Positions!$F$2:$F$1061,B30,Positions!$E$2:$E$1061,"C")</f>
        <v>2</v>
      </c>
      <c r="I30" s="3" t="n">
        <f aca="false">G30+H30</f>
        <v>3</v>
      </c>
      <c r="J30" s="6" t="n">
        <f aca="false">IF(F30=0,0,I30/F30)</f>
        <v>0.428571428571429</v>
      </c>
    </row>
    <row r="31" customFormat="false" ht="15" hidden="false" customHeight="false" outlineLevel="0" collapsed="false">
      <c r="A31" s="7" t="s">
        <v>42</v>
      </c>
      <c r="B31" s="7" t="s">
        <v>227</v>
      </c>
      <c r="C31" s="7" t="s">
        <v>228</v>
      </c>
      <c r="D31" s="7" t="s">
        <v>228</v>
      </c>
      <c r="E31" s="7" t="s">
        <v>266</v>
      </c>
      <c r="F31" s="7" t="n">
        <f aca="false">COUNTIFS(Positions!$B$2:$B$1061,A31,Positions!$F$2:$F$1061,"Position 8")+COUNTIFS(Positions!$B$2:$B$1061,A31,Positions!$F$2:$F$1061,"Position 9")+COUNTIFS(Positions!$B$2:$B$1061,A31,Positions!$F$2:$F$1061,"Position 26")</f>
        <v>3</v>
      </c>
      <c r="G31" s="7" t="n">
        <f aca="false">COUNTIFS(Positions!$B$2:$B$1061,A31,Positions!$F$2:$F$1061,"Position 8",Positions!$E$2:$E$1061,"G")+COUNTIFS(Positions!$B$2:$B$1061,A31,Positions!$F$2:$F$1061,"Position 9",Positions!$E$2:$E$1061,"G")+COUNTIFS(Positions!$B$2:$B$1061,A31,Positions!$F$2:$F$1061,"Position 26",Positions!$E$2:$E$1061,"G")</f>
        <v>1</v>
      </c>
      <c r="H31" s="7" t="n">
        <f aca="false">COUNTIFS(Positions!$B$2:$B$1061,A31,Positions!$F$2:$F$1061,"Position 8",Positions!$E$2:$E$1061,"C")+COUNTIFS(Positions!$B$2:$B$1061,A31,Positions!$F$2:$F$1061,"Position 9",Positions!$E$2:$E$1061,"C")+COUNTIFS(Positions!$B$2:$B$1061,A31,Positions!$F$2:$F$1061,"Position 26",Positions!$E$2:$E$1061,"C")</f>
        <v>0</v>
      </c>
      <c r="I31" s="8" t="n">
        <f aca="false">G31+H31</f>
        <v>1</v>
      </c>
      <c r="J31" s="25" t="n">
        <f aca="false">IF(F31=0,0,I31/F31)</f>
        <v>0.333333333333333</v>
      </c>
    </row>
    <row r="32" customFormat="false" ht="15" hidden="false" customHeight="false" outlineLevel="0" collapsed="false">
      <c r="A32" s="4" t="s">
        <v>43</v>
      </c>
      <c r="B32" s="4" t="s">
        <v>80</v>
      </c>
      <c r="C32" s="4" t="s">
        <v>215</v>
      </c>
      <c r="D32" s="4" t="s">
        <v>215</v>
      </c>
      <c r="E32" s="4" t="s">
        <v>267</v>
      </c>
      <c r="F32" s="4" t="n">
        <f aca="false">COUNTIFS(Positions!$B$2:$B$1061,A32,Positions!$F$2:$F$1061,B32)</f>
        <v>8</v>
      </c>
      <c r="G32" s="4" t="n">
        <f aca="false">COUNTIFS(Positions!$B$2:$B$1061,A32,Positions!$F$2:$F$1061,B32,Positions!$E$2:$E$1061,"G")</f>
        <v>3</v>
      </c>
      <c r="H32" s="4" t="n">
        <f aca="false">COUNTIFS(Positions!$B$2:$B$1061,A32,Positions!$F$2:$F$1061,B32,Positions!$E$2:$E$1061,"C")</f>
        <v>0</v>
      </c>
      <c r="I32" s="3" t="n">
        <f aca="false">G32+H32</f>
        <v>3</v>
      </c>
      <c r="J32" s="6" t="n">
        <f aca="false">IF(F32=0,0,I32/F32)</f>
        <v>0.375</v>
      </c>
    </row>
    <row r="33" customFormat="false" ht="15" hidden="false" customHeight="false" outlineLevel="0" collapsed="false">
      <c r="A33" s="4" t="s">
        <v>43</v>
      </c>
      <c r="B33" s="4" t="s">
        <v>102</v>
      </c>
      <c r="C33" s="4" t="s">
        <v>218</v>
      </c>
      <c r="D33" s="4" t="s">
        <v>218</v>
      </c>
      <c r="E33" s="4" t="s">
        <v>268</v>
      </c>
      <c r="F33" s="4" t="n">
        <f aca="false">COUNTIFS(Positions!$B$2:$B$1061,A33,Positions!$F$2:$F$1061,B33)</f>
        <v>7</v>
      </c>
      <c r="G33" s="4" t="n">
        <f aca="false">COUNTIFS(Positions!$B$2:$B$1061,A33,Positions!$F$2:$F$1061,B33,Positions!$E$2:$E$1061,"G")</f>
        <v>1</v>
      </c>
      <c r="H33" s="4" t="n">
        <f aca="false">COUNTIFS(Positions!$B$2:$B$1061,A33,Positions!$F$2:$F$1061,B33,Positions!$E$2:$E$1061,"C")</f>
        <v>0</v>
      </c>
      <c r="I33" s="3" t="n">
        <f aca="false">G33+H33</f>
        <v>1</v>
      </c>
      <c r="J33" s="6" t="n">
        <f aca="false">IF(F33=0,0,I33/F33)</f>
        <v>0.142857142857143</v>
      </c>
    </row>
    <row r="34" customFormat="false" ht="15" hidden="false" customHeight="false" outlineLevel="0" collapsed="false">
      <c r="A34" s="4" t="s">
        <v>43</v>
      </c>
      <c r="B34" s="4" t="s">
        <v>115</v>
      </c>
      <c r="C34" s="4" t="s">
        <v>221</v>
      </c>
      <c r="D34" s="4" t="s">
        <v>269</v>
      </c>
      <c r="E34" s="4" t="s">
        <v>270</v>
      </c>
      <c r="F34" s="4" t="n">
        <f aca="false">COUNTIFS(Positions!$B$2:$B$1061,A34,Positions!$F$2:$F$1061,B34)</f>
        <v>11</v>
      </c>
      <c r="G34" s="4" t="n">
        <f aca="false">COUNTIFS(Positions!$B$2:$B$1061,A34,Positions!$F$2:$F$1061,B34,Positions!$E$2:$E$1061,"G")</f>
        <v>1</v>
      </c>
      <c r="H34" s="4" t="n">
        <f aca="false">COUNTIFS(Positions!$B$2:$B$1061,A34,Positions!$F$2:$F$1061,B34,Positions!$E$2:$E$1061,"C")</f>
        <v>3</v>
      </c>
      <c r="I34" s="3" t="n">
        <f aca="false">G34+H34</f>
        <v>4</v>
      </c>
      <c r="J34" s="6" t="n">
        <f aca="false">IF(F34=0,0,I34/F34)</f>
        <v>0.363636363636364</v>
      </c>
    </row>
    <row r="35" customFormat="false" ht="15" hidden="false" customHeight="false" outlineLevel="0" collapsed="false">
      <c r="A35" s="4" t="s">
        <v>43</v>
      </c>
      <c r="B35" s="4" t="s">
        <v>132</v>
      </c>
      <c r="C35" s="4" t="s">
        <v>224</v>
      </c>
      <c r="D35" s="4" t="s">
        <v>225</v>
      </c>
      <c r="E35" s="4" t="s">
        <v>249</v>
      </c>
      <c r="F35" s="4" t="n">
        <f aca="false">COUNTIFS(Positions!$B$2:$B$1061,A35,Positions!$F$2:$F$1061,B35)</f>
        <v>7</v>
      </c>
      <c r="G35" s="4" t="n">
        <f aca="false">COUNTIFS(Positions!$B$2:$B$1061,A35,Positions!$F$2:$F$1061,B35,Positions!$E$2:$E$1061,"G")</f>
        <v>1</v>
      </c>
      <c r="H35" s="4" t="n">
        <f aca="false">COUNTIFS(Positions!$B$2:$B$1061,A35,Positions!$F$2:$F$1061,B35,Positions!$E$2:$E$1061,"C")</f>
        <v>1</v>
      </c>
      <c r="I35" s="3" t="n">
        <f aca="false">G35+H35</f>
        <v>2</v>
      </c>
      <c r="J35" s="6" t="n">
        <f aca="false">IF(F35=0,0,I35/F35)</f>
        <v>0.285714285714286</v>
      </c>
    </row>
    <row r="36" customFormat="false" ht="15" hidden="false" customHeight="false" outlineLevel="0" collapsed="false">
      <c r="A36" s="7" t="s">
        <v>43</v>
      </c>
      <c r="B36" s="7" t="s">
        <v>227</v>
      </c>
      <c r="C36" s="7" t="s">
        <v>228</v>
      </c>
      <c r="D36" s="7" t="s">
        <v>228</v>
      </c>
      <c r="E36" s="7" t="s">
        <v>271</v>
      </c>
      <c r="F36" s="7" t="n">
        <f aca="false">COUNTIFS(Positions!$B$2:$B$1061,A36,Positions!$F$2:$F$1061,"Position 8")+COUNTIFS(Positions!$B$2:$B$1061,A36,Positions!$F$2:$F$1061,"Position 9")+COUNTIFS(Positions!$B$2:$B$1061,A36,Positions!$F$2:$F$1061,"Position 26")</f>
        <v>3</v>
      </c>
      <c r="G36" s="7" t="n">
        <f aca="false">COUNTIFS(Positions!$B$2:$B$1061,A36,Positions!$F$2:$F$1061,"Position 8",Positions!$E$2:$E$1061,"G")+COUNTIFS(Positions!$B$2:$B$1061,A36,Positions!$F$2:$F$1061,"Position 9",Positions!$E$2:$E$1061,"G")+COUNTIFS(Positions!$B$2:$B$1061,A36,Positions!$F$2:$F$1061,"Position 26",Positions!$E$2:$E$1061,"G")</f>
        <v>1</v>
      </c>
      <c r="H36" s="7" t="n">
        <f aca="false">COUNTIFS(Positions!$B$2:$B$1061,A36,Positions!$F$2:$F$1061,"Position 8",Positions!$E$2:$E$1061,"C")+COUNTIFS(Positions!$B$2:$B$1061,A36,Positions!$F$2:$F$1061,"Position 9",Positions!$E$2:$E$1061,"C")+COUNTIFS(Positions!$B$2:$B$1061,A36,Positions!$F$2:$F$1061,"Position 26",Positions!$E$2:$E$1061,"C")</f>
        <v>0</v>
      </c>
      <c r="I36" s="8" t="n">
        <f aca="false">G36+H36</f>
        <v>1</v>
      </c>
      <c r="J36" s="25" t="n">
        <f aca="false">IF(F36=0,0,I36/F36)</f>
        <v>0.333333333333333</v>
      </c>
    </row>
    <row r="37" customFormat="false" ht="15" hidden="false" customHeight="false" outlineLevel="0" collapsed="false">
      <c r="A37" s="4" t="s">
        <v>44</v>
      </c>
      <c r="B37" s="4" t="s">
        <v>80</v>
      </c>
      <c r="C37" s="4" t="s">
        <v>215</v>
      </c>
      <c r="D37" s="4" t="s">
        <v>215</v>
      </c>
      <c r="E37" s="4" t="s">
        <v>272</v>
      </c>
      <c r="F37" s="4" t="n">
        <f aca="false">COUNTIFS(Positions!$B$2:$B$1061,A37,Positions!$F$2:$F$1061,B37)</f>
        <v>8</v>
      </c>
      <c r="G37" s="4" t="n">
        <f aca="false">COUNTIFS(Positions!$B$2:$B$1061,A37,Positions!$F$2:$F$1061,B37,Positions!$E$2:$E$1061,"G")</f>
        <v>2</v>
      </c>
      <c r="H37" s="4" t="n">
        <f aca="false">COUNTIFS(Positions!$B$2:$B$1061,A37,Positions!$F$2:$F$1061,B37,Positions!$E$2:$E$1061,"C")</f>
        <v>2</v>
      </c>
      <c r="I37" s="3" t="n">
        <f aca="false">G37+H37</f>
        <v>4</v>
      </c>
      <c r="J37" s="6" t="n">
        <f aca="false">IF(F37=0,0,I37/F37)</f>
        <v>0.5</v>
      </c>
    </row>
    <row r="38" customFormat="false" ht="15" hidden="false" customHeight="false" outlineLevel="0" collapsed="false">
      <c r="A38" s="4" t="s">
        <v>44</v>
      </c>
      <c r="B38" s="4" t="s">
        <v>102</v>
      </c>
      <c r="C38" s="4" t="s">
        <v>218</v>
      </c>
      <c r="D38" s="4" t="s">
        <v>218</v>
      </c>
      <c r="E38" s="4" t="s">
        <v>273</v>
      </c>
      <c r="F38" s="4" t="n">
        <f aca="false">COUNTIFS(Positions!$B$2:$B$1061,A38,Positions!$F$2:$F$1061,B38)</f>
        <v>7</v>
      </c>
      <c r="G38" s="4" t="n">
        <f aca="false">COUNTIFS(Positions!$B$2:$B$1061,A38,Positions!$F$2:$F$1061,B38,Positions!$E$2:$E$1061,"G")</f>
        <v>0</v>
      </c>
      <c r="H38" s="4" t="n">
        <f aca="false">COUNTIFS(Positions!$B$2:$B$1061,A38,Positions!$F$2:$F$1061,B38,Positions!$E$2:$E$1061,"C")</f>
        <v>0</v>
      </c>
      <c r="I38" s="3" t="n">
        <f aca="false">G38+H38</f>
        <v>0</v>
      </c>
      <c r="J38" s="6" t="n">
        <f aca="false">IF(F38=0,0,I38/F38)</f>
        <v>0</v>
      </c>
    </row>
    <row r="39" customFormat="false" ht="15" hidden="false" customHeight="false" outlineLevel="0" collapsed="false">
      <c r="A39" s="4" t="s">
        <v>44</v>
      </c>
      <c r="B39" s="4" t="s">
        <v>115</v>
      </c>
      <c r="C39" s="4" t="s">
        <v>221</v>
      </c>
      <c r="D39" s="4" t="s">
        <v>274</v>
      </c>
      <c r="E39" s="4" t="s">
        <v>275</v>
      </c>
      <c r="F39" s="4" t="n">
        <f aca="false">COUNTIFS(Positions!$B$2:$B$1061,A39,Positions!$F$2:$F$1061,B39)</f>
        <v>4</v>
      </c>
      <c r="G39" s="4" t="n">
        <f aca="false">COUNTIFS(Positions!$B$2:$B$1061,A39,Positions!$F$2:$F$1061,B39,Positions!$E$2:$E$1061,"G")</f>
        <v>2</v>
      </c>
      <c r="H39" s="4" t="n">
        <f aca="false">COUNTIFS(Positions!$B$2:$B$1061,A39,Positions!$F$2:$F$1061,B39,Positions!$E$2:$E$1061,"C")</f>
        <v>0</v>
      </c>
      <c r="I39" s="3" t="n">
        <f aca="false">G39+H39</f>
        <v>2</v>
      </c>
      <c r="J39" s="6" t="n">
        <f aca="false">IF(F39=0,0,I39/F39)</f>
        <v>0.5</v>
      </c>
    </row>
    <row r="40" customFormat="false" ht="15" hidden="false" customHeight="false" outlineLevel="0" collapsed="false">
      <c r="A40" s="4" t="s">
        <v>44</v>
      </c>
      <c r="B40" s="4" t="s">
        <v>132</v>
      </c>
      <c r="C40" s="4" t="s">
        <v>224</v>
      </c>
      <c r="D40" s="4" t="s">
        <v>276</v>
      </c>
      <c r="E40" s="4" t="s">
        <v>277</v>
      </c>
      <c r="F40" s="4" t="n">
        <f aca="false">COUNTIFS(Positions!$B$2:$B$1061,A40,Positions!$F$2:$F$1061,B40)</f>
        <v>7</v>
      </c>
      <c r="G40" s="4" t="n">
        <f aca="false">COUNTIFS(Positions!$B$2:$B$1061,A40,Positions!$F$2:$F$1061,B40,Positions!$E$2:$E$1061,"G")</f>
        <v>1</v>
      </c>
      <c r="H40" s="4" t="n">
        <f aca="false">COUNTIFS(Positions!$B$2:$B$1061,A40,Positions!$F$2:$F$1061,B40,Positions!$E$2:$E$1061,"C")</f>
        <v>2</v>
      </c>
      <c r="I40" s="3" t="n">
        <f aca="false">G40+H40</f>
        <v>3</v>
      </c>
      <c r="J40" s="6" t="n">
        <f aca="false">IF(F40=0,0,I40/F40)</f>
        <v>0.428571428571429</v>
      </c>
    </row>
    <row r="41" customFormat="false" ht="15" hidden="false" customHeight="false" outlineLevel="0" collapsed="false">
      <c r="A41" s="7" t="s">
        <v>44</v>
      </c>
      <c r="B41" s="7" t="s">
        <v>227</v>
      </c>
      <c r="C41" s="7" t="s">
        <v>228</v>
      </c>
      <c r="D41" s="7" t="s">
        <v>228</v>
      </c>
      <c r="E41" s="7" t="s">
        <v>240</v>
      </c>
      <c r="F41" s="7" t="n">
        <f aca="false">COUNTIFS(Positions!$B$2:$B$1061,A41,Positions!$F$2:$F$1061,"Position 8")+COUNTIFS(Positions!$B$2:$B$1061,A41,Positions!$F$2:$F$1061,"Position 9")+COUNTIFS(Positions!$B$2:$B$1061,A41,Positions!$F$2:$F$1061,"Position 26")</f>
        <v>3</v>
      </c>
      <c r="G41" s="7" t="n">
        <f aca="false">COUNTIFS(Positions!$B$2:$B$1061,A41,Positions!$F$2:$F$1061,"Position 8",Positions!$E$2:$E$1061,"G")+COUNTIFS(Positions!$B$2:$B$1061,A41,Positions!$F$2:$F$1061,"Position 9",Positions!$E$2:$E$1061,"G")+COUNTIFS(Positions!$B$2:$B$1061,A41,Positions!$F$2:$F$1061,"Position 26",Positions!$E$2:$E$1061,"G")</f>
        <v>0</v>
      </c>
      <c r="H41" s="7" t="n">
        <f aca="false">COUNTIFS(Positions!$B$2:$B$1061,A41,Positions!$F$2:$F$1061,"Position 8",Positions!$E$2:$E$1061,"C")+COUNTIFS(Positions!$B$2:$B$1061,A41,Positions!$F$2:$F$1061,"Position 9",Positions!$E$2:$E$1061,"C")+COUNTIFS(Positions!$B$2:$B$1061,A41,Positions!$F$2:$F$1061,"Position 26",Positions!$E$2:$E$1061,"C")</f>
        <v>0</v>
      </c>
      <c r="I41" s="8" t="n">
        <f aca="false">G41+H41</f>
        <v>0</v>
      </c>
      <c r="J41" s="25" t="n">
        <f aca="false">IF(F41=0,0,I41/F41)</f>
        <v>0</v>
      </c>
    </row>
    <row r="42" customFormat="false" ht="15" hidden="false" customHeight="false" outlineLevel="0" collapsed="false">
      <c r="A42" s="4" t="s">
        <v>45</v>
      </c>
      <c r="B42" s="4" t="s">
        <v>80</v>
      </c>
      <c r="C42" s="4" t="s">
        <v>215</v>
      </c>
      <c r="D42" s="4" t="s">
        <v>216</v>
      </c>
      <c r="E42" s="4" t="s">
        <v>278</v>
      </c>
      <c r="F42" s="4" t="n">
        <f aca="false">COUNTIFS(Positions!$B$2:$B$1061,A42,Positions!$F$2:$F$1061,B42)</f>
        <v>9</v>
      </c>
      <c r="G42" s="4" t="n">
        <f aca="false">COUNTIFS(Positions!$B$2:$B$1061,A42,Positions!$F$2:$F$1061,B42,Positions!$E$2:$E$1061,"G")</f>
        <v>2</v>
      </c>
      <c r="H42" s="4" t="n">
        <f aca="false">COUNTIFS(Positions!$B$2:$B$1061,A42,Positions!$F$2:$F$1061,B42,Positions!$E$2:$E$1061,"C")</f>
        <v>2</v>
      </c>
      <c r="I42" s="3" t="n">
        <f aca="false">G42+H42</f>
        <v>4</v>
      </c>
      <c r="J42" s="6" t="n">
        <f aca="false">IF(F42=0,0,I42/F42)</f>
        <v>0.444444444444444</v>
      </c>
    </row>
    <row r="43" customFormat="false" ht="15" hidden="false" customHeight="false" outlineLevel="0" collapsed="false">
      <c r="A43" s="4" t="s">
        <v>45</v>
      </c>
      <c r="B43" s="4" t="s">
        <v>102</v>
      </c>
      <c r="C43" s="4" t="s">
        <v>218</v>
      </c>
      <c r="D43" s="4" t="s">
        <v>219</v>
      </c>
      <c r="E43" s="4" t="s">
        <v>279</v>
      </c>
      <c r="F43" s="4" t="n">
        <f aca="false">COUNTIFS(Positions!$B$2:$B$1061,A43,Positions!$F$2:$F$1061,B43)</f>
        <v>7</v>
      </c>
      <c r="G43" s="4" t="n">
        <f aca="false">COUNTIFS(Positions!$B$2:$B$1061,A43,Positions!$F$2:$F$1061,B43,Positions!$E$2:$E$1061,"G")</f>
        <v>0</v>
      </c>
      <c r="H43" s="4" t="n">
        <f aca="false">COUNTIFS(Positions!$B$2:$B$1061,A43,Positions!$F$2:$F$1061,B43,Positions!$E$2:$E$1061,"C")</f>
        <v>1</v>
      </c>
      <c r="I43" s="3" t="n">
        <f aca="false">G43+H43</f>
        <v>1</v>
      </c>
      <c r="J43" s="6" t="n">
        <f aca="false">IF(F43=0,0,I43/F43)</f>
        <v>0.142857142857143</v>
      </c>
    </row>
    <row r="44" customFormat="false" ht="15" hidden="false" customHeight="false" outlineLevel="0" collapsed="false">
      <c r="A44" s="4" t="s">
        <v>45</v>
      </c>
      <c r="B44" s="4" t="s">
        <v>115</v>
      </c>
      <c r="C44" s="4" t="s">
        <v>221</v>
      </c>
      <c r="D44" s="4" t="s">
        <v>250</v>
      </c>
      <c r="E44" s="4" t="s">
        <v>280</v>
      </c>
      <c r="F44" s="4" t="n">
        <f aca="false">COUNTIFS(Positions!$B$2:$B$1061,A44,Positions!$F$2:$F$1061,B44)</f>
        <v>17</v>
      </c>
      <c r="G44" s="4" t="n">
        <f aca="false">COUNTIFS(Positions!$B$2:$B$1061,A44,Positions!$F$2:$F$1061,B44,Positions!$E$2:$E$1061,"G")</f>
        <v>2</v>
      </c>
      <c r="H44" s="4" t="n">
        <f aca="false">COUNTIFS(Positions!$B$2:$B$1061,A44,Positions!$F$2:$F$1061,B44,Positions!$E$2:$E$1061,"C")</f>
        <v>4</v>
      </c>
      <c r="I44" s="3" t="n">
        <f aca="false">G44+H44</f>
        <v>6</v>
      </c>
      <c r="J44" s="6" t="n">
        <f aca="false">IF(F44=0,0,I44/F44)</f>
        <v>0.352941176470588</v>
      </c>
    </row>
    <row r="45" customFormat="false" ht="15" hidden="false" customHeight="false" outlineLevel="0" collapsed="false">
      <c r="A45" s="4" t="s">
        <v>45</v>
      </c>
      <c r="B45" s="4" t="s">
        <v>132</v>
      </c>
      <c r="C45" s="4" t="s">
        <v>224</v>
      </c>
      <c r="D45" s="4" t="s">
        <v>252</v>
      </c>
      <c r="E45" s="4" t="s">
        <v>281</v>
      </c>
      <c r="F45" s="4" t="n">
        <f aca="false">COUNTIFS(Positions!$B$2:$B$1061,A45,Positions!$F$2:$F$1061,B45)</f>
        <v>7</v>
      </c>
      <c r="G45" s="4" t="n">
        <f aca="false">COUNTIFS(Positions!$B$2:$B$1061,A45,Positions!$F$2:$F$1061,B45,Positions!$E$2:$E$1061,"G")</f>
        <v>1</v>
      </c>
      <c r="H45" s="4" t="n">
        <f aca="false">COUNTIFS(Positions!$B$2:$B$1061,A45,Positions!$F$2:$F$1061,B45,Positions!$E$2:$E$1061,"C")</f>
        <v>1</v>
      </c>
      <c r="I45" s="3" t="n">
        <f aca="false">G45+H45</f>
        <v>2</v>
      </c>
      <c r="J45" s="6" t="n">
        <f aca="false">IF(F45=0,0,I45/F45)</f>
        <v>0.285714285714286</v>
      </c>
    </row>
    <row r="46" customFormat="false" ht="15" hidden="false" customHeight="false" outlineLevel="0" collapsed="false">
      <c r="A46" s="7" t="s">
        <v>45</v>
      </c>
      <c r="B46" s="7" t="s">
        <v>227</v>
      </c>
      <c r="C46" s="7" t="s">
        <v>228</v>
      </c>
      <c r="D46" s="7" t="s">
        <v>229</v>
      </c>
      <c r="E46" s="7" t="s">
        <v>240</v>
      </c>
      <c r="F46" s="7" t="n">
        <f aca="false">COUNTIFS(Positions!$B$2:$B$1061,A46,Positions!$F$2:$F$1061,"Position 8")+COUNTIFS(Positions!$B$2:$B$1061,A46,Positions!$F$2:$F$1061,"Position 9")+COUNTIFS(Positions!$B$2:$B$1061,A46,Positions!$F$2:$F$1061,"Position 26")</f>
        <v>3</v>
      </c>
      <c r="G46" s="7" t="n">
        <f aca="false">COUNTIFS(Positions!$B$2:$B$1061,A46,Positions!$F$2:$F$1061,"Position 8",Positions!$E$2:$E$1061,"G")+COUNTIFS(Positions!$B$2:$B$1061,A46,Positions!$F$2:$F$1061,"Position 9",Positions!$E$2:$E$1061,"G")+COUNTIFS(Positions!$B$2:$B$1061,A46,Positions!$F$2:$F$1061,"Position 26",Positions!$E$2:$E$1061,"G")</f>
        <v>0</v>
      </c>
      <c r="H46" s="7" t="n">
        <f aca="false">COUNTIFS(Positions!$B$2:$B$1061,A46,Positions!$F$2:$F$1061,"Position 8",Positions!$E$2:$E$1061,"C")+COUNTIFS(Positions!$B$2:$B$1061,A46,Positions!$F$2:$F$1061,"Position 9",Positions!$E$2:$E$1061,"C")+COUNTIFS(Positions!$B$2:$B$1061,A46,Positions!$F$2:$F$1061,"Position 26",Positions!$E$2:$E$1061,"C")</f>
        <v>0</v>
      </c>
      <c r="I46" s="8" t="n">
        <f aca="false">G46+H46</f>
        <v>0</v>
      </c>
      <c r="J46" s="25" t="n">
        <f aca="false">IF(F46=0,0,I46/F46)</f>
        <v>0</v>
      </c>
    </row>
    <row r="47" customFormat="false" ht="15" hidden="false" customHeight="false" outlineLevel="0" collapsed="false">
      <c r="A47" s="4" t="s">
        <v>46</v>
      </c>
      <c r="B47" s="4" t="s">
        <v>80</v>
      </c>
      <c r="C47" s="4" t="s">
        <v>215</v>
      </c>
      <c r="D47" s="4" t="s">
        <v>231</v>
      </c>
      <c r="E47" s="4" t="s">
        <v>282</v>
      </c>
      <c r="F47" s="4" t="n">
        <f aca="false">COUNTIFS(Positions!$B$2:$B$1061,A47,Positions!$F$2:$F$1061,B47)</f>
        <v>10</v>
      </c>
      <c r="G47" s="4" t="n">
        <f aca="false">COUNTIFS(Positions!$B$2:$B$1061,A47,Positions!$F$2:$F$1061,B47,Positions!$E$2:$E$1061,"G")</f>
        <v>3</v>
      </c>
      <c r="H47" s="4" t="n">
        <f aca="false">COUNTIFS(Positions!$B$2:$B$1061,A47,Positions!$F$2:$F$1061,B47,Positions!$E$2:$E$1061,"C")</f>
        <v>1</v>
      </c>
      <c r="I47" s="3" t="n">
        <f aca="false">G47+H47</f>
        <v>4</v>
      </c>
      <c r="J47" s="6" t="n">
        <f aca="false">IF(F47=0,0,I47/F47)</f>
        <v>0.4</v>
      </c>
    </row>
    <row r="48" customFormat="false" ht="15" hidden="false" customHeight="false" outlineLevel="0" collapsed="false">
      <c r="A48" s="4" t="s">
        <v>46</v>
      </c>
      <c r="B48" s="4" t="s">
        <v>102</v>
      </c>
      <c r="C48" s="4" t="s">
        <v>218</v>
      </c>
      <c r="D48" s="4" t="s">
        <v>233</v>
      </c>
      <c r="E48" s="4" t="s">
        <v>255</v>
      </c>
      <c r="F48" s="4" t="n">
        <f aca="false">COUNTIFS(Positions!$B$2:$B$1061,A48,Positions!$F$2:$F$1061,B48)</f>
        <v>7</v>
      </c>
      <c r="G48" s="4" t="n">
        <f aca="false">COUNTIFS(Positions!$B$2:$B$1061,A48,Positions!$F$2:$F$1061,B48,Positions!$E$2:$E$1061,"G")</f>
        <v>1</v>
      </c>
      <c r="H48" s="4" t="n">
        <f aca="false">COUNTIFS(Positions!$B$2:$B$1061,A48,Positions!$F$2:$F$1061,B48,Positions!$E$2:$E$1061,"C")</f>
        <v>1</v>
      </c>
      <c r="I48" s="3" t="n">
        <f aca="false">G48+H48</f>
        <v>2</v>
      </c>
      <c r="J48" s="6" t="n">
        <f aca="false">IF(F48=0,0,I48/F48)</f>
        <v>0.285714285714286</v>
      </c>
    </row>
    <row r="49" customFormat="false" ht="15" hidden="false" customHeight="false" outlineLevel="0" collapsed="false">
      <c r="A49" s="4" t="s">
        <v>46</v>
      </c>
      <c r="B49" s="4" t="s">
        <v>115</v>
      </c>
      <c r="C49" s="4" t="s">
        <v>221</v>
      </c>
      <c r="D49" s="4" t="s">
        <v>283</v>
      </c>
      <c r="E49" s="4" t="s">
        <v>284</v>
      </c>
      <c r="F49" s="4" t="n">
        <f aca="false">COUNTIFS(Positions!$B$2:$B$1061,A49,Positions!$F$2:$F$1061,B49)</f>
        <v>4</v>
      </c>
      <c r="G49" s="4" t="n">
        <f aca="false">COUNTIFS(Positions!$B$2:$B$1061,A49,Positions!$F$2:$F$1061,B49,Positions!$E$2:$E$1061,"G")</f>
        <v>0</v>
      </c>
      <c r="H49" s="4" t="n">
        <f aca="false">COUNTIFS(Positions!$B$2:$B$1061,A49,Positions!$F$2:$F$1061,B49,Positions!$E$2:$E$1061,"C")</f>
        <v>0</v>
      </c>
      <c r="I49" s="3" t="n">
        <f aca="false">G49+H49</f>
        <v>0</v>
      </c>
      <c r="J49" s="6" t="n">
        <f aca="false">IF(F49=0,0,I49/F49)</f>
        <v>0</v>
      </c>
    </row>
    <row r="50" customFormat="false" ht="15" hidden="false" customHeight="false" outlineLevel="0" collapsed="false">
      <c r="A50" s="4" t="s">
        <v>46</v>
      </c>
      <c r="B50" s="4" t="s">
        <v>132</v>
      </c>
      <c r="C50" s="4" t="s">
        <v>224</v>
      </c>
      <c r="D50" s="4" t="s">
        <v>285</v>
      </c>
      <c r="E50" s="4" t="s">
        <v>238</v>
      </c>
      <c r="F50" s="4" t="n">
        <f aca="false">COUNTIFS(Positions!$B$2:$B$1061,A50,Positions!$F$2:$F$1061,B50)</f>
        <v>7</v>
      </c>
      <c r="G50" s="4" t="n">
        <f aca="false">COUNTIFS(Positions!$B$2:$B$1061,A50,Positions!$F$2:$F$1061,B50,Positions!$E$2:$E$1061,"G")</f>
        <v>0</v>
      </c>
      <c r="H50" s="4" t="n">
        <f aca="false">COUNTIFS(Positions!$B$2:$B$1061,A50,Positions!$F$2:$F$1061,B50,Positions!$E$2:$E$1061,"C")</f>
        <v>1</v>
      </c>
      <c r="I50" s="3" t="n">
        <f aca="false">G50+H50</f>
        <v>1</v>
      </c>
      <c r="J50" s="6" t="n">
        <f aca="false">IF(F50=0,0,I50/F50)</f>
        <v>0.142857142857143</v>
      </c>
    </row>
    <row r="51" customFormat="false" ht="15" hidden="false" customHeight="false" outlineLevel="0" collapsed="false">
      <c r="A51" s="7" t="s">
        <v>46</v>
      </c>
      <c r="B51" s="7" t="s">
        <v>227</v>
      </c>
      <c r="C51" s="7" t="s">
        <v>228</v>
      </c>
      <c r="D51" s="7" t="s">
        <v>239</v>
      </c>
      <c r="E51" s="7" t="s">
        <v>286</v>
      </c>
      <c r="F51" s="7" t="n">
        <f aca="false">COUNTIFS(Positions!$B$2:$B$1061,A51,Positions!$F$2:$F$1061,"Position 8")+COUNTIFS(Positions!$B$2:$B$1061,A51,Positions!$F$2:$F$1061,"Position 9")+COUNTIFS(Positions!$B$2:$B$1061,A51,Positions!$F$2:$F$1061,"Position 26")</f>
        <v>3</v>
      </c>
      <c r="G51" s="7" t="n">
        <f aca="false">COUNTIFS(Positions!$B$2:$B$1061,A51,Positions!$F$2:$F$1061,"Position 8",Positions!$E$2:$E$1061,"G")+COUNTIFS(Positions!$B$2:$B$1061,A51,Positions!$F$2:$F$1061,"Position 9",Positions!$E$2:$E$1061,"G")+COUNTIFS(Positions!$B$2:$B$1061,A51,Positions!$F$2:$F$1061,"Position 26",Positions!$E$2:$E$1061,"G")</f>
        <v>0</v>
      </c>
      <c r="H51" s="7" t="n">
        <f aca="false">COUNTIFS(Positions!$B$2:$B$1061,A51,Positions!$F$2:$F$1061,"Position 8",Positions!$E$2:$E$1061,"C")+COUNTIFS(Positions!$B$2:$B$1061,A51,Positions!$F$2:$F$1061,"Position 9",Positions!$E$2:$E$1061,"C")+COUNTIFS(Positions!$B$2:$B$1061,A51,Positions!$F$2:$F$1061,"Position 26",Positions!$E$2:$E$1061,"C")</f>
        <v>0</v>
      </c>
      <c r="I51" s="8" t="n">
        <f aca="false">G51+H51</f>
        <v>0</v>
      </c>
      <c r="J51" s="25" t="n">
        <f aca="false">IF(F51=0,0,I51/F51)</f>
        <v>0</v>
      </c>
    </row>
    <row r="52" customFormat="false" ht="15" hidden="false" customHeight="false" outlineLevel="0" collapsed="false">
      <c r="A52" s="4" t="s">
        <v>47</v>
      </c>
      <c r="B52" s="4" t="s">
        <v>80</v>
      </c>
      <c r="C52" s="4" t="s">
        <v>215</v>
      </c>
      <c r="D52" s="4" t="s">
        <v>216</v>
      </c>
      <c r="E52" s="4" t="s">
        <v>287</v>
      </c>
      <c r="F52" s="4" t="n">
        <f aca="false">COUNTIFS(Positions!$B$2:$B$1061,A52,Positions!$F$2:$F$1061,B52)</f>
        <v>9</v>
      </c>
      <c r="G52" s="4" t="n">
        <f aca="false">COUNTIFS(Positions!$B$2:$B$1061,A52,Positions!$F$2:$F$1061,B52,Positions!$E$2:$E$1061,"G")</f>
        <v>2</v>
      </c>
      <c r="H52" s="4" t="n">
        <f aca="false">COUNTIFS(Positions!$B$2:$B$1061,A52,Positions!$F$2:$F$1061,B52,Positions!$E$2:$E$1061,"C")</f>
        <v>4</v>
      </c>
      <c r="I52" s="3" t="n">
        <f aca="false">G52+H52</f>
        <v>6</v>
      </c>
      <c r="J52" s="6" t="n">
        <f aca="false">IF(F52=0,0,I52/F52)</f>
        <v>0.666666666666667</v>
      </c>
    </row>
    <row r="53" customFormat="false" ht="15" hidden="false" customHeight="false" outlineLevel="0" collapsed="false">
      <c r="A53" s="4" t="s">
        <v>47</v>
      </c>
      <c r="B53" s="4" t="s">
        <v>102</v>
      </c>
      <c r="C53" s="4" t="s">
        <v>218</v>
      </c>
      <c r="D53" s="4" t="s">
        <v>219</v>
      </c>
      <c r="E53" s="4" t="s">
        <v>288</v>
      </c>
      <c r="F53" s="4" t="n">
        <f aca="false">COUNTIFS(Positions!$B$2:$B$1061,A53,Positions!$F$2:$F$1061,B53)</f>
        <v>7</v>
      </c>
      <c r="G53" s="4" t="n">
        <f aca="false">COUNTIFS(Positions!$B$2:$B$1061,A53,Positions!$F$2:$F$1061,B53,Positions!$E$2:$E$1061,"G")</f>
        <v>1</v>
      </c>
      <c r="H53" s="4" t="n">
        <f aca="false">COUNTIFS(Positions!$B$2:$B$1061,A53,Positions!$F$2:$F$1061,B53,Positions!$E$2:$E$1061,"C")</f>
        <v>0</v>
      </c>
      <c r="I53" s="3" t="n">
        <f aca="false">G53+H53</f>
        <v>1</v>
      </c>
      <c r="J53" s="6" t="n">
        <f aca="false">IF(F53=0,0,I53/F53)</f>
        <v>0.142857142857143</v>
      </c>
    </row>
    <row r="54" customFormat="false" ht="15" hidden="false" customHeight="false" outlineLevel="0" collapsed="false">
      <c r="A54" s="4" t="s">
        <v>47</v>
      </c>
      <c r="B54" s="4" t="s">
        <v>115</v>
      </c>
      <c r="C54" s="4" t="s">
        <v>221</v>
      </c>
      <c r="D54" s="4" t="s">
        <v>289</v>
      </c>
      <c r="E54" s="4" t="s">
        <v>290</v>
      </c>
      <c r="F54" s="4" t="n">
        <f aca="false">COUNTIFS(Positions!$B$2:$B$1061,A54,Positions!$F$2:$F$1061,B54)</f>
        <v>6</v>
      </c>
      <c r="G54" s="4" t="n">
        <f aca="false">COUNTIFS(Positions!$B$2:$B$1061,A54,Positions!$F$2:$F$1061,B54,Positions!$E$2:$E$1061,"G")</f>
        <v>1</v>
      </c>
      <c r="H54" s="4" t="n">
        <f aca="false">COUNTIFS(Positions!$B$2:$B$1061,A54,Positions!$F$2:$F$1061,B54,Positions!$E$2:$E$1061,"C")</f>
        <v>0</v>
      </c>
      <c r="I54" s="3" t="n">
        <f aca="false">G54+H54</f>
        <v>1</v>
      </c>
      <c r="J54" s="6" t="n">
        <f aca="false">IF(F54=0,0,I54/F54)</f>
        <v>0.166666666666667</v>
      </c>
    </row>
    <row r="55" customFormat="false" ht="15" hidden="false" customHeight="false" outlineLevel="0" collapsed="false">
      <c r="A55" s="4" t="s">
        <v>47</v>
      </c>
      <c r="B55" s="4" t="s">
        <v>132</v>
      </c>
      <c r="C55" s="4" t="s">
        <v>224</v>
      </c>
      <c r="D55" s="4" t="s">
        <v>291</v>
      </c>
      <c r="E55" s="4" t="s">
        <v>292</v>
      </c>
      <c r="F55" s="4" t="n">
        <f aca="false">COUNTIFS(Positions!$B$2:$B$1061,A55,Positions!$F$2:$F$1061,B55)</f>
        <v>7</v>
      </c>
      <c r="G55" s="4" t="n">
        <f aca="false">COUNTIFS(Positions!$B$2:$B$1061,A55,Positions!$F$2:$F$1061,B55,Positions!$E$2:$E$1061,"G")</f>
        <v>0</v>
      </c>
      <c r="H55" s="4" t="n">
        <f aca="false">COUNTIFS(Positions!$B$2:$B$1061,A55,Positions!$F$2:$F$1061,B55,Positions!$E$2:$E$1061,"C")</f>
        <v>1</v>
      </c>
      <c r="I55" s="3" t="n">
        <f aca="false">G55+H55</f>
        <v>1</v>
      </c>
      <c r="J55" s="6" t="n">
        <f aca="false">IF(F55=0,0,I55/F55)</f>
        <v>0.142857142857143</v>
      </c>
    </row>
    <row r="56" customFormat="false" ht="15" hidden="false" customHeight="false" outlineLevel="0" collapsed="false">
      <c r="A56" s="7" t="s">
        <v>47</v>
      </c>
      <c r="B56" s="7" t="s">
        <v>227</v>
      </c>
      <c r="C56" s="7" t="s">
        <v>228</v>
      </c>
      <c r="D56" s="7" t="s">
        <v>229</v>
      </c>
      <c r="E56" s="7" t="s">
        <v>286</v>
      </c>
      <c r="F56" s="7" t="n">
        <f aca="false">COUNTIFS(Positions!$B$2:$B$1061,A56,Positions!$F$2:$F$1061,"Position 8")+COUNTIFS(Positions!$B$2:$B$1061,A56,Positions!$F$2:$F$1061,"Position 9")+COUNTIFS(Positions!$B$2:$B$1061,A56,Positions!$F$2:$F$1061,"Position 26")</f>
        <v>3</v>
      </c>
      <c r="G56" s="7" t="n">
        <f aca="false">COUNTIFS(Positions!$B$2:$B$1061,A56,Positions!$F$2:$F$1061,"Position 8",Positions!$E$2:$E$1061,"G")+COUNTIFS(Positions!$B$2:$B$1061,A56,Positions!$F$2:$F$1061,"Position 9",Positions!$E$2:$E$1061,"G")+COUNTIFS(Positions!$B$2:$B$1061,A56,Positions!$F$2:$F$1061,"Position 26",Positions!$E$2:$E$1061,"G")</f>
        <v>0</v>
      </c>
      <c r="H56" s="7" t="n">
        <f aca="false">COUNTIFS(Positions!$B$2:$B$1061,A56,Positions!$F$2:$F$1061,"Position 8",Positions!$E$2:$E$1061,"C")+COUNTIFS(Positions!$B$2:$B$1061,A56,Positions!$F$2:$F$1061,"Position 9",Positions!$E$2:$E$1061,"C")+COUNTIFS(Positions!$B$2:$B$1061,A56,Positions!$F$2:$F$1061,"Position 26",Positions!$E$2:$E$1061,"C")</f>
        <v>0</v>
      </c>
      <c r="I56" s="8" t="n">
        <f aca="false">G56+H56</f>
        <v>0</v>
      </c>
      <c r="J56" s="25" t="n">
        <f aca="false">IF(F56=0,0,I56/F56)</f>
        <v>0</v>
      </c>
    </row>
    <row r="57" customFormat="false" ht="15" hidden="false" customHeight="false" outlineLevel="0" collapsed="false">
      <c r="A57" s="4" t="s">
        <v>48</v>
      </c>
      <c r="B57" s="4" t="s">
        <v>80</v>
      </c>
      <c r="C57" s="4" t="s">
        <v>215</v>
      </c>
      <c r="D57" s="4" t="s">
        <v>231</v>
      </c>
      <c r="E57" s="4" t="s">
        <v>293</v>
      </c>
      <c r="F57" s="4" t="n">
        <f aca="false">COUNTIFS(Positions!$B$2:$B$1061,A57,Positions!$F$2:$F$1061,B57)</f>
        <v>10</v>
      </c>
      <c r="G57" s="4" t="n">
        <f aca="false">COUNTIFS(Positions!$B$2:$B$1061,A57,Positions!$F$2:$F$1061,B57,Positions!$E$2:$E$1061,"G")</f>
        <v>3</v>
      </c>
      <c r="H57" s="4" t="n">
        <f aca="false">COUNTIFS(Positions!$B$2:$B$1061,A57,Positions!$F$2:$F$1061,B57,Positions!$E$2:$E$1061,"C")</f>
        <v>1</v>
      </c>
      <c r="I57" s="3" t="n">
        <f aca="false">G57+H57</f>
        <v>4</v>
      </c>
      <c r="J57" s="6" t="n">
        <f aca="false">IF(F57=0,0,I57/F57)</f>
        <v>0.4</v>
      </c>
    </row>
    <row r="58" customFormat="false" ht="15" hidden="false" customHeight="false" outlineLevel="0" collapsed="false">
      <c r="A58" s="4" t="s">
        <v>48</v>
      </c>
      <c r="B58" s="4" t="s">
        <v>102</v>
      </c>
      <c r="C58" s="4" t="s">
        <v>218</v>
      </c>
      <c r="D58" s="4" t="s">
        <v>233</v>
      </c>
      <c r="E58" s="4" t="s">
        <v>294</v>
      </c>
      <c r="F58" s="4" t="n">
        <f aca="false">COUNTIFS(Positions!$B$2:$B$1061,A58,Positions!$F$2:$F$1061,B58)</f>
        <v>7</v>
      </c>
      <c r="G58" s="4" t="n">
        <f aca="false">COUNTIFS(Positions!$B$2:$B$1061,A58,Positions!$F$2:$F$1061,B58,Positions!$E$2:$E$1061,"G")</f>
        <v>1</v>
      </c>
      <c r="H58" s="4" t="n">
        <f aca="false">COUNTIFS(Positions!$B$2:$B$1061,A58,Positions!$F$2:$F$1061,B58,Positions!$E$2:$E$1061,"C")</f>
        <v>2</v>
      </c>
      <c r="I58" s="3" t="n">
        <f aca="false">G58+H58</f>
        <v>3</v>
      </c>
      <c r="J58" s="6" t="n">
        <f aca="false">IF(F58=0,0,I58/F58)</f>
        <v>0.428571428571429</v>
      </c>
    </row>
    <row r="59" customFormat="false" ht="15" hidden="false" customHeight="false" outlineLevel="0" collapsed="false">
      <c r="A59" s="4" t="s">
        <v>48</v>
      </c>
      <c r="B59" s="4" t="s">
        <v>115</v>
      </c>
      <c r="C59" s="4" t="s">
        <v>221</v>
      </c>
      <c r="D59" s="4" t="s">
        <v>295</v>
      </c>
      <c r="E59" s="4" t="s">
        <v>296</v>
      </c>
      <c r="F59" s="4" t="n">
        <f aca="false">COUNTIFS(Positions!$B$2:$B$1061,A59,Positions!$F$2:$F$1061,B59)</f>
        <v>13</v>
      </c>
      <c r="G59" s="4" t="n">
        <f aca="false">COUNTIFS(Positions!$B$2:$B$1061,A59,Positions!$F$2:$F$1061,B59,Positions!$E$2:$E$1061,"G")</f>
        <v>2</v>
      </c>
      <c r="H59" s="4" t="n">
        <f aca="false">COUNTIFS(Positions!$B$2:$B$1061,A59,Positions!$F$2:$F$1061,B59,Positions!$E$2:$E$1061,"C")</f>
        <v>2</v>
      </c>
      <c r="I59" s="3" t="n">
        <f aca="false">G59+H59</f>
        <v>4</v>
      </c>
      <c r="J59" s="6" t="n">
        <f aca="false">IF(F59=0,0,I59/F59)</f>
        <v>0.307692307692308</v>
      </c>
    </row>
    <row r="60" customFormat="false" ht="15" hidden="false" customHeight="false" outlineLevel="0" collapsed="false">
      <c r="A60" s="4" t="s">
        <v>48</v>
      </c>
      <c r="B60" s="4" t="s">
        <v>132</v>
      </c>
      <c r="C60" s="4" t="s">
        <v>224</v>
      </c>
      <c r="D60" s="4" t="s">
        <v>297</v>
      </c>
      <c r="E60" s="4" t="s">
        <v>298</v>
      </c>
      <c r="F60" s="4" t="n">
        <f aca="false">COUNTIFS(Positions!$B$2:$B$1061,A60,Positions!$F$2:$F$1061,B60)</f>
        <v>7</v>
      </c>
      <c r="G60" s="4" t="n">
        <f aca="false">COUNTIFS(Positions!$B$2:$B$1061,A60,Positions!$F$2:$F$1061,B60,Positions!$E$2:$E$1061,"G")</f>
        <v>1</v>
      </c>
      <c r="H60" s="4" t="n">
        <f aca="false">COUNTIFS(Positions!$B$2:$B$1061,A60,Positions!$F$2:$F$1061,B60,Positions!$E$2:$E$1061,"C")</f>
        <v>3</v>
      </c>
      <c r="I60" s="3" t="n">
        <f aca="false">G60+H60</f>
        <v>4</v>
      </c>
      <c r="J60" s="6" t="n">
        <f aca="false">IF(F60=0,0,I60/F60)</f>
        <v>0.571428571428571</v>
      </c>
    </row>
    <row r="61" customFormat="false" ht="15" hidden="false" customHeight="false" outlineLevel="0" collapsed="false">
      <c r="A61" s="7" t="s">
        <v>48</v>
      </c>
      <c r="B61" s="7" t="s">
        <v>227</v>
      </c>
      <c r="C61" s="7" t="s">
        <v>228</v>
      </c>
      <c r="D61" s="7" t="s">
        <v>239</v>
      </c>
      <c r="E61" s="7" t="s">
        <v>240</v>
      </c>
      <c r="F61" s="7" t="n">
        <f aca="false">COUNTIFS(Positions!$B$2:$B$1061,A61,Positions!$F$2:$F$1061,"Position 8")+COUNTIFS(Positions!$B$2:$B$1061,A61,Positions!$F$2:$F$1061,"Position 9")+COUNTIFS(Positions!$B$2:$B$1061,A61,Positions!$F$2:$F$1061,"Position 26")</f>
        <v>3</v>
      </c>
      <c r="G61" s="7" t="n">
        <f aca="false">COUNTIFS(Positions!$B$2:$B$1061,A61,Positions!$F$2:$F$1061,"Position 8",Positions!$E$2:$E$1061,"G")+COUNTIFS(Positions!$B$2:$B$1061,A61,Positions!$F$2:$F$1061,"Position 9",Positions!$E$2:$E$1061,"G")+COUNTIFS(Positions!$B$2:$B$1061,A61,Positions!$F$2:$F$1061,"Position 26",Positions!$E$2:$E$1061,"G")</f>
        <v>0</v>
      </c>
      <c r="H61" s="7" t="n">
        <f aca="false">COUNTIFS(Positions!$B$2:$B$1061,A61,Positions!$F$2:$F$1061,"Position 8",Positions!$E$2:$E$1061,"C")+COUNTIFS(Positions!$B$2:$B$1061,A61,Positions!$F$2:$F$1061,"Position 9",Positions!$E$2:$E$1061,"C")+COUNTIFS(Positions!$B$2:$B$1061,A61,Positions!$F$2:$F$1061,"Position 26",Positions!$E$2:$E$1061,"C")</f>
        <v>0</v>
      </c>
      <c r="I61" s="8" t="n">
        <f aca="false">G61+H61</f>
        <v>0</v>
      </c>
      <c r="J61" s="25" t="n">
        <f aca="false">IF(F61=0,0,I61/F61)</f>
        <v>0</v>
      </c>
    </row>
    <row r="62" customFormat="false" ht="15" hidden="false" customHeight="false" outlineLevel="0" collapsed="false">
      <c r="A62" s="4" t="s">
        <v>49</v>
      </c>
      <c r="B62" s="4" t="s">
        <v>80</v>
      </c>
      <c r="C62" s="4" t="s">
        <v>215</v>
      </c>
      <c r="D62" s="4" t="s">
        <v>215</v>
      </c>
      <c r="E62" s="4" t="s">
        <v>299</v>
      </c>
      <c r="F62" s="4" t="n">
        <f aca="false">COUNTIFS(Positions!$B$2:$B$1061,A62,Positions!$F$2:$F$1061,B62)</f>
        <v>8</v>
      </c>
      <c r="G62" s="4" t="n">
        <f aca="false">COUNTIFS(Positions!$B$2:$B$1061,A62,Positions!$F$2:$F$1061,B62,Positions!$E$2:$E$1061,"G")</f>
        <v>2</v>
      </c>
      <c r="H62" s="4" t="n">
        <f aca="false">COUNTIFS(Positions!$B$2:$B$1061,A62,Positions!$F$2:$F$1061,B62,Positions!$E$2:$E$1061,"C")</f>
        <v>0</v>
      </c>
      <c r="I62" s="3" t="n">
        <f aca="false">G62+H62</f>
        <v>2</v>
      </c>
      <c r="J62" s="6" t="n">
        <f aca="false">IF(F62=0,0,I62/F62)</f>
        <v>0.25</v>
      </c>
    </row>
    <row r="63" customFormat="false" ht="15" hidden="false" customHeight="false" outlineLevel="0" collapsed="false">
      <c r="A63" s="4" t="s">
        <v>49</v>
      </c>
      <c r="B63" s="4" t="s">
        <v>102</v>
      </c>
      <c r="C63" s="4" t="s">
        <v>218</v>
      </c>
      <c r="D63" s="4" t="s">
        <v>218</v>
      </c>
      <c r="E63" s="4" t="s">
        <v>300</v>
      </c>
      <c r="F63" s="4" t="n">
        <f aca="false">COUNTIFS(Positions!$B$2:$B$1061,A63,Positions!$F$2:$F$1061,B63)</f>
        <v>7</v>
      </c>
      <c r="G63" s="4" t="n">
        <f aca="false">COUNTIFS(Positions!$B$2:$B$1061,A63,Positions!$F$2:$F$1061,B63,Positions!$E$2:$E$1061,"G")</f>
        <v>0</v>
      </c>
      <c r="H63" s="4" t="n">
        <f aca="false">COUNTIFS(Positions!$B$2:$B$1061,A63,Positions!$F$2:$F$1061,B63,Positions!$E$2:$E$1061,"C")</f>
        <v>2</v>
      </c>
      <c r="I63" s="3" t="n">
        <f aca="false">G63+H63</f>
        <v>2</v>
      </c>
      <c r="J63" s="6" t="n">
        <f aca="false">IF(F63=0,0,I63/F63)</f>
        <v>0.285714285714286</v>
      </c>
    </row>
    <row r="64" customFormat="false" ht="15" hidden="false" customHeight="false" outlineLevel="0" collapsed="false">
      <c r="A64" s="4" t="s">
        <v>49</v>
      </c>
      <c r="B64" s="4" t="s">
        <v>115</v>
      </c>
      <c r="C64" s="4" t="s">
        <v>221</v>
      </c>
      <c r="D64" s="4" t="s">
        <v>301</v>
      </c>
      <c r="E64" s="4" t="s">
        <v>302</v>
      </c>
      <c r="F64" s="4" t="n">
        <f aca="false">COUNTIFS(Positions!$B$2:$B$1061,A64,Positions!$F$2:$F$1061,B64)</f>
        <v>8</v>
      </c>
      <c r="G64" s="4" t="n">
        <f aca="false">COUNTIFS(Positions!$B$2:$B$1061,A64,Positions!$F$2:$F$1061,B64,Positions!$E$2:$E$1061,"G")</f>
        <v>1</v>
      </c>
      <c r="H64" s="4" t="n">
        <f aca="false">COUNTIFS(Positions!$B$2:$B$1061,A64,Positions!$F$2:$F$1061,B64,Positions!$E$2:$E$1061,"C")</f>
        <v>1</v>
      </c>
      <c r="I64" s="3" t="n">
        <f aca="false">G64+H64</f>
        <v>2</v>
      </c>
      <c r="J64" s="6" t="n">
        <f aca="false">IF(F64=0,0,I64/F64)</f>
        <v>0.25</v>
      </c>
    </row>
    <row r="65" customFormat="false" ht="15" hidden="false" customHeight="false" outlineLevel="0" collapsed="false">
      <c r="A65" s="4" t="s">
        <v>49</v>
      </c>
      <c r="B65" s="4" t="s">
        <v>132</v>
      </c>
      <c r="C65" s="4" t="s">
        <v>224</v>
      </c>
      <c r="D65" s="4" t="s">
        <v>303</v>
      </c>
      <c r="E65" s="4" t="s">
        <v>304</v>
      </c>
      <c r="F65" s="4" t="n">
        <f aca="false">COUNTIFS(Positions!$B$2:$B$1061,A65,Positions!$F$2:$F$1061,B65)</f>
        <v>7</v>
      </c>
      <c r="G65" s="4" t="n">
        <f aca="false">COUNTIFS(Positions!$B$2:$B$1061,A65,Positions!$F$2:$F$1061,B65,Positions!$E$2:$E$1061,"G")</f>
        <v>0</v>
      </c>
      <c r="H65" s="4" t="n">
        <f aca="false">COUNTIFS(Positions!$B$2:$B$1061,A65,Positions!$F$2:$F$1061,B65,Positions!$E$2:$E$1061,"C")</f>
        <v>2</v>
      </c>
      <c r="I65" s="3" t="n">
        <f aca="false">G65+H65</f>
        <v>2</v>
      </c>
      <c r="J65" s="6" t="n">
        <f aca="false">IF(F65=0,0,I65/F65)</f>
        <v>0.285714285714286</v>
      </c>
    </row>
    <row r="66" customFormat="false" ht="15" hidden="false" customHeight="false" outlineLevel="0" collapsed="false">
      <c r="A66" s="7" t="s">
        <v>49</v>
      </c>
      <c r="B66" s="7" t="s">
        <v>227</v>
      </c>
      <c r="C66" s="7" t="s">
        <v>228</v>
      </c>
      <c r="D66" s="7" t="s">
        <v>228</v>
      </c>
      <c r="E66" s="7" t="s">
        <v>286</v>
      </c>
      <c r="F66" s="7" t="n">
        <f aca="false">COUNTIFS(Positions!$B$2:$B$1061,A66,Positions!$F$2:$F$1061,"Position 8")+COUNTIFS(Positions!$B$2:$B$1061,A66,Positions!$F$2:$F$1061,"Position 9")+COUNTIFS(Positions!$B$2:$B$1061,A66,Positions!$F$2:$F$1061,"Position 26")</f>
        <v>3</v>
      </c>
      <c r="G66" s="7" t="n">
        <f aca="false">COUNTIFS(Positions!$B$2:$B$1061,A66,Positions!$F$2:$F$1061,"Position 8",Positions!$E$2:$E$1061,"G")+COUNTIFS(Positions!$B$2:$B$1061,A66,Positions!$F$2:$F$1061,"Position 9",Positions!$E$2:$E$1061,"G")+COUNTIFS(Positions!$B$2:$B$1061,A66,Positions!$F$2:$F$1061,"Position 26",Positions!$E$2:$E$1061,"G")</f>
        <v>0</v>
      </c>
      <c r="H66" s="7" t="n">
        <f aca="false">COUNTIFS(Positions!$B$2:$B$1061,A66,Positions!$F$2:$F$1061,"Position 8",Positions!$E$2:$E$1061,"C")+COUNTIFS(Positions!$B$2:$B$1061,A66,Positions!$F$2:$F$1061,"Position 9",Positions!$E$2:$E$1061,"C")+COUNTIFS(Positions!$B$2:$B$1061,A66,Positions!$F$2:$F$1061,"Position 26",Positions!$E$2:$E$1061,"C")</f>
        <v>0</v>
      </c>
      <c r="I66" s="8" t="n">
        <f aca="false">G66+H66</f>
        <v>0</v>
      </c>
      <c r="J66" s="25" t="n">
        <f aca="false">IF(F66=0,0,I66/F66)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6" t="s">
        <v>305</v>
      </c>
    </row>
    <row r="2" customFormat="false" ht="23.85" hidden="false" customHeight="false" outlineLevel="0" collapsed="false">
      <c r="A2" s="27" t="s">
        <v>306</v>
      </c>
    </row>
    <row r="3" customFormat="false" ht="23.85" hidden="false" customHeight="false" outlineLevel="0" collapsed="false">
      <c r="A3" s="27" t="s">
        <v>307</v>
      </c>
    </row>
    <row r="4" customFormat="false" ht="23.85" hidden="false" customHeight="false" outlineLevel="0" collapsed="false">
      <c r="A4" s="27" t="s">
        <v>308</v>
      </c>
    </row>
    <row r="5" customFormat="false" ht="35.05" hidden="false" customHeight="false" outlineLevel="0" collapsed="false">
      <c r="A5" s="27" t="s">
        <v>309</v>
      </c>
    </row>
    <row r="6" customFormat="false" ht="15" hidden="false" customHeight="false" outlineLevel="0" collapsed="false">
      <c r="A6" s="27" t="s">
        <v>310</v>
      </c>
    </row>
    <row r="7" customFormat="false" ht="35.05" hidden="false" customHeight="false" outlineLevel="0" collapsed="false">
      <c r="A7" s="27" t="s">
        <v>311</v>
      </c>
    </row>
    <row r="8" customFormat="false" ht="35.05" hidden="false" customHeight="false" outlineLevel="0" collapsed="false">
      <c r="A8" s="27" t="s">
        <v>312</v>
      </c>
    </row>
    <row r="9" customFormat="false" ht="15" hidden="false" customHeight="false" outlineLevel="0" collapsed="false">
      <c r="A9" s="27" t="s">
        <v>313</v>
      </c>
    </row>
    <row r="10" customFormat="false" ht="35.05" hidden="false" customHeight="false" outlineLevel="0" collapsed="false">
      <c r="A10" s="27" t="s">
        <v>314</v>
      </c>
    </row>
    <row r="11" customFormat="false" ht="15" hidden="false" customHeight="false" outlineLevel="0" collapsed="false">
      <c r="A11" s="27" t="s">
        <v>315</v>
      </c>
    </row>
    <row r="12" customFormat="false" ht="23.85" hidden="false" customHeight="false" outlineLevel="0" collapsed="false">
      <c r="A12" s="27" t="s">
        <v>316</v>
      </c>
    </row>
    <row r="13" customFormat="false" ht="23.85" hidden="false" customHeight="false" outlineLevel="0" collapsed="false">
      <c r="A13" s="27" t="s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2026-10-28T15:40:49Z</dcterms:created>
  <dc:creator>openpyxl</dc:creator>
  <dc:description/>
  <dc:language>en-US</dc:language>
  <cp:lastModifiedBy/>
  <dcterms:modified xsi:type="dcterms:W3CDTF">2026-10-28T15:40:50Z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