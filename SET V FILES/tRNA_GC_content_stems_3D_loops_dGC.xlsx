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GC_Summary" sheetId="1" r:id="rId1"/>
    <sheet name="Positions" sheetId="2" r:id="rId2"/>
    <sheet name="Stems_3D_BP" sheetId="3" r:id="rId3"/>
    <sheet name="Loops" sheetId="4" r:id="rId4"/>
    <sheet name="Notes" sheetId="5" r:id="rId5"/>
  </sheets>
  <definedNames>
    <definedName name="_xlnm._FilterDatabase" localSheetId="1" hidden="1">Positions!$A$1:$F$721</definedName>
    <definedName name="_xlnm._FilterDatabase" localSheetId="2" hidden="1">Stems_3D_BP!$A$1:$K$253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6" i="4"/>
  <c r="I46" s="1"/>
  <c r="G46"/>
  <c r="F46"/>
  <c r="I45"/>
  <c r="H45"/>
  <c r="G45"/>
  <c r="F45"/>
  <c r="J44"/>
  <c r="H44"/>
  <c r="G44"/>
  <c r="I44" s="1"/>
  <c r="F44"/>
  <c r="H43"/>
  <c r="G43"/>
  <c r="I43" s="1"/>
  <c r="R12" i="1" s="1"/>
  <c r="F43" i="4"/>
  <c r="H42"/>
  <c r="I42" s="1"/>
  <c r="G42"/>
  <c r="F42"/>
  <c r="I41"/>
  <c r="H41"/>
  <c r="G41"/>
  <c r="F41"/>
  <c r="J41" s="1"/>
  <c r="J40"/>
  <c r="H40"/>
  <c r="G40"/>
  <c r="I40" s="1"/>
  <c r="F40"/>
  <c r="H39"/>
  <c r="G39"/>
  <c r="F39"/>
  <c r="H38"/>
  <c r="I38" s="1"/>
  <c r="R11" i="1" s="1"/>
  <c r="G38" i="4"/>
  <c r="F38"/>
  <c r="I37"/>
  <c r="H37"/>
  <c r="G37"/>
  <c r="F37"/>
  <c r="J37" s="1"/>
  <c r="J36"/>
  <c r="H36"/>
  <c r="G36"/>
  <c r="I36" s="1"/>
  <c r="F36"/>
  <c r="H35"/>
  <c r="G35"/>
  <c r="I35" s="1"/>
  <c r="T10" i="1" s="1"/>
  <c r="F35" i="4"/>
  <c r="H34"/>
  <c r="I34" s="1"/>
  <c r="G34"/>
  <c r="F34"/>
  <c r="I33"/>
  <c r="H33"/>
  <c r="G33"/>
  <c r="F33"/>
  <c r="J33" s="1"/>
  <c r="J32"/>
  <c r="H32"/>
  <c r="G32"/>
  <c r="I32" s="1"/>
  <c r="F32"/>
  <c r="H31"/>
  <c r="G31"/>
  <c r="F31"/>
  <c r="H30"/>
  <c r="I30" s="1"/>
  <c r="T9" i="1" s="1"/>
  <c r="G30" i="4"/>
  <c r="F30"/>
  <c r="I29"/>
  <c r="H29"/>
  <c r="G29"/>
  <c r="F29"/>
  <c r="J29" s="1"/>
  <c r="J28"/>
  <c r="H28"/>
  <c r="G28"/>
  <c r="I28" s="1"/>
  <c r="F28"/>
  <c r="H27"/>
  <c r="G27"/>
  <c r="I27" s="1"/>
  <c r="Q9" i="1" s="1"/>
  <c r="V9" s="1"/>
  <c r="F27" i="4"/>
  <c r="H26"/>
  <c r="I26" s="1"/>
  <c r="G26"/>
  <c r="F26"/>
  <c r="I25"/>
  <c r="H25"/>
  <c r="G25"/>
  <c r="F25"/>
  <c r="J25" s="1"/>
  <c r="J24"/>
  <c r="H24"/>
  <c r="G24"/>
  <c r="I24" s="1"/>
  <c r="F24"/>
  <c r="H23"/>
  <c r="G23"/>
  <c r="F23"/>
  <c r="H22"/>
  <c r="I22" s="1"/>
  <c r="G22"/>
  <c r="F22"/>
  <c r="I21"/>
  <c r="H21"/>
  <c r="G21"/>
  <c r="F21"/>
  <c r="J21" s="1"/>
  <c r="H20"/>
  <c r="G20"/>
  <c r="I20" s="1"/>
  <c r="F20"/>
  <c r="J20" s="1"/>
  <c r="H19"/>
  <c r="G19"/>
  <c r="I19" s="1"/>
  <c r="F19"/>
  <c r="I18"/>
  <c r="H18"/>
  <c r="G18"/>
  <c r="F18"/>
  <c r="I17"/>
  <c r="H17"/>
  <c r="G17"/>
  <c r="F17"/>
  <c r="J17" s="1"/>
  <c r="H16"/>
  <c r="G16"/>
  <c r="I16" s="1"/>
  <c r="F16"/>
  <c r="J16" s="1"/>
  <c r="H15"/>
  <c r="G15"/>
  <c r="I15" s="1"/>
  <c r="T6" i="1" s="1"/>
  <c r="F15" i="4"/>
  <c r="I14"/>
  <c r="H14"/>
  <c r="G14"/>
  <c r="F14"/>
  <c r="I13"/>
  <c r="H13"/>
  <c r="G13"/>
  <c r="F13"/>
  <c r="J13" s="1"/>
  <c r="H12"/>
  <c r="G12"/>
  <c r="I12" s="1"/>
  <c r="F12"/>
  <c r="J12" s="1"/>
  <c r="H11"/>
  <c r="G11"/>
  <c r="I11" s="1"/>
  <c r="F11"/>
  <c r="I10"/>
  <c r="H10"/>
  <c r="G10"/>
  <c r="F10"/>
  <c r="I9"/>
  <c r="H9"/>
  <c r="G9"/>
  <c r="F9"/>
  <c r="J9" s="1"/>
  <c r="H8"/>
  <c r="G8"/>
  <c r="I8" s="1"/>
  <c r="F8"/>
  <c r="J8" s="1"/>
  <c r="H7"/>
  <c r="G7"/>
  <c r="I7" s="1"/>
  <c r="F7"/>
  <c r="I6"/>
  <c r="H6"/>
  <c r="G6"/>
  <c r="F6"/>
  <c r="I5"/>
  <c r="H5"/>
  <c r="G5"/>
  <c r="F5"/>
  <c r="J5" s="1"/>
  <c r="H4"/>
  <c r="G4"/>
  <c r="I4" s="1"/>
  <c r="F4"/>
  <c r="J4" s="1"/>
  <c r="H3"/>
  <c r="G3"/>
  <c r="I3" s="1"/>
  <c r="F3"/>
  <c r="I2"/>
  <c r="H2"/>
  <c r="G2"/>
  <c r="F2"/>
  <c r="A721" i="2"/>
  <c r="A720"/>
  <c r="A719"/>
  <c r="A718"/>
  <c r="A717"/>
  <c r="A716"/>
  <c r="A715"/>
  <c r="A714"/>
  <c r="A713"/>
  <c r="A712"/>
  <c r="A711"/>
  <c r="A710"/>
  <c r="A709"/>
  <c r="A708"/>
  <c r="A707"/>
  <c r="A706"/>
  <c r="A705"/>
  <c r="A704"/>
  <c r="A703"/>
  <c r="A702"/>
  <c r="A701"/>
  <c r="A700"/>
  <c r="A699"/>
  <c r="A698"/>
  <c r="A697"/>
  <c r="A696"/>
  <c r="A695"/>
  <c r="A694"/>
  <c r="A693"/>
  <c r="A692"/>
  <c r="A691"/>
  <c r="A690"/>
  <c r="A689"/>
  <c r="A688"/>
  <c r="A687"/>
  <c r="A686"/>
  <c r="A685"/>
  <c r="A684"/>
  <c r="A683"/>
  <c r="A682"/>
  <c r="A681"/>
  <c r="A680"/>
  <c r="A679"/>
  <c r="A678"/>
  <c r="A677"/>
  <c r="A676"/>
  <c r="A675"/>
  <c r="A674"/>
  <c r="A673"/>
  <c r="A672"/>
  <c r="A671"/>
  <c r="A670"/>
  <c r="A669"/>
  <c r="A668"/>
  <c r="A667"/>
  <c r="A666"/>
  <c r="A665"/>
  <c r="A664"/>
  <c r="A663"/>
  <c r="A662"/>
  <c r="A661"/>
  <c r="A660"/>
  <c r="A659"/>
  <c r="A658"/>
  <c r="A657"/>
  <c r="A656"/>
  <c r="A655"/>
  <c r="A654"/>
  <c r="A653"/>
  <c r="A652"/>
  <c r="A651"/>
  <c r="A650"/>
  <c r="A649"/>
  <c r="A648"/>
  <c r="A647"/>
  <c r="A646"/>
  <c r="A645"/>
  <c r="A644"/>
  <c r="A643"/>
  <c r="A642"/>
  <c r="A641"/>
  <c r="A640"/>
  <c r="A639"/>
  <c r="A638"/>
  <c r="A637"/>
  <c r="A636"/>
  <c r="A635"/>
  <c r="A634"/>
  <c r="A633"/>
  <c r="A632"/>
  <c r="A631"/>
  <c r="A630"/>
  <c r="A629"/>
  <c r="A628"/>
  <c r="A627"/>
  <c r="A626"/>
  <c r="A625"/>
  <c r="A624"/>
  <c r="A623"/>
  <c r="A622"/>
  <c r="A621"/>
  <c r="A620"/>
  <c r="A619"/>
  <c r="A618"/>
  <c r="A617"/>
  <c r="A616"/>
  <c r="A615"/>
  <c r="A614"/>
  <c r="A613"/>
  <c r="A612"/>
  <c r="A611"/>
  <c r="A610"/>
  <c r="A609"/>
  <c r="A608"/>
  <c r="A607"/>
  <c r="A606"/>
  <c r="A605"/>
  <c r="A604"/>
  <c r="A603"/>
  <c r="A602"/>
  <c r="A601"/>
  <c r="A600"/>
  <c r="A599"/>
  <c r="A598"/>
  <c r="A597"/>
  <c r="A596"/>
  <c r="A595"/>
  <c r="A594"/>
  <c r="A593"/>
  <c r="A592"/>
  <c r="A591"/>
  <c r="A590"/>
  <c r="A589"/>
  <c r="A588"/>
  <c r="A587"/>
  <c r="A586"/>
  <c r="A585"/>
  <c r="A584"/>
  <c r="A583"/>
  <c r="A582"/>
  <c r="A581"/>
  <c r="A580"/>
  <c r="A579"/>
  <c r="A578"/>
  <c r="A577"/>
  <c r="A576"/>
  <c r="A575"/>
  <c r="A574"/>
  <c r="A573"/>
  <c r="A572"/>
  <c r="A571"/>
  <c r="A570"/>
  <c r="A569"/>
  <c r="A568"/>
  <c r="A567"/>
  <c r="A566"/>
  <c r="A565"/>
  <c r="A564"/>
  <c r="A563"/>
  <c r="A562"/>
  <c r="A561"/>
  <c r="A560"/>
  <c r="A559"/>
  <c r="A558"/>
  <c r="A557"/>
  <c r="A556"/>
  <c r="A555"/>
  <c r="A554"/>
  <c r="A553"/>
  <c r="A552"/>
  <c r="A551"/>
  <c r="A550"/>
  <c r="A549"/>
  <c r="A548"/>
  <c r="A547"/>
  <c r="A546"/>
  <c r="A545"/>
  <c r="A544"/>
  <c r="A543"/>
  <c r="A542"/>
  <c r="A541"/>
  <c r="A540"/>
  <c r="A539"/>
  <c r="A538"/>
  <c r="A537"/>
  <c r="A536"/>
  <c r="A535"/>
  <c r="A534"/>
  <c r="A533"/>
  <c r="A532"/>
  <c r="A531"/>
  <c r="A530"/>
  <c r="A529"/>
  <c r="A528"/>
  <c r="A527"/>
  <c r="A526"/>
  <c r="A525"/>
  <c r="A524"/>
  <c r="A523"/>
  <c r="A522"/>
  <c r="A521"/>
  <c r="A520"/>
  <c r="A519"/>
  <c r="A518"/>
  <c r="A517"/>
  <c r="A516"/>
  <c r="A515"/>
  <c r="A514"/>
  <c r="A513"/>
  <c r="A512"/>
  <c r="A511"/>
  <c r="A510"/>
  <c r="A509"/>
  <c r="A508"/>
  <c r="A507"/>
  <c r="A506"/>
  <c r="A505"/>
  <c r="A504"/>
  <c r="A503"/>
  <c r="A502"/>
  <c r="A501"/>
  <c r="A500"/>
  <c r="A499"/>
  <c r="A498"/>
  <c r="A497"/>
  <c r="A496"/>
  <c r="A495"/>
  <c r="A494"/>
  <c r="A493"/>
  <c r="A492"/>
  <c r="A491"/>
  <c r="A490"/>
  <c r="A489"/>
  <c r="A488"/>
  <c r="A487"/>
  <c r="A486"/>
  <c r="A485"/>
  <c r="A484"/>
  <c r="A483"/>
  <c r="A482"/>
  <c r="A481"/>
  <c r="A480"/>
  <c r="A479"/>
  <c r="A478"/>
  <c r="A477"/>
  <c r="A476"/>
  <c r="A475"/>
  <c r="A474"/>
  <c r="A473"/>
  <c r="A472"/>
  <c r="A471"/>
  <c r="A470"/>
  <c r="A469"/>
  <c r="A468"/>
  <c r="A467"/>
  <c r="A466"/>
  <c r="A465"/>
  <c r="A464"/>
  <c r="A463"/>
  <c r="A462"/>
  <c r="A461"/>
  <c r="A460"/>
  <c r="A459"/>
  <c r="A458"/>
  <c r="A457"/>
  <c r="A456"/>
  <c r="A455"/>
  <c r="A454"/>
  <c r="A453"/>
  <c r="A452"/>
  <c r="A451"/>
  <c r="A450"/>
  <c r="A449"/>
  <c r="A448"/>
  <c r="A447"/>
  <c r="A446"/>
  <c r="A445"/>
  <c r="A444"/>
  <c r="A443"/>
  <c r="A442"/>
  <c r="A441"/>
  <c r="A440"/>
  <c r="A439"/>
  <c r="A438"/>
  <c r="A437"/>
  <c r="A436"/>
  <c r="A435"/>
  <c r="A434"/>
  <c r="A433"/>
  <c r="A432"/>
  <c r="A431"/>
  <c r="A430"/>
  <c r="A429"/>
  <c r="A428"/>
  <c r="A427"/>
  <c r="A426"/>
  <c r="A425"/>
  <c r="A424"/>
  <c r="A423"/>
  <c r="A422"/>
  <c r="A421"/>
  <c r="A420"/>
  <c r="A419"/>
  <c r="A418"/>
  <c r="A417"/>
  <c r="A416"/>
  <c r="A415"/>
  <c r="A414"/>
  <c r="A413"/>
  <c r="A412"/>
  <c r="A411"/>
  <c r="A410"/>
  <c r="A409"/>
  <c r="A408"/>
  <c r="A407"/>
  <c r="A406"/>
  <c r="A405"/>
  <c r="A404"/>
  <c r="A403"/>
  <c r="A402"/>
  <c r="A401"/>
  <c r="A400"/>
  <c r="A399"/>
  <c r="A398"/>
  <c r="A397"/>
  <c r="A396"/>
  <c r="A395"/>
  <c r="A394"/>
  <c r="A393"/>
  <c r="A392"/>
  <c r="A391"/>
  <c r="A390"/>
  <c r="A389"/>
  <c r="A388"/>
  <c r="A387"/>
  <c r="A386"/>
  <c r="A385"/>
  <c r="A384"/>
  <c r="A383"/>
  <c r="A382"/>
  <c r="A381"/>
  <c r="A380"/>
  <c r="A379"/>
  <c r="A378"/>
  <c r="A377"/>
  <c r="A376"/>
  <c r="A375"/>
  <c r="A374"/>
  <c r="A373"/>
  <c r="A372"/>
  <c r="A371"/>
  <c r="A370"/>
  <c r="A369"/>
  <c r="A368"/>
  <c r="A367"/>
  <c r="A366"/>
  <c r="A365"/>
  <c r="A364"/>
  <c r="A363"/>
  <c r="A362"/>
  <c r="A361"/>
  <c r="A360"/>
  <c r="A359"/>
  <c r="A358"/>
  <c r="A357"/>
  <c r="A356"/>
  <c r="A355"/>
  <c r="A354"/>
  <c r="A353"/>
  <c r="A352"/>
  <c r="A351"/>
  <c r="A350"/>
  <c r="A349"/>
  <c r="A348"/>
  <c r="A347"/>
  <c r="A346"/>
  <c r="A345"/>
  <c r="A344"/>
  <c r="A343"/>
  <c r="A342"/>
  <c r="A341"/>
  <c r="A340"/>
  <c r="A339"/>
  <c r="A338"/>
  <c r="A337"/>
  <c r="A336"/>
  <c r="A335"/>
  <c r="A334"/>
  <c r="A333"/>
  <c r="A332"/>
  <c r="A331"/>
  <c r="A330"/>
  <c r="A329"/>
  <c r="A328"/>
  <c r="A327"/>
  <c r="A326"/>
  <c r="A325"/>
  <c r="A324"/>
  <c r="A323"/>
  <c r="A322"/>
  <c r="A321"/>
  <c r="A320"/>
  <c r="A319"/>
  <c r="A318"/>
  <c r="A317"/>
  <c r="A316"/>
  <c r="A315"/>
  <c r="A314"/>
  <c r="A313"/>
  <c r="A312"/>
  <c r="A311"/>
  <c r="A310"/>
  <c r="A309"/>
  <c r="A308"/>
  <c r="A307"/>
  <c r="A306"/>
  <c r="A305"/>
  <c r="A304"/>
  <c r="A303"/>
  <c r="A302"/>
  <c r="A301"/>
  <c r="A300"/>
  <c r="A299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8"/>
  <c r="A277"/>
  <c r="A276"/>
  <c r="A275"/>
  <c r="A274"/>
  <c r="A273"/>
  <c r="A272"/>
  <c r="A271"/>
  <c r="A270"/>
  <c r="A269"/>
  <c r="A268"/>
  <c r="A267"/>
  <c r="A266"/>
  <c r="A265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  <c r="G250" i="3" s="1"/>
  <c r="Y12" i="1"/>
  <c r="U12"/>
  <c r="T12"/>
  <c r="S12"/>
  <c r="Q12"/>
  <c r="E12"/>
  <c r="F12" s="1"/>
  <c r="D12"/>
  <c r="C12"/>
  <c r="B12"/>
  <c r="AF12" s="1"/>
  <c r="AF11"/>
  <c r="X11"/>
  <c r="U11"/>
  <c r="T11"/>
  <c r="Q11"/>
  <c r="D11"/>
  <c r="C11"/>
  <c r="E11" s="1"/>
  <c r="F11" s="1"/>
  <c r="B11"/>
  <c r="U10"/>
  <c r="S10"/>
  <c r="R10"/>
  <c r="V10" s="1"/>
  <c r="Q10"/>
  <c r="D10"/>
  <c r="C10"/>
  <c r="E10" s="1"/>
  <c r="F10" s="1"/>
  <c r="B10"/>
  <c r="AF10" s="1"/>
  <c r="Z9"/>
  <c r="U9"/>
  <c r="S9"/>
  <c r="R9"/>
  <c r="E9"/>
  <c r="D9"/>
  <c r="C9"/>
  <c r="B9"/>
  <c r="F9" s="1"/>
  <c r="AF8"/>
  <c r="Y8"/>
  <c r="U8"/>
  <c r="T8"/>
  <c r="S8"/>
  <c r="Q8"/>
  <c r="E8"/>
  <c r="F8" s="1"/>
  <c r="D8"/>
  <c r="C8"/>
  <c r="B8"/>
  <c r="AF7"/>
  <c r="X7"/>
  <c r="U7"/>
  <c r="T7"/>
  <c r="S7"/>
  <c r="R7"/>
  <c r="Q7"/>
  <c r="V7" s="1"/>
  <c r="D7"/>
  <c r="C7"/>
  <c r="E7" s="1"/>
  <c r="F7" s="1"/>
  <c r="B7"/>
  <c r="U6"/>
  <c r="S6"/>
  <c r="R6"/>
  <c r="V6" s="1"/>
  <c r="Q6"/>
  <c r="D6"/>
  <c r="C6"/>
  <c r="E6" s="1"/>
  <c r="F6" s="1"/>
  <c r="B6"/>
  <c r="AF6" s="1"/>
  <c r="Z5"/>
  <c r="U5"/>
  <c r="T5"/>
  <c r="S5"/>
  <c r="R5"/>
  <c r="V5" s="1"/>
  <c r="Q5"/>
  <c r="E5"/>
  <c r="D5"/>
  <c r="C5"/>
  <c r="B5"/>
  <c r="F5" s="1"/>
  <c r="AF4"/>
  <c r="Y4"/>
  <c r="U4"/>
  <c r="U13" s="1"/>
  <c r="T4"/>
  <c r="S4"/>
  <c r="R4"/>
  <c r="Q4"/>
  <c r="V4" s="1"/>
  <c r="E4"/>
  <c r="F4" s="1"/>
  <c r="D4"/>
  <c r="C4"/>
  <c r="C13" s="1"/>
  <c r="B4"/>
  <c r="B13" s="1"/>
  <c r="W6" l="1"/>
  <c r="W4"/>
  <c r="W5"/>
  <c r="W10"/>
  <c r="W9"/>
  <c r="W7"/>
  <c r="F13"/>
  <c r="V12"/>
  <c r="Q13"/>
  <c r="F3" i="3"/>
  <c r="D6"/>
  <c r="F7"/>
  <c r="F9"/>
  <c r="D12"/>
  <c r="F13"/>
  <c r="D16"/>
  <c r="F17"/>
  <c r="D20"/>
  <c r="F21"/>
  <c r="D24"/>
  <c r="D26"/>
  <c r="F27"/>
  <c r="D30"/>
  <c r="F31"/>
  <c r="F33"/>
  <c r="D36"/>
  <c r="F37"/>
  <c r="D40"/>
  <c r="F41"/>
  <c r="E89"/>
  <c r="E97"/>
  <c r="E109"/>
  <c r="E113"/>
  <c r="E125"/>
  <c r="E129"/>
  <c r="E137"/>
  <c r="G142"/>
  <c r="G166"/>
  <c r="G174"/>
  <c r="G198"/>
  <c r="G230"/>
  <c r="T13" i="1"/>
  <c r="Z6"/>
  <c r="X8"/>
  <c r="Y9"/>
  <c r="E13"/>
  <c r="E7" i="3"/>
  <c r="E11"/>
  <c r="E15"/>
  <c r="E21"/>
  <c r="E25"/>
  <c r="E31"/>
  <c r="E35"/>
  <c r="E37"/>
  <c r="F43"/>
  <c r="F45"/>
  <c r="F47"/>
  <c r="F49"/>
  <c r="F50"/>
  <c r="F52"/>
  <c r="F54"/>
  <c r="F56"/>
  <c r="F58"/>
  <c r="F60"/>
  <c r="F62"/>
  <c r="F64"/>
  <c r="F67"/>
  <c r="F69"/>
  <c r="F71"/>
  <c r="F73"/>
  <c r="F75"/>
  <c r="F77"/>
  <c r="G79"/>
  <c r="D82"/>
  <c r="G87"/>
  <c r="D90"/>
  <c r="G95"/>
  <c r="D98"/>
  <c r="G103"/>
  <c r="D106"/>
  <c r="G111"/>
  <c r="D114"/>
  <c r="G119"/>
  <c r="D122"/>
  <c r="G127"/>
  <c r="D130"/>
  <c r="G135"/>
  <c r="G149"/>
  <c r="G157"/>
  <c r="G173"/>
  <c r="G197"/>
  <c r="G221"/>
  <c r="X5" i="1"/>
  <c r="AF5"/>
  <c r="Y6"/>
  <c r="Z7"/>
  <c r="AB7" s="1"/>
  <c r="X9"/>
  <c r="AF9"/>
  <c r="Y10"/>
  <c r="Z11"/>
  <c r="AB11" s="1"/>
  <c r="F2" i="3"/>
  <c r="D3"/>
  <c r="F4"/>
  <c r="D5"/>
  <c r="F6"/>
  <c r="D7"/>
  <c r="F8"/>
  <c r="D9"/>
  <c r="F10"/>
  <c r="D11"/>
  <c r="F12"/>
  <c r="D13"/>
  <c r="F14"/>
  <c r="D15"/>
  <c r="F16"/>
  <c r="D17"/>
  <c r="F18"/>
  <c r="D19"/>
  <c r="F20"/>
  <c r="D21"/>
  <c r="F22"/>
  <c r="D23"/>
  <c r="F24"/>
  <c r="D25"/>
  <c r="F26"/>
  <c r="D27"/>
  <c r="F28"/>
  <c r="D29"/>
  <c r="F30"/>
  <c r="D31"/>
  <c r="F32"/>
  <c r="D33"/>
  <c r="F34"/>
  <c r="D35"/>
  <c r="F36"/>
  <c r="D37"/>
  <c r="F38"/>
  <c r="D39"/>
  <c r="F40"/>
  <c r="D41"/>
  <c r="F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3"/>
  <c r="E87"/>
  <c r="E91"/>
  <c r="E95"/>
  <c r="E99"/>
  <c r="E103"/>
  <c r="E107"/>
  <c r="E111"/>
  <c r="E115"/>
  <c r="E119"/>
  <c r="E123"/>
  <c r="E127"/>
  <c r="E131"/>
  <c r="E135"/>
  <c r="G138"/>
  <c r="G146"/>
  <c r="G154"/>
  <c r="G162"/>
  <c r="G170"/>
  <c r="G178"/>
  <c r="G186"/>
  <c r="G194"/>
  <c r="G202"/>
  <c r="G210"/>
  <c r="G218"/>
  <c r="G226"/>
  <c r="G234"/>
  <c r="G242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G252"/>
  <c r="G248"/>
  <c r="G244"/>
  <c r="G240"/>
  <c r="G236"/>
  <c r="G232"/>
  <c r="G228"/>
  <c r="G224"/>
  <c r="G220"/>
  <c r="G216"/>
  <c r="G212"/>
  <c r="G208"/>
  <c r="G204"/>
  <c r="G200"/>
  <c r="G196"/>
  <c r="G192"/>
  <c r="G188"/>
  <c r="G184"/>
  <c r="G180"/>
  <c r="G176"/>
  <c r="G172"/>
  <c r="G168"/>
  <c r="G164"/>
  <c r="G160"/>
  <c r="G156"/>
  <c r="G152"/>
  <c r="G148"/>
  <c r="G144"/>
  <c r="G140"/>
  <c r="E136"/>
  <c r="E134"/>
  <c r="E132"/>
  <c r="E130"/>
  <c r="E128"/>
  <c r="E126"/>
  <c r="E124"/>
  <c r="E122"/>
  <c r="E120"/>
  <c r="E118"/>
  <c r="E116"/>
  <c r="E114"/>
  <c r="E112"/>
  <c r="E110"/>
  <c r="E108"/>
  <c r="E106"/>
  <c r="E104"/>
  <c r="E102"/>
  <c r="E100"/>
  <c r="E98"/>
  <c r="E96"/>
  <c r="E94"/>
  <c r="E92"/>
  <c r="E90"/>
  <c r="E88"/>
  <c r="E86"/>
  <c r="E84"/>
  <c r="E82"/>
  <c r="E80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G251"/>
  <c r="G247"/>
  <c r="G243"/>
  <c r="G239"/>
  <c r="G235"/>
  <c r="G231"/>
  <c r="G227"/>
  <c r="G223"/>
  <c r="G219"/>
  <c r="G215"/>
  <c r="G211"/>
  <c r="G207"/>
  <c r="G203"/>
  <c r="G199"/>
  <c r="G195"/>
  <c r="G191"/>
  <c r="G187"/>
  <c r="G183"/>
  <c r="G179"/>
  <c r="G175"/>
  <c r="G171"/>
  <c r="G167"/>
  <c r="G163"/>
  <c r="G159"/>
  <c r="G155"/>
  <c r="G151"/>
  <c r="G147"/>
  <c r="G143"/>
  <c r="G139"/>
  <c r="D137"/>
  <c r="G136"/>
  <c r="D135"/>
  <c r="G134"/>
  <c r="D133"/>
  <c r="G132"/>
  <c r="D131"/>
  <c r="G130"/>
  <c r="D129"/>
  <c r="G128"/>
  <c r="D127"/>
  <c r="G126"/>
  <c r="D125"/>
  <c r="G124"/>
  <c r="D123"/>
  <c r="G122"/>
  <c r="D121"/>
  <c r="G120"/>
  <c r="D119"/>
  <c r="G118"/>
  <c r="D117"/>
  <c r="G116"/>
  <c r="D115"/>
  <c r="G114"/>
  <c r="D113"/>
  <c r="G112"/>
  <c r="D111"/>
  <c r="G110"/>
  <c r="D109"/>
  <c r="G108"/>
  <c r="D107"/>
  <c r="G106"/>
  <c r="D105"/>
  <c r="G104"/>
  <c r="D103"/>
  <c r="G102"/>
  <c r="D101"/>
  <c r="G100"/>
  <c r="D99"/>
  <c r="G98"/>
  <c r="D97"/>
  <c r="G96"/>
  <c r="D95"/>
  <c r="G94"/>
  <c r="D93"/>
  <c r="G92"/>
  <c r="D91"/>
  <c r="G90"/>
  <c r="D89"/>
  <c r="G88"/>
  <c r="D87"/>
  <c r="G86"/>
  <c r="D85"/>
  <c r="G84"/>
  <c r="D83"/>
  <c r="G82"/>
  <c r="D81"/>
  <c r="G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2"/>
  <c r="D4"/>
  <c r="F5"/>
  <c r="D8"/>
  <c r="D10"/>
  <c r="F11"/>
  <c r="D14"/>
  <c r="F15"/>
  <c r="D18"/>
  <c r="F19"/>
  <c r="D22"/>
  <c r="F23"/>
  <c r="F25"/>
  <c r="D28"/>
  <c r="F29"/>
  <c r="D32"/>
  <c r="D34"/>
  <c r="F35"/>
  <c r="D38"/>
  <c r="F39"/>
  <c r="D42"/>
  <c r="E81"/>
  <c r="E85"/>
  <c r="E93"/>
  <c r="E101"/>
  <c r="E105"/>
  <c r="E117"/>
  <c r="E121"/>
  <c r="E133"/>
  <c r="G150"/>
  <c r="G158"/>
  <c r="G182"/>
  <c r="G190"/>
  <c r="G206"/>
  <c r="G214"/>
  <c r="G222"/>
  <c r="G238"/>
  <c r="G246"/>
  <c r="D13" i="1"/>
  <c r="X4"/>
  <c r="AF13"/>
  <c r="Y5"/>
  <c r="Z10"/>
  <c r="X12"/>
  <c r="E3" i="3"/>
  <c r="E5"/>
  <c r="E9"/>
  <c r="E13"/>
  <c r="E17"/>
  <c r="E19"/>
  <c r="E23"/>
  <c r="E27"/>
  <c r="E29"/>
  <c r="E33"/>
  <c r="E39"/>
  <c r="E41"/>
  <c r="F44"/>
  <c r="F46"/>
  <c r="F48"/>
  <c r="F51"/>
  <c r="F53"/>
  <c r="F55"/>
  <c r="F57"/>
  <c r="F59"/>
  <c r="F61"/>
  <c r="F63"/>
  <c r="F65"/>
  <c r="F66"/>
  <c r="F68"/>
  <c r="F70"/>
  <c r="F72"/>
  <c r="F74"/>
  <c r="F76"/>
  <c r="F78"/>
  <c r="G83"/>
  <c r="D86"/>
  <c r="G91"/>
  <c r="D94"/>
  <c r="G99"/>
  <c r="D102"/>
  <c r="G107"/>
  <c r="D110"/>
  <c r="G115"/>
  <c r="D118"/>
  <c r="G123"/>
  <c r="D126"/>
  <c r="G131"/>
  <c r="D134"/>
  <c r="G141"/>
  <c r="G165"/>
  <c r="G181"/>
  <c r="G189"/>
  <c r="G205"/>
  <c r="G213"/>
  <c r="G229"/>
  <c r="G237"/>
  <c r="G245"/>
  <c r="G253"/>
  <c r="Z4" i="1"/>
  <c r="X6"/>
  <c r="Y7"/>
  <c r="AA7" s="1"/>
  <c r="Z8"/>
  <c r="X10"/>
  <c r="Y11"/>
  <c r="AA11" s="1"/>
  <c r="AC11" s="1"/>
  <c r="AD11" s="1"/>
  <c r="Z12"/>
  <c r="E2" i="3"/>
  <c r="E4"/>
  <c r="E6"/>
  <c r="E8"/>
  <c r="E10"/>
  <c r="E12"/>
  <c r="E14"/>
  <c r="E16"/>
  <c r="E18"/>
  <c r="E20"/>
  <c r="E22"/>
  <c r="E24"/>
  <c r="E26"/>
  <c r="E28"/>
  <c r="E30"/>
  <c r="E32"/>
  <c r="E34"/>
  <c r="E36"/>
  <c r="E38"/>
  <c r="E40"/>
  <c r="E42"/>
  <c r="D80"/>
  <c r="G81"/>
  <c r="D84"/>
  <c r="G85"/>
  <c r="D88"/>
  <c r="G89"/>
  <c r="D92"/>
  <c r="G93"/>
  <c r="D96"/>
  <c r="G97"/>
  <c r="D100"/>
  <c r="G101"/>
  <c r="D104"/>
  <c r="G105"/>
  <c r="D108"/>
  <c r="G109"/>
  <c r="D112"/>
  <c r="G113"/>
  <c r="D116"/>
  <c r="G117"/>
  <c r="D120"/>
  <c r="G121"/>
  <c r="D124"/>
  <c r="G125"/>
  <c r="D128"/>
  <c r="G129"/>
  <c r="D132"/>
  <c r="G133"/>
  <c r="D136"/>
  <c r="G137"/>
  <c r="G145"/>
  <c r="G153"/>
  <c r="G161"/>
  <c r="G169"/>
  <c r="G177"/>
  <c r="G185"/>
  <c r="G193"/>
  <c r="G201"/>
  <c r="G209"/>
  <c r="G217"/>
  <c r="G225"/>
  <c r="G233"/>
  <c r="G241"/>
  <c r="G249"/>
  <c r="I23" i="4"/>
  <c r="R8" i="1" s="1"/>
  <c r="V8" s="1"/>
  <c r="I31" i="4"/>
  <c r="J31" s="1"/>
  <c r="I39"/>
  <c r="S11" i="1" s="1"/>
  <c r="S13" s="1"/>
  <c r="J45" i="4"/>
  <c r="J2"/>
  <c r="J3"/>
  <c r="J6"/>
  <c r="J7"/>
  <c r="J10"/>
  <c r="J11"/>
  <c r="J14"/>
  <c r="J15"/>
  <c r="J18"/>
  <c r="J19"/>
  <c r="J22"/>
  <c r="J26"/>
  <c r="J27"/>
  <c r="J30"/>
  <c r="J34"/>
  <c r="J35"/>
  <c r="J38"/>
  <c r="J42"/>
  <c r="J43"/>
  <c r="J46"/>
  <c r="AC7" i="1" l="1"/>
  <c r="W8"/>
  <c r="H72" i="3"/>
  <c r="J72"/>
  <c r="I72"/>
  <c r="H65"/>
  <c r="J65"/>
  <c r="I65"/>
  <c r="K65" s="1"/>
  <c r="H48"/>
  <c r="J48"/>
  <c r="I48"/>
  <c r="H29"/>
  <c r="J29"/>
  <c r="I29"/>
  <c r="K29" s="1"/>
  <c r="J80"/>
  <c r="I80"/>
  <c r="K80" s="1"/>
  <c r="H80"/>
  <c r="J88"/>
  <c r="I88"/>
  <c r="H88"/>
  <c r="J96"/>
  <c r="I96"/>
  <c r="K96" s="1"/>
  <c r="H96"/>
  <c r="J104"/>
  <c r="I104"/>
  <c r="H104"/>
  <c r="J112"/>
  <c r="I112"/>
  <c r="K112" s="1"/>
  <c r="H112"/>
  <c r="J120"/>
  <c r="I120"/>
  <c r="H120"/>
  <c r="J128"/>
  <c r="I128"/>
  <c r="K128" s="1"/>
  <c r="H128"/>
  <c r="J136"/>
  <c r="I136"/>
  <c r="H136"/>
  <c r="I144"/>
  <c r="K144" s="1"/>
  <c r="H144"/>
  <c r="J144"/>
  <c r="I152"/>
  <c r="H152"/>
  <c r="J152"/>
  <c r="I160"/>
  <c r="H160"/>
  <c r="J160"/>
  <c r="I172"/>
  <c r="K172" s="1"/>
  <c r="H172"/>
  <c r="J172"/>
  <c r="I176"/>
  <c r="K176" s="1"/>
  <c r="H176"/>
  <c r="J176"/>
  <c r="I184"/>
  <c r="H184"/>
  <c r="J184"/>
  <c r="I192"/>
  <c r="H192"/>
  <c r="J192"/>
  <c r="I200"/>
  <c r="K200" s="1"/>
  <c r="H200"/>
  <c r="J200"/>
  <c r="I208"/>
  <c r="K208" s="1"/>
  <c r="H208"/>
  <c r="J208"/>
  <c r="I216"/>
  <c r="H216"/>
  <c r="J216"/>
  <c r="I224"/>
  <c r="H224"/>
  <c r="J224"/>
  <c r="I232"/>
  <c r="K232" s="1"/>
  <c r="H232"/>
  <c r="J232"/>
  <c r="I240"/>
  <c r="K240" s="1"/>
  <c r="H240"/>
  <c r="J240"/>
  <c r="I252"/>
  <c r="H252"/>
  <c r="J252"/>
  <c r="H77"/>
  <c r="J77"/>
  <c r="I77"/>
  <c r="H60"/>
  <c r="J60"/>
  <c r="I60"/>
  <c r="K60" s="1"/>
  <c r="H52"/>
  <c r="J52"/>
  <c r="I52"/>
  <c r="H45"/>
  <c r="J45"/>
  <c r="I45"/>
  <c r="K45" s="1"/>
  <c r="H31"/>
  <c r="J31"/>
  <c r="I31"/>
  <c r="H7"/>
  <c r="I7"/>
  <c r="J7"/>
  <c r="W12" i="1"/>
  <c r="H74" i="3"/>
  <c r="J74"/>
  <c r="I74"/>
  <c r="H59"/>
  <c r="J59"/>
  <c r="I59"/>
  <c r="K59" s="1"/>
  <c r="H51"/>
  <c r="J51"/>
  <c r="I51"/>
  <c r="J79"/>
  <c r="H79"/>
  <c r="I79"/>
  <c r="K79" s="1"/>
  <c r="J91"/>
  <c r="H91"/>
  <c r="I91"/>
  <c r="K91" s="1"/>
  <c r="J95"/>
  <c r="H95"/>
  <c r="I95"/>
  <c r="J107"/>
  <c r="H107"/>
  <c r="I107"/>
  <c r="K107" s="1"/>
  <c r="J111"/>
  <c r="H111"/>
  <c r="I111"/>
  <c r="K111" s="1"/>
  <c r="J123"/>
  <c r="H123"/>
  <c r="I123"/>
  <c r="J127"/>
  <c r="H127"/>
  <c r="I127"/>
  <c r="I139"/>
  <c r="H139"/>
  <c r="J139"/>
  <c r="I143"/>
  <c r="H143"/>
  <c r="J143"/>
  <c r="I155"/>
  <c r="K155" s="1"/>
  <c r="H155"/>
  <c r="J155"/>
  <c r="I159"/>
  <c r="K159" s="1"/>
  <c r="H159"/>
  <c r="J159"/>
  <c r="I171"/>
  <c r="H171"/>
  <c r="J171"/>
  <c r="I175"/>
  <c r="H175"/>
  <c r="J175"/>
  <c r="I187"/>
  <c r="K187" s="1"/>
  <c r="H187"/>
  <c r="J187"/>
  <c r="I191"/>
  <c r="K191" s="1"/>
  <c r="H191"/>
  <c r="J191"/>
  <c r="I203"/>
  <c r="H203"/>
  <c r="J203"/>
  <c r="I207"/>
  <c r="H207"/>
  <c r="J207"/>
  <c r="I219"/>
  <c r="K219" s="1"/>
  <c r="H219"/>
  <c r="J219"/>
  <c r="I223"/>
  <c r="K223" s="1"/>
  <c r="H223"/>
  <c r="J223"/>
  <c r="I235"/>
  <c r="H235"/>
  <c r="J235"/>
  <c r="I239"/>
  <c r="H239"/>
  <c r="J239"/>
  <c r="I251"/>
  <c r="K251" s="1"/>
  <c r="H251"/>
  <c r="J251"/>
  <c r="H76"/>
  <c r="J76"/>
  <c r="I76"/>
  <c r="H68"/>
  <c r="J68"/>
  <c r="I68"/>
  <c r="H53"/>
  <c r="J53"/>
  <c r="I53"/>
  <c r="K53" s="1"/>
  <c r="H25"/>
  <c r="I25"/>
  <c r="K25" s="1"/>
  <c r="J25"/>
  <c r="H78"/>
  <c r="J78"/>
  <c r="I78"/>
  <c r="H70"/>
  <c r="J70"/>
  <c r="I70"/>
  <c r="H63"/>
  <c r="J63"/>
  <c r="I63"/>
  <c r="K63" s="1"/>
  <c r="H55"/>
  <c r="J55"/>
  <c r="I55"/>
  <c r="H46"/>
  <c r="J46"/>
  <c r="I46"/>
  <c r="H35"/>
  <c r="J35"/>
  <c r="I35"/>
  <c r="H19"/>
  <c r="I19"/>
  <c r="J19"/>
  <c r="H11"/>
  <c r="I11"/>
  <c r="K11" s="1"/>
  <c r="J11"/>
  <c r="J81"/>
  <c r="H81"/>
  <c r="I81"/>
  <c r="J85"/>
  <c r="H85"/>
  <c r="I85"/>
  <c r="K85" s="1"/>
  <c r="J89"/>
  <c r="H89"/>
  <c r="I89"/>
  <c r="K89" s="1"/>
  <c r="J93"/>
  <c r="H93"/>
  <c r="I93"/>
  <c r="J97"/>
  <c r="H97"/>
  <c r="I97"/>
  <c r="J101"/>
  <c r="H101"/>
  <c r="I101"/>
  <c r="K101" s="1"/>
  <c r="J105"/>
  <c r="H105"/>
  <c r="I105"/>
  <c r="K105" s="1"/>
  <c r="J109"/>
  <c r="H109"/>
  <c r="I109"/>
  <c r="J113"/>
  <c r="H113"/>
  <c r="I113"/>
  <c r="J117"/>
  <c r="H117"/>
  <c r="I117"/>
  <c r="K117" s="1"/>
  <c r="J121"/>
  <c r="H121"/>
  <c r="I121"/>
  <c r="K121" s="1"/>
  <c r="J125"/>
  <c r="H125"/>
  <c r="I125"/>
  <c r="J129"/>
  <c r="H129"/>
  <c r="I129"/>
  <c r="J133"/>
  <c r="H133"/>
  <c r="I133"/>
  <c r="K133" s="1"/>
  <c r="I137"/>
  <c r="H137"/>
  <c r="J137"/>
  <c r="I141"/>
  <c r="K141" s="1"/>
  <c r="H141"/>
  <c r="J141"/>
  <c r="I145"/>
  <c r="K145" s="1"/>
  <c r="H145"/>
  <c r="J145"/>
  <c r="I149"/>
  <c r="H149"/>
  <c r="J149"/>
  <c r="I153"/>
  <c r="H153"/>
  <c r="J153"/>
  <c r="I157"/>
  <c r="K157" s="1"/>
  <c r="H157"/>
  <c r="J157"/>
  <c r="I161"/>
  <c r="K161" s="1"/>
  <c r="H161"/>
  <c r="J161"/>
  <c r="I165"/>
  <c r="H165"/>
  <c r="J165"/>
  <c r="I169"/>
  <c r="H169"/>
  <c r="J169"/>
  <c r="I173"/>
  <c r="K173" s="1"/>
  <c r="H173"/>
  <c r="J173"/>
  <c r="I177"/>
  <c r="K177" s="1"/>
  <c r="H177"/>
  <c r="J177"/>
  <c r="I181"/>
  <c r="H181"/>
  <c r="J181"/>
  <c r="I185"/>
  <c r="H185"/>
  <c r="J185"/>
  <c r="I189"/>
  <c r="K189" s="1"/>
  <c r="H189"/>
  <c r="J189"/>
  <c r="I193"/>
  <c r="K193" s="1"/>
  <c r="H193"/>
  <c r="J193"/>
  <c r="I197"/>
  <c r="H197"/>
  <c r="J197"/>
  <c r="I201"/>
  <c r="H201"/>
  <c r="J201"/>
  <c r="I205"/>
  <c r="K205" s="1"/>
  <c r="H205"/>
  <c r="J205"/>
  <c r="I209"/>
  <c r="K209" s="1"/>
  <c r="H209"/>
  <c r="J209"/>
  <c r="I213"/>
  <c r="H213"/>
  <c r="J213"/>
  <c r="I217"/>
  <c r="H217"/>
  <c r="J217"/>
  <c r="I221"/>
  <c r="K221" s="1"/>
  <c r="H221"/>
  <c r="J221"/>
  <c r="I225"/>
  <c r="K225" s="1"/>
  <c r="H225"/>
  <c r="J225"/>
  <c r="I229"/>
  <c r="H229"/>
  <c r="J229"/>
  <c r="I233"/>
  <c r="H233"/>
  <c r="J233"/>
  <c r="I237"/>
  <c r="K237" s="1"/>
  <c r="H237"/>
  <c r="J237"/>
  <c r="I241"/>
  <c r="K241" s="1"/>
  <c r="H241"/>
  <c r="J241"/>
  <c r="I245"/>
  <c r="H245"/>
  <c r="J245"/>
  <c r="I249"/>
  <c r="H249"/>
  <c r="J249"/>
  <c r="I253"/>
  <c r="K253" s="1"/>
  <c r="H253"/>
  <c r="J253"/>
  <c r="J40"/>
  <c r="I40"/>
  <c r="H40"/>
  <c r="J36"/>
  <c r="H36"/>
  <c r="I36"/>
  <c r="K36" s="1"/>
  <c r="J32"/>
  <c r="H32"/>
  <c r="I32"/>
  <c r="K32" s="1"/>
  <c r="J28"/>
  <c r="H28"/>
  <c r="I28"/>
  <c r="J24"/>
  <c r="H24"/>
  <c r="I24"/>
  <c r="J20"/>
  <c r="H20"/>
  <c r="I20"/>
  <c r="K20" s="1"/>
  <c r="J16"/>
  <c r="I16"/>
  <c r="K16" s="1"/>
  <c r="H16"/>
  <c r="J12"/>
  <c r="I12"/>
  <c r="H12"/>
  <c r="J8"/>
  <c r="I8"/>
  <c r="H8"/>
  <c r="J4"/>
  <c r="H4"/>
  <c r="I4"/>
  <c r="K4" s="1"/>
  <c r="H75"/>
  <c r="J75"/>
  <c r="I75"/>
  <c r="K75" s="1"/>
  <c r="H67"/>
  <c r="J67"/>
  <c r="I67"/>
  <c r="K67" s="1"/>
  <c r="H58"/>
  <c r="J58"/>
  <c r="I58"/>
  <c r="H50"/>
  <c r="J50"/>
  <c r="I50"/>
  <c r="H43"/>
  <c r="J43"/>
  <c r="I43"/>
  <c r="K43" s="1"/>
  <c r="H37"/>
  <c r="I37"/>
  <c r="J37"/>
  <c r="H21"/>
  <c r="I21"/>
  <c r="K21" s="1"/>
  <c r="J21"/>
  <c r="H13"/>
  <c r="I13"/>
  <c r="K13" s="1"/>
  <c r="J13"/>
  <c r="R13" i="1"/>
  <c r="J39" i="4"/>
  <c r="J23"/>
  <c r="V11" i="1"/>
  <c r="AB10"/>
  <c r="AA10"/>
  <c r="AC10" s="1"/>
  <c r="H57" i="3"/>
  <c r="J57"/>
  <c r="I57"/>
  <c r="J92"/>
  <c r="H92"/>
  <c r="I92"/>
  <c r="K92" s="1"/>
  <c r="J108"/>
  <c r="H108"/>
  <c r="I108"/>
  <c r="K108" s="1"/>
  <c r="J124"/>
  <c r="H124"/>
  <c r="I124"/>
  <c r="I140"/>
  <c r="K140" s="1"/>
  <c r="H140"/>
  <c r="J140"/>
  <c r="I156"/>
  <c r="H156"/>
  <c r="J156"/>
  <c r="I168"/>
  <c r="H168"/>
  <c r="J168"/>
  <c r="I188"/>
  <c r="K188" s="1"/>
  <c r="H188"/>
  <c r="J188"/>
  <c r="I204"/>
  <c r="K204" s="1"/>
  <c r="H204"/>
  <c r="J204"/>
  <c r="I220"/>
  <c r="H220"/>
  <c r="J220"/>
  <c r="I236"/>
  <c r="H236"/>
  <c r="J236"/>
  <c r="I248"/>
  <c r="K248" s="1"/>
  <c r="H248"/>
  <c r="J248"/>
  <c r="H66"/>
  <c r="J66"/>
  <c r="I66"/>
  <c r="H39"/>
  <c r="I39"/>
  <c r="K39" s="1"/>
  <c r="J39"/>
  <c r="H15"/>
  <c r="I15"/>
  <c r="J15"/>
  <c r="J87"/>
  <c r="H87"/>
  <c r="I87"/>
  <c r="J103"/>
  <c r="H103"/>
  <c r="I103"/>
  <c r="J119"/>
  <c r="H119"/>
  <c r="I119"/>
  <c r="K119" s="1"/>
  <c r="J135"/>
  <c r="H135"/>
  <c r="I135"/>
  <c r="K135" s="1"/>
  <c r="I151"/>
  <c r="K151" s="1"/>
  <c r="H151"/>
  <c r="J151"/>
  <c r="I167"/>
  <c r="K167" s="1"/>
  <c r="H167"/>
  <c r="J167"/>
  <c r="I179"/>
  <c r="H179"/>
  <c r="J179"/>
  <c r="I199"/>
  <c r="H199"/>
  <c r="J199"/>
  <c r="I215"/>
  <c r="K215" s="1"/>
  <c r="H215"/>
  <c r="J215"/>
  <c r="I231"/>
  <c r="K231" s="1"/>
  <c r="H231"/>
  <c r="J231"/>
  <c r="I247"/>
  <c r="H247"/>
  <c r="J247"/>
  <c r="J42"/>
  <c r="H42"/>
  <c r="I42"/>
  <c r="K42" s="1"/>
  <c r="J38"/>
  <c r="H38"/>
  <c r="I38"/>
  <c r="J34"/>
  <c r="H34"/>
  <c r="I34"/>
  <c r="J30"/>
  <c r="H30"/>
  <c r="I30"/>
  <c r="K30" s="1"/>
  <c r="J26"/>
  <c r="I26"/>
  <c r="K26" s="1"/>
  <c r="H26"/>
  <c r="J22"/>
  <c r="H22"/>
  <c r="I22"/>
  <c r="J18"/>
  <c r="H18"/>
  <c r="I18"/>
  <c r="J14"/>
  <c r="H14"/>
  <c r="I14"/>
  <c r="K14" s="1"/>
  <c r="J10"/>
  <c r="H10"/>
  <c r="I10"/>
  <c r="K10" s="1"/>
  <c r="J6"/>
  <c r="H6"/>
  <c r="I6"/>
  <c r="J2"/>
  <c r="I2"/>
  <c r="H2"/>
  <c r="AA9" i="1"/>
  <c r="AB9"/>
  <c r="AA5"/>
  <c r="AC5" s="1"/>
  <c r="AB5"/>
  <c r="H71" i="3"/>
  <c r="J71"/>
  <c r="I71"/>
  <c r="H62"/>
  <c r="J62"/>
  <c r="I62"/>
  <c r="K62" s="1"/>
  <c r="H54"/>
  <c r="J54"/>
  <c r="I54"/>
  <c r="K54" s="1"/>
  <c r="H47"/>
  <c r="J47"/>
  <c r="I47"/>
  <c r="H41"/>
  <c r="J41"/>
  <c r="I41"/>
  <c r="H33"/>
  <c r="J33"/>
  <c r="I33"/>
  <c r="K33" s="1"/>
  <c r="H17"/>
  <c r="I17"/>
  <c r="J17"/>
  <c r="H9"/>
  <c r="J9"/>
  <c r="I9"/>
  <c r="H5"/>
  <c r="J5"/>
  <c r="I5"/>
  <c r="J84"/>
  <c r="H84"/>
  <c r="I84"/>
  <c r="K84" s="1"/>
  <c r="J100"/>
  <c r="H100"/>
  <c r="I100"/>
  <c r="J116"/>
  <c r="H116"/>
  <c r="I116"/>
  <c r="J132"/>
  <c r="H132"/>
  <c r="I132"/>
  <c r="K132" s="1"/>
  <c r="I148"/>
  <c r="H148"/>
  <c r="J148"/>
  <c r="I164"/>
  <c r="K164" s="1"/>
  <c r="H164"/>
  <c r="J164"/>
  <c r="I180"/>
  <c r="K180" s="1"/>
  <c r="H180"/>
  <c r="J180"/>
  <c r="I196"/>
  <c r="H196"/>
  <c r="J196"/>
  <c r="I212"/>
  <c r="H212"/>
  <c r="J212"/>
  <c r="I228"/>
  <c r="K228" s="1"/>
  <c r="H228"/>
  <c r="J228"/>
  <c r="I244"/>
  <c r="K244" s="1"/>
  <c r="H244"/>
  <c r="J244"/>
  <c r="H69"/>
  <c r="J69"/>
  <c r="I69"/>
  <c r="AA8" i="1"/>
  <c r="AB8"/>
  <c r="AB6"/>
  <c r="AA6"/>
  <c r="AA12"/>
  <c r="AB12"/>
  <c r="AA4"/>
  <c r="AB4"/>
  <c r="H23" i="3"/>
  <c r="I23"/>
  <c r="J23"/>
  <c r="J83"/>
  <c r="H83"/>
  <c r="I83"/>
  <c r="J99"/>
  <c r="H99"/>
  <c r="I99"/>
  <c r="J115"/>
  <c r="H115"/>
  <c r="I115"/>
  <c r="K115" s="1"/>
  <c r="J131"/>
  <c r="H131"/>
  <c r="I131"/>
  <c r="K131" s="1"/>
  <c r="I147"/>
  <c r="K147" s="1"/>
  <c r="H147"/>
  <c r="J147"/>
  <c r="I163"/>
  <c r="K163" s="1"/>
  <c r="H163"/>
  <c r="J163"/>
  <c r="I183"/>
  <c r="H183"/>
  <c r="J183"/>
  <c r="I195"/>
  <c r="H195"/>
  <c r="J195"/>
  <c r="I211"/>
  <c r="K211" s="1"/>
  <c r="H211"/>
  <c r="J211"/>
  <c r="I227"/>
  <c r="K227" s="1"/>
  <c r="H227"/>
  <c r="J227"/>
  <c r="I243"/>
  <c r="H243"/>
  <c r="J243"/>
  <c r="H61"/>
  <c r="J61"/>
  <c r="I61"/>
  <c r="K61" s="1"/>
  <c r="H44"/>
  <c r="J44"/>
  <c r="I44"/>
  <c r="K44" s="1"/>
  <c r="J82"/>
  <c r="I82"/>
  <c r="H82"/>
  <c r="J86"/>
  <c r="I86"/>
  <c r="K86" s="1"/>
  <c r="H86"/>
  <c r="J90"/>
  <c r="I90"/>
  <c r="K90" s="1"/>
  <c r="H90"/>
  <c r="J94"/>
  <c r="I94"/>
  <c r="H94"/>
  <c r="J98"/>
  <c r="I98"/>
  <c r="H98"/>
  <c r="J102"/>
  <c r="I102"/>
  <c r="K102" s="1"/>
  <c r="H102"/>
  <c r="J106"/>
  <c r="I106"/>
  <c r="K106" s="1"/>
  <c r="H106"/>
  <c r="J110"/>
  <c r="I110"/>
  <c r="H110"/>
  <c r="J114"/>
  <c r="I114"/>
  <c r="H114"/>
  <c r="J118"/>
  <c r="I118"/>
  <c r="K118" s="1"/>
  <c r="H118"/>
  <c r="J122"/>
  <c r="I122"/>
  <c r="K122" s="1"/>
  <c r="H122"/>
  <c r="J126"/>
  <c r="I126"/>
  <c r="H126"/>
  <c r="J130"/>
  <c r="I130"/>
  <c r="H130"/>
  <c r="J134"/>
  <c r="I134"/>
  <c r="K134" s="1"/>
  <c r="H134"/>
  <c r="I138"/>
  <c r="H138"/>
  <c r="J138"/>
  <c r="I142"/>
  <c r="K142" s="1"/>
  <c r="H142"/>
  <c r="J142"/>
  <c r="I146"/>
  <c r="K146" s="1"/>
  <c r="H146"/>
  <c r="J146"/>
  <c r="I150"/>
  <c r="H150"/>
  <c r="J150"/>
  <c r="I154"/>
  <c r="H154"/>
  <c r="J154"/>
  <c r="I158"/>
  <c r="K158" s="1"/>
  <c r="H158"/>
  <c r="J158"/>
  <c r="I162"/>
  <c r="K162" s="1"/>
  <c r="H162"/>
  <c r="J162"/>
  <c r="I166"/>
  <c r="H166"/>
  <c r="J166"/>
  <c r="I170"/>
  <c r="H170"/>
  <c r="J170"/>
  <c r="I174"/>
  <c r="K174" s="1"/>
  <c r="H174"/>
  <c r="J174"/>
  <c r="I178"/>
  <c r="K178" s="1"/>
  <c r="H178"/>
  <c r="J178"/>
  <c r="I182"/>
  <c r="H182"/>
  <c r="J182"/>
  <c r="I186"/>
  <c r="H186"/>
  <c r="J186"/>
  <c r="I190"/>
  <c r="K190" s="1"/>
  <c r="H190"/>
  <c r="J190"/>
  <c r="I194"/>
  <c r="K194" s="1"/>
  <c r="H194"/>
  <c r="J194"/>
  <c r="I198"/>
  <c r="H198"/>
  <c r="J198"/>
  <c r="I202"/>
  <c r="H202"/>
  <c r="J202"/>
  <c r="I206"/>
  <c r="K206" s="1"/>
  <c r="H206"/>
  <c r="J206"/>
  <c r="I210"/>
  <c r="K210" s="1"/>
  <c r="H210"/>
  <c r="J210"/>
  <c r="I214"/>
  <c r="H214"/>
  <c r="J214"/>
  <c r="I218"/>
  <c r="H218"/>
  <c r="J218"/>
  <c r="I222"/>
  <c r="K222" s="1"/>
  <c r="H222"/>
  <c r="J222"/>
  <c r="I226"/>
  <c r="K226" s="1"/>
  <c r="H226"/>
  <c r="J226"/>
  <c r="I230"/>
  <c r="H230"/>
  <c r="J230"/>
  <c r="I234"/>
  <c r="H234"/>
  <c r="J234"/>
  <c r="I238"/>
  <c r="K238" s="1"/>
  <c r="H238"/>
  <c r="J238"/>
  <c r="I242"/>
  <c r="K242" s="1"/>
  <c r="H242"/>
  <c r="J242"/>
  <c r="I246"/>
  <c r="H246"/>
  <c r="J246"/>
  <c r="I250"/>
  <c r="H250"/>
  <c r="J250"/>
  <c r="H73"/>
  <c r="J73"/>
  <c r="I73"/>
  <c r="K73" s="1"/>
  <c r="H64"/>
  <c r="J64"/>
  <c r="I64"/>
  <c r="H56"/>
  <c r="J56"/>
  <c r="I56"/>
  <c r="H49"/>
  <c r="J49"/>
  <c r="I49"/>
  <c r="K49" s="1"/>
  <c r="H27"/>
  <c r="I27"/>
  <c r="J27"/>
  <c r="H3"/>
  <c r="I3"/>
  <c r="K3" s="1"/>
  <c r="J3"/>
  <c r="AA13" i="1" l="1"/>
  <c r="AC4"/>
  <c r="AD10"/>
  <c r="AG10"/>
  <c r="AH10" s="1"/>
  <c r="AD7"/>
  <c r="AG7"/>
  <c r="AH7" s="1"/>
  <c r="G7"/>
  <c r="K56" i="3"/>
  <c r="K130"/>
  <c r="J8" i="1" s="1"/>
  <c r="K246" i="3"/>
  <c r="K230"/>
  <c r="G12" i="1" s="1"/>
  <c r="K214" i="3"/>
  <c r="K198"/>
  <c r="K182"/>
  <c r="K166"/>
  <c r="M9" i="1" s="1"/>
  <c r="N9" s="1"/>
  <c r="K150" i="3"/>
  <c r="K243"/>
  <c r="J12" i="1" s="1"/>
  <c r="K183" i="3"/>
  <c r="K83"/>
  <c r="K23"/>
  <c r="K196"/>
  <c r="K100"/>
  <c r="AC9" i="1"/>
  <c r="K6" i="3"/>
  <c r="K22"/>
  <c r="K38"/>
  <c r="K247"/>
  <c r="K179"/>
  <c r="K87"/>
  <c r="K15"/>
  <c r="I4" i="1" s="1"/>
  <c r="K220" i="3"/>
  <c r="K156"/>
  <c r="K124"/>
  <c r="K28"/>
  <c r="K245"/>
  <c r="K229"/>
  <c r="K213"/>
  <c r="K197"/>
  <c r="K181"/>
  <c r="K165"/>
  <c r="K149"/>
  <c r="H9" i="1" s="1"/>
  <c r="K125" i="3"/>
  <c r="K109"/>
  <c r="M7" i="1" s="1"/>
  <c r="N7" s="1"/>
  <c r="K93" i="3"/>
  <c r="K19"/>
  <c r="K55"/>
  <c r="K235"/>
  <c r="K203"/>
  <c r="K171"/>
  <c r="K139"/>
  <c r="K123"/>
  <c r="H8" i="1" s="1"/>
  <c r="K74" i="3"/>
  <c r="K31"/>
  <c r="G5" i="1" s="1"/>
  <c r="K77" i="3"/>
  <c r="K120"/>
  <c r="K88"/>
  <c r="K48"/>
  <c r="M10" i="1"/>
  <c r="N10" s="1"/>
  <c r="AB13"/>
  <c r="K71" i="3"/>
  <c r="K35"/>
  <c r="K70"/>
  <c r="K68"/>
  <c r="M11" i="1"/>
  <c r="N11" s="1"/>
  <c r="K51" i="3"/>
  <c r="K7"/>
  <c r="K52"/>
  <c r="K224"/>
  <c r="K192"/>
  <c r="K160"/>
  <c r="K136"/>
  <c r="M8" i="1" s="1"/>
  <c r="N8" s="1"/>
  <c r="K104" i="3"/>
  <c r="K72"/>
  <c r="AD5" i="1"/>
  <c r="AG5"/>
  <c r="AH5" s="1"/>
  <c r="AG11"/>
  <c r="AH11" s="1"/>
  <c r="W11"/>
  <c r="W13" s="1"/>
  <c r="I11"/>
  <c r="H10"/>
  <c r="J9"/>
  <c r="K114" i="3"/>
  <c r="G8" i="1" s="1"/>
  <c r="K98" i="3"/>
  <c r="K82"/>
  <c r="AC6" i="1"/>
  <c r="K69" i="3"/>
  <c r="I6" i="1" s="1"/>
  <c r="K5" i="3"/>
  <c r="K41"/>
  <c r="I5" i="1" s="1"/>
  <c r="K2" i="3"/>
  <c r="K50"/>
  <c r="K8"/>
  <c r="K40"/>
  <c r="K27"/>
  <c r="K64"/>
  <c r="K250"/>
  <c r="K234"/>
  <c r="K218"/>
  <c r="K202"/>
  <c r="K186"/>
  <c r="J10" i="1" s="1"/>
  <c r="K170" i="3"/>
  <c r="K154"/>
  <c r="K138"/>
  <c r="K126"/>
  <c r="K110"/>
  <c r="K94"/>
  <c r="K195"/>
  <c r="K99"/>
  <c r="AC12" i="1"/>
  <c r="AC8"/>
  <c r="K212" i="3"/>
  <c r="K148"/>
  <c r="K116"/>
  <c r="K9"/>
  <c r="H4" i="1" s="1"/>
  <c r="K17" i="3"/>
  <c r="K47"/>
  <c r="K18"/>
  <c r="K34"/>
  <c r="K199"/>
  <c r="K103"/>
  <c r="J7" i="1" s="1"/>
  <c r="K66" i="3"/>
  <c r="H6" i="1" s="1"/>
  <c r="K236" i="3"/>
  <c r="K168"/>
  <c r="K57"/>
  <c r="K37"/>
  <c r="K58"/>
  <c r="G6" i="1" s="1"/>
  <c r="K12" i="3"/>
  <c r="K24"/>
  <c r="K249"/>
  <c r="K233"/>
  <c r="H12" i="1" s="1"/>
  <c r="K217" i="3"/>
  <c r="K201"/>
  <c r="K185"/>
  <c r="K169"/>
  <c r="K153"/>
  <c r="K137"/>
  <c r="K129"/>
  <c r="K113"/>
  <c r="K97"/>
  <c r="K81"/>
  <c r="M6" i="1" s="1"/>
  <c r="N6" s="1"/>
  <c r="K46" i="3"/>
  <c r="K78"/>
  <c r="K76"/>
  <c r="K239"/>
  <c r="I12" i="1" s="1"/>
  <c r="K207" i="3"/>
  <c r="H11" i="1" s="1"/>
  <c r="K175" i="3"/>
  <c r="K143"/>
  <c r="G9" i="1" s="1"/>
  <c r="K127" i="3"/>
  <c r="K95"/>
  <c r="K252"/>
  <c r="K216"/>
  <c r="K184"/>
  <c r="K152"/>
  <c r="V13" i="1"/>
  <c r="K12" l="1"/>
  <c r="AD9"/>
  <c r="AG9"/>
  <c r="AH9" s="1"/>
  <c r="AD12"/>
  <c r="AG12"/>
  <c r="AH12" s="1"/>
  <c r="AD6"/>
  <c r="AG6"/>
  <c r="AH6" s="1"/>
  <c r="I10"/>
  <c r="M12"/>
  <c r="N12" s="1"/>
  <c r="J5"/>
  <c r="H5"/>
  <c r="H13" s="1"/>
  <c r="J4"/>
  <c r="G10"/>
  <c r="G4"/>
  <c r="J6"/>
  <c r="K6" s="1"/>
  <c r="H7"/>
  <c r="K7" s="1"/>
  <c r="M4"/>
  <c r="J11"/>
  <c r="AD4"/>
  <c r="AC13"/>
  <c r="AG4"/>
  <c r="G11"/>
  <c r="K11" s="1"/>
  <c r="AD8"/>
  <c r="AG8"/>
  <c r="AH8" s="1"/>
  <c r="M5"/>
  <c r="N5" s="1"/>
  <c r="I7"/>
  <c r="I13" s="1"/>
  <c r="I9"/>
  <c r="K9" s="1"/>
  <c r="I8"/>
  <c r="K8" s="1"/>
  <c r="AE9" l="1"/>
  <c r="O9"/>
  <c r="P9" s="1"/>
  <c r="L9"/>
  <c r="AI9" s="1"/>
  <c r="AJ9" s="1"/>
  <c r="L6"/>
  <c r="AI6" s="1"/>
  <c r="AJ6" s="1"/>
  <c r="AE6"/>
  <c r="O6"/>
  <c r="P6" s="1"/>
  <c r="L8"/>
  <c r="AI8" s="1"/>
  <c r="AJ8" s="1"/>
  <c r="AE8"/>
  <c r="O8"/>
  <c r="P8" s="1"/>
  <c r="AE7"/>
  <c r="O7"/>
  <c r="P7" s="1"/>
  <c r="L7"/>
  <c r="AI7" s="1"/>
  <c r="AJ7" s="1"/>
  <c r="AG13"/>
  <c r="AH4"/>
  <c r="AH13" s="1"/>
  <c r="M13"/>
  <c r="N4"/>
  <c r="N13" s="1"/>
  <c r="K10"/>
  <c r="K5"/>
  <c r="L11"/>
  <c r="AI11" s="1"/>
  <c r="AJ11" s="1"/>
  <c r="AE11"/>
  <c r="O11"/>
  <c r="P11" s="1"/>
  <c r="G13"/>
  <c r="K4"/>
  <c r="AD13"/>
  <c r="AE12"/>
  <c r="O12"/>
  <c r="P12" s="1"/>
  <c r="L12"/>
  <c r="AI12" s="1"/>
  <c r="AJ12" s="1"/>
  <c r="J13"/>
  <c r="L4" l="1"/>
  <c r="K13"/>
  <c r="AE4"/>
  <c r="O4"/>
  <c r="L10"/>
  <c r="AI10" s="1"/>
  <c r="AJ10" s="1"/>
  <c r="AE10"/>
  <c r="O10"/>
  <c r="P10" s="1"/>
  <c r="AE5"/>
  <c r="O5"/>
  <c r="P5" s="1"/>
  <c r="L5"/>
  <c r="AI5" s="1"/>
  <c r="AJ5" s="1"/>
  <c r="P4" l="1"/>
  <c r="P13" s="1"/>
  <c r="O13"/>
  <c r="L13"/>
  <c r="AI4"/>
  <c r="AJ4" l="1"/>
  <c r="AJ13" s="1"/>
  <c r="AI13"/>
</calcChain>
</file>

<file path=xl/sharedStrings.xml><?xml version="1.0" encoding="utf-8"?>
<sst xmlns="http://schemas.openxmlformats.org/spreadsheetml/2006/main" count="3950" uniqueCount="292">
  <si>
    <t>G+C content of tRNA sequence, 4 stems + 3D base pairs, and 4 loops</t>
  </si>
  <si>
    <t>tRNA</t>
  </si>
  <si>
    <t>Length (nt)</t>
  </si>
  <si>
    <t>Total G</t>
  </si>
  <si>
    <t>Total C</t>
  </si>
  <si>
    <t>Total G+C</t>
  </si>
  <si>
    <t>Overall G+C %</t>
  </si>
  <si>
    <t>Acceptor stem G+C</t>
  </si>
  <si>
    <t>D-stem G+C</t>
  </si>
  <si>
    <t>AC-stem G+C</t>
  </si>
  <si>
    <t>T-stem G+C</t>
  </si>
  <si>
    <t>4 stems G+C (of 42 nt)</t>
  </si>
  <si>
    <t>4 stems G+C %</t>
  </si>
  <si>
    <t>3D BP G+C (of 14 nt)</t>
  </si>
  <si>
    <t>3D BP G+C %</t>
  </si>
  <si>
    <t>4 stems + 3D G+C (of 56 nt)</t>
  </si>
  <si>
    <t>4 stems + 3D G+C %</t>
  </si>
  <si>
    <t>D-loop G+C</t>
  </si>
  <si>
    <t>AC-loop G+C</t>
  </si>
  <si>
    <t>Variable loop G+C</t>
  </si>
  <si>
    <t>TΨC-loop G+C</t>
  </si>
  <si>
    <t>4 loops length (nt)</t>
  </si>
  <si>
    <t>4 loops G+C</t>
  </si>
  <si>
    <t>4 loops G+C %</t>
  </si>
  <si>
    <t>Pos 8 nt</t>
  </si>
  <si>
    <t>Pos 9 nt</t>
  </si>
  <si>
    <t>Pos 26 nt</t>
  </si>
  <si>
    <t>G in 8, 9, 26</t>
  </si>
  <si>
    <t>C in 8, 9, 26</t>
  </si>
  <si>
    <t>G+C in 8, 9, 26 (of 3 nt)</t>
  </si>
  <si>
    <t>8, 9, 26 G+C %</t>
  </si>
  <si>
    <t>Check: stems + loops + 8,9,26 G+C = total G+C</t>
  </si>
  <si>
    <t>Non-stem nt (4 loops + 8, 9, 26)</t>
  </si>
  <si>
    <t>Non-stem G+C</t>
  </si>
  <si>
    <t>GC_nonstem %</t>
  </si>
  <si>
    <t>GC_stem % (4 stems, 42 nt)</t>
  </si>
  <si>
    <t>ΔGC = GC_stem − GC_nonstem</t>
  </si>
  <si>
    <t>trna1</t>
  </si>
  <si>
    <t>trna9</t>
  </si>
  <si>
    <t>trna20</t>
  </si>
  <si>
    <t>trna64</t>
  </si>
  <si>
    <t>trna590</t>
  </si>
  <si>
    <t>trna958</t>
  </si>
  <si>
    <t>trna1091</t>
  </si>
  <si>
    <t>trna1395</t>
  </si>
  <si>
    <t>trna1470</t>
  </si>
  <si>
    <t>Mean</t>
  </si>
  <si>
    <t>Percentages: overall = G+C / full length; stems = /42 nt (21 bp); 3D = /14 nt (7 tertiary pairs); stems+3D = /56 nt; positions 8, 9, 26 = /3 nt; loops = / total nt of D, AC, variable and TΨC loops.</t>
  </si>
  <si>
    <t>3D pairs 14, 15, 18, 19, 32, 38, 44, 48, 54, 55, 58 lie inside loops, so "4 stems + 3D" and "4 loops" share those nucleotides. 4 stems + 4 loops + positions 8, 9, 26 together cover every nucleotide once (column AE checks this).</t>
  </si>
  <si>
    <t>Key</t>
  </si>
  <si>
    <t>Canonical position</t>
  </si>
  <si>
    <t>Actual position</t>
  </si>
  <si>
    <t>Nucleotide</t>
  </si>
  <si>
    <t>Region</t>
  </si>
  <si>
    <t>1</t>
  </si>
  <si>
    <t>G</t>
  </si>
  <si>
    <t>Acceptor stem</t>
  </si>
  <si>
    <t>2</t>
  </si>
  <si>
    <t>U</t>
  </si>
  <si>
    <t>3</t>
  </si>
  <si>
    <t>C</t>
  </si>
  <si>
    <t>4</t>
  </si>
  <si>
    <t>A</t>
  </si>
  <si>
    <t>5</t>
  </si>
  <si>
    <t>6</t>
  </si>
  <si>
    <t>7</t>
  </si>
  <si>
    <t>8</t>
  </si>
  <si>
    <t>Position 8</t>
  </si>
  <si>
    <t>9</t>
  </si>
  <si>
    <t>Position 9</t>
  </si>
  <si>
    <t>10</t>
  </si>
  <si>
    <t>D-stem</t>
  </si>
  <si>
    <t>11</t>
  </si>
  <si>
    <t>12</t>
  </si>
  <si>
    <t>13</t>
  </si>
  <si>
    <t>14</t>
  </si>
  <si>
    <t>D-loop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</si>
  <si>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</si>
  <si>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</si>
  <si>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</si>
  <si>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</si>
  <si>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</si>
  <si>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</si>
  <si>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</si>
  <si>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</si>
  <si>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</si>
  <si>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</si>
  <si>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</si>
  <si>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Position 26</t>
  </si>
  <si>
    <t>27</t>
  </si>
  <si>
    <t>Anticodon stem</t>
  </si>
  <si>
    <t>28</t>
  </si>
  <si>
    <t>29</t>
  </si>
  <si>
    <t>30</t>
  </si>
  <si>
    <t>31</t>
  </si>
  <si>
    <t>32</t>
  </si>
  <si>
    <t>Anticodon loop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</si>
  <si>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</si>
  <si>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</si>
  <si>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</si>
  <si>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</si>
  <si>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</si>
  <si>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</si>
  <si>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</si>
  <si>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</si>
  <si>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</si>
  <si>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</si>
  <si>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</si>
  <si>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</si>
  <si>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Variable loop</t>
  </si>
  <si>
    <t>45</t>
  </si>
  <si>
    <t>46</t>
  </si>
  <si>
    <t>48</t>
  </si>
  <si>
    <t>49</t>
  </si>
  <si>
    <t>T-stem</t>
  </si>
  <si>
    <t>50</t>
  </si>
  <si>
    <t>51</t>
  </si>
  <si>
    <t>52</t>
  </si>
  <si>
    <t>53</t>
  </si>
  <si>
    <t>54</t>
  </si>
  <si>
    <t>TΨC-loop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</si>
  <si>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</si>
  <si>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</si>
  <si>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</si>
  <si>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</si>
  <si>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</si>
  <si>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</si>
  <si>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</si>
  <si>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</si>
  <si>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</si>
  <si>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</si>
  <si>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</si>
  <si>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</si>
  <si>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</si>
  <si>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</si>
  <si>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</si>
  <si>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</si>
  <si>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</si>
  <si>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</si>
  <si>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17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</si>
  <si>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</si>
  <si>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</si>
  <si>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</si>
  <si>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</si>
  <si>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</si>
  <si>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</si>
  <si>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</si>
  <si>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</si>
  <si>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</si>
  <si>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47</t>
  </si>
  <si>
    <t>17a</t>
  </si>
  <si>
    <t>e10</t>
  </si>
  <si>
    <t>e11</t>
  </si>
  <si>
    <t>e12</t>
  </si>
  <si>
    <t>e13</t>
  </si>
  <si>
    <t>e14</t>
  </si>
  <si>
    <t>e15</t>
  </si>
  <si>
    <t>20a</t>
  </si>
  <si>
    <t>20b</t>
  </si>
  <si>
    <t>20c</t>
  </si>
  <si>
    <t>e16</t>
  </si>
  <si>
    <t>e17</t>
  </si>
  <si>
    <t>e18</t>
  </si>
  <si>
    <t>e19</t>
  </si>
  <si>
    <t>Element</t>
  </si>
  <si>
    <t>Canonical pair</t>
  </si>
  <si>
    <t>Actual pos (5′)</t>
  </si>
  <si>
    <t>Actual pos (3′)</t>
  </si>
  <si>
    <t>Nt (5′)</t>
  </si>
  <si>
    <t>Nt (3′)</t>
  </si>
  <si>
    <t>Pair</t>
  </si>
  <si>
    <t>G count</t>
  </si>
  <si>
    <t>C count</t>
  </si>
  <si>
    <t>G+C count</t>
  </si>
  <si>
    <t>1-72</t>
  </si>
  <si>
    <t>2-71</t>
  </si>
  <si>
    <t>3-70</t>
  </si>
  <si>
    <t>4-69</t>
  </si>
  <si>
    <t>5-68</t>
  </si>
  <si>
    <t>6-67</t>
  </si>
  <si>
    <t>7-66</t>
  </si>
  <si>
    <t>10-25</t>
  </si>
  <si>
    <t>11-24</t>
  </si>
  <si>
    <t>12-23</t>
  </si>
  <si>
    <t>13-22</t>
  </si>
  <si>
    <t>27-43</t>
  </si>
  <si>
    <t>28-42</t>
  </si>
  <si>
    <t>29-41</t>
  </si>
  <si>
    <t>30-40</t>
  </si>
  <si>
    <t>31-39</t>
  </si>
  <si>
    <t>49-65</t>
  </si>
  <si>
    <t>50-64</t>
  </si>
  <si>
    <t>51-63</t>
  </si>
  <si>
    <t>52-62</t>
  </si>
  <si>
    <t>53-61</t>
  </si>
  <si>
    <t>3D (tertiary) BP</t>
  </si>
  <si>
    <t>8-14</t>
  </si>
  <si>
    <t>15-48</t>
  </si>
  <si>
    <t>18-55</t>
  </si>
  <si>
    <t>19-56</t>
  </si>
  <si>
    <t>26-44</t>
  </si>
  <si>
    <t>32-38</t>
  </si>
  <si>
    <t>54-58</t>
  </si>
  <si>
    <t>Loop / region</t>
  </si>
  <si>
    <t>Canonical positions</t>
  </si>
  <si>
    <t>Actual positions</t>
  </si>
  <si>
    <t>Loop sequence (5′→3′)</t>
  </si>
  <si>
    <t>Length</t>
  </si>
  <si>
    <t>G+C %</t>
  </si>
  <si>
    <t>14–21</t>
  </si>
  <si>
    <t>14–20</t>
  </si>
  <si>
    <t>AAUGGAU</t>
  </si>
  <si>
    <t>32–38</t>
  </si>
  <si>
    <t>31–37</t>
  </si>
  <si>
    <t>UUUCAAA</t>
  </si>
  <si>
    <t>44–48</t>
  </si>
  <si>
    <t>43–46</t>
  </si>
  <si>
    <t>GUUU</t>
  </si>
  <si>
    <t>54–60</t>
  </si>
  <si>
    <t>52–58</t>
  </si>
  <si>
    <t>AUCCUUG</t>
  </si>
  <si>
    <t>Positions 8, 9, 26</t>
  </si>
  <si>
    <t>8, 9, 26</t>
  </si>
  <si>
    <t>8, 9, 25</t>
  </si>
  <si>
    <t>UCU</t>
  </si>
  <si>
    <t>AACGGAU</t>
  </si>
  <si>
    <t>UUUUAAA</t>
  </si>
  <si>
    <t>UCC</t>
  </si>
  <si>
    <t>GGACGGGG</t>
  </si>
  <si>
    <t>GUUUAGU</t>
  </si>
  <si>
    <t>44–46</t>
  </si>
  <si>
    <t>AUU</t>
  </si>
  <si>
    <t>UUCUUGU</t>
  </si>
  <si>
    <t>UUU</t>
  </si>
  <si>
    <t>AGAUGGUU</t>
  </si>
  <si>
    <t>ACUCAUU</t>
  </si>
  <si>
    <t>44–47</t>
  </si>
  <si>
    <t>GGUC</t>
  </si>
  <si>
    <t>53–59</t>
  </si>
  <si>
    <t>UUCGAGU</t>
  </si>
  <si>
    <t>UAC</t>
  </si>
  <si>
    <t>AAAGGAC</t>
  </si>
  <si>
    <t>ACUUAUU</t>
  </si>
  <si>
    <t>43–56</t>
  </si>
  <si>
    <t>AUAAGCUCUUCUUU</t>
  </si>
  <si>
    <t>62–68</t>
  </si>
  <si>
    <t>AUCCUCU</t>
  </si>
  <si>
    <t>14–22</t>
  </si>
  <si>
    <t>AGAUUGGCU</t>
  </si>
  <si>
    <t>33–39</t>
  </si>
  <si>
    <t>UUCUACG</t>
  </si>
  <si>
    <t>45–62</t>
  </si>
  <si>
    <t>UGUAAUCGGCCUUGGUUU</t>
  </si>
  <si>
    <t>68–74</t>
  </si>
  <si>
    <t>UUCGAUC</t>
  </si>
  <si>
    <t>8, 9, 27</t>
  </si>
  <si>
    <t>UAU</t>
  </si>
  <si>
    <t>UUCUACA</t>
  </si>
  <si>
    <t>45–64</t>
  </si>
  <si>
    <t>GCUGUGAGUUUUCUUGAAGU</t>
  </si>
  <si>
    <t>70–76</t>
  </si>
  <si>
    <t>ACCUCUG</t>
  </si>
  <si>
    <t>GAGGGAUAU</t>
  </si>
  <si>
    <t>UCCUAGG</t>
  </si>
  <si>
    <t>45–68</t>
  </si>
  <si>
    <t>CCGCACGCAAUUUGAUUUAUUAGU</t>
  </si>
  <si>
    <t>74–80</t>
  </si>
  <si>
    <t>UUCCACU</t>
  </si>
  <si>
    <t>UUA</t>
  </si>
  <si>
    <t>14–23</t>
  </si>
  <si>
    <t>GGCCAGGCAG</t>
  </si>
  <si>
    <t>34–40</t>
  </si>
  <si>
    <t>AUCUAGG</t>
  </si>
  <si>
    <t>46–69</t>
  </si>
  <si>
    <t>CGAUUUCCUGAAGGACUUUAGAGU</t>
  </si>
  <si>
    <t>75–81</t>
  </si>
  <si>
    <t>ACCUUUU</t>
  </si>
  <si>
    <t>8, 9, 28</t>
  </si>
  <si>
    <t>UUG</t>
  </si>
  <si>
    <t>Method and assumptions</t>
  </si>
  <si>
    <t>Input: FASTA_SEQUENCE_withdot.txt (sequence + dot-bracket) and out_rev3.txt (cloverleaf). All counts are done on the RNA sequence (U = T).</t>
  </si>
  <si>
    <t>Positions use standard canonical (Sprinzl) tRNA numbering as given: acceptor 1-7/66-72, D-stem 10-13/22-25, AC-stem 27-31/39-43, T-stem 49-53/61-65, 3D pairs 8-14, 15-48, 18-55, 19-56, 26-44, 32-38, 54-58.</t>
  </si>
  <si>
    <t>Because the tRNAs are 70-93 nt (not 76), canonical numbers were mapped to actual positions: 1-13 from the 5′ end; acceptor 3′ strand and T-arm (T-stem 5 bp, TΨC-loop 7 nt) from the 3′ end; the 7-nt anticodon loop from the second hairpin of the dot-bracket, with AC-stem 5 bp on each side; D-stem 3′ strand = the 4 nt before position 26 (the nt just 5′ of the AC-stem).</t>
  </si>
  <si>
    <t>Extra nucleotides are absorbed in the D-loop (labelled 17a, 20a, ...) and the variable loop (labelled e1, e2, ... between 45 and 46). In the D-loop, 18-19 = the conserved GG after position 15 (the 4th/3rd-last nt if no GG). Variable loop: 44 = first nt after the AC-stem, 48 = last nt before the T-stem.</t>
  </si>
  <si>
    <t>This mapping reproduces the stems drawn in out_rev3.txt (e.g. D-stems ||+| and acceptor/T-stem mismatches match the cloverleaf).</t>
  </si>
  <si>
    <t>None of the sequences carries a discriminator base (73) or CCA (74-76), so these are not counted.</t>
  </si>
  <si>
    <t>DATA CORRECTION - trna1470: in the FASTA file its sequence is an exact copy of trna1395 (92 nt), but its dot-bracket and cloverleaf are 93 nt. The sequence was rebuilt from the cloverleaf in out_rev3.txt: UGGUCCAUUUUUCGGCCAGGCAGGGAGGAGAAAAUCUAGGUUUCUCGAUUUCCUGAAGGACUUUAGAGUCUUUGACCUUUUCAGGAUGCACUA. All 22 pairs of its dot-bracket are valid Watson-Crick/G-U on this sequence. Please confirm against your genome coordinates (3241592-3241645, 4764243-4764281).</t>
  </si>
  <si>
    <t>Dot-bracket length mismatches (not used for counting, only noted): trna1 structure 74 chars vs 70-nt sequence (4 trailing dots); trna1091 87 vs 88; trna1395 90 vs 92 and unbalanced brackets.</t>
  </si>
  <si>
    <t>ΔGC = GC_stem − GC_nonstem (columns AF-AJ of GC_Summary). GC_stem = G+C % of the 4 stems (42 nt: acceptor 14, D 8, AC 10, T 10). GC_nonstem = G+C % of every other nucleotide, i.e. the 4 loops + positions 8, 9, 26 (length − 42 nt). Stems and non-stem together cover the whole sequence with no overlap. ΔGC is shown in percentage points (e.g. 30.0% = stems are 30 points richer in G+C than non-stem regions).</t>
  </si>
  <si>
    <t>Positions 8, 9 and 26 (the single nucleotides joining acceptor-stem to D-stem and D-stem to anticodon-stem) are counted as their own group: G, C and G+C in columns X-AD of GC_Summary and as a separate row in Loops. With them, 4 stems (42 nt) + 4 loops + 8, 9, 26 (3 nt) = full length, and their G+C adds up to the overall G+C (checked in column AE).</t>
  </si>
  <si>
    <t>Overlap: the 3D partners 14, 15, 18, 19, 32, 38, 44, 48, 54, 55, 58 sit in loops, so a nucleotide can count in both the "stems + 3D" total and the "4 loops" total. Positions 8 and 26 are also partners in 3D pairs 8-14 and 26-44.</t>
  </si>
  <si>
    <t>All counts are live formulas (COUNTIFS/SUMIFS/INDEX-MATCH) on the Positions sheet; editing a nucleotide there updates every table. Compatible with Excel 2007.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</si>
</sst>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2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2E6FA"/>
      </patternFill>
    </fill>
    <fill>
      <patternFill patternType="solid">
        <fgColor rgb="FFFCE4D6"/>
        <bgColor rgb="FFFFF2CC"/>
      </patternFill>
    </fill>
    <fill>
      <patternFill patternType="solid">
        <fgColor rgb="FFF2E6FA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5" fillId="0" borderId="0" xfId="0" applyFont="1"/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E6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19" sqref="I19"/>
    </sheetView>
  </sheetViews>
  <sheetFormatPr defaultColWidth="8.7109375" defaultRowHeight="15"/>
  <cols>
    <col min="1" max="1" width="11" customWidth="1"/>
    <col min="2" max="30" width="10.5703125" customWidth="1"/>
    <col min="31" max="31" width="16" customWidth="1"/>
    <col min="32" max="35" width="10.5703125" customWidth="1"/>
    <col min="36" max="36" width="14" customWidth="1"/>
  </cols>
  <sheetData>
    <row r="1" spans="1:36" ht="16.5">
      <c r="A1" s="1" t="s">
        <v>0</v>
      </c>
    </row>
    <row r="3" spans="1:36" ht="4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</row>
    <row r="4" spans="1:36">
      <c r="A4" s="3" t="s">
        <v>37</v>
      </c>
      <c r="B4" s="4">
        <f>COUNTIF(Positions!$B$2:$B$721,A4)</f>
        <v>70</v>
      </c>
      <c r="C4" s="4">
        <f>COUNTIFS(Positions!$B$2:$B$721,A4,Positions!$E$2:$E$721,"G")</f>
        <v>14</v>
      </c>
      <c r="D4" s="4">
        <f>COUNTIFS(Positions!$B$2:$B$721,A4,Positions!$E$2:$E$721,"C")</f>
        <v>9</v>
      </c>
      <c r="E4" s="3">
        <f t="shared" ref="E4:E12" si="0">C4+D4</f>
        <v>23</v>
      </c>
      <c r="F4" s="5">
        <f t="shared" ref="F4:F12" si="1">E4/B4</f>
        <v>0.32857142857142857</v>
      </c>
      <c r="G4" s="4">
        <f>SUMIFS(Stems_3D_BP!$K$2:$K$253,Stems_3D_BP!$A$2:$A$253,$A4,Stems_3D_BP!$B$2:$B$253,"Acceptor stem")</f>
        <v>6</v>
      </c>
      <c r="H4" s="4">
        <f>SUMIFS(Stems_3D_BP!$K$2:$K$253,Stems_3D_BP!$A$2:$A$253,$A4,Stems_3D_BP!$B$2:$B$253,"D-stem")</f>
        <v>2</v>
      </c>
      <c r="I4" s="4">
        <f>SUMIFS(Stems_3D_BP!$K$2:$K$253,Stems_3D_BP!$A$2:$A$253,$A4,Stems_3D_BP!$B$2:$B$253,"Anticodon stem")</f>
        <v>3</v>
      </c>
      <c r="J4" s="4">
        <f>SUMIFS(Stems_3D_BP!$K$2:$K$253,Stems_3D_BP!$A$2:$A$253,$A4,Stems_3D_BP!$B$2:$B$253,"T-stem")</f>
        <v>4</v>
      </c>
      <c r="K4" s="3">
        <f t="shared" ref="K4:K12" si="2">SUM(G4:J4)</f>
        <v>15</v>
      </c>
      <c r="L4" s="5">
        <f t="shared" ref="L4:L12" si="3">K4/42</f>
        <v>0.35714285714285715</v>
      </c>
      <c r="M4" s="4">
        <f>SUMIFS(Stems_3D_BP!$K$2:$K$253,Stems_3D_BP!$A$2:$A$253,$A4,Stems_3D_BP!$B$2:$B$253,"3D (tertiary) BP")</f>
        <v>4</v>
      </c>
      <c r="N4" s="6">
        <f t="shared" ref="N4:N12" si="4">M4/14</f>
        <v>0.2857142857142857</v>
      </c>
      <c r="O4" s="3">
        <f t="shared" ref="O4:O12" si="5">K4+M4</f>
        <v>19</v>
      </c>
      <c r="P4" s="5">
        <f t="shared" ref="P4:P12" si="6">O4/56</f>
        <v>0.3392857142857143</v>
      </c>
      <c r="Q4" s="4">
        <f>SUMIFS(Loops!$I$2:$I$46,Loops!$A$2:$A$46,$A4,Loops!$B$2:$B$46,"D-loop")</f>
        <v>2</v>
      </c>
      <c r="R4" s="4">
        <f>SUMIFS(Loops!$I$2:$I$46,Loops!$A$2:$A$46,$A4,Loops!$B$2:$B$46,"Anticodon loop")</f>
        <v>1</v>
      </c>
      <c r="S4" s="4">
        <f>SUMIFS(Loops!$I$2:$I$46,Loops!$A$2:$A$46,$A4,Loops!$B$2:$B$46,"Variable loop")</f>
        <v>1</v>
      </c>
      <c r="T4" s="4">
        <f>SUMIFS(Loops!$I$2:$I$46,Loops!$A$2:$A$46,$A4,Loops!$B$2:$B$46,"TΨC-loop")</f>
        <v>3</v>
      </c>
      <c r="U4" s="4">
        <f>SUMIFS(Loops!$F$2:$F$46,Loops!$A$2:$A$46,$A4)-SUMIFS(Loops!$F$2:$F$46,Loops!$A$2:$A$46,$A4,Loops!$B$2:$B$46,"Positions 8, 9, 26")</f>
        <v>25</v>
      </c>
      <c r="V4" s="3">
        <f t="shared" ref="V4:V12" si="7">SUM(Q4:T4)</f>
        <v>7</v>
      </c>
      <c r="W4" s="5">
        <f t="shared" ref="W4:W12" si="8">V4/U4</f>
        <v>0.28000000000000003</v>
      </c>
      <c r="X4" s="7" t="str">
        <f>INDEX(Positions!$E$2:$E$721,MATCH($A4&amp;"|8",Positions!$A$2:$A$721,0))</f>
        <v>U</v>
      </c>
      <c r="Y4" s="7" t="str">
        <f>INDEX(Positions!$E$2:$E$721,MATCH($A4&amp;"|9",Positions!$A$2:$A$721,0))</f>
        <v>C</v>
      </c>
      <c r="Z4" s="7" t="str">
        <f>INDEX(Positions!$E$2:$E$721,MATCH($A4&amp;"|26",Positions!$A$2:$A$721,0))</f>
        <v>U</v>
      </c>
      <c r="AA4" s="7">
        <f t="shared" ref="AA4:AA12" si="9">(X4="G")+(Y4="G")+(Z4="G")</f>
        <v>0</v>
      </c>
      <c r="AB4" s="7">
        <f t="shared" ref="AB4:AB12" si="10">(X4="C")+(Y4="C")+(Z4="C")</f>
        <v>1</v>
      </c>
      <c r="AC4" s="8">
        <f t="shared" ref="AC4:AC12" si="11">AA4+AB4</f>
        <v>1</v>
      </c>
      <c r="AD4" s="9">
        <f t="shared" ref="AD4:AD12" si="12">AC4/3</f>
        <v>0.33333333333333331</v>
      </c>
      <c r="AE4" s="7" t="str">
        <f t="shared" ref="AE4:AE12" si="13">IF(K4+V4+AC4=E4,"OK","MISMATCH")</f>
        <v>OK</v>
      </c>
      <c r="AF4" s="10">
        <f t="shared" ref="AF4:AF12" si="14">B4-42</f>
        <v>28</v>
      </c>
      <c r="AG4" s="10">
        <f t="shared" ref="AG4:AG12" si="15">V4+AC4</f>
        <v>8</v>
      </c>
      <c r="AH4" s="11">
        <f t="shared" ref="AH4:AH12" si="16">AG4/AF4</f>
        <v>0.2857142857142857</v>
      </c>
      <c r="AI4" s="11">
        <f t="shared" ref="AI4:AI12" si="17">L4</f>
        <v>0.35714285714285715</v>
      </c>
      <c r="AJ4" s="12">
        <f t="shared" ref="AJ4:AJ12" si="18">AI4-AH4</f>
        <v>7.1428571428571452E-2</v>
      </c>
    </row>
    <row r="5" spans="1:36">
      <c r="A5" s="3" t="s">
        <v>38</v>
      </c>
      <c r="B5" s="4">
        <f>COUNTIF(Positions!$B$2:$B$721,A5)</f>
        <v>70</v>
      </c>
      <c r="C5" s="4">
        <f>COUNTIFS(Positions!$B$2:$B$721,A5,Positions!$E$2:$E$721,"G")</f>
        <v>12</v>
      </c>
      <c r="D5" s="4">
        <f>COUNTIFS(Positions!$B$2:$B$721,A5,Positions!$E$2:$E$721,"C")</f>
        <v>9</v>
      </c>
      <c r="E5" s="3">
        <f t="shared" si="0"/>
        <v>21</v>
      </c>
      <c r="F5" s="5">
        <f t="shared" si="1"/>
        <v>0.3</v>
      </c>
      <c r="G5" s="4">
        <f>SUMIFS(Stems_3D_BP!$K$2:$K$253,Stems_3D_BP!$A$2:$A$253,$A5,Stems_3D_BP!$B$2:$B$253,"Acceptor stem")</f>
        <v>4</v>
      </c>
      <c r="H5" s="4">
        <f>SUMIFS(Stems_3D_BP!$K$2:$K$253,Stems_3D_BP!$A$2:$A$253,$A5,Stems_3D_BP!$B$2:$B$253,"D-stem")</f>
        <v>2</v>
      </c>
      <c r="I5" s="4">
        <f>SUMIFS(Stems_3D_BP!$K$2:$K$253,Stems_3D_BP!$A$2:$A$253,$A5,Stems_3D_BP!$B$2:$B$253,"Anticodon stem")</f>
        <v>2</v>
      </c>
      <c r="J5" s="4">
        <f>SUMIFS(Stems_3D_BP!$K$2:$K$253,Stems_3D_BP!$A$2:$A$253,$A5,Stems_3D_BP!$B$2:$B$253,"T-stem")</f>
        <v>4</v>
      </c>
      <c r="K5" s="3">
        <f t="shared" si="2"/>
        <v>12</v>
      </c>
      <c r="L5" s="5">
        <f t="shared" si="3"/>
        <v>0.2857142857142857</v>
      </c>
      <c r="M5" s="4">
        <f>SUMIFS(Stems_3D_BP!$K$2:$K$253,Stems_3D_BP!$A$2:$A$253,$A5,Stems_3D_BP!$B$2:$B$253,"3D (tertiary) BP")</f>
        <v>5</v>
      </c>
      <c r="N5" s="6">
        <f t="shared" si="4"/>
        <v>0.35714285714285715</v>
      </c>
      <c r="O5" s="3">
        <f t="shared" si="5"/>
        <v>17</v>
      </c>
      <c r="P5" s="5">
        <f t="shared" si="6"/>
        <v>0.30357142857142855</v>
      </c>
      <c r="Q5" s="4">
        <f>SUMIFS(Loops!$I$2:$I$46,Loops!$A$2:$A$46,$A5,Loops!$B$2:$B$46,"D-loop")</f>
        <v>3</v>
      </c>
      <c r="R5" s="4">
        <f>SUMIFS(Loops!$I$2:$I$46,Loops!$A$2:$A$46,$A5,Loops!$B$2:$B$46,"Anticodon loop")</f>
        <v>0</v>
      </c>
      <c r="S5" s="4">
        <f>SUMIFS(Loops!$I$2:$I$46,Loops!$A$2:$A$46,$A5,Loops!$B$2:$B$46,"Variable loop")</f>
        <v>1</v>
      </c>
      <c r="T5" s="4">
        <f>SUMIFS(Loops!$I$2:$I$46,Loops!$A$2:$A$46,$A5,Loops!$B$2:$B$46,"TΨC-loop")</f>
        <v>3</v>
      </c>
      <c r="U5" s="4">
        <f>SUMIFS(Loops!$F$2:$F$46,Loops!$A$2:$A$46,$A5)-SUMIFS(Loops!$F$2:$F$46,Loops!$A$2:$A$46,$A5,Loops!$B$2:$B$46,"Positions 8, 9, 26")</f>
        <v>25</v>
      </c>
      <c r="V5" s="3">
        <f t="shared" si="7"/>
        <v>7</v>
      </c>
      <c r="W5" s="5">
        <f t="shared" si="8"/>
        <v>0.28000000000000003</v>
      </c>
      <c r="X5" s="7" t="str">
        <f>INDEX(Positions!$E$2:$E$721,MATCH($A5&amp;"|8",Positions!$A$2:$A$721,0))</f>
        <v>U</v>
      </c>
      <c r="Y5" s="7" t="str">
        <f>INDEX(Positions!$E$2:$E$721,MATCH($A5&amp;"|9",Positions!$A$2:$A$721,0))</f>
        <v>C</v>
      </c>
      <c r="Z5" s="7" t="str">
        <f>INDEX(Positions!$E$2:$E$721,MATCH($A5&amp;"|26",Positions!$A$2:$A$721,0))</f>
        <v>C</v>
      </c>
      <c r="AA5" s="7">
        <f t="shared" si="9"/>
        <v>0</v>
      </c>
      <c r="AB5" s="7">
        <f t="shared" si="10"/>
        <v>2</v>
      </c>
      <c r="AC5" s="8">
        <f t="shared" si="11"/>
        <v>2</v>
      </c>
      <c r="AD5" s="9">
        <f t="shared" si="12"/>
        <v>0.66666666666666663</v>
      </c>
      <c r="AE5" s="7" t="str">
        <f t="shared" si="13"/>
        <v>OK</v>
      </c>
      <c r="AF5" s="10">
        <f t="shared" si="14"/>
        <v>28</v>
      </c>
      <c r="AG5" s="10">
        <f t="shared" si="15"/>
        <v>9</v>
      </c>
      <c r="AH5" s="11">
        <f t="shared" si="16"/>
        <v>0.32142857142857145</v>
      </c>
      <c r="AI5" s="11">
        <f t="shared" si="17"/>
        <v>0.2857142857142857</v>
      </c>
      <c r="AJ5" s="12">
        <f t="shared" si="18"/>
        <v>-3.5714285714285754E-2</v>
      </c>
    </row>
    <row r="6" spans="1:36">
      <c r="A6" s="3" t="s">
        <v>39</v>
      </c>
      <c r="B6" s="4">
        <f>COUNTIF(Positions!$B$2:$B$721,A6)</f>
        <v>70</v>
      </c>
      <c r="C6" s="4">
        <f>COUNTIFS(Positions!$B$2:$B$721,A6,Positions!$E$2:$E$721,"G")</f>
        <v>24</v>
      </c>
      <c r="D6" s="4">
        <f>COUNTIFS(Positions!$B$2:$B$721,A6,Positions!$E$2:$E$721,"C")</f>
        <v>7</v>
      </c>
      <c r="E6" s="3">
        <f t="shared" si="0"/>
        <v>31</v>
      </c>
      <c r="F6" s="5">
        <f t="shared" si="1"/>
        <v>0.44285714285714284</v>
      </c>
      <c r="G6" s="4">
        <f>SUMIFS(Stems_3D_BP!$K$2:$K$253,Stems_3D_BP!$A$2:$A$253,$A6,Stems_3D_BP!$B$2:$B$253,"Acceptor stem")</f>
        <v>7</v>
      </c>
      <c r="H6" s="4">
        <f>SUMIFS(Stems_3D_BP!$K$2:$K$253,Stems_3D_BP!$A$2:$A$253,$A6,Stems_3D_BP!$B$2:$B$253,"D-stem")</f>
        <v>3</v>
      </c>
      <c r="I6" s="4">
        <f>SUMIFS(Stems_3D_BP!$K$2:$K$253,Stems_3D_BP!$A$2:$A$253,$A6,Stems_3D_BP!$B$2:$B$253,"Anticodon stem")</f>
        <v>4</v>
      </c>
      <c r="J6" s="4">
        <f>SUMIFS(Stems_3D_BP!$K$2:$K$253,Stems_3D_BP!$A$2:$A$253,$A6,Stems_3D_BP!$B$2:$B$253,"T-stem")</f>
        <v>6</v>
      </c>
      <c r="K6" s="3">
        <f t="shared" si="2"/>
        <v>20</v>
      </c>
      <c r="L6" s="5">
        <f t="shared" si="3"/>
        <v>0.47619047619047616</v>
      </c>
      <c r="M6" s="4">
        <f>SUMIFS(Stems_3D_BP!$K$2:$K$253,Stems_3D_BP!$A$2:$A$253,$A6,Stems_3D_BP!$B$2:$B$253,"3D (tertiary) BP")</f>
        <v>6</v>
      </c>
      <c r="N6" s="6">
        <f t="shared" si="4"/>
        <v>0.42857142857142855</v>
      </c>
      <c r="O6" s="3">
        <f t="shared" si="5"/>
        <v>26</v>
      </c>
      <c r="P6" s="5">
        <f t="shared" si="6"/>
        <v>0.4642857142857143</v>
      </c>
      <c r="Q6" s="4">
        <f>SUMIFS(Loops!$I$2:$I$46,Loops!$A$2:$A$46,$A6,Loops!$B$2:$B$46,"D-loop")</f>
        <v>7</v>
      </c>
      <c r="R6" s="4">
        <f>SUMIFS(Loops!$I$2:$I$46,Loops!$A$2:$A$46,$A6,Loops!$B$2:$B$46,"Anticodon loop")</f>
        <v>2</v>
      </c>
      <c r="S6" s="4">
        <f>SUMIFS(Loops!$I$2:$I$46,Loops!$A$2:$A$46,$A6,Loops!$B$2:$B$46,"Variable loop")</f>
        <v>0</v>
      </c>
      <c r="T6" s="4">
        <f>SUMIFS(Loops!$I$2:$I$46,Loops!$A$2:$A$46,$A6,Loops!$B$2:$B$46,"TΨC-loop")</f>
        <v>2</v>
      </c>
      <c r="U6" s="4">
        <f>SUMIFS(Loops!$F$2:$F$46,Loops!$A$2:$A$46,$A6)-SUMIFS(Loops!$F$2:$F$46,Loops!$A$2:$A$46,$A6,Loops!$B$2:$B$46,"Positions 8, 9, 26")</f>
        <v>25</v>
      </c>
      <c r="V6" s="3">
        <f t="shared" si="7"/>
        <v>11</v>
      </c>
      <c r="W6" s="5">
        <f t="shared" si="8"/>
        <v>0.44</v>
      </c>
      <c r="X6" s="7" t="str">
        <f>INDEX(Positions!$E$2:$E$721,MATCH($A6&amp;"|8",Positions!$A$2:$A$721,0))</f>
        <v>U</v>
      </c>
      <c r="Y6" s="7" t="str">
        <f>INDEX(Positions!$E$2:$E$721,MATCH($A6&amp;"|9",Positions!$A$2:$A$721,0))</f>
        <v>U</v>
      </c>
      <c r="Z6" s="7" t="str">
        <f>INDEX(Positions!$E$2:$E$721,MATCH($A6&amp;"|26",Positions!$A$2:$A$721,0))</f>
        <v>U</v>
      </c>
      <c r="AA6" s="7">
        <f t="shared" si="9"/>
        <v>0</v>
      </c>
      <c r="AB6" s="7">
        <f t="shared" si="10"/>
        <v>0</v>
      </c>
      <c r="AC6" s="8">
        <f t="shared" si="11"/>
        <v>0</v>
      </c>
      <c r="AD6" s="9">
        <f t="shared" si="12"/>
        <v>0</v>
      </c>
      <c r="AE6" s="7" t="str">
        <f t="shared" si="13"/>
        <v>OK</v>
      </c>
      <c r="AF6" s="10">
        <f t="shared" si="14"/>
        <v>28</v>
      </c>
      <c r="AG6" s="10">
        <f t="shared" si="15"/>
        <v>11</v>
      </c>
      <c r="AH6" s="11">
        <f t="shared" si="16"/>
        <v>0.39285714285714285</v>
      </c>
      <c r="AI6" s="11">
        <f t="shared" si="17"/>
        <v>0.47619047619047616</v>
      </c>
      <c r="AJ6" s="12">
        <f t="shared" si="18"/>
        <v>8.3333333333333315E-2</v>
      </c>
    </row>
    <row r="7" spans="1:36">
      <c r="A7" s="3" t="s">
        <v>40</v>
      </c>
      <c r="B7" s="4">
        <f>COUNTIF(Positions!$B$2:$B$721,A7)</f>
        <v>71</v>
      </c>
      <c r="C7" s="4">
        <f>COUNTIFS(Positions!$B$2:$B$721,A7,Positions!$E$2:$E$721,"G")</f>
        <v>26</v>
      </c>
      <c r="D7" s="4">
        <f>COUNTIFS(Positions!$B$2:$B$721,A7,Positions!$E$2:$E$721,"C")</f>
        <v>20</v>
      </c>
      <c r="E7" s="3">
        <f t="shared" si="0"/>
        <v>46</v>
      </c>
      <c r="F7" s="5">
        <f t="shared" si="1"/>
        <v>0.647887323943662</v>
      </c>
      <c r="G7" s="4">
        <f>SUMIFS(Stems_3D_BP!$K$2:$K$253,Stems_3D_BP!$A$2:$A$253,$A7,Stems_3D_BP!$B$2:$B$253,"Acceptor stem")</f>
        <v>12</v>
      </c>
      <c r="H7" s="4">
        <f>SUMIFS(Stems_3D_BP!$K$2:$K$253,Stems_3D_BP!$A$2:$A$253,$A7,Stems_3D_BP!$B$2:$B$253,"D-stem")</f>
        <v>7</v>
      </c>
      <c r="I7" s="4">
        <f>SUMIFS(Stems_3D_BP!$K$2:$K$253,Stems_3D_BP!$A$2:$A$253,$A7,Stems_3D_BP!$B$2:$B$253,"Anticodon stem")</f>
        <v>7</v>
      </c>
      <c r="J7" s="4">
        <f>SUMIFS(Stems_3D_BP!$K$2:$K$253,Stems_3D_BP!$A$2:$A$253,$A7,Stems_3D_BP!$B$2:$B$253,"T-stem")</f>
        <v>8</v>
      </c>
      <c r="K7" s="3">
        <f t="shared" si="2"/>
        <v>34</v>
      </c>
      <c r="L7" s="5">
        <f t="shared" si="3"/>
        <v>0.80952380952380953</v>
      </c>
      <c r="M7" s="4">
        <f>SUMIFS(Stems_3D_BP!$K$2:$K$253,Stems_3D_BP!$A$2:$A$253,$A7,Stems_3D_BP!$B$2:$B$253,"3D (tertiary) BP")</f>
        <v>7</v>
      </c>
      <c r="N7" s="6">
        <f t="shared" si="4"/>
        <v>0.5</v>
      </c>
      <c r="O7" s="3">
        <f t="shared" si="5"/>
        <v>41</v>
      </c>
      <c r="P7" s="5">
        <f t="shared" si="6"/>
        <v>0.7321428571428571</v>
      </c>
      <c r="Q7" s="4">
        <f>SUMIFS(Loops!$I$2:$I$46,Loops!$A$2:$A$46,$A7,Loops!$B$2:$B$46,"D-loop")</f>
        <v>3</v>
      </c>
      <c r="R7" s="4">
        <f>SUMIFS(Loops!$I$2:$I$46,Loops!$A$2:$A$46,$A7,Loops!$B$2:$B$46,"Anticodon loop")</f>
        <v>2</v>
      </c>
      <c r="S7" s="4">
        <f>SUMIFS(Loops!$I$2:$I$46,Loops!$A$2:$A$46,$A7,Loops!$B$2:$B$46,"Variable loop")</f>
        <v>3</v>
      </c>
      <c r="T7" s="4">
        <f>SUMIFS(Loops!$I$2:$I$46,Loops!$A$2:$A$46,$A7,Loops!$B$2:$B$46,"TΨC-loop")</f>
        <v>3</v>
      </c>
      <c r="U7" s="4">
        <f>SUMIFS(Loops!$F$2:$F$46,Loops!$A$2:$A$46,$A7)-SUMIFS(Loops!$F$2:$F$46,Loops!$A$2:$A$46,$A7,Loops!$B$2:$B$46,"Positions 8, 9, 26")</f>
        <v>26</v>
      </c>
      <c r="V7" s="3">
        <f t="shared" si="7"/>
        <v>11</v>
      </c>
      <c r="W7" s="5">
        <f t="shared" si="8"/>
        <v>0.42307692307692307</v>
      </c>
      <c r="X7" s="7" t="str">
        <f>INDEX(Positions!$E$2:$E$721,MATCH($A7&amp;"|8",Positions!$A$2:$A$721,0))</f>
        <v>U</v>
      </c>
      <c r="Y7" s="7" t="str">
        <f>INDEX(Positions!$E$2:$E$721,MATCH($A7&amp;"|9",Positions!$A$2:$A$721,0))</f>
        <v>A</v>
      </c>
      <c r="Z7" s="7" t="str">
        <f>INDEX(Positions!$E$2:$E$721,MATCH($A7&amp;"|26",Positions!$A$2:$A$721,0))</f>
        <v>C</v>
      </c>
      <c r="AA7" s="7">
        <f t="shared" si="9"/>
        <v>0</v>
      </c>
      <c r="AB7" s="7">
        <f t="shared" si="10"/>
        <v>1</v>
      </c>
      <c r="AC7" s="8">
        <f t="shared" si="11"/>
        <v>1</v>
      </c>
      <c r="AD7" s="9">
        <f t="shared" si="12"/>
        <v>0.33333333333333331</v>
      </c>
      <c r="AE7" s="7" t="str">
        <f t="shared" si="13"/>
        <v>OK</v>
      </c>
      <c r="AF7" s="10">
        <f t="shared" si="14"/>
        <v>29</v>
      </c>
      <c r="AG7" s="10">
        <f t="shared" si="15"/>
        <v>12</v>
      </c>
      <c r="AH7" s="11">
        <f t="shared" si="16"/>
        <v>0.41379310344827586</v>
      </c>
      <c r="AI7" s="11">
        <f t="shared" si="17"/>
        <v>0.80952380952380953</v>
      </c>
      <c r="AJ7" s="12">
        <f t="shared" si="18"/>
        <v>0.39573070607553368</v>
      </c>
    </row>
    <row r="8" spans="1:36">
      <c r="A8" s="3" t="s">
        <v>41</v>
      </c>
      <c r="B8" s="4">
        <f>COUNTIF(Positions!$B$2:$B$721,A8)</f>
        <v>80</v>
      </c>
      <c r="C8" s="4">
        <f>COUNTIFS(Positions!$B$2:$B$721,A8,Positions!$E$2:$E$721,"G")</f>
        <v>12</v>
      </c>
      <c r="D8" s="4">
        <f>COUNTIFS(Positions!$B$2:$B$721,A8,Positions!$E$2:$E$721,"C")</f>
        <v>16</v>
      </c>
      <c r="E8" s="3">
        <f t="shared" si="0"/>
        <v>28</v>
      </c>
      <c r="F8" s="5">
        <f t="shared" si="1"/>
        <v>0.35</v>
      </c>
      <c r="G8" s="4">
        <f>SUMIFS(Stems_3D_BP!$K$2:$K$253,Stems_3D_BP!$A$2:$A$253,$A8,Stems_3D_BP!$B$2:$B$253,"Acceptor stem")</f>
        <v>7</v>
      </c>
      <c r="H8" s="4">
        <f>SUMIFS(Stems_3D_BP!$K$2:$K$253,Stems_3D_BP!$A$2:$A$253,$A8,Stems_3D_BP!$B$2:$B$253,"D-stem")</f>
        <v>0</v>
      </c>
      <c r="I8" s="4">
        <f>SUMIFS(Stems_3D_BP!$K$2:$K$253,Stems_3D_BP!$A$2:$A$253,$A8,Stems_3D_BP!$B$2:$B$253,"Anticodon stem")</f>
        <v>2</v>
      </c>
      <c r="J8" s="4">
        <f>SUMIFS(Stems_3D_BP!$K$2:$K$253,Stems_3D_BP!$A$2:$A$253,$A8,Stems_3D_BP!$B$2:$B$253,"T-stem")</f>
        <v>7</v>
      </c>
      <c r="K8" s="3">
        <f t="shared" si="2"/>
        <v>16</v>
      </c>
      <c r="L8" s="5">
        <f t="shared" si="3"/>
        <v>0.38095238095238093</v>
      </c>
      <c r="M8" s="4">
        <f>SUMIFS(Stems_3D_BP!$K$2:$K$253,Stems_3D_BP!$A$2:$A$253,$A8,Stems_3D_BP!$B$2:$B$253,"3D (tertiary) BP")</f>
        <v>4</v>
      </c>
      <c r="N8" s="6">
        <f t="shared" si="4"/>
        <v>0.2857142857142857</v>
      </c>
      <c r="O8" s="3">
        <f t="shared" si="5"/>
        <v>20</v>
      </c>
      <c r="P8" s="5">
        <f t="shared" si="6"/>
        <v>0.35714285714285715</v>
      </c>
      <c r="Q8" s="4">
        <f>SUMIFS(Loops!$I$2:$I$46,Loops!$A$2:$A$46,$A8,Loops!$B$2:$B$46,"D-loop")</f>
        <v>3</v>
      </c>
      <c r="R8" s="4">
        <f>SUMIFS(Loops!$I$2:$I$46,Loops!$A$2:$A$46,$A8,Loops!$B$2:$B$46,"Anticodon loop")</f>
        <v>1</v>
      </c>
      <c r="S8" s="4">
        <f>SUMIFS(Loops!$I$2:$I$46,Loops!$A$2:$A$46,$A8,Loops!$B$2:$B$46,"Variable loop")</f>
        <v>4</v>
      </c>
      <c r="T8" s="4">
        <f>SUMIFS(Loops!$I$2:$I$46,Loops!$A$2:$A$46,$A8,Loops!$B$2:$B$46,"TΨC-loop")</f>
        <v>3</v>
      </c>
      <c r="U8" s="4">
        <f>SUMIFS(Loops!$F$2:$F$46,Loops!$A$2:$A$46,$A8)-SUMIFS(Loops!$F$2:$F$46,Loops!$A$2:$A$46,$A8,Loops!$B$2:$B$46,"Positions 8, 9, 26")</f>
        <v>35</v>
      </c>
      <c r="V8" s="3">
        <f t="shared" si="7"/>
        <v>11</v>
      </c>
      <c r="W8" s="5">
        <f t="shared" si="8"/>
        <v>0.31428571428571428</v>
      </c>
      <c r="X8" s="7" t="str">
        <f>INDEX(Positions!$E$2:$E$721,MATCH($A8&amp;"|8",Positions!$A$2:$A$721,0))</f>
        <v>U</v>
      </c>
      <c r="Y8" s="7" t="str">
        <f>INDEX(Positions!$E$2:$E$721,MATCH($A8&amp;"|9",Positions!$A$2:$A$721,0))</f>
        <v>A</v>
      </c>
      <c r="Z8" s="7" t="str">
        <f>INDEX(Positions!$E$2:$E$721,MATCH($A8&amp;"|26",Positions!$A$2:$A$721,0))</f>
        <v>C</v>
      </c>
      <c r="AA8" s="7">
        <f t="shared" si="9"/>
        <v>0</v>
      </c>
      <c r="AB8" s="7">
        <f t="shared" si="10"/>
        <v>1</v>
      </c>
      <c r="AC8" s="8">
        <f t="shared" si="11"/>
        <v>1</v>
      </c>
      <c r="AD8" s="9">
        <f t="shared" si="12"/>
        <v>0.33333333333333331</v>
      </c>
      <c r="AE8" s="7" t="str">
        <f t="shared" si="13"/>
        <v>OK</v>
      </c>
      <c r="AF8" s="10">
        <f t="shared" si="14"/>
        <v>38</v>
      </c>
      <c r="AG8" s="10">
        <f t="shared" si="15"/>
        <v>12</v>
      </c>
      <c r="AH8" s="11">
        <f t="shared" si="16"/>
        <v>0.31578947368421051</v>
      </c>
      <c r="AI8" s="11">
        <f t="shared" si="17"/>
        <v>0.38095238095238093</v>
      </c>
      <c r="AJ8" s="12">
        <f t="shared" si="18"/>
        <v>6.5162907268170422E-2</v>
      </c>
    </row>
    <row r="9" spans="1:36">
      <c r="A9" s="3" t="s">
        <v>42</v>
      </c>
      <c r="B9" s="4">
        <f>COUNTIF(Positions!$B$2:$B$721,A9)</f>
        <v>86</v>
      </c>
      <c r="C9" s="4">
        <f>COUNTIFS(Positions!$B$2:$B$721,A9,Positions!$E$2:$E$721,"G")</f>
        <v>21</v>
      </c>
      <c r="D9" s="4">
        <f>COUNTIFS(Positions!$B$2:$B$721,A9,Positions!$E$2:$E$721,"C")</f>
        <v>18</v>
      </c>
      <c r="E9" s="3">
        <f t="shared" si="0"/>
        <v>39</v>
      </c>
      <c r="F9" s="5">
        <f t="shared" si="1"/>
        <v>0.45348837209302323</v>
      </c>
      <c r="G9" s="4">
        <f>SUMIFS(Stems_3D_BP!$K$2:$K$253,Stems_3D_BP!$A$2:$A$253,$A9,Stems_3D_BP!$B$2:$B$253,"Acceptor stem")</f>
        <v>6</v>
      </c>
      <c r="H9" s="4">
        <f>SUMIFS(Stems_3D_BP!$K$2:$K$253,Stems_3D_BP!$A$2:$A$253,$A9,Stems_3D_BP!$B$2:$B$253,"D-stem")</f>
        <v>4</v>
      </c>
      <c r="I9" s="4">
        <f>SUMIFS(Stems_3D_BP!$K$2:$K$253,Stems_3D_BP!$A$2:$A$253,$A9,Stems_3D_BP!$B$2:$B$253,"Anticodon stem")</f>
        <v>3</v>
      </c>
      <c r="J9" s="4">
        <f>SUMIFS(Stems_3D_BP!$K$2:$K$253,Stems_3D_BP!$A$2:$A$253,$A9,Stems_3D_BP!$B$2:$B$253,"T-stem")</f>
        <v>8</v>
      </c>
      <c r="K9" s="3">
        <f t="shared" si="2"/>
        <v>21</v>
      </c>
      <c r="L9" s="5">
        <f t="shared" si="3"/>
        <v>0.5</v>
      </c>
      <c r="M9" s="4">
        <f>SUMIFS(Stems_3D_BP!$K$2:$K$253,Stems_3D_BP!$A$2:$A$253,$A9,Stems_3D_BP!$B$2:$B$253,"3D (tertiary) BP")</f>
        <v>5</v>
      </c>
      <c r="N9" s="6">
        <f t="shared" si="4"/>
        <v>0.35714285714285715</v>
      </c>
      <c r="O9" s="3">
        <f t="shared" si="5"/>
        <v>26</v>
      </c>
      <c r="P9" s="5">
        <f t="shared" si="6"/>
        <v>0.4642857142857143</v>
      </c>
      <c r="Q9" s="4">
        <f>SUMIFS(Loops!$I$2:$I$46,Loops!$A$2:$A$46,$A9,Loops!$B$2:$B$46,"D-loop")</f>
        <v>4</v>
      </c>
      <c r="R9" s="4">
        <f>SUMIFS(Loops!$I$2:$I$46,Loops!$A$2:$A$46,$A9,Loops!$B$2:$B$46,"Anticodon loop")</f>
        <v>3</v>
      </c>
      <c r="S9" s="4">
        <f>SUMIFS(Loops!$I$2:$I$46,Loops!$A$2:$A$46,$A9,Loops!$B$2:$B$46,"Variable loop")</f>
        <v>8</v>
      </c>
      <c r="T9" s="4">
        <f>SUMIFS(Loops!$I$2:$I$46,Loops!$A$2:$A$46,$A9,Loops!$B$2:$B$46,"TΨC-loop")</f>
        <v>3</v>
      </c>
      <c r="U9" s="4">
        <f>SUMIFS(Loops!$F$2:$F$46,Loops!$A$2:$A$46,$A9)-SUMIFS(Loops!$F$2:$F$46,Loops!$A$2:$A$46,$A9,Loops!$B$2:$B$46,"Positions 8, 9, 26")</f>
        <v>41</v>
      </c>
      <c r="V9" s="3">
        <f t="shared" si="7"/>
        <v>18</v>
      </c>
      <c r="W9" s="5">
        <f t="shared" si="8"/>
        <v>0.43902439024390244</v>
      </c>
      <c r="X9" s="7" t="str">
        <f>INDEX(Positions!$E$2:$E$721,MATCH($A9&amp;"|8",Positions!$A$2:$A$721,0))</f>
        <v>U</v>
      </c>
      <c r="Y9" s="7" t="str">
        <f>INDEX(Positions!$E$2:$E$721,MATCH($A9&amp;"|9",Positions!$A$2:$A$721,0))</f>
        <v>A</v>
      </c>
      <c r="Z9" s="7" t="str">
        <f>INDEX(Positions!$E$2:$E$721,MATCH($A9&amp;"|26",Positions!$A$2:$A$721,0))</f>
        <v>U</v>
      </c>
      <c r="AA9" s="7">
        <f t="shared" si="9"/>
        <v>0</v>
      </c>
      <c r="AB9" s="7">
        <f t="shared" si="10"/>
        <v>0</v>
      </c>
      <c r="AC9" s="8">
        <f t="shared" si="11"/>
        <v>0</v>
      </c>
      <c r="AD9" s="9">
        <f t="shared" si="12"/>
        <v>0</v>
      </c>
      <c r="AE9" s="7" t="str">
        <f t="shared" si="13"/>
        <v>OK</v>
      </c>
      <c r="AF9" s="10">
        <f t="shared" si="14"/>
        <v>44</v>
      </c>
      <c r="AG9" s="10">
        <f t="shared" si="15"/>
        <v>18</v>
      </c>
      <c r="AH9" s="11">
        <f t="shared" si="16"/>
        <v>0.40909090909090912</v>
      </c>
      <c r="AI9" s="11">
        <f t="shared" si="17"/>
        <v>0.5</v>
      </c>
      <c r="AJ9" s="12">
        <f t="shared" si="18"/>
        <v>9.0909090909090884E-2</v>
      </c>
    </row>
    <row r="10" spans="1:36">
      <c r="A10" s="3" t="s">
        <v>43</v>
      </c>
      <c r="B10" s="4">
        <f>COUNTIF(Positions!$B$2:$B$721,A10)</f>
        <v>88</v>
      </c>
      <c r="C10" s="4">
        <f>COUNTIFS(Positions!$B$2:$B$721,A10,Positions!$E$2:$E$721,"G")</f>
        <v>22</v>
      </c>
      <c r="D10" s="4">
        <f>COUNTIFS(Positions!$B$2:$B$721,A10,Positions!$E$2:$E$721,"C")</f>
        <v>16</v>
      </c>
      <c r="E10" s="3">
        <f t="shared" si="0"/>
        <v>38</v>
      </c>
      <c r="F10" s="5">
        <f t="shared" si="1"/>
        <v>0.43181818181818182</v>
      </c>
      <c r="G10" s="4">
        <f>SUMIFS(Stems_3D_BP!$K$2:$K$253,Stems_3D_BP!$A$2:$A$253,$A10,Stems_3D_BP!$B$2:$B$253,"Acceptor stem")</f>
        <v>5</v>
      </c>
      <c r="H10" s="4">
        <f>SUMIFS(Stems_3D_BP!$K$2:$K$253,Stems_3D_BP!$A$2:$A$253,$A10,Stems_3D_BP!$B$2:$B$253,"D-stem")</f>
        <v>4</v>
      </c>
      <c r="I10" s="4">
        <f>SUMIFS(Stems_3D_BP!$K$2:$K$253,Stems_3D_BP!$A$2:$A$253,$A10,Stems_3D_BP!$B$2:$B$253,"Anticodon stem")</f>
        <v>4</v>
      </c>
      <c r="J10" s="4">
        <f>SUMIFS(Stems_3D_BP!$K$2:$K$253,Stems_3D_BP!$A$2:$A$253,$A10,Stems_3D_BP!$B$2:$B$253,"T-stem")</f>
        <v>7</v>
      </c>
      <c r="K10" s="3">
        <f t="shared" si="2"/>
        <v>20</v>
      </c>
      <c r="L10" s="5">
        <f t="shared" si="3"/>
        <v>0.47619047619047616</v>
      </c>
      <c r="M10" s="4">
        <f>SUMIFS(Stems_3D_BP!$K$2:$K$253,Stems_3D_BP!$A$2:$A$253,$A10,Stems_3D_BP!$B$2:$B$253,"3D (tertiary) BP")</f>
        <v>7</v>
      </c>
      <c r="N10" s="6">
        <f t="shared" si="4"/>
        <v>0.5</v>
      </c>
      <c r="O10" s="3">
        <f t="shared" si="5"/>
        <v>27</v>
      </c>
      <c r="P10" s="5">
        <f t="shared" si="6"/>
        <v>0.48214285714285715</v>
      </c>
      <c r="Q10" s="4">
        <f>SUMIFS(Loops!$I$2:$I$46,Loops!$A$2:$A$46,$A10,Loops!$B$2:$B$46,"D-loop")</f>
        <v>4</v>
      </c>
      <c r="R10" s="4">
        <f>SUMIFS(Loops!$I$2:$I$46,Loops!$A$2:$A$46,$A10,Loops!$B$2:$B$46,"Anticodon loop")</f>
        <v>2</v>
      </c>
      <c r="S10" s="4">
        <f>SUMIFS(Loops!$I$2:$I$46,Loops!$A$2:$A$46,$A10,Loops!$B$2:$B$46,"Variable loop")</f>
        <v>8</v>
      </c>
      <c r="T10" s="4">
        <f>SUMIFS(Loops!$I$2:$I$46,Loops!$A$2:$A$46,$A10,Loops!$B$2:$B$46,"TΨC-loop")</f>
        <v>4</v>
      </c>
      <c r="U10" s="4">
        <f>SUMIFS(Loops!$F$2:$F$46,Loops!$A$2:$A$46,$A10)-SUMIFS(Loops!$F$2:$F$46,Loops!$A$2:$A$46,$A10,Loops!$B$2:$B$46,"Positions 8, 9, 26")</f>
        <v>43</v>
      </c>
      <c r="V10" s="3">
        <f t="shared" si="7"/>
        <v>18</v>
      </c>
      <c r="W10" s="5">
        <f t="shared" si="8"/>
        <v>0.41860465116279072</v>
      </c>
      <c r="X10" s="7" t="str">
        <f>INDEX(Positions!$E$2:$E$721,MATCH($A10&amp;"|8",Positions!$A$2:$A$721,0))</f>
        <v>U</v>
      </c>
      <c r="Y10" s="7" t="str">
        <f>INDEX(Positions!$E$2:$E$721,MATCH($A10&amp;"|9",Positions!$A$2:$A$721,0))</f>
        <v>A</v>
      </c>
      <c r="Z10" s="7" t="str">
        <f>INDEX(Positions!$E$2:$E$721,MATCH($A10&amp;"|26",Positions!$A$2:$A$721,0))</f>
        <v>U</v>
      </c>
      <c r="AA10" s="7">
        <f t="shared" si="9"/>
        <v>0</v>
      </c>
      <c r="AB10" s="7">
        <f t="shared" si="10"/>
        <v>0</v>
      </c>
      <c r="AC10" s="8">
        <f t="shared" si="11"/>
        <v>0</v>
      </c>
      <c r="AD10" s="9">
        <f t="shared" si="12"/>
        <v>0</v>
      </c>
      <c r="AE10" s="7" t="str">
        <f t="shared" si="13"/>
        <v>OK</v>
      </c>
      <c r="AF10" s="10">
        <f t="shared" si="14"/>
        <v>46</v>
      </c>
      <c r="AG10" s="10">
        <f t="shared" si="15"/>
        <v>18</v>
      </c>
      <c r="AH10" s="11">
        <f t="shared" si="16"/>
        <v>0.39130434782608697</v>
      </c>
      <c r="AI10" s="11">
        <f t="shared" si="17"/>
        <v>0.47619047619047616</v>
      </c>
      <c r="AJ10" s="12">
        <f t="shared" si="18"/>
        <v>8.4886128364389191E-2</v>
      </c>
    </row>
    <row r="11" spans="1:36">
      <c r="A11" s="3" t="s">
        <v>44</v>
      </c>
      <c r="B11" s="4">
        <f>COUNTIF(Positions!$B$2:$B$721,A11)</f>
        <v>92</v>
      </c>
      <c r="C11" s="4">
        <f>COUNTIFS(Positions!$B$2:$B$721,A11,Positions!$E$2:$E$721,"G")</f>
        <v>25</v>
      </c>
      <c r="D11" s="4">
        <f>COUNTIFS(Positions!$B$2:$B$721,A11,Positions!$E$2:$E$721,"C")</f>
        <v>19</v>
      </c>
      <c r="E11" s="3">
        <f t="shared" si="0"/>
        <v>44</v>
      </c>
      <c r="F11" s="5">
        <f t="shared" si="1"/>
        <v>0.47826086956521741</v>
      </c>
      <c r="G11" s="4">
        <f>SUMIFS(Stems_3D_BP!$K$2:$K$253,Stems_3D_BP!$A$2:$A$253,$A11,Stems_3D_BP!$B$2:$B$253,"Acceptor stem")</f>
        <v>8</v>
      </c>
      <c r="H11" s="4">
        <f>SUMIFS(Stems_3D_BP!$K$2:$K$253,Stems_3D_BP!$A$2:$A$253,$A11,Stems_3D_BP!$B$2:$B$253,"D-stem")</f>
        <v>4</v>
      </c>
      <c r="I11" s="4">
        <f>SUMIFS(Stems_3D_BP!$K$2:$K$253,Stems_3D_BP!$A$2:$A$253,$A11,Stems_3D_BP!$B$2:$B$253,"Anticodon stem")</f>
        <v>8</v>
      </c>
      <c r="J11" s="4">
        <f>SUMIFS(Stems_3D_BP!$K$2:$K$253,Stems_3D_BP!$A$2:$A$253,$A11,Stems_3D_BP!$B$2:$B$253,"T-stem")</f>
        <v>4</v>
      </c>
      <c r="K11" s="3">
        <f t="shared" si="2"/>
        <v>24</v>
      </c>
      <c r="L11" s="5">
        <f t="shared" si="3"/>
        <v>0.5714285714285714</v>
      </c>
      <c r="M11" s="4">
        <f>SUMIFS(Stems_3D_BP!$K$2:$K$253,Stems_3D_BP!$A$2:$A$253,$A11,Stems_3D_BP!$B$2:$B$253,"3D (tertiary) BP")</f>
        <v>6</v>
      </c>
      <c r="N11" s="6">
        <f t="shared" si="4"/>
        <v>0.42857142857142855</v>
      </c>
      <c r="O11" s="3">
        <f t="shared" si="5"/>
        <v>30</v>
      </c>
      <c r="P11" s="5">
        <f t="shared" si="6"/>
        <v>0.5357142857142857</v>
      </c>
      <c r="Q11" s="4">
        <f>SUMIFS(Loops!$I$2:$I$46,Loops!$A$2:$A$46,$A11,Loops!$B$2:$B$46,"D-loop")</f>
        <v>4</v>
      </c>
      <c r="R11" s="4">
        <f>SUMIFS(Loops!$I$2:$I$46,Loops!$A$2:$A$46,$A11,Loops!$B$2:$B$46,"Anticodon loop")</f>
        <v>4</v>
      </c>
      <c r="S11" s="4">
        <f>SUMIFS(Loops!$I$2:$I$46,Loops!$A$2:$A$46,$A11,Loops!$B$2:$B$46,"Variable loop")</f>
        <v>9</v>
      </c>
      <c r="T11" s="4">
        <f>SUMIFS(Loops!$I$2:$I$46,Loops!$A$2:$A$46,$A11,Loops!$B$2:$B$46,"TΨC-loop")</f>
        <v>3</v>
      </c>
      <c r="U11" s="4">
        <f>SUMIFS(Loops!$F$2:$F$46,Loops!$A$2:$A$46,$A11)-SUMIFS(Loops!$F$2:$F$46,Loops!$A$2:$A$46,$A11,Loops!$B$2:$B$46,"Positions 8, 9, 26")</f>
        <v>47</v>
      </c>
      <c r="V11" s="3">
        <f t="shared" si="7"/>
        <v>20</v>
      </c>
      <c r="W11" s="5">
        <f t="shared" si="8"/>
        <v>0.42553191489361702</v>
      </c>
      <c r="X11" s="7" t="str">
        <f>INDEX(Positions!$E$2:$E$721,MATCH($A11&amp;"|8",Positions!$A$2:$A$721,0))</f>
        <v>U</v>
      </c>
      <c r="Y11" s="7" t="str">
        <f>INDEX(Positions!$E$2:$E$721,MATCH($A11&amp;"|9",Positions!$A$2:$A$721,0))</f>
        <v>U</v>
      </c>
      <c r="Z11" s="7" t="str">
        <f>INDEX(Positions!$E$2:$E$721,MATCH($A11&amp;"|26",Positions!$A$2:$A$721,0))</f>
        <v>A</v>
      </c>
      <c r="AA11" s="7">
        <f t="shared" si="9"/>
        <v>0</v>
      </c>
      <c r="AB11" s="7">
        <f t="shared" si="10"/>
        <v>0</v>
      </c>
      <c r="AC11" s="8">
        <f t="shared" si="11"/>
        <v>0</v>
      </c>
      <c r="AD11" s="9">
        <f t="shared" si="12"/>
        <v>0</v>
      </c>
      <c r="AE11" s="7" t="str">
        <f t="shared" si="13"/>
        <v>OK</v>
      </c>
      <c r="AF11" s="10">
        <f t="shared" si="14"/>
        <v>50</v>
      </c>
      <c r="AG11" s="10">
        <f t="shared" si="15"/>
        <v>20</v>
      </c>
      <c r="AH11" s="11">
        <f t="shared" si="16"/>
        <v>0.4</v>
      </c>
      <c r="AI11" s="11">
        <f t="shared" si="17"/>
        <v>0.5714285714285714</v>
      </c>
      <c r="AJ11" s="12">
        <f t="shared" si="18"/>
        <v>0.17142857142857137</v>
      </c>
    </row>
    <row r="12" spans="1:36">
      <c r="A12" s="3" t="s">
        <v>45</v>
      </c>
      <c r="B12" s="4">
        <f>COUNTIF(Positions!$B$2:$B$721,A12)</f>
        <v>93</v>
      </c>
      <c r="C12" s="4">
        <f>COUNTIFS(Positions!$B$2:$B$721,A12,Positions!$E$2:$E$721,"G")</f>
        <v>24</v>
      </c>
      <c r="D12" s="4">
        <f>COUNTIFS(Positions!$B$2:$B$721,A12,Positions!$E$2:$E$721,"C")</f>
        <v>18</v>
      </c>
      <c r="E12" s="3">
        <f t="shared" si="0"/>
        <v>42</v>
      </c>
      <c r="F12" s="5">
        <f t="shared" si="1"/>
        <v>0.45161290322580644</v>
      </c>
      <c r="G12" s="4">
        <f>SUMIFS(Stems_3D_BP!$K$2:$K$253,Stems_3D_BP!$A$2:$A$253,$A12,Stems_3D_BP!$B$2:$B$253,"Acceptor stem")</f>
        <v>7</v>
      </c>
      <c r="H12" s="4">
        <f>SUMIFS(Stems_3D_BP!$K$2:$K$253,Stems_3D_BP!$A$2:$A$253,$A12,Stems_3D_BP!$B$2:$B$253,"D-stem")</f>
        <v>4</v>
      </c>
      <c r="I12" s="4">
        <f>SUMIFS(Stems_3D_BP!$K$2:$K$253,Stems_3D_BP!$A$2:$A$253,$A12,Stems_3D_BP!$B$2:$B$253,"Anticodon stem")</f>
        <v>2</v>
      </c>
      <c r="J12" s="4">
        <f>SUMIFS(Stems_3D_BP!$K$2:$K$253,Stems_3D_BP!$A$2:$A$253,$A12,Stems_3D_BP!$B$2:$B$253,"T-stem")</f>
        <v>5</v>
      </c>
      <c r="K12" s="3">
        <f t="shared" si="2"/>
        <v>18</v>
      </c>
      <c r="L12" s="5">
        <f t="shared" si="3"/>
        <v>0.42857142857142855</v>
      </c>
      <c r="M12" s="4">
        <f>SUMIFS(Stems_3D_BP!$K$2:$K$253,Stems_3D_BP!$A$2:$A$253,$A12,Stems_3D_BP!$B$2:$B$253,"3D (tertiary) BP")</f>
        <v>9</v>
      </c>
      <c r="N12" s="6">
        <f t="shared" si="4"/>
        <v>0.6428571428571429</v>
      </c>
      <c r="O12" s="3">
        <f t="shared" si="5"/>
        <v>27</v>
      </c>
      <c r="P12" s="5">
        <f t="shared" si="6"/>
        <v>0.48214285714285715</v>
      </c>
      <c r="Q12" s="4">
        <f>SUMIFS(Loops!$I$2:$I$46,Loops!$A$2:$A$46,$A12,Loops!$B$2:$B$46,"D-loop")</f>
        <v>8</v>
      </c>
      <c r="R12" s="4">
        <f>SUMIFS(Loops!$I$2:$I$46,Loops!$A$2:$A$46,$A12,Loops!$B$2:$B$46,"Anticodon loop")</f>
        <v>3</v>
      </c>
      <c r="S12" s="4">
        <f>SUMIFS(Loops!$I$2:$I$46,Loops!$A$2:$A$46,$A12,Loops!$B$2:$B$46,"Variable loop")</f>
        <v>10</v>
      </c>
      <c r="T12" s="4">
        <f>SUMIFS(Loops!$I$2:$I$46,Loops!$A$2:$A$46,$A12,Loops!$B$2:$B$46,"TΨC-loop")</f>
        <v>2</v>
      </c>
      <c r="U12" s="4">
        <f>SUMIFS(Loops!$F$2:$F$46,Loops!$A$2:$A$46,$A12)-SUMIFS(Loops!$F$2:$F$46,Loops!$A$2:$A$46,$A12,Loops!$B$2:$B$46,"Positions 8, 9, 26")</f>
        <v>48</v>
      </c>
      <c r="V12" s="3">
        <f t="shared" si="7"/>
        <v>23</v>
      </c>
      <c r="W12" s="5">
        <f t="shared" si="8"/>
        <v>0.47916666666666669</v>
      </c>
      <c r="X12" s="7" t="str">
        <f>INDEX(Positions!$E$2:$E$721,MATCH($A12&amp;"|8",Positions!$A$2:$A$721,0))</f>
        <v>U</v>
      </c>
      <c r="Y12" s="7" t="str">
        <f>INDEX(Positions!$E$2:$E$721,MATCH($A12&amp;"|9",Positions!$A$2:$A$721,0))</f>
        <v>U</v>
      </c>
      <c r="Z12" s="7" t="str">
        <f>INDEX(Positions!$E$2:$E$721,MATCH($A12&amp;"|26",Positions!$A$2:$A$721,0))</f>
        <v>G</v>
      </c>
      <c r="AA12" s="7">
        <f t="shared" si="9"/>
        <v>1</v>
      </c>
      <c r="AB12" s="7">
        <f t="shared" si="10"/>
        <v>0</v>
      </c>
      <c r="AC12" s="8">
        <f t="shared" si="11"/>
        <v>1</v>
      </c>
      <c r="AD12" s="9">
        <f t="shared" si="12"/>
        <v>0.33333333333333331</v>
      </c>
      <c r="AE12" s="7" t="str">
        <f t="shared" si="13"/>
        <v>OK</v>
      </c>
      <c r="AF12" s="10">
        <f t="shared" si="14"/>
        <v>51</v>
      </c>
      <c r="AG12" s="10">
        <f t="shared" si="15"/>
        <v>24</v>
      </c>
      <c r="AH12" s="11">
        <f t="shared" si="16"/>
        <v>0.47058823529411764</v>
      </c>
      <c r="AI12" s="11">
        <f t="shared" si="17"/>
        <v>0.42857142857142855</v>
      </c>
      <c r="AJ12" s="12">
        <f t="shared" si="18"/>
        <v>-4.2016806722689093E-2</v>
      </c>
    </row>
    <row r="13" spans="1:36">
      <c r="A13" s="3" t="s">
        <v>46</v>
      </c>
      <c r="B13" s="13">
        <f t="shared" ref="B13:W13" si="19">AVERAGE(B4:B12)</f>
        <v>80</v>
      </c>
      <c r="C13" s="13">
        <f t="shared" si="19"/>
        <v>20</v>
      </c>
      <c r="D13" s="13">
        <f t="shared" si="19"/>
        <v>14.666666666666666</v>
      </c>
      <c r="E13" s="13">
        <f t="shared" si="19"/>
        <v>34.666666666666664</v>
      </c>
      <c r="F13" s="14">
        <f t="shared" si="19"/>
        <v>0.4316106913416069</v>
      </c>
      <c r="G13" s="13">
        <f t="shared" si="19"/>
        <v>6.8888888888888893</v>
      </c>
      <c r="H13" s="13">
        <f t="shared" si="19"/>
        <v>3.3333333333333335</v>
      </c>
      <c r="I13" s="13">
        <f t="shared" si="19"/>
        <v>3.8888888888888888</v>
      </c>
      <c r="J13" s="13">
        <f t="shared" si="19"/>
        <v>5.8888888888888893</v>
      </c>
      <c r="K13" s="13">
        <f t="shared" si="19"/>
        <v>20</v>
      </c>
      <c r="L13" s="14">
        <f t="shared" si="19"/>
        <v>0.47619047619047616</v>
      </c>
      <c r="M13" s="13">
        <f t="shared" si="19"/>
        <v>5.8888888888888893</v>
      </c>
      <c r="N13" s="14">
        <f t="shared" si="19"/>
        <v>0.42063492063492064</v>
      </c>
      <c r="O13" s="13">
        <f t="shared" si="19"/>
        <v>25.888888888888889</v>
      </c>
      <c r="P13" s="14">
        <f t="shared" si="19"/>
        <v>0.46230158730158727</v>
      </c>
      <c r="Q13" s="13">
        <f t="shared" si="19"/>
        <v>4.2222222222222223</v>
      </c>
      <c r="R13" s="13">
        <f t="shared" si="19"/>
        <v>2</v>
      </c>
      <c r="S13" s="13">
        <f t="shared" si="19"/>
        <v>4.8888888888888893</v>
      </c>
      <c r="T13" s="13">
        <f t="shared" si="19"/>
        <v>2.8888888888888888</v>
      </c>
      <c r="U13" s="13">
        <f t="shared" si="19"/>
        <v>35</v>
      </c>
      <c r="V13" s="13">
        <f t="shared" si="19"/>
        <v>14</v>
      </c>
      <c r="W13" s="14">
        <f t="shared" si="19"/>
        <v>0.3888544733699571</v>
      </c>
      <c r="AA13" s="13">
        <f>AVERAGE(AA4:AA12)</f>
        <v>0.1111111111111111</v>
      </c>
      <c r="AB13" s="13">
        <f>AVERAGE(AB4:AB12)</f>
        <v>0.55555555555555558</v>
      </c>
      <c r="AC13" s="13">
        <f>AVERAGE(AC4:AC12)</f>
        <v>0.66666666666666663</v>
      </c>
      <c r="AD13" s="14">
        <f>AVERAGE(AD4:AD12)</f>
        <v>0.22222222222222221</v>
      </c>
      <c r="AF13" s="13">
        <f>AVERAGE(AF4:AF12)</f>
        <v>38</v>
      </c>
      <c r="AG13" s="13">
        <f>AVERAGE(AG4:AG12)</f>
        <v>14.666666666666666</v>
      </c>
      <c r="AH13" s="14">
        <f>AVERAGE(AH4:AH12)</f>
        <v>0.37784067437151114</v>
      </c>
      <c r="AI13" s="14">
        <f>AVERAGE(AI4:AI12)</f>
        <v>0.47619047619047616</v>
      </c>
      <c r="AJ13" s="14">
        <f>AVERAGE(AJ4:AJ12)</f>
        <v>9.8349801818965049E-2</v>
      </c>
    </row>
    <row r="15" spans="1:36">
      <c r="A15" s="15" t="s">
        <v>47</v>
      </c>
    </row>
    <row r="16" spans="1:36">
      <c r="A16" s="15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6" customWidth="1"/>
    <col min="2" max="2" width="11" customWidth="1"/>
    <col min="3" max="3" width="12" customWidth="1"/>
    <col min="4" max="5" width="11" customWidth="1"/>
    <col min="6" max="6" width="17" customWidth="1"/>
  </cols>
  <sheetData>
    <row r="1" spans="1:6" ht="30">
      <c r="A1" s="2" t="s">
        <v>49</v>
      </c>
      <c r="B1" s="2" t="s">
        <v>1</v>
      </c>
      <c r="C1" s="2" t="s">
        <v>50</v>
      </c>
      <c r="D1" s="2" t="s">
        <v>51</v>
      </c>
      <c r="E1" s="2" t="s">
        <v>52</v>
      </c>
      <c r="F1" s="2" t="s">
        <v>53</v>
      </c>
    </row>
    <row r="2" spans="1:6">
      <c r="A2" s="4" t="str">
        <f t="shared" ref="A2:A65" si="0">B2&amp;"|"&amp;C2</f>
        <v>trna1|1</v>
      </c>
      <c r="B2" s="4" t="s">
        <v>37</v>
      </c>
      <c r="C2" s="4" t="s">
        <v>54</v>
      </c>
      <c r="D2" s="4">
        <v>1</v>
      </c>
      <c r="E2" s="16" t="s">
        <v>55</v>
      </c>
      <c r="F2" s="17" t="s">
        <v>56</v>
      </c>
    </row>
    <row r="3" spans="1:6">
      <c r="A3" s="4" t="str">
        <f t="shared" si="0"/>
        <v>trna1|2</v>
      </c>
      <c r="B3" s="4" t="s">
        <v>37</v>
      </c>
      <c r="C3" s="4" t="s">
        <v>57</v>
      </c>
      <c r="D3" s="4">
        <v>2</v>
      </c>
      <c r="E3" s="16" t="s">
        <v>58</v>
      </c>
      <c r="F3" s="17" t="s">
        <v>56</v>
      </c>
    </row>
    <row r="4" spans="1:6">
      <c r="A4" s="4" t="str">
        <f t="shared" si="0"/>
        <v>trna1|3</v>
      </c>
      <c r="B4" s="4" t="s">
        <v>37</v>
      </c>
      <c r="C4" s="4" t="s">
        <v>59</v>
      </c>
      <c r="D4" s="4">
        <v>3</v>
      </c>
      <c r="E4" s="16" t="s">
        <v>60</v>
      </c>
      <c r="F4" s="17" t="s">
        <v>56</v>
      </c>
    </row>
    <row r="5" spans="1:6">
      <c r="A5" s="4" t="str">
        <f t="shared" si="0"/>
        <v>trna1|4</v>
      </c>
      <c r="B5" s="4" t="s">
        <v>37</v>
      </c>
      <c r="C5" s="4" t="s">
        <v>61</v>
      </c>
      <c r="D5" s="4">
        <v>4</v>
      </c>
      <c r="E5" s="16" t="s">
        <v>62</v>
      </c>
      <c r="F5" s="17" t="s">
        <v>56</v>
      </c>
    </row>
    <row r="6" spans="1:6">
      <c r="A6" s="4" t="str">
        <f t="shared" si="0"/>
        <v>trna1|5</v>
      </c>
      <c r="B6" s="4" t="s">
        <v>37</v>
      </c>
      <c r="C6" s="4" t="s">
        <v>63</v>
      </c>
      <c r="D6" s="4">
        <v>5</v>
      </c>
      <c r="E6" s="16" t="s">
        <v>55</v>
      </c>
      <c r="F6" s="17" t="s">
        <v>56</v>
      </c>
    </row>
    <row r="7" spans="1:6">
      <c r="A7" s="4" t="str">
        <f t="shared" si="0"/>
        <v>trna1|6</v>
      </c>
      <c r="B7" s="4" t="s">
        <v>37</v>
      </c>
      <c r="C7" s="4" t="s">
        <v>64</v>
      </c>
      <c r="D7" s="4">
        <v>6</v>
      </c>
      <c r="E7" s="16" t="s">
        <v>55</v>
      </c>
      <c r="F7" s="17" t="s">
        <v>56</v>
      </c>
    </row>
    <row r="8" spans="1:6">
      <c r="A8" s="4" t="str">
        <f t="shared" si="0"/>
        <v>trna1|7</v>
      </c>
      <c r="B8" s="4" t="s">
        <v>37</v>
      </c>
      <c r="C8" s="4" t="s">
        <v>65</v>
      </c>
      <c r="D8" s="4">
        <v>7</v>
      </c>
      <c r="E8" s="16" t="s">
        <v>55</v>
      </c>
      <c r="F8" s="17" t="s">
        <v>56</v>
      </c>
    </row>
    <row r="9" spans="1:6">
      <c r="A9" s="4" t="str">
        <f t="shared" si="0"/>
        <v>trna1|8</v>
      </c>
      <c r="B9" s="4" t="s">
        <v>37</v>
      </c>
      <c r="C9" s="4" t="s">
        <v>66</v>
      </c>
      <c r="D9" s="4">
        <v>8</v>
      </c>
      <c r="E9" s="3" t="s">
        <v>58</v>
      </c>
      <c r="F9" s="4" t="s">
        <v>67</v>
      </c>
    </row>
    <row r="10" spans="1:6">
      <c r="A10" s="4" t="str">
        <f t="shared" si="0"/>
        <v>trna1|9</v>
      </c>
      <c r="B10" s="4" t="s">
        <v>37</v>
      </c>
      <c r="C10" s="4" t="s">
        <v>68</v>
      </c>
      <c r="D10" s="4">
        <v>9</v>
      </c>
      <c r="E10" s="3" t="s">
        <v>60</v>
      </c>
      <c r="F10" s="4" t="s">
        <v>69</v>
      </c>
    </row>
    <row r="11" spans="1:6">
      <c r="A11" s="4" t="str">
        <f t="shared" si="0"/>
        <v>trna1|10</v>
      </c>
      <c r="B11" s="4" t="s">
        <v>37</v>
      </c>
      <c r="C11" s="4" t="s">
        <v>70</v>
      </c>
      <c r="D11" s="4">
        <v>10</v>
      </c>
      <c r="E11" s="8" t="s">
        <v>62</v>
      </c>
      <c r="F11" s="7" t="s">
        <v>71</v>
      </c>
    </row>
    <row r="12" spans="1:6">
      <c r="A12" s="4" t="str">
        <f t="shared" si="0"/>
        <v>trna1|11</v>
      </c>
      <c r="B12" s="4" t="s">
        <v>37</v>
      </c>
      <c r="C12" s="4" t="s">
        <v>72</v>
      </c>
      <c r="D12" s="4">
        <v>11</v>
      </c>
      <c r="E12" s="8" t="s">
        <v>62</v>
      </c>
      <c r="F12" s="7" t="s">
        <v>71</v>
      </c>
    </row>
    <row r="13" spans="1:6">
      <c r="A13" s="4" t="str">
        <f t="shared" si="0"/>
        <v>trna1|12</v>
      </c>
      <c r="B13" s="4" t="s">
        <v>37</v>
      </c>
      <c r="C13" s="4" t="s">
        <v>73</v>
      </c>
      <c r="D13" s="4">
        <v>12</v>
      </c>
      <c r="E13" s="8" t="s">
        <v>55</v>
      </c>
      <c r="F13" s="7" t="s">
        <v>71</v>
      </c>
    </row>
    <row r="14" spans="1:6">
      <c r="A14" s="4" t="str">
        <f t="shared" si="0"/>
        <v>trna1|13</v>
      </c>
      <c r="B14" s="4" t="s">
        <v>37</v>
      </c>
      <c r="C14" s="4" t="s">
        <v>74</v>
      </c>
      <c r="D14" s="4">
        <v>13</v>
      </c>
      <c r="E14" s="8" t="s">
        <v>62</v>
      </c>
      <c r="F14" s="7" t="s">
        <v>71</v>
      </c>
    </row>
    <row r="15" spans="1:6">
      <c r="A15" s="4" t="str">
        <f t="shared" si="0"/>
        <v>trna1|14</v>
      </c>
      <c r="B15" s="4" t="s">
        <v>37</v>
      </c>
      <c r="C15" s="4" t="s">
        <v>75</v>
      </c>
      <c r="D15" s="4">
        <v>14</v>
      </c>
      <c r="E15" s="18" t="s">
        <v>62</v>
      </c>
      <c r="F15" s="19" t="s">
        <v>76</v>
      </c>
    </row>
    <row r="16" spans="1:6">
      <c r="A16" s="4" t="str">
        <f t="shared" si="0"/>
        <v>trna1|15</v>
      </c>
      <c r="B16" s="4" t="s">
        <v>37</v>
      </c>
      <c r="C16" s="4" t="s">
        <v>77</v>
      </c>
      <c r="D16" s="4">
        <v>15</v>
      </c>
      <c r="E16" s="18" t="s">
        <v>62</v>
      </c>
      <c r="F16" s="19" t="s">
        <v>76</v>
      </c>
    </row>
    <row r="17" spans="1:6">
      <c r="A17" s="4" t="str">
        <f t="shared" si="0"/>
        <v>trna1|16</v>
      </c>
      <c r="B17" s="4" t="s">
        <v>37</v>
      </c>
      <c r="C17" s="4" t="s">
        <v>78</v>
      </c>
      <c r="D17" s="4">
        <v>16</v>
      </c>
      <c r="E17" s="18" t="s">
        <v>58</v>
      </c>
      <c r="F17" s="19" t="s">
        <v>76</v>
      </c>
    </row>
    <row r="18" spans="1:6">
      <c r="A18" s="4" t="str">
        <f t="shared" si="0"/>
        <v>trna1|18</v>
      </c>
      <c r="B18" s="4" t="s">
        <v>37</v>
      </c>
      <c r="C18" s="4" t="s">
        <v>79</v>
      </c>
      <c r="D18" s="4">
        <v>17</v>
      </c>
      <c r="E18" s="18" t="s">
        <v>55</v>
      </c>
      <c r="F18" s="19" t="s">
        <v>76</v>
      </c>
    </row>
    <row r="19" spans="1:6">
      <c r="A19" s="4" t="str">
        <f t="shared" si="0"/>
        <v>trna1|19</v>
      </c>
      <c r="B19" s="4" t="s">
        <v>37</v>
      </c>
      <c r="C19" s="4" t="s">
        <v>80</v>
      </c>
      <c r="D19" s="4">
        <v>18</v>
      </c>
      <c r="E19" s="18" t="s">
        <v>55</v>
      </c>
      <c r="F19" s="19" t="s">
        <v>76</v>
      </c>
    </row>
    <row r="20" spans="1:6">
      <c r="A20" s="4" t="str">
        <f t="shared" si="0"/>
        <v>trna1|20</v>
      </c>
      <c r="B20" s="4" t="s">
        <v>37</v>
      </c>
      <c r="C20" s="4" t="s">
        <v>81</v>
      </c>
      <c r="D20" s="4">
        <v>19</v>
      </c>
      <c r="E20" s="18" t="s">
        <v>62</v>
      </c>
      <c r="F20" s="19" t="s">
        <v>76</v>
      </c>
    </row>
    <row r="21" spans="1:6">
      <c r="A21" s="4" t="str">
        <f t="shared" si="0"/>
        <v>trna1|21</v>
      </c>
      <c r="B21" s="4" t="s">
        <v>37</v>
      </c>
      <c r="C21" s="4" t="s">
        <v>82</v>
      </c>
      <c r="D21" s="4">
        <v>20</v>
      </c>
      <c r="E21" s="18" t="s">
        <v>58</v>
      </c>
      <c r="F21" s="19" t="s">
        <v>76</v>
      </c>
    </row>
    <row r="22" spans="1:6">
      <c r="A22" s="4" t="str">
        <f t="shared" si="0"/>
        <v>trna1|22</v>
      </c>
      <c r="B22" s="4" t="s">
        <v>37</v>
      </c>
      <c r="C22" s="4" t="s">
        <v>83</v>
      </c>
      <c r="D22" s="4">
        <v>21</v>
      </c>
      <c r="E22" s="8" t="s">
        <v>58</v>
      </c>
      <c r="F22" s="7" t="s">
        <v>71</v>
      </c>
    </row>
    <row r="23" spans="1:6">
      <c r="A23" s="4" t="str">
        <f t="shared" si="0"/>
        <v>trna1|23</v>
      </c>
      <c r="B23" s="4" t="s">
        <v>37</v>
      </c>
      <c r="C23" s="4" t="s">
        <v>84</v>
      </c>
      <c r="D23" s="4">
        <v>22</v>
      </c>
      <c r="E23" s="8" t="s">
        <v>60</v>
      </c>
      <c r="F23" s="7" t="s">
        <v>71</v>
      </c>
    </row>
    <row r="24" spans="1:6">
      <c r="A24" s="4" t="str">
        <f t="shared" si="0"/>
        <v>trna1|24</v>
      </c>
      <c r="B24" s="4" t="s">
        <v>37</v>
      </c>
      <c r="C24" s="4" t="s">
        <v>85</v>
      </c>
      <c r="D24" s="4">
        <v>23</v>
      </c>
      <c r="E24" s="8" t="s">
        <v>62</v>
      </c>
      <c r="F24" s="7" t="s">
        <v>71</v>
      </c>
    </row>
    <row r="25" spans="1:6">
      <c r="A25" s="4" t="str">
        <f t="shared" si="0"/>
        <v>trna1|25</v>
      </c>
      <c r="B25" s="4" t="s">
        <v>37</v>
      </c>
      <c r="C25" s="4" t="s">
        <v>86</v>
      </c>
      <c r="D25" s="4">
        <v>24</v>
      </c>
      <c r="E25" s="8" t="s">
        <v>58</v>
      </c>
      <c r="F25" s="7" t="s">
        <v>71</v>
      </c>
    </row>
    <row r="26" spans="1:6">
      <c r="A26" s="4" t="str">
        <f t="shared" si="0"/>
        <v>trna1|26</v>
      </c>
      <c r="B26" s="4" t="s">
        <v>37</v>
      </c>
      <c r="C26" s="4" t="s">
        <v>87</v>
      </c>
      <c r="D26" s="4">
        <v>25</v>
      </c>
      <c r="E26" s="3" t="s">
        <v>58</v>
      </c>
      <c r="F26" s="4" t="s">
        <v>88</v>
      </c>
    </row>
    <row r="27" spans="1:6">
      <c r="A27" s="4" t="str">
        <f t="shared" si="0"/>
        <v>trna1|27</v>
      </c>
      <c r="B27" s="4" t="s">
        <v>37</v>
      </c>
      <c r="C27" s="4" t="s">
        <v>89</v>
      </c>
      <c r="D27" s="4">
        <v>26</v>
      </c>
      <c r="E27" s="20" t="s">
        <v>58</v>
      </c>
      <c r="F27" s="21" t="s">
        <v>90</v>
      </c>
    </row>
    <row r="28" spans="1:6">
      <c r="A28" s="4" t="str">
        <f t="shared" si="0"/>
        <v>trna1|28</v>
      </c>
      <c r="B28" s="4" t="s">
        <v>37</v>
      </c>
      <c r="C28" s="4" t="s">
        <v>91</v>
      </c>
      <c r="D28" s="4">
        <v>27</v>
      </c>
      <c r="E28" s="20" t="s">
        <v>55</v>
      </c>
      <c r="F28" s="21" t="s">
        <v>90</v>
      </c>
    </row>
    <row r="29" spans="1:6">
      <c r="A29" s="4" t="str">
        <f t="shared" si="0"/>
        <v>trna1|29</v>
      </c>
      <c r="B29" s="4" t="s">
        <v>37</v>
      </c>
      <c r="C29" s="4" t="s">
        <v>92</v>
      </c>
      <c r="D29" s="4">
        <v>28</v>
      </c>
      <c r="E29" s="20" t="s">
        <v>58</v>
      </c>
      <c r="F29" s="21" t="s">
        <v>90</v>
      </c>
    </row>
    <row r="30" spans="1:6">
      <c r="A30" s="4" t="str">
        <f t="shared" si="0"/>
        <v>trna1|30</v>
      </c>
      <c r="B30" s="4" t="s">
        <v>37</v>
      </c>
      <c r="C30" s="4" t="s">
        <v>93</v>
      </c>
      <c r="D30" s="4">
        <v>29</v>
      </c>
      <c r="E30" s="20" t="s">
        <v>62</v>
      </c>
      <c r="F30" s="21" t="s">
        <v>90</v>
      </c>
    </row>
    <row r="31" spans="1:6">
      <c r="A31" s="4" t="str">
        <f t="shared" si="0"/>
        <v>trna1|31</v>
      </c>
      <c r="B31" s="4" t="s">
        <v>37</v>
      </c>
      <c r="C31" s="4" t="s">
        <v>94</v>
      </c>
      <c r="D31" s="4">
        <v>30</v>
      </c>
      <c r="E31" s="20" t="s">
        <v>55</v>
      </c>
      <c r="F31" s="21" t="s">
        <v>90</v>
      </c>
    </row>
    <row r="32" spans="1:6">
      <c r="A32" s="4" t="str">
        <f t="shared" si="0"/>
        <v>trna1|32</v>
      </c>
      <c r="B32" s="4" t="s">
        <v>37</v>
      </c>
      <c r="C32" s="4" t="s">
        <v>95</v>
      </c>
      <c r="D32" s="4">
        <v>31</v>
      </c>
      <c r="E32" s="18" t="s">
        <v>58</v>
      </c>
      <c r="F32" s="19" t="s">
        <v>96</v>
      </c>
    </row>
    <row r="33" spans="1:6">
      <c r="A33" s="4" t="str">
        <f t="shared" si="0"/>
        <v>trna1|33</v>
      </c>
      <c r="B33" s="4" t="s">
        <v>37</v>
      </c>
      <c r="C33" s="4" t="s">
        <v>97</v>
      </c>
      <c r="D33" s="4">
        <v>32</v>
      </c>
      <c r="E33" s="18" t="s">
        <v>58</v>
      </c>
      <c r="F33" s="19" t="s">
        <v>96</v>
      </c>
    </row>
    <row r="34" spans="1:6">
      <c r="A34" s="4" t="str">
        <f t="shared" si="0"/>
        <v>trna1|34</v>
      </c>
      <c r="B34" s="4" t="s">
        <v>37</v>
      </c>
      <c r="C34" s="4" t="s">
        <v>98</v>
      </c>
      <c r="D34" s="4">
        <v>33</v>
      </c>
      <c r="E34" s="18" t="s">
        <v>58</v>
      </c>
      <c r="F34" s="19" t="s">
        <v>96</v>
      </c>
    </row>
    <row r="35" spans="1:6">
      <c r="A35" s="4" t="str">
        <f t="shared" si="0"/>
        <v>trna1|35</v>
      </c>
      <c r="B35" s="4" t="s">
        <v>37</v>
      </c>
      <c r="C35" s="4" t="s">
        <v>99</v>
      </c>
      <c r="D35" s="4">
        <v>34</v>
      </c>
      <c r="E35" s="18" t="s">
        <v>60</v>
      </c>
      <c r="F35" s="19" t="s">
        <v>96</v>
      </c>
    </row>
    <row r="36" spans="1:6">
      <c r="A36" s="4" t="str">
        <f t="shared" si="0"/>
        <v>trna1|36</v>
      </c>
      <c r="B36" s="4" t="s">
        <v>37</v>
      </c>
      <c r="C36" s="4" t="s">
        <v>100</v>
      </c>
      <c r="D36" s="4">
        <v>35</v>
      </c>
      <c r="E36" s="18" t="s">
        <v>62</v>
      </c>
      <c r="F36" s="19" t="s">
        <v>96</v>
      </c>
    </row>
    <row r="37" spans="1:6">
      <c r="A37" s="4" t="str">
        <f t="shared" si="0"/>
        <v>trna1|37</v>
      </c>
      <c r="B37" s="4" t="s">
        <v>37</v>
      </c>
      <c r="C37" s="4" t="s">
        <v>101</v>
      </c>
      <c r="D37" s="4">
        <v>36</v>
      </c>
      <c r="E37" s="18" t="s">
        <v>62</v>
      </c>
      <c r="F37" s="19" t="s">
        <v>96</v>
      </c>
    </row>
    <row r="38" spans="1:6">
      <c r="A38" s="4" t="str">
        <f t="shared" si="0"/>
        <v>trna1|38</v>
      </c>
      <c r="B38" s="4" t="s">
        <v>37</v>
      </c>
      <c r="C38" s="4" t="s">
        <v>102</v>
      </c>
      <c r="D38" s="4">
        <v>37</v>
      </c>
      <c r="E38" s="18" t="s">
        <v>62</v>
      </c>
      <c r="F38" s="19" t="s">
        <v>96</v>
      </c>
    </row>
    <row r="39" spans="1:6">
      <c r="A39" s="4" t="str">
        <f t="shared" si="0"/>
        <v>trna1|39</v>
      </c>
      <c r="B39" s="4" t="s">
        <v>37</v>
      </c>
      <c r="C39" s="4" t="s">
        <v>103</v>
      </c>
      <c r="D39" s="4">
        <v>38</v>
      </c>
      <c r="E39" s="20" t="s">
        <v>58</v>
      </c>
      <c r="F39" s="21" t="s">
        <v>90</v>
      </c>
    </row>
    <row r="40" spans="1:6">
      <c r="A40" s="4" t="str">
        <f t="shared" si="0"/>
        <v>trna1|40</v>
      </c>
      <c r="B40" s="4" t="s">
        <v>37</v>
      </c>
      <c r="C40" s="4" t="s">
        <v>104</v>
      </c>
      <c r="D40" s="4">
        <v>39</v>
      </c>
      <c r="E40" s="20" t="s">
        <v>58</v>
      </c>
      <c r="F40" s="21" t="s">
        <v>90</v>
      </c>
    </row>
    <row r="41" spans="1:6">
      <c r="A41" s="4" t="str">
        <f t="shared" si="0"/>
        <v>trna1|41</v>
      </c>
      <c r="B41" s="4" t="s">
        <v>37</v>
      </c>
      <c r="C41" s="4" t="s">
        <v>105</v>
      </c>
      <c r="D41" s="4">
        <v>40</v>
      </c>
      <c r="E41" s="20" t="s">
        <v>62</v>
      </c>
      <c r="F41" s="21" t="s">
        <v>90</v>
      </c>
    </row>
    <row r="42" spans="1:6">
      <c r="A42" s="4" t="str">
        <f t="shared" si="0"/>
        <v>trna1|42</v>
      </c>
      <c r="B42" s="4" t="s">
        <v>37</v>
      </c>
      <c r="C42" s="4" t="s">
        <v>106</v>
      </c>
      <c r="D42" s="4">
        <v>41</v>
      </c>
      <c r="E42" s="20" t="s">
        <v>60</v>
      </c>
      <c r="F42" s="21" t="s">
        <v>90</v>
      </c>
    </row>
    <row r="43" spans="1:6">
      <c r="A43" s="4" t="str">
        <f t="shared" si="0"/>
        <v>trna1|43</v>
      </c>
      <c r="B43" s="4" t="s">
        <v>37</v>
      </c>
      <c r="C43" s="4" t="s">
        <v>107</v>
      </c>
      <c r="D43" s="4">
        <v>42</v>
      </c>
      <c r="E43" s="20" t="s">
        <v>62</v>
      </c>
      <c r="F43" s="21" t="s">
        <v>90</v>
      </c>
    </row>
    <row r="44" spans="1:6">
      <c r="A44" s="4" t="str">
        <f t="shared" si="0"/>
        <v>trna1|44</v>
      </c>
      <c r="B44" s="4" t="s">
        <v>37</v>
      </c>
      <c r="C44" s="4" t="s">
        <v>108</v>
      </c>
      <c r="D44" s="4">
        <v>43</v>
      </c>
      <c r="E44" s="18" t="s">
        <v>55</v>
      </c>
      <c r="F44" s="19" t="s">
        <v>109</v>
      </c>
    </row>
    <row r="45" spans="1:6">
      <c r="A45" s="4" t="str">
        <f t="shared" si="0"/>
        <v>trna1|45</v>
      </c>
      <c r="B45" s="4" t="s">
        <v>37</v>
      </c>
      <c r="C45" s="4" t="s">
        <v>110</v>
      </c>
      <c r="D45" s="4">
        <v>44</v>
      </c>
      <c r="E45" s="18" t="s">
        <v>58</v>
      </c>
      <c r="F45" s="19" t="s">
        <v>109</v>
      </c>
    </row>
    <row r="46" spans="1:6">
      <c r="A46" s="4" t="str">
        <f t="shared" si="0"/>
        <v>trna1|46</v>
      </c>
      <c r="B46" s="4" t="s">
        <v>37</v>
      </c>
      <c r="C46" s="4" t="s">
        <v>111</v>
      </c>
      <c r="D46" s="4">
        <v>45</v>
      </c>
      <c r="E46" s="18" t="s">
        <v>58</v>
      </c>
      <c r="F46" s="19" t="s">
        <v>109</v>
      </c>
    </row>
    <row r="47" spans="1:6">
      <c r="A47" s="4" t="str">
        <f t="shared" si="0"/>
        <v>trna1|48</v>
      </c>
      <c r="B47" s="4" t="s">
        <v>37</v>
      </c>
      <c r="C47" s="4" t="s">
        <v>112</v>
      </c>
      <c r="D47" s="4">
        <v>46</v>
      </c>
      <c r="E47" s="18" t="s">
        <v>58</v>
      </c>
      <c r="F47" s="19" t="s">
        <v>109</v>
      </c>
    </row>
    <row r="48" spans="1:6">
      <c r="A48" s="4" t="str">
        <f t="shared" si="0"/>
        <v>trna1|49</v>
      </c>
      <c r="B48" s="4" t="s">
        <v>37</v>
      </c>
      <c r="C48" s="4" t="s">
        <v>113</v>
      </c>
      <c r="D48" s="4">
        <v>47</v>
      </c>
      <c r="E48" s="22" t="s">
        <v>58</v>
      </c>
      <c r="F48" s="10" t="s">
        <v>114</v>
      </c>
    </row>
    <row r="49" spans="1:6">
      <c r="A49" s="4" t="str">
        <f t="shared" si="0"/>
        <v>trna1|50</v>
      </c>
      <c r="B49" s="4" t="s">
        <v>37</v>
      </c>
      <c r="C49" s="4" t="s">
        <v>115</v>
      </c>
      <c r="D49" s="4">
        <v>48</v>
      </c>
      <c r="E49" s="22" t="s">
        <v>62</v>
      </c>
      <c r="F49" s="10" t="s">
        <v>114</v>
      </c>
    </row>
    <row r="50" spans="1:6">
      <c r="A50" s="4" t="str">
        <f t="shared" si="0"/>
        <v>trna1|51</v>
      </c>
      <c r="B50" s="4" t="s">
        <v>37</v>
      </c>
      <c r="C50" s="4" t="s">
        <v>116</v>
      </c>
      <c r="D50" s="4">
        <v>49</v>
      </c>
      <c r="E50" s="22" t="s">
        <v>55</v>
      </c>
      <c r="F50" s="10" t="s">
        <v>114</v>
      </c>
    </row>
    <row r="51" spans="1:6">
      <c r="A51" s="4" t="str">
        <f t="shared" si="0"/>
        <v>trna1|52</v>
      </c>
      <c r="B51" s="4" t="s">
        <v>37</v>
      </c>
      <c r="C51" s="4" t="s">
        <v>117</v>
      </c>
      <c r="D51" s="4">
        <v>50</v>
      </c>
      <c r="E51" s="22" t="s">
        <v>55</v>
      </c>
      <c r="F51" s="10" t="s">
        <v>114</v>
      </c>
    </row>
    <row r="52" spans="1:6">
      <c r="A52" s="4" t="str">
        <f t="shared" si="0"/>
        <v>trna1|53</v>
      </c>
      <c r="B52" s="4" t="s">
        <v>37</v>
      </c>
      <c r="C52" s="4" t="s">
        <v>118</v>
      </c>
      <c r="D52" s="4">
        <v>51</v>
      </c>
      <c r="E52" s="22" t="s">
        <v>55</v>
      </c>
      <c r="F52" s="10" t="s">
        <v>114</v>
      </c>
    </row>
    <row r="53" spans="1:6">
      <c r="A53" s="4" t="str">
        <f t="shared" si="0"/>
        <v>trna1|54</v>
      </c>
      <c r="B53" s="4" t="s">
        <v>37</v>
      </c>
      <c r="C53" s="4" t="s">
        <v>119</v>
      </c>
      <c r="D53" s="4">
        <v>52</v>
      </c>
      <c r="E53" s="18" t="s">
        <v>62</v>
      </c>
      <c r="F53" s="19" t="s">
        <v>120</v>
      </c>
    </row>
    <row r="54" spans="1:6">
      <c r="A54" s="4" t="str">
        <f t="shared" si="0"/>
        <v>trna1|55</v>
      </c>
      <c r="B54" s="4" t="s">
        <v>37</v>
      </c>
      <c r="C54" s="4" t="s">
        <v>121</v>
      </c>
      <c r="D54" s="4">
        <v>53</v>
      </c>
      <c r="E54" s="18" t="s">
        <v>58</v>
      </c>
      <c r="F54" s="19" t="s">
        <v>120</v>
      </c>
    </row>
    <row r="55" spans="1:6">
      <c r="A55" s="4" t="str">
        <f t="shared" si="0"/>
        <v>trna1|56</v>
      </c>
      <c r="B55" s="4" t="s">
        <v>37</v>
      </c>
      <c r="C55" s="4" t="s">
        <v>122</v>
      </c>
      <c r="D55" s="4">
        <v>54</v>
      </c>
      <c r="E55" s="18" t="s">
        <v>60</v>
      </c>
      <c r="F55" s="19" t="s">
        <v>120</v>
      </c>
    </row>
    <row r="56" spans="1:6">
      <c r="A56" s="4" t="str">
        <f t="shared" si="0"/>
        <v>trna1|57</v>
      </c>
      <c r="B56" s="4" t="s">
        <v>37</v>
      </c>
      <c r="C56" s="4" t="s">
        <v>123</v>
      </c>
      <c r="D56" s="4">
        <v>55</v>
      </c>
      <c r="E56" s="18" t="s">
        <v>60</v>
      </c>
      <c r="F56" s="19" t="s">
        <v>120</v>
      </c>
    </row>
    <row r="57" spans="1:6">
      <c r="A57" s="4" t="str">
        <f t="shared" si="0"/>
        <v>trna1|58</v>
      </c>
      <c r="B57" s="4" t="s">
        <v>37</v>
      </c>
      <c r="C57" s="4" t="s">
        <v>124</v>
      </c>
      <c r="D57" s="4">
        <v>56</v>
      </c>
      <c r="E57" s="18" t="s">
        <v>58</v>
      </c>
      <c r="F57" s="19" t="s">
        <v>120</v>
      </c>
    </row>
    <row r="58" spans="1:6">
      <c r="A58" s="4" t="str">
        <f t="shared" si="0"/>
        <v>trna1|59</v>
      </c>
      <c r="B58" s="4" t="s">
        <v>37</v>
      </c>
      <c r="C58" s="4" t="s">
        <v>125</v>
      </c>
      <c r="D58" s="4">
        <v>57</v>
      </c>
      <c r="E58" s="18" t="s">
        <v>58</v>
      </c>
      <c r="F58" s="19" t="s">
        <v>120</v>
      </c>
    </row>
    <row r="59" spans="1:6">
      <c r="A59" s="4" t="str">
        <f t="shared" si="0"/>
        <v>trna1|60</v>
      </c>
      <c r="B59" s="4" t="s">
        <v>37</v>
      </c>
      <c r="C59" s="4" t="s">
        <v>126</v>
      </c>
      <c r="D59" s="4">
        <v>58</v>
      </c>
      <c r="E59" s="18" t="s">
        <v>55</v>
      </c>
      <c r="F59" s="19" t="s">
        <v>120</v>
      </c>
    </row>
    <row r="60" spans="1:6">
      <c r="A60" s="4" t="str">
        <f t="shared" si="0"/>
        <v>trna1|61</v>
      </c>
      <c r="B60" s="4" t="s">
        <v>37</v>
      </c>
      <c r="C60" s="4" t="s">
        <v>127</v>
      </c>
      <c r="D60" s="4">
        <v>59</v>
      </c>
      <c r="E60" s="22" t="s">
        <v>60</v>
      </c>
      <c r="F60" s="10" t="s">
        <v>114</v>
      </c>
    </row>
    <row r="61" spans="1:6">
      <c r="A61" s="4" t="str">
        <f t="shared" si="0"/>
        <v>trna1|62</v>
      </c>
      <c r="B61" s="4" t="s">
        <v>37</v>
      </c>
      <c r="C61" s="4" t="s">
        <v>128</v>
      </c>
      <c r="D61" s="4">
        <v>60</v>
      </c>
      <c r="E61" s="22" t="s">
        <v>58</v>
      </c>
      <c r="F61" s="10" t="s">
        <v>114</v>
      </c>
    </row>
    <row r="62" spans="1:6">
      <c r="A62" s="4" t="str">
        <f t="shared" si="0"/>
        <v>trna1|63</v>
      </c>
      <c r="B62" s="4" t="s">
        <v>37</v>
      </c>
      <c r="C62" s="4" t="s">
        <v>129</v>
      </c>
      <c r="D62" s="4">
        <v>61</v>
      </c>
      <c r="E62" s="22" t="s">
        <v>58</v>
      </c>
      <c r="F62" s="10" t="s">
        <v>114</v>
      </c>
    </row>
    <row r="63" spans="1:6">
      <c r="A63" s="4" t="str">
        <f t="shared" si="0"/>
        <v>trna1|64</v>
      </c>
      <c r="B63" s="4" t="s">
        <v>37</v>
      </c>
      <c r="C63" s="4" t="s">
        <v>130</v>
      </c>
      <c r="D63" s="4">
        <v>62</v>
      </c>
      <c r="E63" s="22" t="s">
        <v>58</v>
      </c>
      <c r="F63" s="10" t="s">
        <v>114</v>
      </c>
    </row>
    <row r="64" spans="1:6">
      <c r="A64" s="4" t="str">
        <f t="shared" si="0"/>
        <v>trna1|65</v>
      </c>
      <c r="B64" s="4" t="s">
        <v>37</v>
      </c>
      <c r="C64" s="4" t="s">
        <v>131</v>
      </c>
      <c r="D64" s="4">
        <v>63</v>
      </c>
      <c r="E64" s="22" t="s">
        <v>62</v>
      </c>
      <c r="F64" s="10" t="s">
        <v>114</v>
      </c>
    </row>
    <row r="65" spans="1:6">
      <c r="A65" s="4" t="str">
        <f t="shared" si="0"/>
        <v>trna1|66</v>
      </c>
      <c r="B65" s="4" t="s">
        <v>37</v>
      </c>
      <c r="C65" s="4" t="s">
        <v>132</v>
      </c>
      <c r="D65" s="4">
        <v>64</v>
      </c>
      <c r="E65" s="16" t="s">
        <v>60</v>
      </c>
      <c r="F65" s="17" t="s">
        <v>56</v>
      </c>
    </row>
    <row r="66" spans="1:6">
      <c r="A66" s="4" t="str">
        <f t="shared" ref="A66:A129" si="1">B66&amp;"|"&amp;C66</f>
        <v>trna1|67</v>
      </c>
      <c r="B66" s="4" t="s">
        <v>37</v>
      </c>
      <c r="C66" s="4" t="s">
        <v>133</v>
      </c>
      <c r="D66" s="4">
        <v>65</v>
      </c>
      <c r="E66" s="16" t="s">
        <v>58</v>
      </c>
      <c r="F66" s="17" t="s">
        <v>56</v>
      </c>
    </row>
    <row r="67" spans="1:6">
      <c r="A67" s="4" t="str">
        <f t="shared" si="1"/>
        <v>trna1|68</v>
      </c>
      <c r="B67" s="4" t="s">
        <v>37</v>
      </c>
      <c r="C67" s="4" t="s">
        <v>134</v>
      </c>
      <c r="D67" s="4">
        <v>66</v>
      </c>
      <c r="E67" s="16" t="s">
        <v>58</v>
      </c>
      <c r="F67" s="17" t="s">
        <v>56</v>
      </c>
    </row>
    <row r="68" spans="1:6">
      <c r="A68" s="4" t="str">
        <f t="shared" si="1"/>
        <v>trna1|69</v>
      </c>
      <c r="B68" s="4" t="s">
        <v>37</v>
      </c>
      <c r="C68" s="4" t="s">
        <v>135</v>
      </c>
      <c r="D68" s="4">
        <v>67</v>
      </c>
      <c r="E68" s="16" t="s">
        <v>58</v>
      </c>
      <c r="F68" s="17" t="s">
        <v>56</v>
      </c>
    </row>
    <row r="69" spans="1:6">
      <c r="A69" s="4" t="str">
        <f t="shared" si="1"/>
        <v>trna1|70</v>
      </c>
      <c r="B69" s="4" t="s">
        <v>37</v>
      </c>
      <c r="C69" s="4" t="s">
        <v>136</v>
      </c>
      <c r="D69" s="4">
        <v>68</v>
      </c>
      <c r="E69" s="16" t="s">
        <v>58</v>
      </c>
      <c r="F69" s="17" t="s">
        <v>56</v>
      </c>
    </row>
    <row r="70" spans="1:6">
      <c r="A70" s="4" t="str">
        <f t="shared" si="1"/>
        <v>trna1|71</v>
      </c>
      <c r="B70" s="4" t="s">
        <v>37</v>
      </c>
      <c r="C70" s="4" t="s">
        <v>137</v>
      </c>
      <c r="D70" s="4">
        <v>69</v>
      </c>
      <c r="E70" s="16" t="s">
        <v>62</v>
      </c>
      <c r="F70" s="17" t="s">
        <v>56</v>
      </c>
    </row>
    <row r="71" spans="1:6">
      <c r="A71" s="4" t="str">
        <f t="shared" si="1"/>
        <v>trna1|72</v>
      </c>
      <c r="B71" s="4" t="s">
        <v>37</v>
      </c>
      <c r="C71" s="4" t="s">
        <v>138</v>
      </c>
      <c r="D71" s="4">
        <v>70</v>
      </c>
      <c r="E71" s="16" t="s">
        <v>58</v>
      </c>
      <c r="F71" s="17" t="s">
        <v>56</v>
      </c>
    </row>
    <row r="72" spans="1:6">
      <c r="A72" s="4" t="str">
        <f t="shared" si="1"/>
        <v>trna9|1</v>
      </c>
      <c r="B72" s="4" t="s">
        <v>38</v>
      </c>
      <c r="C72" s="4" t="s">
        <v>54</v>
      </c>
      <c r="D72" s="4">
        <v>1</v>
      </c>
      <c r="E72" s="16" t="s">
        <v>55</v>
      </c>
      <c r="F72" s="17" t="s">
        <v>56</v>
      </c>
    </row>
    <row r="73" spans="1:6">
      <c r="A73" s="4" t="str">
        <f t="shared" si="1"/>
        <v>trna9|2</v>
      </c>
      <c r="B73" s="4" t="s">
        <v>38</v>
      </c>
      <c r="C73" s="4" t="s">
        <v>57</v>
      </c>
      <c r="D73" s="4">
        <v>2</v>
      </c>
      <c r="E73" s="16" t="s">
        <v>58</v>
      </c>
      <c r="F73" s="17" t="s">
        <v>56</v>
      </c>
    </row>
    <row r="74" spans="1:6">
      <c r="A74" s="4" t="str">
        <f t="shared" si="1"/>
        <v>trna9|3</v>
      </c>
      <c r="B74" s="4" t="s">
        <v>38</v>
      </c>
      <c r="C74" s="4" t="s">
        <v>59</v>
      </c>
      <c r="D74" s="4">
        <v>3</v>
      </c>
      <c r="E74" s="16" t="s">
        <v>58</v>
      </c>
      <c r="F74" s="17" t="s">
        <v>56</v>
      </c>
    </row>
    <row r="75" spans="1:6">
      <c r="A75" s="4" t="str">
        <f t="shared" si="1"/>
        <v>trna9|4</v>
      </c>
      <c r="B75" s="4" t="s">
        <v>38</v>
      </c>
      <c r="C75" s="4" t="s">
        <v>61</v>
      </c>
      <c r="D75" s="4">
        <v>4</v>
      </c>
      <c r="E75" s="16" t="s">
        <v>62</v>
      </c>
      <c r="F75" s="17" t="s">
        <v>56</v>
      </c>
    </row>
    <row r="76" spans="1:6">
      <c r="A76" s="4" t="str">
        <f t="shared" si="1"/>
        <v>trna9|5</v>
      </c>
      <c r="B76" s="4" t="s">
        <v>38</v>
      </c>
      <c r="C76" s="4" t="s">
        <v>63</v>
      </c>
      <c r="D76" s="4">
        <v>5</v>
      </c>
      <c r="E76" s="16" t="s">
        <v>55</v>
      </c>
      <c r="F76" s="17" t="s">
        <v>56</v>
      </c>
    </row>
    <row r="77" spans="1:6">
      <c r="A77" s="4" t="str">
        <f t="shared" si="1"/>
        <v>trna9|6</v>
      </c>
      <c r="B77" s="4" t="s">
        <v>38</v>
      </c>
      <c r="C77" s="4" t="s">
        <v>64</v>
      </c>
      <c r="D77" s="4">
        <v>6</v>
      </c>
      <c r="E77" s="16" t="s">
        <v>62</v>
      </c>
      <c r="F77" s="17" t="s">
        <v>56</v>
      </c>
    </row>
    <row r="78" spans="1:6">
      <c r="A78" s="4" t="str">
        <f t="shared" si="1"/>
        <v>trna9|7</v>
      </c>
      <c r="B78" s="4" t="s">
        <v>38</v>
      </c>
      <c r="C78" s="4" t="s">
        <v>65</v>
      </c>
      <c r="D78" s="4">
        <v>7</v>
      </c>
      <c r="E78" s="16" t="s">
        <v>55</v>
      </c>
      <c r="F78" s="17" t="s">
        <v>56</v>
      </c>
    </row>
    <row r="79" spans="1:6">
      <c r="A79" s="4" t="str">
        <f t="shared" si="1"/>
        <v>trna9|8</v>
      </c>
      <c r="B79" s="4" t="s">
        <v>38</v>
      </c>
      <c r="C79" s="4" t="s">
        <v>66</v>
      </c>
      <c r="D79" s="4">
        <v>8</v>
      </c>
      <c r="E79" s="3" t="s">
        <v>58</v>
      </c>
      <c r="F79" s="4" t="s">
        <v>67</v>
      </c>
    </row>
    <row r="80" spans="1:6">
      <c r="A80" s="4" t="str">
        <f t="shared" si="1"/>
        <v>trna9|9</v>
      </c>
      <c r="B80" s="4" t="s">
        <v>38</v>
      </c>
      <c r="C80" s="4" t="s">
        <v>68</v>
      </c>
      <c r="D80" s="4">
        <v>9</v>
      </c>
      <c r="E80" s="3" t="s">
        <v>60</v>
      </c>
      <c r="F80" s="4" t="s">
        <v>69</v>
      </c>
    </row>
    <row r="81" spans="1:6">
      <c r="A81" s="4" t="str">
        <f t="shared" si="1"/>
        <v>trna9|10</v>
      </c>
      <c r="B81" s="4" t="s">
        <v>38</v>
      </c>
      <c r="C81" s="4" t="s">
        <v>70</v>
      </c>
      <c r="D81" s="4">
        <v>10</v>
      </c>
      <c r="E81" s="8" t="s">
        <v>62</v>
      </c>
      <c r="F81" s="7" t="s">
        <v>71</v>
      </c>
    </row>
    <row r="82" spans="1:6">
      <c r="A82" s="4" t="str">
        <f t="shared" si="1"/>
        <v>trna9|11</v>
      </c>
      <c r="B82" s="4" t="s">
        <v>38</v>
      </c>
      <c r="C82" s="4" t="s">
        <v>72</v>
      </c>
      <c r="D82" s="4">
        <v>11</v>
      </c>
      <c r="E82" s="8" t="s">
        <v>62</v>
      </c>
      <c r="F82" s="7" t="s">
        <v>71</v>
      </c>
    </row>
    <row r="83" spans="1:6">
      <c r="A83" s="4" t="str">
        <f t="shared" si="1"/>
        <v>trna9|12</v>
      </c>
      <c r="B83" s="4" t="s">
        <v>38</v>
      </c>
      <c r="C83" s="4" t="s">
        <v>73</v>
      </c>
      <c r="D83" s="4">
        <v>12</v>
      </c>
      <c r="E83" s="8" t="s">
        <v>55</v>
      </c>
      <c r="F83" s="7" t="s">
        <v>71</v>
      </c>
    </row>
    <row r="84" spans="1:6">
      <c r="A84" s="4" t="str">
        <f t="shared" si="1"/>
        <v>trna9|13</v>
      </c>
      <c r="B84" s="4" t="s">
        <v>38</v>
      </c>
      <c r="C84" s="4" t="s">
        <v>74</v>
      </c>
      <c r="D84" s="4">
        <v>13</v>
      </c>
      <c r="E84" s="8" t="s">
        <v>62</v>
      </c>
      <c r="F84" s="7" t="s">
        <v>71</v>
      </c>
    </row>
    <row r="85" spans="1:6">
      <c r="A85" s="4" t="str">
        <f t="shared" si="1"/>
        <v>trna9|14</v>
      </c>
      <c r="B85" s="4" t="s">
        <v>38</v>
      </c>
      <c r="C85" s="4" t="s">
        <v>75</v>
      </c>
      <c r="D85" s="4">
        <v>14</v>
      </c>
      <c r="E85" s="18" t="s">
        <v>62</v>
      </c>
      <c r="F85" s="19" t="s">
        <v>76</v>
      </c>
    </row>
    <row r="86" spans="1:6">
      <c r="A86" s="4" t="str">
        <f t="shared" si="1"/>
        <v>trna9|15</v>
      </c>
      <c r="B86" s="4" t="s">
        <v>38</v>
      </c>
      <c r="C86" s="4" t="s">
        <v>77</v>
      </c>
      <c r="D86" s="4">
        <v>15</v>
      </c>
      <c r="E86" s="18" t="s">
        <v>62</v>
      </c>
      <c r="F86" s="19" t="s">
        <v>76</v>
      </c>
    </row>
    <row r="87" spans="1:6">
      <c r="A87" s="4" t="str">
        <f t="shared" si="1"/>
        <v>trna9|16</v>
      </c>
      <c r="B87" s="4" t="s">
        <v>38</v>
      </c>
      <c r="C87" s="4" t="s">
        <v>78</v>
      </c>
      <c r="D87" s="4">
        <v>16</v>
      </c>
      <c r="E87" s="18" t="s">
        <v>60</v>
      </c>
      <c r="F87" s="19" t="s">
        <v>76</v>
      </c>
    </row>
    <row r="88" spans="1:6">
      <c r="A88" s="4" t="str">
        <f t="shared" si="1"/>
        <v>trna9|18</v>
      </c>
      <c r="B88" s="4" t="s">
        <v>38</v>
      </c>
      <c r="C88" s="4" t="s">
        <v>79</v>
      </c>
      <c r="D88" s="4">
        <v>17</v>
      </c>
      <c r="E88" s="18" t="s">
        <v>55</v>
      </c>
      <c r="F88" s="19" t="s">
        <v>76</v>
      </c>
    </row>
    <row r="89" spans="1:6">
      <c r="A89" s="4" t="str">
        <f t="shared" si="1"/>
        <v>trna9|19</v>
      </c>
      <c r="B89" s="4" t="s">
        <v>38</v>
      </c>
      <c r="C89" s="4" t="s">
        <v>80</v>
      </c>
      <c r="D89" s="4">
        <v>18</v>
      </c>
      <c r="E89" s="18" t="s">
        <v>55</v>
      </c>
      <c r="F89" s="19" t="s">
        <v>76</v>
      </c>
    </row>
    <row r="90" spans="1:6">
      <c r="A90" s="4" t="str">
        <f t="shared" si="1"/>
        <v>trna9|20</v>
      </c>
      <c r="B90" s="4" t="s">
        <v>38</v>
      </c>
      <c r="C90" s="4" t="s">
        <v>81</v>
      </c>
      <c r="D90" s="4">
        <v>19</v>
      </c>
      <c r="E90" s="18" t="s">
        <v>62</v>
      </c>
      <c r="F90" s="19" t="s">
        <v>76</v>
      </c>
    </row>
    <row r="91" spans="1:6">
      <c r="A91" s="4" t="str">
        <f t="shared" si="1"/>
        <v>trna9|21</v>
      </c>
      <c r="B91" s="4" t="s">
        <v>38</v>
      </c>
      <c r="C91" s="4" t="s">
        <v>82</v>
      </c>
      <c r="D91" s="4">
        <v>20</v>
      </c>
      <c r="E91" s="18" t="s">
        <v>58</v>
      </c>
      <c r="F91" s="19" t="s">
        <v>76</v>
      </c>
    </row>
    <row r="92" spans="1:6">
      <c r="A92" s="4" t="str">
        <f t="shared" si="1"/>
        <v>trna9|22</v>
      </c>
      <c r="B92" s="4" t="s">
        <v>38</v>
      </c>
      <c r="C92" s="4" t="s">
        <v>83</v>
      </c>
      <c r="D92" s="4">
        <v>21</v>
      </c>
      <c r="E92" s="8" t="s">
        <v>58</v>
      </c>
      <c r="F92" s="7" t="s">
        <v>71</v>
      </c>
    </row>
    <row r="93" spans="1:6">
      <c r="A93" s="4" t="str">
        <f t="shared" si="1"/>
        <v>trna9|23</v>
      </c>
      <c r="B93" s="4" t="s">
        <v>38</v>
      </c>
      <c r="C93" s="4" t="s">
        <v>84</v>
      </c>
      <c r="D93" s="4">
        <v>22</v>
      </c>
      <c r="E93" s="8" t="s">
        <v>60</v>
      </c>
      <c r="F93" s="7" t="s">
        <v>71</v>
      </c>
    </row>
    <row r="94" spans="1:6">
      <c r="A94" s="4" t="str">
        <f t="shared" si="1"/>
        <v>trna9|24</v>
      </c>
      <c r="B94" s="4" t="s">
        <v>38</v>
      </c>
      <c r="C94" s="4" t="s">
        <v>85</v>
      </c>
      <c r="D94" s="4">
        <v>23</v>
      </c>
      <c r="E94" s="8" t="s">
        <v>62</v>
      </c>
      <c r="F94" s="7" t="s">
        <v>71</v>
      </c>
    </row>
    <row r="95" spans="1:6">
      <c r="A95" s="4" t="str">
        <f t="shared" si="1"/>
        <v>trna9|25</v>
      </c>
      <c r="B95" s="4" t="s">
        <v>38</v>
      </c>
      <c r="C95" s="4" t="s">
        <v>86</v>
      </c>
      <c r="D95" s="4">
        <v>24</v>
      </c>
      <c r="E95" s="8" t="s">
        <v>58</v>
      </c>
      <c r="F95" s="7" t="s">
        <v>71</v>
      </c>
    </row>
    <row r="96" spans="1:6">
      <c r="A96" s="4" t="str">
        <f t="shared" si="1"/>
        <v>trna9|26</v>
      </c>
      <c r="B96" s="4" t="s">
        <v>38</v>
      </c>
      <c r="C96" s="4" t="s">
        <v>87</v>
      </c>
      <c r="D96" s="4">
        <v>25</v>
      </c>
      <c r="E96" s="3" t="s">
        <v>60</v>
      </c>
      <c r="F96" s="4" t="s">
        <v>88</v>
      </c>
    </row>
    <row r="97" spans="1:6">
      <c r="A97" s="4" t="str">
        <f t="shared" si="1"/>
        <v>trna9|27</v>
      </c>
      <c r="B97" s="4" t="s">
        <v>38</v>
      </c>
      <c r="C97" s="4" t="s">
        <v>89</v>
      </c>
      <c r="D97" s="4">
        <v>26</v>
      </c>
      <c r="E97" s="20" t="s">
        <v>58</v>
      </c>
      <c r="F97" s="21" t="s">
        <v>90</v>
      </c>
    </row>
    <row r="98" spans="1:6">
      <c r="A98" s="4" t="str">
        <f t="shared" si="1"/>
        <v>trna9|28</v>
      </c>
      <c r="B98" s="4" t="s">
        <v>38</v>
      </c>
      <c r="C98" s="4" t="s">
        <v>91</v>
      </c>
      <c r="D98" s="4">
        <v>27</v>
      </c>
      <c r="E98" s="20" t="s">
        <v>55</v>
      </c>
      <c r="F98" s="21" t="s">
        <v>90</v>
      </c>
    </row>
    <row r="99" spans="1:6">
      <c r="A99" s="4" t="str">
        <f t="shared" si="1"/>
        <v>trna9|29</v>
      </c>
      <c r="B99" s="4" t="s">
        <v>38</v>
      </c>
      <c r="C99" s="4" t="s">
        <v>92</v>
      </c>
      <c r="D99" s="4">
        <v>28</v>
      </c>
      <c r="E99" s="20" t="s">
        <v>58</v>
      </c>
      <c r="F99" s="21" t="s">
        <v>90</v>
      </c>
    </row>
    <row r="100" spans="1:6">
      <c r="A100" s="4" t="str">
        <f t="shared" si="1"/>
        <v>trna9|30</v>
      </c>
      <c r="B100" s="4" t="s">
        <v>38</v>
      </c>
      <c r="C100" s="4" t="s">
        <v>93</v>
      </c>
      <c r="D100" s="4">
        <v>29</v>
      </c>
      <c r="E100" s="20" t="s">
        <v>62</v>
      </c>
      <c r="F100" s="21" t="s">
        <v>90</v>
      </c>
    </row>
    <row r="101" spans="1:6">
      <c r="A101" s="4" t="str">
        <f t="shared" si="1"/>
        <v>trna9|31</v>
      </c>
      <c r="B101" s="4" t="s">
        <v>38</v>
      </c>
      <c r="C101" s="4" t="s">
        <v>94</v>
      </c>
      <c r="D101" s="4">
        <v>30</v>
      </c>
      <c r="E101" s="20" t="s">
        <v>62</v>
      </c>
      <c r="F101" s="21" t="s">
        <v>90</v>
      </c>
    </row>
    <row r="102" spans="1:6">
      <c r="A102" s="4" t="str">
        <f t="shared" si="1"/>
        <v>trna9|32</v>
      </c>
      <c r="B102" s="4" t="s">
        <v>38</v>
      </c>
      <c r="C102" s="4" t="s">
        <v>95</v>
      </c>
      <c r="D102" s="4">
        <v>31</v>
      </c>
      <c r="E102" s="18" t="s">
        <v>58</v>
      </c>
      <c r="F102" s="19" t="s">
        <v>96</v>
      </c>
    </row>
    <row r="103" spans="1:6">
      <c r="A103" s="4" t="str">
        <f t="shared" si="1"/>
        <v>trna9|33</v>
      </c>
      <c r="B103" s="4" t="s">
        <v>38</v>
      </c>
      <c r="C103" s="4" t="s">
        <v>97</v>
      </c>
      <c r="D103" s="4">
        <v>32</v>
      </c>
      <c r="E103" s="18" t="s">
        <v>58</v>
      </c>
      <c r="F103" s="19" t="s">
        <v>96</v>
      </c>
    </row>
    <row r="104" spans="1:6">
      <c r="A104" s="4" t="str">
        <f t="shared" si="1"/>
        <v>trna9|34</v>
      </c>
      <c r="B104" s="4" t="s">
        <v>38</v>
      </c>
      <c r="C104" s="4" t="s">
        <v>98</v>
      </c>
      <c r="D104" s="4">
        <v>33</v>
      </c>
      <c r="E104" s="18" t="s">
        <v>58</v>
      </c>
      <c r="F104" s="19" t="s">
        <v>96</v>
      </c>
    </row>
    <row r="105" spans="1:6">
      <c r="A105" s="4" t="str">
        <f t="shared" si="1"/>
        <v>trna9|35</v>
      </c>
      <c r="B105" s="4" t="s">
        <v>38</v>
      </c>
      <c r="C105" s="4" t="s">
        <v>99</v>
      </c>
      <c r="D105" s="4">
        <v>34</v>
      </c>
      <c r="E105" s="18" t="s">
        <v>58</v>
      </c>
      <c r="F105" s="19" t="s">
        <v>96</v>
      </c>
    </row>
    <row r="106" spans="1:6">
      <c r="A106" s="4" t="str">
        <f t="shared" si="1"/>
        <v>trna9|36</v>
      </c>
      <c r="B106" s="4" t="s">
        <v>38</v>
      </c>
      <c r="C106" s="4" t="s">
        <v>100</v>
      </c>
      <c r="D106" s="4">
        <v>35</v>
      </c>
      <c r="E106" s="18" t="s">
        <v>62</v>
      </c>
      <c r="F106" s="19" t="s">
        <v>96</v>
      </c>
    </row>
    <row r="107" spans="1:6">
      <c r="A107" s="4" t="str">
        <f t="shared" si="1"/>
        <v>trna9|37</v>
      </c>
      <c r="B107" s="4" t="s">
        <v>38</v>
      </c>
      <c r="C107" s="4" t="s">
        <v>101</v>
      </c>
      <c r="D107" s="4">
        <v>36</v>
      </c>
      <c r="E107" s="18" t="s">
        <v>62</v>
      </c>
      <c r="F107" s="19" t="s">
        <v>96</v>
      </c>
    </row>
    <row r="108" spans="1:6">
      <c r="A108" s="4" t="str">
        <f t="shared" si="1"/>
        <v>trna9|38</v>
      </c>
      <c r="B108" s="4" t="s">
        <v>38</v>
      </c>
      <c r="C108" s="4" t="s">
        <v>102</v>
      </c>
      <c r="D108" s="4">
        <v>37</v>
      </c>
      <c r="E108" s="18" t="s">
        <v>62</v>
      </c>
      <c r="F108" s="19" t="s">
        <v>96</v>
      </c>
    </row>
    <row r="109" spans="1:6">
      <c r="A109" s="4" t="str">
        <f t="shared" si="1"/>
        <v>trna9|39</v>
      </c>
      <c r="B109" s="4" t="s">
        <v>38</v>
      </c>
      <c r="C109" s="4" t="s">
        <v>103</v>
      </c>
      <c r="D109" s="4">
        <v>38</v>
      </c>
      <c r="E109" s="20" t="s">
        <v>58</v>
      </c>
      <c r="F109" s="21" t="s">
        <v>90</v>
      </c>
    </row>
    <row r="110" spans="1:6">
      <c r="A110" s="4" t="str">
        <f t="shared" si="1"/>
        <v>trna9|40</v>
      </c>
      <c r="B110" s="4" t="s">
        <v>38</v>
      </c>
      <c r="C110" s="4" t="s">
        <v>104</v>
      </c>
      <c r="D110" s="4">
        <v>39</v>
      </c>
      <c r="E110" s="20" t="s">
        <v>58</v>
      </c>
      <c r="F110" s="21" t="s">
        <v>90</v>
      </c>
    </row>
    <row r="111" spans="1:6">
      <c r="A111" s="4" t="str">
        <f t="shared" si="1"/>
        <v>trna9|41</v>
      </c>
      <c r="B111" s="4" t="s">
        <v>38</v>
      </c>
      <c r="C111" s="4" t="s">
        <v>105</v>
      </c>
      <c r="D111" s="4">
        <v>40</v>
      </c>
      <c r="E111" s="20" t="s">
        <v>62</v>
      </c>
      <c r="F111" s="21" t="s">
        <v>90</v>
      </c>
    </row>
    <row r="112" spans="1:6">
      <c r="A112" s="4" t="str">
        <f t="shared" si="1"/>
        <v>trna9|42</v>
      </c>
      <c r="B112" s="4" t="s">
        <v>38</v>
      </c>
      <c r="C112" s="4" t="s">
        <v>106</v>
      </c>
      <c r="D112" s="4">
        <v>41</v>
      </c>
      <c r="E112" s="20" t="s">
        <v>60</v>
      </c>
      <c r="F112" s="21" t="s">
        <v>90</v>
      </c>
    </row>
    <row r="113" spans="1:6">
      <c r="A113" s="4" t="str">
        <f t="shared" si="1"/>
        <v>trna9|43</v>
      </c>
      <c r="B113" s="4" t="s">
        <v>38</v>
      </c>
      <c r="C113" s="4" t="s">
        <v>107</v>
      </c>
      <c r="D113" s="4">
        <v>42</v>
      </c>
      <c r="E113" s="20" t="s">
        <v>62</v>
      </c>
      <c r="F113" s="21" t="s">
        <v>90</v>
      </c>
    </row>
    <row r="114" spans="1:6">
      <c r="A114" s="4" t="str">
        <f t="shared" si="1"/>
        <v>trna9|44</v>
      </c>
      <c r="B114" s="4" t="s">
        <v>38</v>
      </c>
      <c r="C114" s="4" t="s">
        <v>108</v>
      </c>
      <c r="D114" s="4">
        <v>43</v>
      </c>
      <c r="E114" s="18" t="s">
        <v>55</v>
      </c>
      <c r="F114" s="19" t="s">
        <v>109</v>
      </c>
    </row>
    <row r="115" spans="1:6">
      <c r="A115" s="4" t="str">
        <f t="shared" si="1"/>
        <v>trna9|45</v>
      </c>
      <c r="B115" s="4" t="s">
        <v>38</v>
      </c>
      <c r="C115" s="4" t="s">
        <v>110</v>
      </c>
      <c r="D115" s="4">
        <v>44</v>
      </c>
      <c r="E115" s="18" t="s">
        <v>58</v>
      </c>
      <c r="F115" s="19" t="s">
        <v>109</v>
      </c>
    </row>
    <row r="116" spans="1:6">
      <c r="A116" s="4" t="str">
        <f t="shared" si="1"/>
        <v>trna9|46</v>
      </c>
      <c r="B116" s="4" t="s">
        <v>38</v>
      </c>
      <c r="C116" s="4" t="s">
        <v>111</v>
      </c>
      <c r="D116" s="4">
        <v>45</v>
      </c>
      <c r="E116" s="18" t="s">
        <v>58</v>
      </c>
      <c r="F116" s="19" t="s">
        <v>109</v>
      </c>
    </row>
    <row r="117" spans="1:6">
      <c r="A117" s="4" t="str">
        <f t="shared" si="1"/>
        <v>trna9|48</v>
      </c>
      <c r="B117" s="4" t="s">
        <v>38</v>
      </c>
      <c r="C117" s="4" t="s">
        <v>112</v>
      </c>
      <c r="D117" s="4">
        <v>46</v>
      </c>
      <c r="E117" s="18" t="s">
        <v>58</v>
      </c>
      <c r="F117" s="19" t="s">
        <v>109</v>
      </c>
    </row>
    <row r="118" spans="1:6">
      <c r="A118" s="4" t="str">
        <f t="shared" si="1"/>
        <v>trna9|49</v>
      </c>
      <c r="B118" s="4" t="s">
        <v>38</v>
      </c>
      <c r="C118" s="4" t="s">
        <v>113</v>
      </c>
      <c r="D118" s="4">
        <v>47</v>
      </c>
      <c r="E118" s="22" t="s">
        <v>58</v>
      </c>
      <c r="F118" s="10" t="s">
        <v>114</v>
      </c>
    </row>
    <row r="119" spans="1:6">
      <c r="A119" s="4" t="str">
        <f t="shared" si="1"/>
        <v>trna9|50</v>
      </c>
      <c r="B119" s="4" t="s">
        <v>38</v>
      </c>
      <c r="C119" s="4" t="s">
        <v>115</v>
      </c>
      <c r="D119" s="4">
        <v>48</v>
      </c>
      <c r="E119" s="22" t="s">
        <v>62</v>
      </c>
      <c r="F119" s="10" t="s">
        <v>114</v>
      </c>
    </row>
    <row r="120" spans="1:6">
      <c r="A120" s="4" t="str">
        <f t="shared" si="1"/>
        <v>trna9|51</v>
      </c>
      <c r="B120" s="4" t="s">
        <v>38</v>
      </c>
      <c r="C120" s="4" t="s">
        <v>116</v>
      </c>
      <c r="D120" s="4">
        <v>49</v>
      </c>
      <c r="E120" s="22" t="s">
        <v>55</v>
      </c>
      <c r="F120" s="10" t="s">
        <v>114</v>
      </c>
    </row>
    <row r="121" spans="1:6">
      <c r="A121" s="4" t="str">
        <f t="shared" si="1"/>
        <v>trna9|52</v>
      </c>
      <c r="B121" s="4" t="s">
        <v>38</v>
      </c>
      <c r="C121" s="4" t="s">
        <v>117</v>
      </c>
      <c r="D121" s="4">
        <v>50</v>
      </c>
      <c r="E121" s="22" t="s">
        <v>55</v>
      </c>
      <c r="F121" s="10" t="s">
        <v>114</v>
      </c>
    </row>
    <row r="122" spans="1:6">
      <c r="A122" s="4" t="str">
        <f t="shared" si="1"/>
        <v>trna9|53</v>
      </c>
      <c r="B122" s="4" t="s">
        <v>38</v>
      </c>
      <c r="C122" s="4" t="s">
        <v>118</v>
      </c>
      <c r="D122" s="4">
        <v>51</v>
      </c>
      <c r="E122" s="22" t="s">
        <v>55</v>
      </c>
      <c r="F122" s="10" t="s">
        <v>114</v>
      </c>
    </row>
    <row r="123" spans="1:6">
      <c r="A123" s="4" t="str">
        <f t="shared" si="1"/>
        <v>trna9|54</v>
      </c>
      <c r="B123" s="4" t="s">
        <v>38</v>
      </c>
      <c r="C123" s="4" t="s">
        <v>119</v>
      </c>
      <c r="D123" s="4">
        <v>52</v>
      </c>
      <c r="E123" s="18" t="s">
        <v>62</v>
      </c>
      <c r="F123" s="19" t="s">
        <v>120</v>
      </c>
    </row>
    <row r="124" spans="1:6">
      <c r="A124" s="4" t="str">
        <f t="shared" si="1"/>
        <v>trna9|55</v>
      </c>
      <c r="B124" s="4" t="s">
        <v>38</v>
      </c>
      <c r="C124" s="4" t="s">
        <v>121</v>
      </c>
      <c r="D124" s="4">
        <v>53</v>
      </c>
      <c r="E124" s="18" t="s">
        <v>58</v>
      </c>
      <c r="F124" s="19" t="s">
        <v>120</v>
      </c>
    </row>
    <row r="125" spans="1:6">
      <c r="A125" s="4" t="str">
        <f t="shared" si="1"/>
        <v>trna9|56</v>
      </c>
      <c r="B125" s="4" t="s">
        <v>38</v>
      </c>
      <c r="C125" s="4" t="s">
        <v>122</v>
      </c>
      <c r="D125" s="4">
        <v>54</v>
      </c>
      <c r="E125" s="18" t="s">
        <v>60</v>
      </c>
      <c r="F125" s="19" t="s">
        <v>120</v>
      </c>
    </row>
    <row r="126" spans="1:6">
      <c r="A126" s="4" t="str">
        <f t="shared" si="1"/>
        <v>trna9|57</v>
      </c>
      <c r="B126" s="4" t="s">
        <v>38</v>
      </c>
      <c r="C126" s="4" t="s">
        <v>123</v>
      </c>
      <c r="D126" s="4">
        <v>55</v>
      </c>
      <c r="E126" s="18" t="s">
        <v>60</v>
      </c>
      <c r="F126" s="19" t="s">
        <v>120</v>
      </c>
    </row>
    <row r="127" spans="1:6">
      <c r="A127" s="4" t="str">
        <f t="shared" si="1"/>
        <v>trna9|58</v>
      </c>
      <c r="B127" s="4" t="s">
        <v>38</v>
      </c>
      <c r="C127" s="4" t="s">
        <v>124</v>
      </c>
      <c r="D127" s="4">
        <v>56</v>
      </c>
      <c r="E127" s="18" t="s">
        <v>58</v>
      </c>
      <c r="F127" s="19" t="s">
        <v>120</v>
      </c>
    </row>
    <row r="128" spans="1:6">
      <c r="A128" s="4" t="str">
        <f t="shared" si="1"/>
        <v>trna9|59</v>
      </c>
      <c r="B128" s="4" t="s">
        <v>38</v>
      </c>
      <c r="C128" s="4" t="s">
        <v>125</v>
      </c>
      <c r="D128" s="4">
        <v>57</v>
      </c>
      <c r="E128" s="18" t="s">
        <v>58</v>
      </c>
      <c r="F128" s="19" t="s">
        <v>120</v>
      </c>
    </row>
    <row r="129" spans="1:6">
      <c r="A129" s="4" t="str">
        <f t="shared" si="1"/>
        <v>trna9|60</v>
      </c>
      <c r="B129" s="4" t="s">
        <v>38</v>
      </c>
      <c r="C129" s="4" t="s">
        <v>126</v>
      </c>
      <c r="D129" s="4">
        <v>58</v>
      </c>
      <c r="E129" s="18" t="s">
        <v>55</v>
      </c>
      <c r="F129" s="19" t="s">
        <v>120</v>
      </c>
    </row>
    <row r="130" spans="1:6">
      <c r="A130" s="4" t="str">
        <f t="shared" ref="A130:A193" si="2">B130&amp;"|"&amp;C130</f>
        <v>trna9|61</v>
      </c>
      <c r="B130" s="4" t="s">
        <v>38</v>
      </c>
      <c r="C130" s="4" t="s">
        <v>127</v>
      </c>
      <c r="D130" s="4">
        <v>59</v>
      </c>
      <c r="E130" s="22" t="s">
        <v>60</v>
      </c>
      <c r="F130" s="10" t="s">
        <v>114</v>
      </c>
    </row>
    <row r="131" spans="1:6">
      <c r="A131" s="4" t="str">
        <f t="shared" si="2"/>
        <v>trna9|62</v>
      </c>
      <c r="B131" s="4" t="s">
        <v>38</v>
      </c>
      <c r="C131" s="4" t="s">
        <v>128</v>
      </c>
      <c r="D131" s="4">
        <v>60</v>
      </c>
      <c r="E131" s="22" t="s">
        <v>58</v>
      </c>
      <c r="F131" s="10" t="s">
        <v>114</v>
      </c>
    </row>
    <row r="132" spans="1:6">
      <c r="A132" s="4" t="str">
        <f t="shared" si="2"/>
        <v>trna9|63</v>
      </c>
      <c r="B132" s="4" t="s">
        <v>38</v>
      </c>
      <c r="C132" s="4" t="s">
        <v>129</v>
      </c>
      <c r="D132" s="4">
        <v>61</v>
      </c>
      <c r="E132" s="22" t="s">
        <v>58</v>
      </c>
      <c r="F132" s="10" t="s">
        <v>114</v>
      </c>
    </row>
    <row r="133" spans="1:6">
      <c r="A133" s="4" t="str">
        <f t="shared" si="2"/>
        <v>trna9|64</v>
      </c>
      <c r="B133" s="4" t="s">
        <v>38</v>
      </c>
      <c r="C133" s="4" t="s">
        <v>130</v>
      </c>
      <c r="D133" s="4">
        <v>62</v>
      </c>
      <c r="E133" s="22" t="s">
        <v>58</v>
      </c>
      <c r="F133" s="10" t="s">
        <v>114</v>
      </c>
    </row>
    <row r="134" spans="1:6">
      <c r="A134" s="4" t="str">
        <f t="shared" si="2"/>
        <v>trna9|65</v>
      </c>
      <c r="B134" s="4" t="s">
        <v>38</v>
      </c>
      <c r="C134" s="4" t="s">
        <v>131</v>
      </c>
      <c r="D134" s="4">
        <v>63</v>
      </c>
      <c r="E134" s="22" t="s">
        <v>62</v>
      </c>
      <c r="F134" s="10" t="s">
        <v>114</v>
      </c>
    </row>
    <row r="135" spans="1:6">
      <c r="A135" s="4" t="str">
        <f t="shared" si="2"/>
        <v>trna9|66</v>
      </c>
      <c r="B135" s="4" t="s">
        <v>38</v>
      </c>
      <c r="C135" s="4" t="s">
        <v>132</v>
      </c>
      <c r="D135" s="4">
        <v>64</v>
      </c>
      <c r="E135" s="16" t="s">
        <v>60</v>
      </c>
      <c r="F135" s="17" t="s">
        <v>56</v>
      </c>
    </row>
    <row r="136" spans="1:6">
      <c r="A136" s="4" t="str">
        <f t="shared" si="2"/>
        <v>trna9|67</v>
      </c>
      <c r="B136" s="4" t="s">
        <v>38</v>
      </c>
      <c r="C136" s="4" t="s">
        <v>133</v>
      </c>
      <c r="D136" s="4">
        <v>65</v>
      </c>
      <c r="E136" s="16" t="s">
        <v>58</v>
      </c>
      <c r="F136" s="17" t="s">
        <v>56</v>
      </c>
    </row>
    <row r="137" spans="1:6">
      <c r="A137" s="4" t="str">
        <f t="shared" si="2"/>
        <v>trna9|68</v>
      </c>
      <c r="B137" s="4" t="s">
        <v>38</v>
      </c>
      <c r="C137" s="4" t="s">
        <v>134</v>
      </c>
      <c r="D137" s="4">
        <v>66</v>
      </c>
      <c r="E137" s="16" t="s">
        <v>58</v>
      </c>
      <c r="F137" s="17" t="s">
        <v>56</v>
      </c>
    </row>
    <row r="138" spans="1:6">
      <c r="A138" s="4" t="str">
        <f t="shared" si="2"/>
        <v>trna9|69</v>
      </c>
      <c r="B138" s="4" t="s">
        <v>38</v>
      </c>
      <c r="C138" s="4" t="s">
        <v>135</v>
      </c>
      <c r="D138" s="4">
        <v>67</v>
      </c>
      <c r="E138" s="16" t="s">
        <v>58</v>
      </c>
      <c r="F138" s="17" t="s">
        <v>56</v>
      </c>
    </row>
    <row r="139" spans="1:6">
      <c r="A139" s="4" t="str">
        <f t="shared" si="2"/>
        <v>trna9|70</v>
      </c>
      <c r="B139" s="4" t="s">
        <v>38</v>
      </c>
      <c r="C139" s="4" t="s">
        <v>136</v>
      </c>
      <c r="D139" s="4">
        <v>68</v>
      </c>
      <c r="E139" s="16" t="s">
        <v>58</v>
      </c>
      <c r="F139" s="17" t="s">
        <v>56</v>
      </c>
    </row>
    <row r="140" spans="1:6">
      <c r="A140" s="4" t="str">
        <f t="shared" si="2"/>
        <v>trna9|71</v>
      </c>
      <c r="B140" s="4" t="s">
        <v>38</v>
      </c>
      <c r="C140" s="4" t="s">
        <v>137</v>
      </c>
      <c r="D140" s="4">
        <v>69</v>
      </c>
      <c r="E140" s="16" t="s">
        <v>62</v>
      </c>
      <c r="F140" s="17" t="s">
        <v>56</v>
      </c>
    </row>
    <row r="141" spans="1:6">
      <c r="A141" s="4" t="str">
        <f t="shared" si="2"/>
        <v>trna9|72</v>
      </c>
      <c r="B141" s="4" t="s">
        <v>38</v>
      </c>
      <c r="C141" s="4" t="s">
        <v>138</v>
      </c>
      <c r="D141" s="4">
        <v>70</v>
      </c>
      <c r="E141" s="16" t="s">
        <v>58</v>
      </c>
      <c r="F141" s="17" t="s">
        <v>56</v>
      </c>
    </row>
    <row r="142" spans="1:6">
      <c r="A142" s="4" t="str">
        <f t="shared" si="2"/>
        <v>trna20|1</v>
      </c>
      <c r="B142" s="4" t="s">
        <v>39</v>
      </c>
      <c r="C142" s="4" t="s">
        <v>54</v>
      </c>
      <c r="D142" s="4">
        <v>1</v>
      </c>
      <c r="E142" s="16" t="s">
        <v>55</v>
      </c>
      <c r="F142" s="17" t="s">
        <v>56</v>
      </c>
    </row>
    <row r="143" spans="1:6">
      <c r="A143" s="4" t="str">
        <f t="shared" si="2"/>
        <v>trna20|2</v>
      </c>
      <c r="B143" s="4" t="s">
        <v>39</v>
      </c>
      <c r="C143" s="4" t="s">
        <v>57</v>
      </c>
      <c r="D143" s="4">
        <v>2</v>
      </c>
      <c r="E143" s="16" t="s">
        <v>55</v>
      </c>
      <c r="F143" s="17" t="s">
        <v>56</v>
      </c>
    </row>
    <row r="144" spans="1:6">
      <c r="A144" s="4" t="str">
        <f t="shared" si="2"/>
        <v>trna20|3</v>
      </c>
      <c r="B144" s="4" t="s">
        <v>39</v>
      </c>
      <c r="C144" s="4" t="s">
        <v>59</v>
      </c>
      <c r="D144" s="4">
        <v>3</v>
      </c>
      <c r="E144" s="16" t="s">
        <v>55</v>
      </c>
      <c r="F144" s="17" t="s">
        <v>56</v>
      </c>
    </row>
    <row r="145" spans="1:6">
      <c r="A145" s="4" t="str">
        <f t="shared" si="2"/>
        <v>trna20|4</v>
      </c>
      <c r="B145" s="4" t="s">
        <v>39</v>
      </c>
      <c r="C145" s="4" t="s">
        <v>61</v>
      </c>
      <c r="D145" s="4">
        <v>4</v>
      </c>
      <c r="E145" s="16" t="s">
        <v>62</v>
      </c>
      <c r="F145" s="17" t="s">
        <v>56</v>
      </c>
    </row>
    <row r="146" spans="1:6">
      <c r="A146" s="4" t="str">
        <f t="shared" si="2"/>
        <v>trna20|5</v>
      </c>
      <c r="B146" s="4" t="s">
        <v>39</v>
      </c>
      <c r="C146" s="4" t="s">
        <v>63</v>
      </c>
      <c r="D146" s="4">
        <v>5</v>
      </c>
      <c r="E146" s="16" t="s">
        <v>55</v>
      </c>
      <c r="F146" s="17" t="s">
        <v>56</v>
      </c>
    </row>
    <row r="147" spans="1:6">
      <c r="A147" s="4" t="str">
        <f t="shared" si="2"/>
        <v>trna20|6</v>
      </c>
      <c r="B147" s="4" t="s">
        <v>39</v>
      </c>
      <c r="C147" s="4" t="s">
        <v>64</v>
      </c>
      <c r="D147" s="4">
        <v>6</v>
      </c>
      <c r="E147" s="16" t="s">
        <v>55</v>
      </c>
      <c r="F147" s="17" t="s">
        <v>56</v>
      </c>
    </row>
    <row r="148" spans="1:6">
      <c r="A148" s="4" t="str">
        <f t="shared" si="2"/>
        <v>trna20|7</v>
      </c>
      <c r="B148" s="4" t="s">
        <v>39</v>
      </c>
      <c r="C148" s="4" t="s">
        <v>65</v>
      </c>
      <c r="D148" s="4">
        <v>7</v>
      </c>
      <c r="E148" s="16" t="s">
        <v>58</v>
      </c>
      <c r="F148" s="17" t="s">
        <v>56</v>
      </c>
    </row>
    <row r="149" spans="1:6">
      <c r="A149" s="4" t="str">
        <f t="shared" si="2"/>
        <v>trna20|8</v>
      </c>
      <c r="B149" s="4" t="s">
        <v>39</v>
      </c>
      <c r="C149" s="4" t="s">
        <v>66</v>
      </c>
      <c r="D149" s="4">
        <v>8</v>
      </c>
      <c r="E149" s="3" t="s">
        <v>58</v>
      </c>
      <c r="F149" s="4" t="s">
        <v>67</v>
      </c>
    </row>
    <row r="150" spans="1:6">
      <c r="A150" s="4" t="str">
        <f t="shared" si="2"/>
        <v>trna20|9</v>
      </c>
      <c r="B150" s="4" t="s">
        <v>39</v>
      </c>
      <c r="C150" s="4" t="s">
        <v>68</v>
      </c>
      <c r="D150" s="4">
        <v>9</v>
      </c>
      <c r="E150" s="3" t="s">
        <v>58</v>
      </c>
      <c r="F150" s="4" t="s">
        <v>69</v>
      </c>
    </row>
    <row r="151" spans="1:6">
      <c r="A151" s="4" t="str">
        <f t="shared" si="2"/>
        <v>trna20|10</v>
      </c>
      <c r="B151" s="4" t="s">
        <v>39</v>
      </c>
      <c r="C151" s="4" t="s">
        <v>70</v>
      </c>
      <c r="D151" s="4">
        <v>10</v>
      </c>
      <c r="E151" s="8" t="s">
        <v>55</v>
      </c>
      <c r="F151" s="7" t="s">
        <v>71</v>
      </c>
    </row>
    <row r="152" spans="1:6">
      <c r="A152" s="4" t="str">
        <f t="shared" si="2"/>
        <v>trna20|11</v>
      </c>
      <c r="B152" s="4" t="s">
        <v>39</v>
      </c>
      <c r="C152" s="4" t="s">
        <v>72</v>
      </c>
      <c r="D152" s="4">
        <v>11</v>
      </c>
      <c r="E152" s="8" t="s">
        <v>62</v>
      </c>
      <c r="F152" s="7" t="s">
        <v>71</v>
      </c>
    </row>
    <row r="153" spans="1:6">
      <c r="A153" s="4" t="str">
        <f t="shared" si="2"/>
        <v>trna20|12</v>
      </c>
      <c r="B153" s="4" t="s">
        <v>39</v>
      </c>
      <c r="C153" s="4" t="s">
        <v>73</v>
      </c>
      <c r="D153" s="4">
        <v>12</v>
      </c>
      <c r="E153" s="8" t="s">
        <v>58</v>
      </c>
      <c r="F153" s="7" t="s">
        <v>71</v>
      </c>
    </row>
    <row r="154" spans="1:6">
      <c r="A154" s="4" t="str">
        <f t="shared" si="2"/>
        <v>trna20|13</v>
      </c>
      <c r="B154" s="4" t="s">
        <v>39</v>
      </c>
      <c r="C154" s="4" t="s">
        <v>74</v>
      </c>
      <c r="D154" s="4">
        <v>13</v>
      </c>
      <c r="E154" s="8" t="s">
        <v>60</v>
      </c>
      <c r="F154" s="7" t="s">
        <v>71</v>
      </c>
    </row>
    <row r="155" spans="1:6">
      <c r="A155" s="4" t="str">
        <f t="shared" si="2"/>
        <v>trna20|14</v>
      </c>
      <c r="B155" s="4" t="s">
        <v>39</v>
      </c>
      <c r="C155" s="4" t="s">
        <v>75</v>
      </c>
      <c r="D155" s="4">
        <v>14</v>
      </c>
      <c r="E155" s="18" t="s">
        <v>55</v>
      </c>
      <c r="F155" s="19" t="s">
        <v>76</v>
      </c>
    </row>
    <row r="156" spans="1:6">
      <c r="A156" s="4" t="str">
        <f t="shared" si="2"/>
        <v>trna20|15</v>
      </c>
      <c r="B156" s="4" t="s">
        <v>39</v>
      </c>
      <c r="C156" s="4" t="s">
        <v>77</v>
      </c>
      <c r="D156" s="4">
        <v>15</v>
      </c>
      <c r="E156" s="18" t="s">
        <v>55</v>
      </c>
      <c r="F156" s="19" t="s">
        <v>76</v>
      </c>
    </row>
    <row r="157" spans="1:6">
      <c r="A157" s="4" t="str">
        <f t="shared" si="2"/>
        <v>trna20|16</v>
      </c>
      <c r="B157" s="4" t="s">
        <v>39</v>
      </c>
      <c r="C157" s="4" t="s">
        <v>78</v>
      </c>
      <c r="D157" s="4">
        <v>16</v>
      </c>
      <c r="E157" s="18" t="s">
        <v>62</v>
      </c>
      <c r="F157" s="19" t="s">
        <v>76</v>
      </c>
    </row>
    <row r="158" spans="1:6">
      <c r="A158" s="4" t="str">
        <f t="shared" si="2"/>
        <v>trna20|17</v>
      </c>
      <c r="B158" s="4" t="s">
        <v>39</v>
      </c>
      <c r="C158" s="4" t="s">
        <v>139</v>
      </c>
      <c r="D158" s="4">
        <v>17</v>
      </c>
      <c r="E158" s="18" t="s">
        <v>60</v>
      </c>
      <c r="F158" s="19" t="s">
        <v>76</v>
      </c>
    </row>
    <row r="159" spans="1:6">
      <c r="A159" s="4" t="str">
        <f t="shared" si="2"/>
        <v>trna20|18</v>
      </c>
      <c r="B159" s="4" t="s">
        <v>39</v>
      </c>
      <c r="C159" s="4" t="s">
        <v>79</v>
      </c>
      <c r="D159" s="4">
        <v>18</v>
      </c>
      <c r="E159" s="18" t="s">
        <v>55</v>
      </c>
      <c r="F159" s="19" t="s">
        <v>76</v>
      </c>
    </row>
    <row r="160" spans="1:6">
      <c r="A160" s="4" t="str">
        <f t="shared" si="2"/>
        <v>trna20|19</v>
      </c>
      <c r="B160" s="4" t="s">
        <v>39</v>
      </c>
      <c r="C160" s="4" t="s">
        <v>80</v>
      </c>
      <c r="D160" s="4">
        <v>19</v>
      </c>
      <c r="E160" s="18" t="s">
        <v>55</v>
      </c>
      <c r="F160" s="19" t="s">
        <v>76</v>
      </c>
    </row>
    <row r="161" spans="1:6">
      <c r="A161" s="4" t="str">
        <f t="shared" si="2"/>
        <v>trna20|20</v>
      </c>
      <c r="B161" s="4" t="s">
        <v>39</v>
      </c>
      <c r="C161" s="4" t="s">
        <v>81</v>
      </c>
      <c r="D161" s="4">
        <v>20</v>
      </c>
      <c r="E161" s="18" t="s">
        <v>55</v>
      </c>
      <c r="F161" s="19" t="s">
        <v>76</v>
      </c>
    </row>
    <row r="162" spans="1:6">
      <c r="A162" s="4" t="str">
        <f t="shared" si="2"/>
        <v>trna20|21</v>
      </c>
      <c r="B162" s="4" t="s">
        <v>39</v>
      </c>
      <c r="C162" s="4" t="s">
        <v>82</v>
      </c>
      <c r="D162" s="4">
        <v>21</v>
      </c>
      <c r="E162" s="18" t="s">
        <v>55</v>
      </c>
      <c r="F162" s="19" t="s">
        <v>76</v>
      </c>
    </row>
    <row r="163" spans="1:6">
      <c r="A163" s="4" t="str">
        <f t="shared" si="2"/>
        <v>trna20|22</v>
      </c>
      <c r="B163" s="4" t="s">
        <v>39</v>
      </c>
      <c r="C163" s="4" t="s">
        <v>83</v>
      </c>
      <c r="D163" s="4">
        <v>22</v>
      </c>
      <c r="E163" s="8" t="s">
        <v>55</v>
      </c>
      <c r="F163" s="7" t="s">
        <v>71</v>
      </c>
    </row>
    <row r="164" spans="1:6">
      <c r="A164" s="4" t="str">
        <f t="shared" si="2"/>
        <v>trna20|23</v>
      </c>
      <c r="B164" s="4" t="s">
        <v>39</v>
      </c>
      <c r="C164" s="4" t="s">
        <v>84</v>
      </c>
      <c r="D164" s="4">
        <v>23</v>
      </c>
      <c r="E164" s="8" t="s">
        <v>62</v>
      </c>
      <c r="F164" s="7" t="s">
        <v>71</v>
      </c>
    </row>
    <row r="165" spans="1:6">
      <c r="A165" s="4" t="str">
        <f t="shared" si="2"/>
        <v>trna20|24</v>
      </c>
      <c r="B165" s="4" t="s">
        <v>39</v>
      </c>
      <c r="C165" s="4" t="s">
        <v>85</v>
      </c>
      <c r="D165" s="4">
        <v>24</v>
      </c>
      <c r="E165" s="8" t="s">
        <v>62</v>
      </c>
      <c r="F165" s="7" t="s">
        <v>71</v>
      </c>
    </row>
    <row r="166" spans="1:6">
      <c r="A166" s="4" t="str">
        <f t="shared" si="2"/>
        <v>trna20|25</v>
      </c>
      <c r="B166" s="4" t="s">
        <v>39</v>
      </c>
      <c r="C166" s="4" t="s">
        <v>86</v>
      </c>
      <c r="D166" s="4">
        <v>25</v>
      </c>
      <c r="E166" s="8" t="s">
        <v>58</v>
      </c>
      <c r="F166" s="7" t="s">
        <v>71</v>
      </c>
    </row>
    <row r="167" spans="1:6">
      <c r="A167" s="4" t="str">
        <f t="shared" si="2"/>
        <v>trna20|26</v>
      </c>
      <c r="B167" s="4" t="s">
        <v>39</v>
      </c>
      <c r="C167" s="4" t="s">
        <v>87</v>
      </c>
      <c r="D167" s="4">
        <v>26</v>
      </c>
      <c r="E167" s="3" t="s">
        <v>58</v>
      </c>
      <c r="F167" s="4" t="s">
        <v>88</v>
      </c>
    </row>
    <row r="168" spans="1:6">
      <c r="A168" s="4" t="str">
        <f t="shared" si="2"/>
        <v>trna20|27</v>
      </c>
      <c r="B168" s="4" t="s">
        <v>39</v>
      </c>
      <c r="C168" s="4" t="s">
        <v>89</v>
      </c>
      <c r="D168" s="4">
        <v>27</v>
      </c>
      <c r="E168" s="20" t="s">
        <v>58</v>
      </c>
      <c r="F168" s="21" t="s">
        <v>90</v>
      </c>
    </row>
    <row r="169" spans="1:6">
      <c r="A169" s="4" t="str">
        <f t="shared" si="2"/>
        <v>trna20|28</v>
      </c>
      <c r="B169" s="4" t="s">
        <v>39</v>
      </c>
      <c r="C169" s="4" t="s">
        <v>91</v>
      </c>
      <c r="D169" s="4">
        <v>28</v>
      </c>
      <c r="E169" s="20" t="s">
        <v>58</v>
      </c>
      <c r="F169" s="21" t="s">
        <v>90</v>
      </c>
    </row>
    <row r="170" spans="1:6">
      <c r="A170" s="4" t="str">
        <f t="shared" si="2"/>
        <v>trna20|29</v>
      </c>
      <c r="B170" s="4" t="s">
        <v>39</v>
      </c>
      <c r="C170" s="4" t="s">
        <v>92</v>
      </c>
      <c r="D170" s="4">
        <v>29</v>
      </c>
      <c r="E170" s="20" t="s">
        <v>58</v>
      </c>
      <c r="F170" s="21" t="s">
        <v>90</v>
      </c>
    </row>
    <row r="171" spans="1:6">
      <c r="A171" s="4" t="str">
        <f t="shared" si="2"/>
        <v>trna20|30</v>
      </c>
      <c r="B171" s="4" t="s">
        <v>39</v>
      </c>
      <c r="C171" s="4" t="s">
        <v>93</v>
      </c>
      <c r="D171" s="4">
        <v>30</v>
      </c>
      <c r="E171" s="20" t="s">
        <v>58</v>
      </c>
      <c r="F171" s="21" t="s">
        <v>90</v>
      </c>
    </row>
    <row r="172" spans="1:6">
      <c r="A172" s="4" t="str">
        <f t="shared" si="2"/>
        <v>trna20|31</v>
      </c>
      <c r="B172" s="4" t="s">
        <v>39</v>
      </c>
      <c r="C172" s="4" t="s">
        <v>94</v>
      </c>
      <c r="D172" s="4">
        <v>31</v>
      </c>
      <c r="E172" s="20" t="s">
        <v>55</v>
      </c>
      <c r="F172" s="21" t="s">
        <v>90</v>
      </c>
    </row>
    <row r="173" spans="1:6">
      <c r="A173" s="4" t="str">
        <f t="shared" si="2"/>
        <v>trna20|32</v>
      </c>
      <c r="B173" s="4" t="s">
        <v>39</v>
      </c>
      <c r="C173" s="4" t="s">
        <v>95</v>
      </c>
      <c r="D173" s="4">
        <v>32</v>
      </c>
      <c r="E173" s="18" t="s">
        <v>55</v>
      </c>
      <c r="F173" s="19" t="s">
        <v>96</v>
      </c>
    </row>
    <row r="174" spans="1:6">
      <c r="A174" s="4" t="str">
        <f t="shared" si="2"/>
        <v>trna20|33</v>
      </c>
      <c r="B174" s="4" t="s">
        <v>39</v>
      </c>
      <c r="C174" s="4" t="s">
        <v>97</v>
      </c>
      <c r="D174" s="4">
        <v>33</v>
      </c>
      <c r="E174" s="18" t="s">
        <v>58</v>
      </c>
      <c r="F174" s="19" t="s">
        <v>96</v>
      </c>
    </row>
    <row r="175" spans="1:6">
      <c r="A175" s="4" t="str">
        <f t="shared" si="2"/>
        <v>trna20|34</v>
      </c>
      <c r="B175" s="4" t="s">
        <v>39</v>
      </c>
      <c r="C175" s="4" t="s">
        <v>98</v>
      </c>
      <c r="D175" s="4">
        <v>34</v>
      </c>
      <c r="E175" s="18" t="s">
        <v>58</v>
      </c>
      <c r="F175" s="19" t="s">
        <v>96</v>
      </c>
    </row>
    <row r="176" spans="1:6">
      <c r="A176" s="4" t="str">
        <f t="shared" si="2"/>
        <v>trna20|35</v>
      </c>
      <c r="B176" s="4" t="s">
        <v>39</v>
      </c>
      <c r="C176" s="4" t="s">
        <v>99</v>
      </c>
      <c r="D176" s="4">
        <v>35</v>
      </c>
      <c r="E176" s="18" t="s">
        <v>58</v>
      </c>
      <c r="F176" s="19" t="s">
        <v>96</v>
      </c>
    </row>
    <row r="177" spans="1:6">
      <c r="A177" s="4" t="str">
        <f t="shared" si="2"/>
        <v>trna20|36</v>
      </c>
      <c r="B177" s="4" t="s">
        <v>39</v>
      </c>
      <c r="C177" s="4" t="s">
        <v>100</v>
      </c>
      <c r="D177" s="4">
        <v>36</v>
      </c>
      <c r="E177" s="18" t="s">
        <v>62</v>
      </c>
      <c r="F177" s="19" t="s">
        <v>96</v>
      </c>
    </row>
    <row r="178" spans="1:6">
      <c r="A178" s="4" t="str">
        <f t="shared" si="2"/>
        <v>trna20|37</v>
      </c>
      <c r="B178" s="4" t="s">
        <v>39</v>
      </c>
      <c r="C178" s="4" t="s">
        <v>101</v>
      </c>
      <c r="D178" s="4">
        <v>37</v>
      </c>
      <c r="E178" s="18" t="s">
        <v>55</v>
      </c>
      <c r="F178" s="19" t="s">
        <v>96</v>
      </c>
    </row>
    <row r="179" spans="1:6">
      <c r="A179" s="4" t="str">
        <f t="shared" si="2"/>
        <v>trna20|38</v>
      </c>
      <c r="B179" s="4" t="s">
        <v>39</v>
      </c>
      <c r="C179" s="4" t="s">
        <v>102</v>
      </c>
      <c r="D179" s="4">
        <v>38</v>
      </c>
      <c r="E179" s="18" t="s">
        <v>58</v>
      </c>
      <c r="F179" s="19" t="s">
        <v>96</v>
      </c>
    </row>
    <row r="180" spans="1:6">
      <c r="A180" s="4" t="str">
        <f t="shared" si="2"/>
        <v>trna20|39</v>
      </c>
      <c r="B180" s="4" t="s">
        <v>39</v>
      </c>
      <c r="C180" s="4" t="s">
        <v>103</v>
      </c>
      <c r="D180" s="4">
        <v>39</v>
      </c>
      <c r="E180" s="20" t="s">
        <v>60</v>
      </c>
      <c r="F180" s="21" t="s">
        <v>90</v>
      </c>
    </row>
    <row r="181" spans="1:6">
      <c r="A181" s="4" t="str">
        <f t="shared" si="2"/>
        <v>trna20|40</v>
      </c>
      <c r="B181" s="4" t="s">
        <v>39</v>
      </c>
      <c r="C181" s="4" t="s">
        <v>104</v>
      </c>
      <c r="D181" s="4">
        <v>40</v>
      </c>
      <c r="E181" s="20" t="s">
        <v>62</v>
      </c>
      <c r="F181" s="21" t="s">
        <v>90</v>
      </c>
    </row>
    <row r="182" spans="1:6">
      <c r="A182" s="4" t="str">
        <f t="shared" si="2"/>
        <v>trna20|41</v>
      </c>
      <c r="B182" s="4" t="s">
        <v>39</v>
      </c>
      <c r="C182" s="4" t="s">
        <v>105</v>
      </c>
      <c r="D182" s="4">
        <v>41</v>
      </c>
      <c r="E182" s="20" t="s">
        <v>55</v>
      </c>
      <c r="F182" s="21" t="s">
        <v>90</v>
      </c>
    </row>
    <row r="183" spans="1:6">
      <c r="A183" s="4" t="str">
        <f t="shared" si="2"/>
        <v>trna20|42</v>
      </c>
      <c r="B183" s="4" t="s">
        <v>39</v>
      </c>
      <c r="C183" s="4" t="s">
        <v>106</v>
      </c>
      <c r="D183" s="4">
        <v>42</v>
      </c>
      <c r="E183" s="20" t="s">
        <v>55</v>
      </c>
      <c r="F183" s="21" t="s">
        <v>90</v>
      </c>
    </row>
    <row r="184" spans="1:6">
      <c r="A184" s="4" t="str">
        <f t="shared" si="2"/>
        <v>trna20|43</v>
      </c>
      <c r="B184" s="4" t="s">
        <v>39</v>
      </c>
      <c r="C184" s="4" t="s">
        <v>107</v>
      </c>
      <c r="D184" s="4">
        <v>43</v>
      </c>
      <c r="E184" s="20" t="s">
        <v>62</v>
      </c>
      <c r="F184" s="21" t="s">
        <v>90</v>
      </c>
    </row>
    <row r="185" spans="1:6">
      <c r="A185" s="4" t="str">
        <f t="shared" si="2"/>
        <v>trna20|44</v>
      </c>
      <c r="B185" s="4" t="s">
        <v>39</v>
      </c>
      <c r="C185" s="4" t="s">
        <v>108</v>
      </c>
      <c r="D185" s="4">
        <v>44</v>
      </c>
      <c r="E185" s="18" t="s">
        <v>62</v>
      </c>
      <c r="F185" s="19" t="s">
        <v>109</v>
      </c>
    </row>
    <row r="186" spans="1:6">
      <c r="A186" s="4" t="str">
        <f t="shared" si="2"/>
        <v>trna20|45</v>
      </c>
      <c r="B186" s="4" t="s">
        <v>39</v>
      </c>
      <c r="C186" s="4" t="s">
        <v>110</v>
      </c>
      <c r="D186" s="4">
        <v>45</v>
      </c>
      <c r="E186" s="18" t="s">
        <v>58</v>
      </c>
      <c r="F186" s="19" t="s">
        <v>109</v>
      </c>
    </row>
    <row r="187" spans="1:6">
      <c r="A187" s="4" t="str">
        <f t="shared" si="2"/>
        <v>trna20|48</v>
      </c>
      <c r="B187" s="4" t="s">
        <v>39</v>
      </c>
      <c r="C187" s="4" t="s">
        <v>112</v>
      </c>
      <c r="D187" s="4">
        <v>46</v>
      </c>
      <c r="E187" s="18" t="s">
        <v>58</v>
      </c>
      <c r="F187" s="19" t="s">
        <v>109</v>
      </c>
    </row>
    <row r="188" spans="1:6">
      <c r="A188" s="4" t="str">
        <f t="shared" si="2"/>
        <v>trna20|49</v>
      </c>
      <c r="B188" s="4" t="s">
        <v>39</v>
      </c>
      <c r="C188" s="4" t="s">
        <v>113</v>
      </c>
      <c r="D188" s="4">
        <v>47</v>
      </c>
      <c r="E188" s="22" t="s">
        <v>58</v>
      </c>
      <c r="F188" s="10" t="s">
        <v>114</v>
      </c>
    </row>
    <row r="189" spans="1:6">
      <c r="A189" s="4" t="str">
        <f t="shared" si="2"/>
        <v>trna20|50</v>
      </c>
      <c r="B189" s="4" t="s">
        <v>39</v>
      </c>
      <c r="C189" s="4" t="s">
        <v>115</v>
      </c>
      <c r="D189" s="4">
        <v>48</v>
      </c>
      <c r="E189" s="22" t="s">
        <v>60</v>
      </c>
      <c r="F189" s="10" t="s">
        <v>114</v>
      </c>
    </row>
    <row r="190" spans="1:6">
      <c r="A190" s="4" t="str">
        <f t="shared" si="2"/>
        <v>trna20|51</v>
      </c>
      <c r="B190" s="4" t="s">
        <v>39</v>
      </c>
      <c r="C190" s="4" t="s">
        <v>116</v>
      </c>
      <c r="D190" s="4">
        <v>49</v>
      </c>
      <c r="E190" s="22" t="s">
        <v>58</v>
      </c>
      <c r="F190" s="10" t="s">
        <v>114</v>
      </c>
    </row>
    <row r="191" spans="1:6">
      <c r="A191" s="4" t="str">
        <f t="shared" si="2"/>
        <v>trna20|52</v>
      </c>
      <c r="B191" s="4" t="s">
        <v>39</v>
      </c>
      <c r="C191" s="4" t="s">
        <v>117</v>
      </c>
      <c r="D191" s="4">
        <v>50</v>
      </c>
      <c r="E191" s="22" t="s">
        <v>55</v>
      </c>
      <c r="F191" s="10" t="s">
        <v>114</v>
      </c>
    </row>
    <row r="192" spans="1:6">
      <c r="A192" s="4" t="str">
        <f t="shared" si="2"/>
        <v>trna20|53</v>
      </c>
      <c r="B192" s="4" t="s">
        <v>39</v>
      </c>
      <c r="C192" s="4" t="s">
        <v>118</v>
      </c>
      <c r="D192" s="4">
        <v>51</v>
      </c>
      <c r="E192" s="22" t="s">
        <v>55</v>
      </c>
      <c r="F192" s="10" t="s">
        <v>114</v>
      </c>
    </row>
    <row r="193" spans="1:6">
      <c r="A193" s="4" t="str">
        <f t="shared" si="2"/>
        <v>trna20|54</v>
      </c>
      <c r="B193" s="4" t="s">
        <v>39</v>
      </c>
      <c r="C193" s="4" t="s">
        <v>119</v>
      </c>
      <c r="D193" s="4">
        <v>52</v>
      </c>
      <c r="E193" s="18" t="s">
        <v>58</v>
      </c>
      <c r="F193" s="19" t="s">
        <v>120</v>
      </c>
    </row>
    <row r="194" spans="1:6">
      <c r="A194" s="4" t="str">
        <f t="shared" ref="A194:A257" si="3">B194&amp;"|"&amp;C194</f>
        <v>trna20|55</v>
      </c>
      <c r="B194" s="4" t="s">
        <v>39</v>
      </c>
      <c r="C194" s="4" t="s">
        <v>121</v>
      </c>
      <c r="D194" s="4">
        <v>53</v>
      </c>
      <c r="E194" s="18" t="s">
        <v>58</v>
      </c>
      <c r="F194" s="19" t="s">
        <v>120</v>
      </c>
    </row>
    <row r="195" spans="1:6">
      <c r="A195" s="4" t="str">
        <f t="shared" si="3"/>
        <v>trna20|56</v>
      </c>
      <c r="B195" s="4" t="s">
        <v>39</v>
      </c>
      <c r="C195" s="4" t="s">
        <v>122</v>
      </c>
      <c r="D195" s="4">
        <v>54</v>
      </c>
      <c r="E195" s="18" t="s">
        <v>60</v>
      </c>
      <c r="F195" s="19" t="s">
        <v>120</v>
      </c>
    </row>
    <row r="196" spans="1:6">
      <c r="A196" s="4" t="str">
        <f t="shared" si="3"/>
        <v>trna20|57</v>
      </c>
      <c r="B196" s="4" t="s">
        <v>39</v>
      </c>
      <c r="C196" s="4" t="s">
        <v>123</v>
      </c>
      <c r="D196" s="4">
        <v>55</v>
      </c>
      <c r="E196" s="18" t="s">
        <v>58</v>
      </c>
      <c r="F196" s="19" t="s">
        <v>120</v>
      </c>
    </row>
    <row r="197" spans="1:6">
      <c r="A197" s="4" t="str">
        <f t="shared" si="3"/>
        <v>trna20|58</v>
      </c>
      <c r="B197" s="4" t="s">
        <v>39</v>
      </c>
      <c r="C197" s="4" t="s">
        <v>124</v>
      </c>
      <c r="D197" s="4">
        <v>56</v>
      </c>
      <c r="E197" s="18" t="s">
        <v>58</v>
      </c>
      <c r="F197" s="19" t="s">
        <v>120</v>
      </c>
    </row>
    <row r="198" spans="1:6">
      <c r="A198" s="4" t="str">
        <f t="shared" si="3"/>
        <v>trna20|59</v>
      </c>
      <c r="B198" s="4" t="s">
        <v>39</v>
      </c>
      <c r="C198" s="4" t="s">
        <v>125</v>
      </c>
      <c r="D198" s="4">
        <v>57</v>
      </c>
      <c r="E198" s="18" t="s">
        <v>55</v>
      </c>
      <c r="F198" s="19" t="s">
        <v>120</v>
      </c>
    </row>
    <row r="199" spans="1:6">
      <c r="A199" s="4" t="str">
        <f t="shared" si="3"/>
        <v>trna20|60</v>
      </c>
      <c r="B199" s="4" t="s">
        <v>39</v>
      </c>
      <c r="C199" s="4" t="s">
        <v>126</v>
      </c>
      <c r="D199" s="4">
        <v>58</v>
      </c>
      <c r="E199" s="18" t="s">
        <v>58</v>
      </c>
      <c r="F199" s="19" t="s">
        <v>120</v>
      </c>
    </row>
    <row r="200" spans="1:6">
      <c r="A200" s="4" t="str">
        <f t="shared" si="3"/>
        <v>trna20|61</v>
      </c>
      <c r="B200" s="4" t="s">
        <v>39</v>
      </c>
      <c r="C200" s="4" t="s">
        <v>127</v>
      </c>
      <c r="D200" s="4">
        <v>59</v>
      </c>
      <c r="E200" s="22" t="s">
        <v>60</v>
      </c>
      <c r="F200" s="10" t="s">
        <v>114</v>
      </c>
    </row>
    <row r="201" spans="1:6">
      <c r="A201" s="4" t="str">
        <f t="shared" si="3"/>
        <v>trna20|62</v>
      </c>
      <c r="B201" s="4" t="s">
        <v>39</v>
      </c>
      <c r="C201" s="4" t="s">
        <v>128</v>
      </c>
      <c r="D201" s="4">
        <v>60</v>
      </c>
      <c r="E201" s="22" t="s">
        <v>58</v>
      </c>
      <c r="F201" s="10" t="s">
        <v>114</v>
      </c>
    </row>
    <row r="202" spans="1:6">
      <c r="A202" s="4" t="str">
        <f t="shared" si="3"/>
        <v>trna20|63</v>
      </c>
      <c r="B202" s="4" t="s">
        <v>39</v>
      </c>
      <c r="C202" s="4" t="s">
        <v>129</v>
      </c>
      <c r="D202" s="4">
        <v>61</v>
      </c>
      <c r="E202" s="22" t="s">
        <v>55</v>
      </c>
      <c r="F202" s="10" t="s">
        <v>114</v>
      </c>
    </row>
    <row r="203" spans="1:6">
      <c r="A203" s="4" t="str">
        <f t="shared" si="3"/>
        <v>trna20|64</v>
      </c>
      <c r="B203" s="4" t="s">
        <v>39</v>
      </c>
      <c r="C203" s="4" t="s">
        <v>130</v>
      </c>
      <c r="D203" s="4">
        <v>62</v>
      </c>
      <c r="E203" s="22" t="s">
        <v>55</v>
      </c>
      <c r="F203" s="10" t="s">
        <v>114</v>
      </c>
    </row>
    <row r="204" spans="1:6">
      <c r="A204" s="4" t="str">
        <f t="shared" si="3"/>
        <v>trna20|65</v>
      </c>
      <c r="B204" s="4" t="s">
        <v>39</v>
      </c>
      <c r="C204" s="4" t="s">
        <v>131</v>
      </c>
      <c r="D204" s="4">
        <v>63</v>
      </c>
      <c r="E204" s="22" t="s">
        <v>62</v>
      </c>
      <c r="F204" s="10" t="s">
        <v>114</v>
      </c>
    </row>
    <row r="205" spans="1:6">
      <c r="A205" s="4" t="str">
        <f t="shared" si="3"/>
        <v>trna20|66</v>
      </c>
      <c r="B205" s="4" t="s">
        <v>39</v>
      </c>
      <c r="C205" s="4" t="s">
        <v>132</v>
      </c>
      <c r="D205" s="4">
        <v>64</v>
      </c>
      <c r="E205" s="16" t="s">
        <v>55</v>
      </c>
      <c r="F205" s="17" t="s">
        <v>56</v>
      </c>
    </row>
    <row r="206" spans="1:6">
      <c r="A206" s="4" t="str">
        <f t="shared" si="3"/>
        <v>trna20|67</v>
      </c>
      <c r="B206" s="4" t="s">
        <v>39</v>
      </c>
      <c r="C206" s="4" t="s">
        <v>133</v>
      </c>
      <c r="D206" s="4">
        <v>65</v>
      </c>
      <c r="E206" s="16" t="s">
        <v>58</v>
      </c>
      <c r="F206" s="17" t="s">
        <v>56</v>
      </c>
    </row>
    <row r="207" spans="1:6">
      <c r="A207" s="4" t="str">
        <f t="shared" si="3"/>
        <v>trna20|68</v>
      </c>
      <c r="B207" s="4" t="s">
        <v>39</v>
      </c>
      <c r="C207" s="4" t="s">
        <v>134</v>
      </c>
      <c r="D207" s="4">
        <v>66</v>
      </c>
      <c r="E207" s="16" t="s">
        <v>58</v>
      </c>
      <c r="F207" s="17" t="s">
        <v>56</v>
      </c>
    </row>
    <row r="208" spans="1:6">
      <c r="A208" s="4" t="str">
        <f t="shared" si="3"/>
        <v>trna20|69</v>
      </c>
      <c r="B208" s="4" t="s">
        <v>39</v>
      </c>
      <c r="C208" s="4" t="s">
        <v>135</v>
      </c>
      <c r="D208" s="4">
        <v>67</v>
      </c>
      <c r="E208" s="16" t="s">
        <v>58</v>
      </c>
      <c r="F208" s="17" t="s">
        <v>56</v>
      </c>
    </row>
    <row r="209" spans="1:6">
      <c r="A209" s="4" t="str">
        <f t="shared" si="3"/>
        <v>trna20|70</v>
      </c>
      <c r="B209" s="4" t="s">
        <v>39</v>
      </c>
      <c r="C209" s="4" t="s">
        <v>136</v>
      </c>
      <c r="D209" s="4">
        <v>68</v>
      </c>
      <c r="E209" s="16" t="s">
        <v>60</v>
      </c>
      <c r="F209" s="17" t="s">
        <v>56</v>
      </c>
    </row>
    <row r="210" spans="1:6">
      <c r="A210" s="4" t="str">
        <f t="shared" si="3"/>
        <v>trna20|71</v>
      </c>
      <c r="B210" s="4" t="s">
        <v>39</v>
      </c>
      <c r="C210" s="4" t="s">
        <v>137</v>
      </c>
      <c r="D210" s="4">
        <v>69</v>
      </c>
      <c r="E210" s="16" t="s">
        <v>58</v>
      </c>
      <c r="F210" s="17" t="s">
        <v>56</v>
      </c>
    </row>
    <row r="211" spans="1:6">
      <c r="A211" s="4" t="str">
        <f t="shared" si="3"/>
        <v>trna20|72</v>
      </c>
      <c r="B211" s="4" t="s">
        <v>39</v>
      </c>
      <c r="C211" s="4" t="s">
        <v>138</v>
      </c>
      <c r="D211" s="4">
        <v>70</v>
      </c>
      <c r="E211" s="16" t="s">
        <v>58</v>
      </c>
      <c r="F211" s="17" t="s">
        <v>56</v>
      </c>
    </row>
    <row r="212" spans="1:6">
      <c r="A212" s="4" t="str">
        <f t="shared" si="3"/>
        <v>trna64|1</v>
      </c>
      <c r="B212" s="4" t="s">
        <v>40</v>
      </c>
      <c r="C212" s="4" t="s">
        <v>54</v>
      </c>
      <c r="D212" s="4">
        <v>1</v>
      </c>
      <c r="E212" s="16" t="s">
        <v>55</v>
      </c>
      <c r="F212" s="17" t="s">
        <v>56</v>
      </c>
    </row>
    <row r="213" spans="1:6">
      <c r="A213" s="4" t="str">
        <f t="shared" si="3"/>
        <v>trna64|2</v>
      </c>
      <c r="B213" s="4" t="s">
        <v>40</v>
      </c>
      <c r="C213" s="4" t="s">
        <v>57</v>
      </c>
      <c r="D213" s="4">
        <v>2</v>
      </c>
      <c r="E213" s="16" t="s">
        <v>60</v>
      </c>
      <c r="F213" s="17" t="s">
        <v>56</v>
      </c>
    </row>
    <row r="214" spans="1:6">
      <c r="A214" s="4" t="str">
        <f t="shared" si="3"/>
        <v>trna64|3</v>
      </c>
      <c r="B214" s="4" t="s">
        <v>40</v>
      </c>
      <c r="C214" s="4" t="s">
        <v>59</v>
      </c>
      <c r="D214" s="4">
        <v>3</v>
      </c>
      <c r="E214" s="16" t="s">
        <v>60</v>
      </c>
      <c r="F214" s="17" t="s">
        <v>56</v>
      </c>
    </row>
    <row r="215" spans="1:6">
      <c r="A215" s="4" t="str">
        <f t="shared" si="3"/>
        <v>trna64|4</v>
      </c>
      <c r="B215" s="4" t="s">
        <v>40</v>
      </c>
      <c r="C215" s="4" t="s">
        <v>61</v>
      </c>
      <c r="D215" s="4">
        <v>4</v>
      </c>
      <c r="E215" s="16" t="s">
        <v>60</v>
      </c>
      <c r="F215" s="17" t="s">
        <v>56</v>
      </c>
    </row>
    <row r="216" spans="1:6">
      <c r="A216" s="4" t="str">
        <f t="shared" si="3"/>
        <v>trna64|5</v>
      </c>
      <c r="B216" s="4" t="s">
        <v>40</v>
      </c>
      <c r="C216" s="4" t="s">
        <v>63</v>
      </c>
      <c r="D216" s="4">
        <v>5</v>
      </c>
      <c r="E216" s="16" t="s">
        <v>55</v>
      </c>
      <c r="F216" s="17" t="s">
        <v>56</v>
      </c>
    </row>
    <row r="217" spans="1:6">
      <c r="A217" s="4" t="str">
        <f t="shared" si="3"/>
        <v>trna64|6</v>
      </c>
      <c r="B217" s="4" t="s">
        <v>40</v>
      </c>
      <c r="C217" s="4" t="s">
        <v>64</v>
      </c>
      <c r="D217" s="4">
        <v>6</v>
      </c>
      <c r="E217" s="16" t="s">
        <v>55</v>
      </c>
      <c r="F217" s="17" t="s">
        <v>56</v>
      </c>
    </row>
    <row r="218" spans="1:6">
      <c r="A218" s="4" t="str">
        <f t="shared" si="3"/>
        <v>trna64|7</v>
      </c>
      <c r="B218" s="4" t="s">
        <v>40</v>
      </c>
      <c r="C218" s="4" t="s">
        <v>65</v>
      </c>
      <c r="D218" s="4">
        <v>7</v>
      </c>
      <c r="E218" s="16" t="s">
        <v>62</v>
      </c>
      <c r="F218" s="17" t="s">
        <v>56</v>
      </c>
    </row>
    <row r="219" spans="1:6">
      <c r="A219" s="4" t="str">
        <f t="shared" si="3"/>
        <v>trna64|8</v>
      </c>
      <c r="B219" s="4" t="s">
        <v>40</v>
      </c>
      <c r="C219" s="4" t="s">
        <v>66</v>
      </c>
      <c r="D219" s="4">
        <v>8</v>
      </c>
      <c r="E219" s="3" t="s">
        <v>58</v>
      </c>
      <c r="F219" s="4" t="s">
        <v>67</v>
      </c>
    </row>
    <row r="220" spans="1:6">
      <c r="A220" s="4" t="str">
        <f t="shared" si="3"/>
        <v>trna64|9</v>
      </c>
      <c r="B220" s="4" t="s">
        <v>40</v>
      </c>
      <c r="C220" s="4" t="s">
        <v>68</v>
      </c>
      <c r="D220" s="4">
        <v>9</v>
      </c>
      <c r="E220" s="3" t="s">
        <v>62</v>
      </c>
      <c r="F220" s="4" t="s">
        <v>69</v>
      </c>
    </row>
    <row r="221" spans="1:6">
      <c r="A221" s="4" t="str">
        <f t="shared" si="3"/>
        <v>trna64|10</v>
      </c>
      <c r="B221" s="4" t="s">
        <v>40</v>
      </c>
      <c r="C221" s="4" t="s">
        <v>70</v>
      </c>
      <c r="D221" s="4">
        <v>10</v>
      </c>
      <c r="E221" s="8" t="s">
        <v>55</v>
      </c>
      <c r="F221" s="7" t="s">
        <v>71</v>
      </c>
    </row>
    <row r="222" spans="1:6">
      <c r="A222" s="4" t="str">
        <f t="shared" si="3"/>
        <v>trna64|11</v>
      </c>
      <c r="B222" s="4" t="s">
        <v>40</v>
      </c>
      <c r="C222" s="4" t="s">
        <v>72</v>
      </c>
      <c r="D222" s="4">
        <v>11</v>
      </c>
      <c r="E222" s="8" t="s">
        <v>60</v>
      </c>
      <c r="F222" s="7" t="s">
        <v>71</v>
      </c>
    </row>
    <row r="223" spans="1:6">
      <c r="A223" s="4" t="str">
        <f t="shared" si="3"/>
        <v>trna64|12</v>
      </c>
      <c r="B223" s="4" t="s">
        <v>40</v>
      </c>
      <c r="C223" s="4" t="s">
        <v>73</v>
      </c>
      <c r="D223" s="4">
        <v>12</v>
      </c>
      <c r="E223" s="8" t="s">
        <v>60</v>
      </c>
      <c r="F223" s="7" t="s">
        <v>71</v>
      </c>
    </row>
    <row r="224" spans="1:6">
      <c r="A224" s="4" t="str">
        <f t="shared" si="3"/>
        <v>trna64|13</v>
      </c>
      <c r="B224" s="4" t="s">
        <v>40</v>
      </c>
      <c r="C224" s="4" t="s">
        <v>74</v>
      </c>
      <c r="D224" s="4">
        <v>13</v>
      </c>
      <c r="E224" s="8" t="s">
        <v>58</v>
      </c>
      <c r="F224" s="7" t="s">
        <v>71</v>
      </c>
    </row>
    <row r="225" spans="1:6">
      <c r="A225" s="4" t="str">
        <f t="shared" si="3"/>
        <v>trna64|14</v>
      </c>
      <c r="B225" s="4" t="s">
        <v>40</v>
      </c>
      <c r="C225" s="4" t="s">
        <v>75</v>
      </c>
      <c r="D225" s="4">
        <v>14</v>
      </c>
      <c r="E225" s="18" t="s">
        <v>62</v>
      </c>
      <c r="F225" s="19" t="s">
        <v>76</v>
      </c>
    </row>
    <row r="226" spans="1:6">
      <c r="A226" s="4" t="str">
        <f t="shared" si="3"/>
        <v>trna64|15</v>
      </c>
      <c r="B226" s="4" t="s">
        <v>40</v>
      </c>
      <c r="C226" s="4" t="s">
        <v>77</v>
      </c>
      <c r="D226" s="4">
        <v>15</v>
      </c>
      <c r="E226" s="18" t="s">
        <v>55</v>
      </c>
      <c r="F226" s="19" t="s">
        <v>76</v>
      </c>
    </row>
    <row r="227" spans="1:6">
      <c r="A227" s="4" t="str">
        <f t="shared" si="3"/>
        <v>trna64|16</v>
      </c>
      <c r="B227" s="4" t="s">
        <v>40</v>
      </c>
      <c r="C227" s="4" t="s">
        <v>78</v>
      </c>
      <c r="D227" s="4">
        <v>16</v>
      </c>
      <c r="E227" s="18" t="s">
        <v>62</v>
      </c>
      <c r="F227" s="19" t="s">
        <v>76</v>
      </c>
    </row>
    <row r="228" spans="1:6">
      <c r="A228" s="4" t="str">
        <f t="shared" si="3"/>
        <v>trna64|17</v>
      </c>
      <c r="B228" s="4" t="s">
        <v>40</v>
      </c>
      <c r="C228" s="4" t="s">
        <v>139</v>
      </c>
      <c r="D228" s="4">
        <v>17</v>
      </c>
      <c r="E228" s="18" t="s">
        <v>58</v>
      </c>
      <c r="F228" s="19" t="s">
        <v>76</v>
      </c>
    </row>
    <row r="229" spans="1:6">
      <c r="A229" s="4" t="str">
        <f t="shared" si="3"/>
        <v>trna64|18</v>
      </c>
      <c r="B229" s="4" t="s">
        <v>40</v>
      </c>
      <c r="C229" s="4" t="s">
        <v>79</v>
      </c>
      <c r="D229" s="4">
        <v>18</v>
      </c>
      <c r="E229" s="18" t="s">
        <v>55</v>
      </c>
      <c r="F229" s="19" t="s">
        <v>76</v>
      </c>
    </row>
    <row r="230" spans="1:6">
      <c r="A230" s="4" t="str">
        <f t="shared" si="3"/>
        <v>trna64|19</v>
      </c>
      <c r="B230" s="4" t="s">
        <v>40</v>
      </c>
      <c r="C230" s="4" t="s">
        <v>80</v>
      </c>
      <c r="D230" s="4">
        <v>19</v>
      </c>
      <c r="E230" s="18" t="s">
        <v>55</v>
      </c>
      <c r="F230" s="19" t="s">
        <v>76</v>
      </c>
    </row>
    <row r="231" spans="1:6">
      <c r="A231" s="4" t="str">
        <f t="shared" si="3"/>
        <v>trna64|20</v>
      </c>
      <c r="B231" s="4" t="s">
        <v>40</v>
      </c>
      <c r="C231" s="4" t="s">
        <v>81</v>
      </c>
      <c r="D231" s="4">
        <v>20</v>
      </c>
      <c r="E231" s="18" t="s">
        <v>58</v>
      </c>
      <c r="F231" s="19" t="s">
        <v>76</v>
      </c>
    </row>
    <row r="232" spans="1:6">
      <c r="A232" s="4" t="str">
        <f t="shared" si="3"/>
        <v>trna64|21</v>
      </c>
      <c r="B232" s="4" t="s">
        <v>40</v>
      </c>
      <c r="C232" s="4" t="s">
        <v>82</v>
      </c>
      <c r="D232" s="4">
        <v>21</v>
      </c>
      <c r="E232" s="18" t="s">
        <v>58</v>
      </c>
      <c r="F232" s="19" t="s">
        <v>76</v>
      </c>
    </row>
    <row r="233" spans="1:6">
      <c r="A233" s="4" t="str">
        <f t="shared" si="3"/>
        <v>trna64|22</v>
      </c>
      <c r="B233" s="4" t="s">
        <v>40</v>
      </c>
      <c r="C233" s="4" t="s">
        <v>83</v>
      </c>
      <c r="D233" s="4">
        <v>22</v>
      </c>
      <c r="E233" s="8" t="s">
        <v>55</v>
      </c>
      <c r="F233" s="7" t="s">
        <v>71</v>
      </c>
    </row>
    <row r="234" spans="1:6">
      <c r="A234" s="4" t="str">
        <f t="shared" si="3"/>
        <v>trna64|23</v>
      </c>
      <c r="B234" s="4" t="s">
        <v>40</v>
      </c>
      <c r="C234" s="4" t="s">
        <v>84</v>
      </c>
      <c r="D234" s="4">
        <v>23</v>
      </c>
      <c r="E234" s="8" t="s">
        <v>55</v>
      </c>
      <c r="F234" s="7" t="s">
        <v>71</v>
      </c>
    </row>
    <row r="235" spans="1:6">
      <c r="A235" s="4" t="str">
        <f t="shared" si="3"/>
        <v>trna64|24</v>
      </c>
      <c r="B235" s="4" t="s">
        <v>40</v>
      </c>
      <c r="C235" s="4" t="s">
        <v>85</v>
      </c>
      <c r="D235" s="4">
        <v>24</v>
      </c>
      <c r="E235" s="8" t="s">
        <v>55</v>
      </c>
      <c r="F235" s="7" t="s">
        <v>71</v>
      </c>
    </row>
    <row r="236" spans="1:6">
      <c r="A236" s="4" t="str">
        <f t="shared" si="3"/>
        <v>trna64|25</v>
      </c>
      <c r="B236" s="4" t="s">
        <v>40</v>
      </c>
      <c r="C236" s="4" t="s">
        <v>86</v>
      </c>
      <c r="D236" s="4">
        <v>25</v>
      </c>
      <c r="E236" s="8" t="s">
        <v>55</v>
      </c>
      <c r="F236" s="7" t="s">
        <v>71</v>
      </c>
    </row>
    <row r="237" spans="1:6">
      <c r="A237" s="4" t="str">
        <f t="shared" si="3"/>
        <v>trna64|26</v>
      </c>
      <c r="B237" s="4" t="s">
        <v>40</v>
      </c>
      <c r="C237" s="4" t="s">
        <v>87</v>
      </c>
      <c r="D237" s="4">
        <v>26</v>
      </c>
      <c r="E237" s="3" t="s">
        <v>60</v>
      </c>
      <c r="F237" s="4" t="s">
        <v>88</v>
      </c>
    </row>
    <row r="238" spans="1:6">
      <c r="A238" s="4" t="str">
        <f t="shared" si="3"/>
        <v>trna64|27</v>
      </c>
      <c r="B238" s="4" t="s">
        <v>40</v>
      </c>
      <c r="C238" s="4" t="s">
        <v>89</v>
      </c>
      <c r="D238" s="4">
        <v>27</v>
      </c>
      <c r="E238" s="20" t="s">
        <v>55</v>
      </c>
      <c r="F238" s="21" t="s">
        <v>90</v>
      </c>
    </row>
    <row r="239" spans="1:6">
      <c r="A239" s="4" t="str">
        <f t="shared" si="3"/>
        <v>trna64|28</v>
      </c>
      <c r="B239" s="4" t="s">
        <v>40</v>
      </c>
      <c r="C239" s="4" t="s">
        <v>91</v>
      </c>
      <c r="D239" s="4">
        <v>28</v>
      </c>
      <c r="E239" s="20" t="s">
        <v>60</v>
      </c>
      <c r="F239" s="21" t="s">
        <v>90</v>
      </c>
    </row>
    <row r="240" spans="1:6">
      <c r="A240" s="4" t="str">
        <f t="shared" si="3"/>
        <v>trna64|29</v>
      </c>
      <c r="B240" s="4" t="s">
        <v>40</v>
      </c>
      <c r="C240" s="4" t="s">
        <v>92</v>
      </c>
      <c r="D240" s="4">
        <v>29</v>
      </c>
      <c r="E240" s="20" t="s">
        <v>60</v>
      </c>
      <c r="F240" s="21" t="s">
        <v>90</v>
      </c>
    </row>
    <row r="241" spans="1:6">
      <c r="A241" s="4" t="str">
        <f t="shared" si="3"/>
        <v>trna64|30</v>
      </c>
      <c r="B241" s="4" t="s">
        <v>40</v>
      </c>
      <c r="C241" s="4" t="s">
        <v>93</v>
      </c>
      <c r="D241" s="4">
        <v>30</v>
      </c>
      <c r="E241" s="20" t="s">
        <v>62</v>
      </c>
      <c r="F241" s="21" t="s">
        <v>90</v>
      </c>
    </row>
    <row r="242" spans="1:6">
      <c r="A242" s="4" t="str">
        <f t="shared" si="3"/>
        <v>trna64|31</v>
      </c>
      <c r="B242" s="4" t="s">
        <v>40</v>
      </c>
      <c r="C242" s="4" t="s">
        <v>94</v>
      </c>
      <c r="D242" s="4">
        <v>31</v>
      </c>
      <c r="E242" s="20" t="s">
        <v>55</v>
      </c>
      <c r="F242" s="21" t="s">
        <v>90</v>
      </c>
    </row>
    <row r="243" spans="1:6">
      <c r="A243" s="4" t="str">
        <f t="shared" si="3"/>
        <v>trna64|32</v>
      </c>
      <c r="B243" s="4" t="s">
        <v>40</v>
      </c>
      <c r="C243" s="4" t="s">
        <v>95</v>
      </c>
      <c r="D243" s="4">
        <v>32</v>
      </c>
      <c r="E243" s="18" t="s">
        <v>62</v>
      </c>
      <c r="F243" s="19" t="s">
        <v>96</v>
      </c>
    </row>
    <row r="244" spans="1:6">
      <c r="A244" s="4" t="str">
        <f t="shared" si="3"/>
        <v>trna64|33</v>
      </c>
      <c r="B244" s="4" t="s">
        <v>40</v>
      </c>
      <c r="C244" s="4" t="s">
        <v>97</v>
      </c>
      <c r="D244" s="4">
        <v>33</v>
      </c>
      <c r="E244" s="18" t="s">
        <v>60</v>
      </c>
      <c r="F244" s="19" t="s">
        <v>96</v>
      </c>
    </row>
    <row r="245" spans="1:6">
      <c r="A245" s="4" t="str">
        <f t="shared" si="3"/>
        <v>trna64|34</v>
      </c>
      <c r="B245" s="4" t="s">
        <v>40</v>
      </c>
      <c r="C245" s="4" t="s">
        <v>98</v>
      </c>
      <c r="D245" s="4">
        <v>34</v>
      </c>
      <c r="E245" s="18" t="s">
        <v>58</v>
      </c>
      <c r="F245" s="19" t="s">
        <v>96</v>
      </c>
    </row>
    <row r="246" spans="1:6">
      <c r="A246" s="4" t="str">
        <f t="shared" si="3"/>
        <v>trna64|35</v>
      </c>
      <c r="B246" s="4" t="s">
        <v>40</v>
      </c>
      <c r="C246" s="4" t="s">
        <v>99</v>
      </c>
      <c r="D246" s="4">
        <v>35</v>
      </c>
      <c r="E246" s="18" t="s">
        <v>60</v>
      </c>
      <c r="F246" s="19" t="s">
        <v>96</v>
      </c>
    </row>
    <row r="247" spans="1:6">
      <c r="A247" s="4" t="str">
        <f t="shared" si="3"/>
        <v>trna64|36</v>
      </c>
      <c r="B247" s="4" t="s">
        <v>40</v>
      </c>
      <c r="C247" s="4" t="s">
        <v>100</v>
      </c>
      <c r="D247" s="4">
        <v>36</v>
      </c>
      <c r="E247" s="18" t="s">
        <v>62</v>
      </c>
      <c r="F247" s="19" t="s">
        <v>96</v>
      </c>
    </row>
    <row r="248" spans="1:6">
      <c r="A248" s="4" t="str">
        <f t="shared" si="3"/>
        <v>trna64|37</v>
      </c>
      <c r="B248" s="4" t="s">
        <v>40</v>
      </c>
      <c r="C248" s="4" t="s">
        <v>101</v>
      </c>
      <c r="D248" s="4">
        <v>37</v>
      </c>
      <c r="E248" s="18" t="s">
        <v>58</v>
      </c>
      <c r="F248" s="19" t="s">
        <v>96</v>
      </c>
    </row>
    <row r="249" spans="1:6">
      <c r="A249" s="4" t="str">
        <f t="shared" si="3"/>
        <v>trna64|38</v>
      </c>
      <c r="B249" s="4" t="s">
        <v>40</v>
      </c>
      <c r="C249" s="4" t="s">
        <v>102</v>
      </c>
      <c r="D249" s="4">
        <v>38</v>
      </c>
      <c r="E249" s="18" t="s">
        <v>58</v>
      </c>
      <c r="F249" s="19" t="s">
        <v>96</v>
      </c>
    </row>
    <row r="250" spans="1:6">
      <c r="A250" s="4" t="str">
        <f t="shared" si="3"/>
        <v>trna64|39</v>
      </c>
      <c r="B250" s="4" t="s">
        <v>40</v>
      </c>
      <c r="C250" s="4" t="s">
        <v>103</v>
      </c>
      <c r="D250" s="4">
        <v>39</v>
      </c>
      <c r="E250" s="20" t="s">
        <v>60</v>
      </c>
      <c r="F250" s="21" t="s">
        <v>90</v>
      </c>
    </row>
    <row r="251" spans="1:6">
      <c r="A251" s="4" t="str">
        <f t="shared" si="3"/>
        <v>trna64|40</v>
      </c>
      <c r="B251" s="4" t="s">
        <v>40</v>
      </c>
      <c r="C251" s="4" t="s">
        <v>104</v>
      </c>
      <c r="D251" s="4">
        <v>40</v>
      </c>
      <c r="E251" s="20" t="s">
        <v>58</v>
      </c>
      <c r="F251" s="21" t="s">
        <v>90</v>
      </c>
    </row>
    <row r="252" spans="1:6">
      <c r="A252" s="4" t="str">
        <f t="shared" si="3"/>
        <v>trna64|41</v>
      </c>
      <c r="B252" s="4" t="s">
        <v>40</v>
      </c>
      <c r="C252" s="4" t="s">
        <v>105</v>
      </c>
      <c r="D252" s="4">
        <v>41</v>
      </c>
      <c r="E252" s="20" t="s">
        <v>55</v>
      </c>
      <c r="F252" s="21" t="s">
        <v>90</v>
      </c>
    </row>
    <row r="253" spans="1:6">
      <c r="A253" s="4" t="str">
        <f t="shared" si="3"/>
        <v>trna64|42</v>
      </c>
      <c r="B253" s="4" t="s">
        <v>40</v>
      </c>
      <c r="C253" s="4" t="s">
        <v>106</v>
      </c>
      <c r="D253" s="4">
        <v>42</v>
      </c>
      <c r="E253" s="20" t="s">
        <v>55</v>
      </c>
      <c r="F253" s="21" t="s">
        <v>90</v>
      </c>
    </row>
    <row r="254" spans="1:6">
      <c r="A254" s="4" t="str">
        <f t="shared" si="3"/>
        <v>trna64|43</v>
      </c>
      <c r="B254" s="4" t="s">
        <v>40</v>
      </c>
      <c r="C254" s="4" t="s">
        <v>107</v>
      </c>
      <c r="D254" s="4">
        <v>43</v>
      </c>
      <c r="E254" s="20" t="s">
        <v>62</v>
      </c>
      <c r="F254" s="21" t="s">
        <v>90</v>
      </c>
    </row>
    <row r="255" spans="1:6">
      <c r="A255" s="4" t="str">
        <f t="shared" si="3"/>
        <v>trna64|44</v>
      </c>
      <c r="B255" s="4" t="s">
        <v>40</v>
      </c>
      <c r="C255" s="4" t="s">
        <v>108</v>
      </c>
      <c r="D255" s="4">
        <v>44</v>
      </c>
      <c r="E255" s="18" t="s">
        <v>55</v>
      </c>
      <c r="F255" s="19" t="s">
        <v>109</v>
      </c>
    </row>
    <row r="256" spans="1:6">
      <c r="A256" s="4" t="str">
        <f t="shared" si="3"/>
        <v>trna64|45</v>
      </c>
      <c r="B256" s="4" t="s">
        <v>40</v>
      </c>
      <c r="C256" s="4" t="s">
        <v>110</v>
      </c>
      <c r="D256" s="4">
        <v>45</v>
      </c>
      <c r="E256" s="18" t="s">
        <v>55</v>
      </c>
      <c r="F256" s="19" t="s">
        <v>109</v>
      </c>
    </row>
    <row r="257" spans="1:6">
      <c r="A257" s="4" t="str">
        <f t="shared" si="3"/>
        <v>trna64|46</v>
      </c>
      <c r="B257" s="4" t="s">
        <v>40</v>
      </c>
      <c r="C257" s="4" t="s">
        <v>111</v>
      </c>
      <c r="D257" s="4">
        <v>46</v>
      </c>
      <c r="E257" s="18" t="s">
        <v>58</v>
      </c>
      <c r="F257" s="19" t="s">
        <v>109</v>
      </c>
    </row>
    <row r="258" spans="1:6">
      <c r="A258" s="4" t="str">
        <f t="shared" ref="A258:A321" si="4">B258&amp;"|"&amp;C258</f>
        <v>trna64|48</v>
      </c>
      <c r="B258" s="4" t="s">
        <v>40</v>
      </c>
      <c r="C258" s="4" t="s">
        <v>112</v>
      </c>
      <c r="D258" s="4">
        <v>47</v>
      </c>
      <c r="E258" s="18" t="s">
        <v>60</v>
      </c>
      <c r="F258" s="19" t="s">
        <v>109</v>
      </c>
    </row>
    <row r="259" spans="1:6">
      <c r="A259" s="4" t="str">
        <f t="shared" si="4"/>
        <v>trna64|49</v>
      </c>
      <c r="B259" s="4" t="s">
        <v>40</v>
      </c>
      <c r="C259" s="4" t="s">
        <v>113</v>
      </c>
      <c r="D259" s="4">
        <v>48</v>
      </c>
      <c r="E259" s="22" t="s">
        <v>55</v>
      </c>
      <c r="F259" s="10" t="s">
        <v>114</v>
      </c>
    </row>
    <row r="260" spans="1:6">
      <c r="A260" s="4" t="str">
        <f t="shared" si="4"/>
        <v>trna64|50</v>
      </c>
      <c r="B260" s="4" t="s">
        <v>40</v>
      </c>
      <c r="C260" s="4" t="s">
        <v>115</v>
      </c>
      <c r="D260" s="4">
        <v>49</v>
      </c>
      <c r="E260" s="22" t="s">
        <v>60</v>
      </c>
      <c r="F260" s="10" t="s">
        <v>114</v>
      </c>
    </row>
    <row r="261" spans="1:6">
      <c r="A261" s="4" t="str">
        <f t="shared" si="4"/>
        <v>trna64|51</v>
      </c>
      <c r="B261" s="4" t="s">
        <v>40</v>
      </c>
      <c r="C261" s="4" t="s">
        <v>116</v>
      </c>
      <c r="D261" s="4">
        <v>50</v>
      </c>
      <c r="E261" s="22" t="s">
        <v>55</v>
      </c>
      <c r="F261" s="10" t="s">
        <v>114</v>
      </c>
    </row>
    <row r="262" spans="1:6">
      <c r="A262" s="4" t="str">
        <f t="shared" si="4"/>
        <v>trna64|52</v>
      </c>
      <c r="B262" s="4" t="s">
        <v>40</v>
      </c>
      <c r="C262" s="4" t="s">
        <v>117</v>
      </c>
      <c r="D262" s="4">
        <v>51</v>
      </c>
      <c r="E262" s="22" t="s">
        <v>58</v>
      </c>
      <c r="F262" s="10" t="s">
        <v>114</v>
      </c>
    </row>
    <row r="263" spans="1:6">
      <c r="A263" s="4" t="str">
        <f t="shared" si="4"/>
        <v>trna64|53</v>
      </c>
      <c r="B263" s="4" t="s">
        <v>40</v>
      </c>
      <c r="C263" s="4" t="s">
        <v>118</v>
      </c>
      <c r="D263" s="4">
        <v>52</v>
      </c>
      <c r="E263" s="22" t="s">
        <v>55</v>
      </c>
      <c r="F263" s="10" t="s">
        <v>114</v>
      </c>
    </row>
    <row r="264" spans="1:6">
      <c r="A264" s="4" t="str">
        <f t="shared" si="4"/>
        <v>trna64|54</v>
      </c>
      <c r="B264" s="4" t="s">
        <v>40</v>
      </c>
      <c r="C264" s="4" t="s">
        <v>119</v>
      </c>
      <c r="D264" s="4">
        <v>53</v>
      </c>
      <c r="E264" s="18" t="s">
        <v>58</v>
      </c>
      <c r="F264" s="19" t="s">
        <v>120</v>
      </c>
    </row>
    <row r="265" spans="1:6">
      <c r="A265" s="4" t="str">
        <f t="shared" si="4"/>
        <v>trna64|55</v>
      </c>
      <c r="B265" s="4" t="s">
        <v>40</v>
      </c>
      <c r="C265" s="4" t="s">
        <v>121</v>
      </c>
      <c r="D265" s="4">
        <v>54</v>
      </c>
      <c r="E265" s="18" t="s">
        <v>58</v>
      </c>
      <c r="F265" s="19" t="s">
        <v>120</v>
      </c>
    </row>
    <row r="266" spans="1:6">
      <c r="A266" s="4" t="str">
        <f t="shared" si="4"/>
        <v>trna64|56</v>
      </c>
      <c r="B266" s="4" t="s">
        <v>40</v>
      </c>
      <c r="C266" s="4" t="s">
        <v>122</v>
      </c>
      <c r="D266" s="4">
        <v>55</v>
      </c>
      <c r="E266" s="18" t="s">
        <v>60</v>
      </c>
      <c r="F266" s="19" t="s">
        <v>120</v>
      </c>
    </row>
    <row r="267" spans="1:6">
      <c r="A267" s="4" t="str">
        <f t="shared" si="4"/>
        <v>trna64|57</v>
      </c>
      <c r="B267" s="4" t="s">
        <v>40</v>
      </c>
      <c r="C267" s="4" t="s">
        <v>123</v>
      </c>
      <c r="D267" s="4">
        <v>56</v>
      </c>
      <c r="E267" s="18" t="s">
        <v>55</v>
      </c>
      <c r="F267" s="19" t="s">
        <v>120</v>
      </c>
    </row>
    <row r="268" spans="1:6">
      <c r="A268" s="4" t="str">
        <f t="shared" si="4"/>
        <v>trna64|58</v>
      </c>
      <c r="B268" s="4" t="s">
        <v>40</v>
      </c>
      <c r="C268" s="4" t="s">
        <v>124</v>
      </c>
      <c r="D268" s="4">
        <v>57</v>
      </c>
      <c r="E268" s="18" t="s">
        <v>62</v>
      </c>
      <c r="F268" s="19" t="s">
        <v>120</v>
      </c>
    </row>
    <row r="269" spans="1:6">
      <c r="A269" s="4" t="str">
        <f t="shared" si="4"/>
        <v>trna64|59</v>
      </c>
      <c r="B269" s="4" t="s">
        <v>40</v>
      </c>
      <c r="C269" s="4" t="s">
        <v>125</v>
      </c>
      <c r="D269" s="4">
        <v>58</v>
      </c>
      <c r="E269" s="18" t="s">
        <v>55</v>
      </c>
      <c r="F269" s="19" t="s">
        <v>120</v>
      </c>
    </row>
    <row r="270" spans="1:6">
      <c r="A270" s="4" t="str">
        <f t="shared" si="4"/>
        <v>trna64|60</v>
      </c>
      <c r="B270" s="4" t="s">
        <v>40</v>
      </c>
      <c r="C270" s="4" t="s">
        <v>126</v>
      </c>
      <c r="D270" s="4">
        <v>59</v>
      </c>
      <c r="E270" s="18" t="s">
        <v>58</v>
      </c>
      <c r="F270" s="19" t="s">
        <v>120</v>
      </c>
    </row>
    <row r="271" spans="1:6">
      <c r="A271" s="4" t="str">
        <f t="shared" si="4"/>
        <v>trna64|61</v>
      </c>
      <c r="B271" s="4" t="s">
        <v>40</v>
      </c>
      <c r="C271" s="4" t="s">
        <v>127</v>
      </c>
      <c r="D271" s="4">
        <v>60</v>
      </c>
      <c r="E271" s="22" t="s">
        <v>60</v>
      </c>
      <c r="F271" s="10" t="s">
        <v>114</v>
      </c>
    </row>
    <row r="272" spans="1:6">
      <c r="A272" s="4" t="str">
        <f t="shared" si="4"/>
        <v>trna64|62</v>
      </c>
      <c r="B272" s="4" t="s">
        <v>40</v>
      </c>
      <c r="C272" s="4" t="s">
        <v>128</v>
      </c>
      <c r="D272" s="4">
        <v>61</v>
      </c>
      <c r="E272" s="22" t="s">
        <v>62</v>
      </c>
      <c r="F272" s="10" t="s">
        <v>114</v>
      </c>
    </row>
    <row r="273" spans="1:6">
      <c r="A273" s="4" t="str">
        <f t="shared" si="4"/>
        <v>trna64|63</v>
      </c>
      <c r="B273" s="4" t="s">
        <v>40</v>
      </c>
      <c r="C273" s="4" t="s">
        <v>129</v>
      </c>
      <c r="D273" s="4">
        <v>62</v>
      </c>
      <c r="E273" s="22" t="s">
        <v>60</v>
      </c>
      <c r="F273" s="10" t="s">
        <v>114</v>
      </c>
    </row>
    <row r="274" spans="1:6">
      <c r="A274" s="4" t="str">
        <f t="shared" si="4"/>
        <v>trna64|64</v>
      </c>
      <c r="B274" s="4" t="s">
        <v>40</v>
      </c>
      <c r="C274" s="4" t="s">
        <v>130</v>
      </c>
      <c r="D274" s="4">
        <v>63</v>
      </c>
      <c r="E274" s="22" t="s">
        <v>55</v>
      </c>
      <c r="F274" s="10" t="s">
        <v>114</v>
      </c>
    </row>
    <row r="275" spans="1:6">
      <c r="A275" s="4" t="str">
        <f t="shared" si="4"/>
        <v>trna64|65</v>
      </c>
      <c r="B275" s="4" t="s">
        <v>40</v>
      </c>
      <c r="C275" s="4" t="s">
        <v>131</v>
      </c>
      <c r="D275" s="4">
        <v>64</v>
      </c>
      <c r="E275" s="22" t="s">
        <v>60</v>
      </c>
      <c r="F275" s="10" t="s">
        <v>114</v>
      </c>
    </row>
    <row r="276" spans="1:6">
      <c r="A276" s="4" t="str">
        <f t="shared" si="4"/>
        <v>trna64|66</v>
      </c>
      <c r="B276" s="4" t="s">
        <v>40</v>
      </c>
      <c r="C276" s="4" t="s">
        <v>132</v>
      </c>
      <c r="D276" s="4">
        <v>65</v>
      </c>
      <c r="E276" s="16" t="s">
        <v>58</v>
      </c>
      <c r="F276" s="17" t="s">
        <v>56</v>
      </c>
    </row>
    <row r="277" spans="1:6">
      <c r="A277" s="4" t="str">
        <f t="shared" si="4"/>
        <v>trna64|67</v>
      </c>
      <c r="B277" s="4" t="s">
        <v>40</v>
      </c>
      <c r="C277" s="4" t="s">
        <v>133</v>
      </c>
      <c r="D277" s="4">
        <v>66</v>
      </c>
      <c r="E277" s="16" t="s">
        <v>60</v>
      </c>
      <c r="F277" s="17" t="s">
        <v>56</v>
      </c>
    </row>
    <row r="278" spans="1:6">
      <c r="A278" s="4" t="str">
        <f t="shared" si="4"/>
        <v>trna64|68</v>
      </c>
      <c r="B278" s="4" t="s">
        <v>40</v>
      </c>
      <c r="C278" s="4" t="s">
        <v>134</v>
      </c>
      <c r="D278" s="4">
        <v>67</v>
      </c>
      <c r="E278" s="16" t="s">
        <v>60</v>
      </c>
      <c r="F278" s="17" t="s">
        <v>56</v>
      </c>
    </row>
    <row r="279" spans="1:6">
      <c r="A279" s="4" t="str">
        <f t="shared" si="4"/>
        <v>trna64|69</v>
      </c>
      <c r="B279" s="4" t="s">
        <v>40</v>
      </c>
      <c r="C279" s="4" t="s">
        <v>135</v>
      </c>
      <c r="D279" s="4">
        <v>68</v>
      </c>
      <c r="E279" s="16" t="s">
        <v>55</v>
      </c>
      <c r="F279" s="17" t="s">
        <v>56</v>
      </c>
    </row>
    <row r="280" spans="1:6">
      <c r="A280" s="4" t="str">
        <f t="shared" si="4"/>
        <v>trna64|70</v>
      </c>
      <c r="B280" s="4" t="s">
        <v>40</v>
      </c>
      <c r="C280" s="4" t="s">
        <v>136</v>
      </c>
      <c r="D280" s="4">
        <v>69</v>
      </c>
      <c r="E280" s="16" t="s">
        <v>55</v>
      </c>
      <c r="F280" s="17" t="s">
        <v>56</v>
      </c>
    </row>
    <row r="281" spans="1:6">
      <c r="A281" s="4" t="str">
        <f t="shared" si="4"/>
        <v>trna64|71</v>
      </c>
      <c r="B281" s="4" t="s">
        <v>40</v>
      </c>
      <c r="C281" s="4" t="s">
        <v>137</v>
      </c>
      <c r="D281" s="4">
        <v>70</v>
      </c>
      <c r="E281" s="16" t="s">
        <v>55</v>
      </c>
      <c r="F281" s="17" t="s">
        <v>56</v>
      </c>
    </row>
    <row r="282" spans="1:6">
      <c r="A282" s="4" t="str">
        <f t="shared" si="4"/>
        <v>trna64|72</v>
      </c>
      <c r="B282" s="4" t="s">
        <v>40</v>
      </c>
      <c r="C282" s="4" t="s">
        <v>138</v>
      </c>
      <c r="D282" s="4">
        <v>71</v>
      </c>
      <c r="E282" s="16" t="s">
        <v>60</v>
      </c>
      <c r="F282" s="17" t="s">
        <v>56</v>
      </c>
    </row>
    <row r="283" spans="1:6">
      <c r="A283" s="4" t="str">
        <f t="shared" si="4"/>
        <v>trna590|1</v>
      </c>
      <c r="B283" s="4" t="s">
        <v>41</v>
      </c>
      <c r="C283" s="4" t="s">
        <v>54</v>
      </c>
      <c r="D283" s="4">
        <v>1</v>
      </c>
      <c r="E283" s="16" t="s">
        <v>60</v>
      </c>
      <c r="F283" s="17" t="s">
        <v>56</v>
      </c>
    </row>
    <row r="284" spans="1:6">
      <c r="A284" s="4" t="str">
        <f t="shared" si="4"/>
        <v>trna590|2</v>
      </c>
      <c r="B284" s="4" t="s">
        <v>41</v>
      </c>
      <c r="C284" s="4" t="s">
        <v>57</v>
      </c>
      <c r="D284" s="4">
        <v>2</v>
      </c>
      <c r="E284" s="16" t="s">
        <v>58</v>
      </c>
      <c r="F284" s="17" t="s">
        <v>56</v>
      </c>
    </row>
    <row r="285" spans="1:6">
      <c r="A285" s="4" t="str">
        <f t="shared" si="4"/>
        <v>trna590|3</v>
      </c>
      <c r="B285" s="4" t="s">
        <v>41</v>
      </c>
      <c r="C285" s="4" t="s">
        <v>59</v>
      </c>
      <c r="D285" s="4">
        <v>3</v>
      </c>
      <c r="E285" s="16" t="s">
        <v>58</v>
      </c>
      <c r="F285" s="17" t="s">
        <v>56</v>
      </c>
    </row>
    <row r="286" spans="1:6">
      <c r="A286" s="4" t="str">
        <f t="shared" si="4"/>
        <v>trna590|4</v>
      </c>
      <c r="B286" s="4" t="s">
        <v>41</v>
      </c>
      <c r="C286" s="4" t="s">
        <v>61</v>
      </c>
      <c r="D286" s="4">
        <v>4</v>
      </c>
      <c r="E286" s="16" t="s">
        <v>58</v>
      </c>
      <c r="F286" s="17" t="s">
        <v>56</v>
      </c>
    </row>
    <row r="287" spans="1:6">
      <c r="A287" s="4" t="str">
        <f t="shared" si="4"/>
        <v>trna590|5</v>
      </c>
      <c r="B287" s="4" t="s">
        <v>41</v>
      </c>
      <c r="C287" s="4" t="s">
        <v>63</v>
      </c>
      <c r="D287" s="4">
        <v>5</v>
      </c>
      <c r="E287" s="16" t="s">
        <v>60</v>
      </c>
      <c r="F287" s="17" t="s">
        <v>56</v>
      </c>
    </row>
    <row r="288" spans="1:6">
      <c r="A288" s="4" t="str">
        <f t="shared" si="4"/>
        <v>trna590|6</v>
      </c>
      <c r="B288" s="4" t="s">
        <v>41</v>
      </c>
      <c r="C288" s="4" t="s">
        <v>64</v>
      </c>
      <c r="D288" s="4">
        <v>6</v>
      </c>
      <c r="E288" s="16" t="s">
        <v>58</v>
      </c>
      <c r="F288" s="17" t="s">
        <v>56</v>
      </c>
    </row>
    <row r="289" spans="1:6">
      <c r="A289" s="4" t="str">
        <f t="shared" si="4"/>
        <v>trna590|7</v>
      </c>
      <c r="B289" s="4" t="s">
        <v>41</v>
      </c>
      <c r="C289" s="4" t="s">
        <v>65</v>
      </c>
      <c r="D289" s="4">
        <v>7</v>
      </c>
      <c r="E289" s="16" t="s">
        <v>58</v>
      </c>
      <c r="F289" s="17" t="s">
        <v>56</v>
      </c>
    </row>
    <row r="290" spans="1:6">
      <c r="A290" s="4" t="str">
        <f t="shared" si="4"/>
        <v>trna590|8</v>
      </c>
      <c r="B290" s="4" t="s">
        <v>41</v>
      </c>
      <c r="C290" s="4" t="s">
        <v>66</v>
      </c>
      <c r="D290" s="4">
        <v>8</v>
      </c>
      <c r="E290" s="3" t="s">
        <v>58</v>
      </c>
      <c r="F290" s="4" t="s">
        <v>67</v>
      </c>
    </row>
    <row r="291" spans="1:6">
      <c r="A291" s="4" t="str">
        <f t="shared" si="4"/>
        <v>trna590|9</v>
      </c>
      <c r="B291" s="4" t="s">
        <v>41</v>
      </c>
      <c r="C291" s="4" t="s">
        <v>68</v>
      </c>
      <c r="D291" s="4">
        <v>9</v>
      </c>
      <c r="E291" s="3" t="s">
        <v>62</v>
      </c>
      <c r="F291" s="4" t="s">
        <v>69</v>
      </c>
    </row>
    <row r="292" spans="1:6">
      <c r="A292" s="4" t="str">
        <f t="shared" si="4"/>
        <v>trna590|10</v>
      </c>
      <c r="B292" s="4" t="s">
        <v>41</v>
      </c>
      <c r="C292" s="4" t="s">
        <v>70</v>
      </c>
      <c r="D292" s="4">
        <v>10</v>
      </c>
      <c r="E292" s="8" t="s">
        <v>62</v>
      </c>
      <c r="F292" s="7" t="s">
        <v>71</v>
      </c>
    </row>
    <row r="293" spans="1:6">
      <c r="A293" s="4" t="str">
        <f t="shared" si="4"/>
        <v>trna590|11</v>
      </c>
      <c r="B293" s="4" t="s">
        <v>41</v>
      </c>
      <c r="C293" s="4" t="s">
        <v>72</v>
      </c>
      <c r="D293" s="4">
        <v>11</v>
      </c>
      <c r="E293" s="8" t="s">
        <v>62</v>
      </c>
      <c r="F293" s="7" t="s">
        <v>71</v>
      </c>
    </row>
    <row r="294" spans="1:6">
      <c r="A294" s="4" t="str">
        <f t="shared" si="4"/>
        <v>trna590|12</v>
      </c>
      <c r="B294" s="4" t="s">
        <v>41</v>
      </c>
      <c r="C294" s="4" t="s">
        <v>73</v>
      </c>
      <c r="D294" s="4">
        <v>12</v>
      </c>
      <c r="E294" s="8" t="s">
        <v>58</v>
      </c>
      <c r="F294" s="7" t="s">
        <v>71</v>
      </c>
    </row>
    <row r="295" spans="1:6">
      <c r="A295" s="4" t="str">
        <f t="shared" si="4"/>
        <v>trna590|13</v>
      </c>
      <c r="B295" s="4" t="s">
        <v>41</v>
      </c>
      <c r="C295" s="4" t="s">
        <v>74</v>
      </c>
      <c r="D295" s="4">
        <v>13</v>
      </c>
      <c r="E295" s="8" t="s">
        <v>62</v>
      </c>
      <c r="F295" s="7" t="s">
        <v>71</v>
      </c>
    </row>
    <row r="296" spans="1:6">
      <c r="A296" s="4" t="str">
        <f t="shared" si="4"/>
        <v>trna590|14</v>
      </c>
      <c r="B296" s="4" t="s">
        <v>41</v>
      </c>
      <c r="C296" s="4" t="s">
        <v>75</v>
      </c>
      <c r="D296" s="4">
        <v>14</v>
      </c>
      <c r="E296" s="18" t="s">
        <v>62</v>
      </c>
      <c r="F296" s="19" t="s">
        <v>76</v>
      </c>
    </row>
    <row r="297" spans="1:6">
      <c r="A297" s="4" t="str">
        <f t="shared" si="4"/>
        <v>trna590|15</v>
      </c>
      <c r="B297" s="4" t="s">
        <v>41</v>
      </c>
      <c r="C297" s="4" t="s">
        <v>77</v>
      </c>
      <c r="D297" s="4">
        <v>15</v>
      </c>
      <c r="E297" s="18" t="s">
        <v>62</v>
      </c>
      <c r="F297" s="19" t="s">
        <v>76</v>
      </c>
    </row>
    <row r="298" spans="1:6">
      <c r="A298" s="4" t="str">
        <f t="shared" si="4"/>
        <v>trna590|16</v>
      </c>
      <c r="B298" s="4" t="s">
        <v>41</v>
      </c>
      <c r="C298" s="4" t="s">
        <v>78</v>
      </c>
      <c r="D298" s="4">
        <v>16</v>
      </c>
      <c r="E298" s="18" t="s">
        <v>62</v>
      </c>
      <c r="F298" s="19" t="s">
        <v>76</v>
      </c>
    </row>
    <row r="299" spans="1:6">
      <c r="A299" s="4" t="str">
        <f t="shared" si="4"/>
        <v>trna590|18</v>
      </c>
      <c r="B299" s="4" t="s">
        <v>41</v>
      </c>
      <c r="C299" s="4" t="s">
        <v>79</v>
      </c>
      <c r="D299" s="4">
        <v>17</v>
      </c>
      <c r="E299" s="18" t="s">
        <v>55</v>
      </c>
      <c r="F299" s="19" t="s">
        <v>76</v>
      </c>
    </row>
    <row r="300" spans="1:6">
      <c r="A300" s="4" t="str">
        <f t="shared" si="4"/>
        <v>trna590|19</v>
      </c>
      <c r="B300" s="4" t="s">
        <v>41</v>
      </c>
      <c r="C300" s="4" t="s">
        <v>80</v>
      </c>
      <c r="D300" s="4">
        <v>18</v>
      </c>
      <c r="E300" s="18" t="s">
        <v>55</v>
      </c>
      <c r="F300" s="19" t="s">
        <v>76</v>
      </c>
    </row>
    <row r="301" spans="1:6">
      <c r="A301" s="4" t="str">
        <f t="shared" si="4"/>
        <v>trna590|20</v>
      </c>
      <c r="B301" s="4" t="s">
        <v>41</v>
      </c>
      <c r="C301" s="4" t="s">
        <v>81</v>
      </c>
      <c r="D301" s="4">
        <v>19</v>
      </c>
      <c r="E301" s="18" t="s">
        <v>62</v>
      </c>
      <c r="F301" s="19" t="s">
        <v>76</v>
      </c>
    </row>
    <row r="302" spans="1:6">
      <c r="A302" s="4" t="str">
        <f t="shared" si="4"/>
        <v>trna590|21</v>
      </c>
      <c r="B302" s="4" t="s">
        <v>41</v>
      </c>
      <c r="C302" s="4" t="s">
        <v>82</v>
      </c>
      <c r="D302" s="4">
        <v>20</v>
      </c>
      <c r="E302" s="18" t="s">
        <v>60</v>
      </c>
      <c r="F302" s="19" t="s">
        <v>76</v>
      </c>
    </row>
    <row r="303" spans="1:6">
      <c r="A303" s="4" t="str">
        <f t="shared" si="4"/>
        <v>trna590|22</v>
      </c>
      <c r="B303" s="4" t="s">
        <v>41</v>
      </c>
      <c r="C303" s="4" t="s">
        <v>83</v>
      </c>
      <c r="D303" s="4">
        <v>21</v>
      </c>
      <c r="E303" s="8" t="s">
        <v>58</v>
      </c>
      <c r="F303" s="7" t="s">
        <v>71</v>
      </c>
    </row>
    <row r="304" spans="1:6">
      <c r="A304" s="4" t="str">
        <f t="shared" si="4"/>
        <v>trna590|23</v>
      </c>
      <c r="B304" s="4" t="s">
        <v>41</v>
      </c>
      <c r="C304" s="4" t="s">
        <v>84</v>
      </c>
      <c r="D304" s="4">
        <v>22</v>
      </c>
      <c r="E304" s="8" t="s">
        <v>62</v>
      </c>
      <c r="F304" s="7" t="s">
        <v>71</v>
      </c>
    </row>
    <row r="305" spans="1:6">
      <c r="A305" s="4" t="str">
        <f t="shared" si="4"/>
        <v>trna590|24</v>
      </c>
      <c r="B305" s="4" t="s">
        <v>41</v>
      </c>
      <c r="C305" s="4" t="s">
        <v>85</v>
      </c>
      <c r="D305" s="4">
        <v>23</v>
      </c>
      <c r="E305" s="8" t="s">
        <v>58</v>
      </c>
      <c r="F305" s="7" t="s">
        <v>71</v>
      </c>
    </row>
    <row r="306" spans="1:6">
      <c r="A306" s="4" t="str">
        <f t="shared" si="4"/>
        <v>trna590|25</v>
      </c>
      <c r="B306" s="4" t="s">
        <v>41</v>
      </c>
      <c r="C306" s="4" t="s">
        <v>86</v>
      </c>
      <c r="D306" s="4">
        <v>24</v>
      </c>
      <c r="E306" s="8" t="s">
        <v>58</v>
      </c>
      <c r="F306" s="7" t="s">
        <v>71</v>
      </c>
    </row>
    <row r="307" spans="1:6">
      <c r="A307" s="4" t="str">
        <f t="shared" si="4"/>
        <v>trna590|26</v>
      </c>
      <c r="B307" s="4" t="s">
        <v>41</v>
      </c>
      <c r="C307" s="4" t="s">
        <v>87</v>
      </c>
      <c r="D307" s="4">
        <v>25</v>
      </c>
      <c r="E307" s="3" t="s">
        <v>60</v>
      </c>
      <c r="F307" s="4" t="s">
        <v>88</v>
      </c>
    </row>
    <row r="308" spans="1:6">
      <c r="A308" s="4" t="str">
        <f t="shared" si="4"/>
        <v>trna590|27</v>
      </c>
      <c r="B308" s="4" t="s">
        <v>41</v>
      </c>
      <c r="C308" s="4" t="s">
        <v>89</v>
      </c>
      <c r="D308" s="4">
        <v>26</v>
      </c>
      <c r="E308" s="20" t="s">
        <v>58</v>
      </c>
      <c r="F308" s="21" t="s">
        <v>90</v>
      </c>
    </row>
    <row r="309" spans="1:6">
      <c r="A309" s="4" t="str">
        <f t="shared" si="4"/>
        <v>trna590|28</v>
      </c>
      <c r="B309" s="4" t="s">
        <v>41</v>
      </c>
      <c r="C309" s="4" t="s">
        <v>91</v>
      </c>
      <c r="D309" s="4">
        <v>27</v>
      </c>
      <c r="E309" s="20" t="s">
        <v>60</v>
      </c>
      <c r="F309" s="21" t="s">
        <v>90</v>
      </c>
    </row>
    <row r="310" spans="1:6">
      <c r="A310" s="4" t="str">
        <f t="shared" si="4"/>
        <v>trna590|29</v>
      </c>
      <c r="B310" s="4" t="s">
        <v>41</v>
      </c>
      <c r="C310" s="4" t="s">
        <v>92</v>
      </c>
      <c r="D310" s="4">
        <v>28</v>
      </c>
      <c r="E310" s="20" t="s">
        <v>62</v>
      </c>
      <c r="F310" s="21" t="s">
        <v>90</v>
      </c>
    </row>
    <row r="311" spans="1:6">
      <c r="A311" s="4" t="str">
        <f t="shared" si="4"/>
        <v>trna590|30</v>
      </c>
      <c r="B311" s="4" t="s">
        <v>41</v>
      </c>
      <c r="C311" s="4" t="s">
        <v>93</v>
      </c>
      <c r="D311" s="4">
        <v>29</v>
      </c>
      <c r="E311" s="20" t="s">
        <v>62</v>
      </c>
      <c r="F311" s="21" t="s">
        <v>90</v>
      </c>
    </row>
    <row r="312" spans="1:6">
      <c r="A312" s="4" t="str">
        <f t="shared" si="4"/>
        <v>trna590|31</v>
      </c>
      <c r="B312" s="4" t="s">
        <v>41</v>
      </c>
      <c r="C312" s="4" t="s">
        <v>94</v>
      </c>
      <c r="D312" s="4">
        <v>30</v>
      </c>
      <c r="E312" s="20" t="s">
        <v>62</v>
      </c>
      <c r="F312" s="21" t="s">
        <v>90</v>
      </c>
    </row>
    <row r="313" spans="1:6">
      <c r="A313" s="4" t="str">
        <f t="shared" si="4"/>
        <v>trna590|32</v>
      </c>
      <c r="B313" s="4" t="s">
        <v>41</v>
      </c>
      <c r="C313" s="4" t="s">
        <v>95</v>
      </c>
      <c r="D313" s="4">
        <v>31</v>
      </c>
      <c r="E313" s="18" t="s">
        <v>62</v>
      </c>
      <c r="F313" s="19" t="s">
        <v>96</v>
      </c>
    </row>
    <row r="314" spans="1:6">
      <c r="A314" s="4" t="str">
        <f t="shared" si="4"/>
        <v>trna590|33</v>
      </c>
      <c r="B314" s="4" t="s">
        <v>41</v>
      </c>
      <c r="C314" s="4" t="s">
        <v>97</v>
      </c>
      <c r="D314" s="4">
        <v>32</v>
      </c>
      <c r="E314" s="18" t="s">
        <v>60</v>
      </c>
      <c r="F314" s="19" t="s">
        <v>96</v>
      </c>
    </row>
    <row r="315" spans="1:6">
      <c r="A315" s="4" t="str">
        <f t="shared" si="4"/>
        <v>trna590|34</v>
      </c>
      <c r="B315" s="4" t="s">
        <v>41</v>
      </c>
      <c r="C315" s="4" t="s">
        <v>98</v>
      </c>
      <c r="D315" s="4">
        <v>33</v>
      </c>
      <c r="E315" s="18" t="s">
        <v>58</v>
      </c>
      <c r="F315" s="19" t="s">
        <v>96</v>
      </c>
    </row>
    <row r="316" spans="1:6">
      <c r="A316" s="4" t="str">
        <f t="shared" si="4"/>
        <v>trna590|35</v>
      </c>
      <c r="B316" s="4" t="s">
        <v>41</v>
      </c>
      <c r="C316" s="4" t="s">
        <v>99</v>
      </c>
      <c r="D316" s="4">
        <v>34</v>
      </c>
      <c r="E316" s="18" t="s">
        <v>58</v>
      </c>
      <c r="F316" s="19" t="s">
        <v>96</v>
      </c>
    </row>
    <row r="317" spans="1:6">
      <c r="A317" s="4" t="str">
        <f t="shared" si="4"/>
        <v>trna590|36</v>
      </c>
      <c r="B317" s="4" t="s">
        <v>41</v>
      </c>
      <c r="C317" s="4" t="s">
        <v>100</v>
      </c>
      <c r="D317" s="4">
        <v>35</v>
      </c>
      <c r="E317" s="18" t="s">
        <v>62</v>
      </c>
      <c r="F317" s="19" t="s">
        <v>96</v>
      </c>
    </row>
    <row r="318" spans="1:6">
      <c r="A318" s="4" t="str">
        <f t="shared" si="4"/>
        <v>trna590|37</v>
      </c>
      <c r="B318" s="4" t="s">
        <v>41</v>
      </c>
      <c r="C318" s="4" t="s">
        <v>101</v>
      </c>
      <c r="D318" s="4">
        <v>36</v>
      </c>
      <c r="E318" s="18" t="s">
        <v>58</v>
      </c>
      <c r="F318" s="19" t="s">
        <v>96</v>
      </c>
    </row>
    <row r="319" spans="1:6">
      <c r="A319" s="4" t="str">
        <f t="shared" si="4"/>
        <v>trna590|38</v>
      </c>
      <c r="B319" s="4" t="s">
        <v>41</v>
      </c>
      <c r="C319" s="4" t="s">
        <v>102</v>
      </c>
      <c r="D319" s="4">
        <v>37</v>
      </c>
      <c r="E319" s="18" t="s">
        <v>58</v>
      </c>
      <c r="F319" s="19" t="s">
        <v>96</v>
      </c>
    </row>
    <row r="320" spans="1:6">
      <c r="A320" s="4" t="str">
        <f t="shared" si="4"/>
        <v>trna590|39</v>
      </c>
      <c r="B320" s="4" t="s">
        <v>41</v>
      </c>
      <c r="C320" s="4" t="s">
        <v>103</v>
      </c>
      <c r="D320" s="4">
        <v>38</v>
      </c>
      <c r="E320" s="20" t="s">
        <v>58</v>
      </c>
      <c r="F320" s="21" t="s">
        <v>90</v>
      </c>
    </row>
    <row r="321" spans="1:6">
      <c r="A321" s="4" t="str">
        <f t="shared" si="4"/>
        <v>trna590|40</v>
      </c>
      <c r="B321" s="4" t="s">
        <v>41</v>
      </c>
      <c r="C321" s="4" t="s">
        <v>104</v>
      </c>
      <c r="D321" s="4">
        <v>39</v>
      </c>
      <c r="E321" s="20" t="s">
        <v>58</v>
      </c>
      <c r="F321" s="21" t="s">
        <v>90</v>
      </c>
    </row>
    <row r="322" spans="1:6">
      <c r="A322" s="4" t="str">
        <f t="shared" ref="A322:A385" si="5">B322&amp;"|"&amp;C322</f>
        <v>trna590|41</v>
      </c>
      <c r="B322" s="4" t="s">
        <v>41</v>
      </c>
      <c r="C322" s="4" t="s">
        <v>105</v>
      </c>
      <c r="D322" s="4">
        <v>40</v>
      </c>
      <c r="E322" s="20" t="s">
        <v>58</v>
      </c>
      <c r="F322" s="21" t="s">
        <v>90</v>
      </c>
    </row>
    <row r="323" spans="1:6">
      <c r="A323" s="4" t="str">
        <f t="shared" si="5"/>
        <v>trna590|42</v>
      </c>
      <c r="B323" s="4" t="s">
        <v>41</v>
      </c>
      <c r="C323" s="4" t="s">
        <v>106</v>
      </c>
      <c r="D323" s="4">
        <v>41</v>
      </c>
      <c r="E323" s="20" t="s">
        <v>60</v>
      </c>
      <c r="F323" s="21" t="s">
        <v>90</v>
      </c>
    </row>
    <row r="324" spans="1:6">
      <c r="A324" s="4" t="str">
        <f t="shared" si="5"/>
        <v>trna590|43</v>
      </c>
      <c r="B324" s="4" t="s">
        <v>41</v>
      </c>
      <c r="C324" s="4" t="s">
        <v>107</v>
      </c>
      <c r="D324" s="4">
        <v>42</v>
      </c>
      <c r="E324" s="20" t="s">
        <v>62</v>
      </c>
      <c r="F324" s="21" t="s">
        <v>90</v>
      </c>
    </row>
    <row r="325" spans="1:6">
      <c r="A325" s="4" t="str">
        <f t="shared" si="5"/>
        <v>trna590|44</v>
      </c>
      <c r="B325" s="4" t="s">
        <v>41</v>
      </c>
      <c r="C325" s="4" t="s">
        <v>108</v>
      </c>
      <c r="D325" s="4">
        <v>43</v>
      </c>
      <c r="E325" s="18" t="s">
        <v>62</v>
      </c>
      <c r="F325" s="19" t="s">
        <v>109</v>
      </c>
    </row>
    <row r="326" spans="1:6">
      <c r="A326" s="4" t="str">
        <f t="shared" si="5"/>
        <v>trna590|45</v>
      </c>
      <c r="B326" s="4" t="s">
        <v>41</v>
      </c>
      <c r="C326" s="4" t="s">
        <v>110</v>
      </c>
      <c r="D326" s="4">
        <v>44</v>
      </c>
      <c r="E326" s="18" t="s">
        <v>58</v>
      </c>
      <c r="F326" s="19" t="s">
        <v>109</v>
      </c>
    </row>
    <row r="327" spans="1:6">
      <c r="A327" s="4" t="str">
        <f t="shared" si="5"/>
        <v>trna590|e1</v>
      </c>
      <c r="B327" s="4" t="s">
        <v>41</v>
      </c>
      <c r="C327" s="4" t="s">
        <v>140</v>
      </c>
      <c r="D327" s="4">
        <v>45</v>
      </c>
      <c r="E327" s="18" t="s">
        <v>62</v>
      </c>
      <c r="F327" s="19" t="s">
        <v>109</v>
      </c>
    </row>
    <row r="328" spans="1:6">
      <c r="A328" s="4" t="str">
        <f t="shared" si="5"/>
        <v>trna590|e2</v>
      </c>
      <c r="B328" s="4" t="s">
        <v>41</v>
      </c>
      <c r="C328" s="4" t="s">
        <v>141</v>
      </c>
      <c r="D328" s="4">
        <v>46</v>
      </c>
      <c r="E328" s="18" t="s">
        <v>62</v>
      </c>
      <c r="F328" s="19" t="s">
        <v>109</v>
      </c>
    </row>
    <row r="329" spans="1:6">
      <c r="A329" s="4" t="str">
        <f t="shared" si="5"/>
        <v>trna590|e3</v>
      </c>
      <c r="B329" s="4" t="s">
        <v>41</v>
      </c>
      <c r="C329" s="4" t="s">
        <v>142</v>
      </c>
      <c r="D329" s="4">
        <v>47</v>
      </c>
      <c r="E329" s="18" t="s">
        <v>55</v>
      </c>
      <c r="F329" s="19" t="s">
        <v>109</v>
      </c>
    </row>
    <row r="330" spans="1:6">
      <c r="A330" s="4" t="str">
        <f t="shared" si="5"/>
        <v>trna590|e4</v>
      </c>
      <c r="B330" s="4" t="s">
        <v>41</v>
      </c>
      <c r="C330" s="4" t="s">
        <v>143</v>
      </c>
      <c r="D330" s="4">
        <v>48</v>
      </c>
      <c r="E330" s="18" t="s">
        <v>60</v>
      </c>
      <c r="F330" s="19" t="s">
        <v>109</v>
      </c>
    </row>
    <row r="331" spans="1:6">
      <c r="A331" s="4" t="str">
        <f t="shared" si="5"/>
        <v>trna590|e5</v>
      </c>
      <c r="B331" s="4" t="s">
        <v>41</v>
      </c>
      <c r="C331" s="4" t="s">
        <v>144</v>
      </c>
      <c r="D331" s="4">
        <v>49</v>
      </c>
      <c r="E331" s="18" t="s">
        <v>58</v>
      </c>
      <c r="F331" s="19" t="s">
        <v>109</v>
      </c>
    </row>
    <row r="332" spans="1:6">
      <c r="A332" s="4" t="str">
        <f t="shared" si="5"/>
        <v>trna590|e6</v>
      </c>
      <c r="B332" s="4" t="s">
        <v>41</v>
      </c>
      <c r="C332" s="4" t="s">
        <v>145</v>
      </c>
      <c r="D332" s="4">
        <v>50</v>
      </c>
      <c r="E332" s="18" t="s">
        <v>60</v>
      </c>
      <c r="F332" s="19" t="s">
        <v>109</v>
      </c>
    </row>
    <row r="333" spans="1:6">
      <c r="A333" s="4" t="str">
        <f t="shared" si="5"/>
        <v>trna590|e7</v>
      </c>
      <c r="B333" s="4" t="s">
        <v>41</v>
      </c>
      <c r="C333" s="4" t="s">
        <v>146</v>
      </c>
      <c r="D333" s="4">
        <v>51</v>
      </c>
      <c r="E333" s="18" t="s">
        <v>58</v>
      </c>
      <c r="F333" s="19" t="s">
        <v>109</v>
      </c>
    </row>
    <row r="334" spans="1:6">
      <c r="A334" s="4" t="str">
        <f t="shared" si="5"/>
        <v>trna590|e8</v>
      </c>
      <c r="B334" s="4" t="s">
        <v>41</v>
      </c>
      <c r="C334" s="4" t="s">
        <v>147</v>
      </c>
      <c r="D334" s="4">
        <v>52</v>
      </c>
      <c r="E334" s="18" t="s">
        <v>58</v>
      </c>
      <c r="F334" s="19" t="s">
        <v>109</v>
      </c>
    </row>
    <row r="335" spans="1:6">
      <c r="A335" s="4" t="str">
        <f t="shared" si="5"/>
        <v>trna590|e9</v>
      </c>
      <c r="B335" s="4" t="s">
        <v>41</v>
      </c>
      <c r="C335" s="4" t="s">
        <v>148</v>
      </c>
      <c r="D335" s="4">
        <v>53</v>
      </c>
      <c r="E335" s="18" t="s">
        <v>60</v>
      </c>
      <c r="F335" s="19" t="s">
        <v>109</v>
      </c>
    </row>
    <row r="336" spans="1:6">
      <c r="A336" s="4" t="str">
        <f t="shared" si="5"/>
        <v>trna590|46</v>
      </c>
      <c r="B336" s="4" t="s">
        <v>41</v>
      </c>
      <c r="C336" s="4" t="s">
        <v>111</v>
      </c>
      <c r="D336" s="4">
        <v>54</v>
      </c>
      <c r="E336" s="18" t="s">
        <v>58</v>
      </c>
      <c r="F336" s="19" t="s">
        <v>109</v>
      </c>
    </row>
    <row r="337" spans="1:6">
      <c r="A337" s="4" t="str">
        <f t="shared" si="5"/>
        <v>trna590|47</v>
      </c>
      <c r="B337" s="4" t="s">
        <v>41</v>
      </c>
      <c r="C337" s="4" t="s">
        <v>149</v>
      </c>
      <c r="D337" s="4">
        <v>55</v>
      </c>
      <c r="E337" s="18" t="s">
        <v>58</v>
      </c>
      <c r="F337" s="19" t="s">
        <v>109</v>
      </c>
    </row>
    <row r="338" spans="1:6">
      <c r="A338" s="4" t="str">
        <f t="shared" si="5"/>
        <v>trna590|48</v>
      </c>
      <c r="B338" s="4" t="s">
        <v>41</v>
      </c>
      <c r="C338" s="4" t="s">
        <v>112</v>
      </c>
      <c r="D338" s="4">
        <v>56</v>
      </c>
      <c r="E338" s="18" t="s">
        <v>58</v>
      </c>
      <c r="F338" s="19" t="s">
        <v>109</v>
      </c>
    </row>
    <row r="339" spans="1:6">
      <c r="A339" s="4" t="str">
        <f t="shared" si="5"/>
        <v>trna590|49</v>
      </c>
      <c r="B339" s="4" t="s">
        <v>41</v>
      </c>
      <c r="C339" s="4" t="s">
        <v>113</v>
      </c>
      <c r="D339" s="4">
        <v>57</v>
      </c>
      <c r="E339" s="22" t="s">
        <v>55</v>
      </c>
      <c r="F339" s="10" t="s">
        <v>114</v>
      </c>
    </row>
    <row r="340" spans="1:6">
      <c r="A340" s="4" t="str">
        <f t="shared" si="5"/>
        <v>trna590|50</v>
      </c>
      <c r="B340" s="4" t="s">
        <v>41</v>
      </c>
      <c r="C340" s="4" t="s">
        <v>115</v>
      </c>
      <c r="D340" s="4">
        <v>58</v>
      </c>
      <c r="E340" s="22" t="s">
        <v>60</v>
      </c>
      <c r="F340" s="10" t="s">
        <v>114</v>
      </c>
    </row>
    <row r="341" spans="1:6">
      <c r="A341" s="4" t="str">
        <f t="shared" si="5"/>
        <v>trna590|51</v>
      </c>
      <c r="B341" s="4" t="s">
        <v>41</v>
      </c>
      <c r="C341" s="4" t="s">
        <v>116</v>
      </c>
      <c r="D341" s="4">
        <v>59</v>
      </c>
      <c r="E341" s="22" t="s">
        <v>60</v>
      </c>
      <c r="F341" s="10" t="s">
        <v>114</v>
      </c>
    </row>
    <row r="342" spans="1:6">
      <c r="A342" s="4" t="str">
        <f t="shared" si="5"/>
        <v>trna590|52</v>
      </c>
      <c r="B342" s="4" t="s">
        <v>41</v>
      </c>
      <c r="C342" s="4" t="s">
        <v>117</v>
      </c>
      <c r="D342" s="4">
        <v>60</v>
      </c>
      <c r="E342" s="22" t="s">
        <v>58</v>
      </c>
      <c r="F342" s="10" t="s">
        <v>114</v>
      </c>
    </row>
    <row r="343" spans="1:6">
      <c r="A343" s="4" t="str">
        <f t="shared" si="5"/>
        <v>trna590|53</v>
      </c>
      <c r="B343" s="4" t="s">
        <v>41</v>
      </c>
      <c r="C343" s="4" t="s">
        <v>118</v>
      </c>
      <c r="D343" s="4">
        <v>61</v>
      </c>
      <c r="E343" s="22" t="s">
        <v>55</v>
      </c>
      <c r="F343" s="10" t="s">
        <v>114</v>
      </c>
    </row>
    <row r="344" spans="1:6">
      <c r="A344" s="4" t="str">
        <f t="shared" si="5"/>
        <v>trna590|54</v>
      </c>
      <c r="B344" s="4" t="s">
        <v>41</v>
      </c>
      <c r="C344" s="4" t="s">
        <v>119</v>
      </c>
      <c r="D344" s="4">
        <v>62</v>
      </c>
      <c r="E344" s="18" t="s">
        <v>62</v>
      </c>
      <c r="F344" s="19" t="s">
        <v>120</v>
      </c>
    </row>
    <row r="345" spans="1:6">
      <c r="A345" s="4" t="str">
        <f t="shared" si="5"/>
        <v>trna590|55</v>
      </c>
      <c r="B345" s="4" t="s">
        <v>41</v>
      </c>
      <c r="C345" s="4" t="s">
        <v>121</v>
      </c>
      <c r="D345" s="4">
        <v>63</v>
      </c>
      <c r="E345" s="18" t="s">
        <v>58</v>
      </c>
      <c r="F345" s="19" t="s">
        <v>120</v>
      </c>
    </row>
    <row r="346" spans="1:6">
      <c r="A346" s="4" t="str">
        <f t="shared" si="5"/>
        <v>trna590|56</v>
      </c>
      <c r="B346" s="4" t="s">
        <v>41</v>
      </c>
      <c r="C346" s="4" t="s">
        <v>122</v>
      </c>
      <c r="D346" s="4">
        <v>64</v>
      </c>
      <c r="E346" s="18" t="s">
        <v>60</v>
      </c>
      <c r="F346" s="19" t="s">
        <v>120</v>
      </c>
    </row>
    <row r="347" spans="1:6">
      <c r="A347" s="4" t="str">
        <f t="shared" si="5"/>
        <v>trna590|57</v>
      </c>
      <c r="B347" s="4" t="s">
        <v>41</v>
      </c>
      <c r="C347" s="4" t="s">
        <v>123</v>
      </c>
      <c r="D347" s="4">
        <v>65</v>
      </c>
      <c r="E347" s="18" t="s">
        <v>60</v>
      </c>
      <c r="F347" s="19" t="s">
        <v>120</v>
      </c>
    </row>
    <row r="348" spans="1:6">
      <c r="A348" s="4" t="str">
        <f t="shared" si="5"/>
        <v>trna590|58</v>
      </c>
      <c r="B348" s="4" t="s">
        <v>41</v>
      </c>
      <c r="C348" s="4" t="s">
        <v>124</v>
      </c>
      <c r="D348" s="4">
        <v>66</v>
      </c>
      <c r="E348" s="18" t="s">
        <v>58</v>
      </c>
      <c r="F348" s="19" t="s">
        <v>120</v>
      </c>
    </row>
    <row r="349" spans="1:6">
      <c r="A349" s="4" t="str">
        <f t="shared" si="5"/>
        <v>trna590|59</v>
      </c>
      <c r="B349" s="4" t="s">
        <v>41</v>
      </c>
      <c r="C349" s="4" t="s">
        <v>125</v>
      </c>
      <c r="D349" s="4">
        <v>67</v>
      </c>
      <c r="E349" s="18" t="s">
        <v>60</v>
      </c>
      <c r="F349" s="19" t="s">
        <v>120</v>
      </c>
    </row>
    <row r="350" spans="1:6">
      <c r="A350" s="4" t="str">
        <f t="shared" si="5"/>
        <v>trna590|60</v>
      </c>
      <c r="B350" s="4" t="s">
        <v>41</v>
      </c>
      <c r="C350" s="4" t="s">
        <v>126</v>
      </c>
      <c r="D350" s="4">
        <v>68</v>
      </c>
      <c r="E350" s="18" t="s">
        <v>58</v>
      </c>
      <c r="F350" s="19" t="s">
        <v>120</v>
      </c>
    </row>
    <row r="351" spans="1:6">
      <c r="A351" s="4" t="str">
        <f t="shared" si="5"/>
        <v>trna590|61</v>
      </c>
      <c r="B351" s="4" t="s">
        <v>41</v>
      </c>
      <c r="C351" s="4" t="s">
        <v>127</v>
      </c>
      <c r="D351" s="4">
        <v>69</v>
      </c>
      <c r="E351" s="22" t="s">
        <v>60</v>
      </c>
      <c r="F351" s="10" t="s">
        <v>114</v>
      </c>
    </row>
    <row r="352" spans="1:6">
      <c r="A352" s="4" t="str">
        <f t="shared" si="5"/>
        <v>trna590|62</v>
      </c>
      <c r="B352" s="4" t="s">
        <v>41</v>
      </c>
      <c r="C352" s="4" t="s">
        <v>128</v>
      </c>
      <c r="D352" s="4">
        <v>70</v>
      </c>
      <c r="E352" s="22" t="s">
        <v>62</v>
      </c>
      <c r="F352" s="10" t="s">
        <v>114</v>
      </c>
    </row>
    <row r="353" spans="1:6">
      <c r="A353" s="4" t="str">
        <f t="shared" si="5"/>
        <v>trna590|63</v>
      </c>
      <c r="B353" s="4" t="s">
        <v>41</v>
      </c>
      <c r="C353" s="4" t="s">
        <v>129</v>
      </c>
      <c r="D353" s="4">
        <v>71</v>
      </c>
      <c r="E353" s="22" t="s">
        <v>55</v>
      </c>
      <c r="F353" s="10" t="s">
        <v>114</v>
      </c>
    </row>
    <row r="354" spans="1:6">
      <c r="A354" s="4" t="str">
        <f t="shared" si="5"/>
        <v>trna590|64</v>
      </c>
      <c r="B354" s="4" t="s">
        <v>41</v>
      </c>
      <c r="C354" s="4" t="s">
        <v>130</v>
      </c>
      <c r="D354" s="4">
        <v>72</v>
      </c>
      <c r="E354" s="22" t="s">
        <v>55</v>
      </c>
      <c r="F354" s="10" t="s">
        <v>114</v>
      </c>
    </row>
    <row r="355" spans="1:6">
      <c r="A355" s="4" t="str">
        <f t="shared" si="5"/>
        <v>trna590|65</v>
      </c>
      <c r="B355" s="4" t="s">
        <v>41</v>
      </c>
      <c r="C355" s="4" t="s">
        <v>131</v>
      </c>
      <c r="D355" s="4">
        <v>73</v>
      </c>
      <c r="E355" s="22" t="s">
        <v>58</v>
      </c>
      <c r="F355" s="10" t="s">
        <v>114</v>
      </c>
    </row>
    <row r="356" spans="1:6">
      <c r="A356" s="4" t="str">
        <f t="shared" si="5"/>
        <v>trna590|66</v>
      </c>
      <c r="B356" s="4" t="s">
        <v>41</v>
      </c>
      <c r="C356" s="4" t="s">
        <v>132</v>
      </c>
      <c r="D356" s="4">
        <v>74</v>
      </c>
      <c r="E356" s="16" t="s">
        <v>55</v>
      </c>
      <c r="F356" s="17" t="s">
        <v>56</v>
      </c>
    </row>
    <row r="357" spans="1:6">
      <c r="A357" s="4" t="str">
        <f t="shared" si="5"/>
        <v>trna590|67</v>
      </c>
      <c r="B357" s="4" t="s">
        <v>41</v>
      </c>
      <c r="C357" s="4" t="s">
        <v>133</v>
      </c>
      <c r="D357" s="4">
        <v>75</v>
      </c>
      <c r="E357" s="16" t="s">
        <v>62</v>
      </c>
      <c r="F357" s="17" t="s">
        <v>56</v>
      </c>
    </row>
    <row r="358" spans="1:6">
      <c r="A358" s="4" t="str">
        <f t="shared" si="5"/>
        <v>trna590|68</v>
      </c>
      <c r="B358" s="4" t="s">
        <v>41</v>
      </c>
      <c r="C358" s="4" t="s">
        <v>134</v>
      </c>
      <c r="D358" s="4">
        <v>76</v>
      </c>
      <c r="E358" s="16" t="s">
        <v>55</v>
      </c>
      <c r="F358" s="17" t="s">
        <v>56</v>
      </c>
    </row>
    <row r="359" spans="1:6">
      <c r="A359" s="4" t="str">
        <f t="shared" si="5"/>
        <v>trna590|69</v>
      </c>
      <c r="B359" s="4" t="s">
        <v>41</v>
      </c>
      <c r="C359" s="4" t="s">
        <v>135</v>
      </c>
      <c r="D359" s="4">
        <v>77</v>
      </c>
      <c r="E359" s="16" t="s">
        <v>55</v>
      </c>
      <c r="F359" s="17" t="s">
        <v>56</v>
      </c>
    </row>
    <row r="360" spans="1:6">
      <c r="A360" s="4" t="str">
        <f t="shared" si="5"/>
        <v>trna590|70</v>
      </c>
      <c r="B360" s="4" t="s">
        <v>41</v>
      </c>
      <c r="C360" s="4" t="s">
        <v>136</v>
      </c>
      <c r="D360" s="4">
        <v>78</v>
      </c>
      <c r="E360" s="16" t="s">
        <v>55</v>
      </c>
      <c r="F360" s="17" t="s">
        <v>56</v>
      </c>
    </row>
    <row r="361" spans="1:6">
      <c r="A361" s="4" t="str">
        <f t="shared" si="5"/>
        <v>trna590|71</v>
      </c>
      <c r="B361" s="4" t="s">
        <v>41</v>
      </c>
      <c r="C361" s="4" t="s">
        <v>137</v>
      </c>
      <c r="D361" s="4">
        <v>79</v>
      </c>
      <c r="E361" s="16" t="s">
        <v>62</v>
      </c>
      <c r="F361" s="17" t="s">
        <v>56</v>
      </c>
    </row>
    <row r="362" spans="1:6">
      <c r="A362" s="4" t="str">
        <f t="shared" si="5"/>
        <v>trna590|72</v>
      </c>
      <c r="B362" s="4" t="s">
        <v>41</v>
      </c>
      <c r="C362" s="4" t="s">
        <v>138</v>
      </c>
      <c r="D362" s="4">
        <v>80</v>
      </c>
      <c r="E362" s="16" t="s">
        <v>55</v>
      </c>
      <c r="F362" s="17" t="s">
        <v>56</v>
      </c>
    </row>
    <row r="363" spans="1:6">
      <c r="A363" s="4" t="str">
        <f t="shared" si="5"/>
        <v>trna958|1</v>
      </c>
      <c r="B363" s="4" t="s">
        <v>42</v>
      </c>
      <c r="C363" s="4" t="s">
        <v>54</v>
      </c>
      <c r="D363" s="4">
        <v>1</v>
      </c>
      <c r="E363" s="16" t="s">
        <v>58</v>
      </c>
      <c r="F363" s="17" t="s">
        <v>56</v>
      </c>
    </row>
    <row r="364" spans="1:6">
      <c r="A364" s="4" t="str">
        <f t="shared" si="5"/>
        <v>trna958|2</v>
      </c>
      <c r="B364" s="4" t="s">
        <v>42</v>
      </c>
      <c r="C364" s="4" t="s">
        <v>57</v>
      </c>
      <c r="D364" s="4">
        <v>2</v>
      </c>
      <c r="E364" s="16" t="s">
        <v>60</v>
      </c>
      <c r="F364" s="17" t="s">
        <v>56</v>
      </c>
    </row>
    <row r="365" spans="1:6">
      <c r="A365" s="4" t="str">
        <f t="shared" si="5"/>
        <v>trna958|3</v>
      </c>
      <c r="B365" s="4" t="s">
        <v>42</v>
      </c>
      <c r="C365" s="4" t="s">
        <v>59</v>
      </c>
      <c r="D365" s="4">
        <v>3</v>
      </c>
      <c r="E365" s="16" t="s">
        <v>62</v>
      </c>
      <c r="F365" s="17" t="s">
        <v>56</v>
      </c>
    </row>
    <row r="366" spans="1:6">
      <c r="A366" s="4" t="str">
        <f t="shared" si="5"/>
        <v>trna958|4</v>
      </c>
      <c r="B366" s="4" t="s">
        <v>42</v>
      </c>
      <c r="C366" s="4" t="s">
        <v>61</v>
      </c>
      <c r="D366" s="4">
        <v>4</v>
      </c>
      <c r="E366" s="16" t="s">
        <v>62</v>
      </c>
      <c r="F366" s="17" t="s">
        <v>56</v>
      </c>
    </row>
    <row r="367" spans="1:6">
      <c r="A367" s="4" t="str">
        <f t="shared" si="5"/>
        <v>trna958|5</v>
      </c>
      <c r="B367" s="4" t="s">
        <v>42</v>
      </c>
      <c r="C367" s="4" t="s">
        <v>63</v>
      </c>
      <c r="D367" s="4">
        <v>5</v>
      </c>
      <c r="E367" s="16" t="s">
        <v>60</v>
      </c>
      <c r="F367" s="17" t="s">
        <v>56</v>
      </c>
    </row>
    <row r="368" spans="1:6">
      <c r="A368" s="4" t="str">
        <f t="shared" si="5"/>
        <v>trna958|6</v>
      </c>
      <c r="B368" s="4" t="s">
        <v>42</v>
      </c>
      <c r="C368" s="4" t="s">
        <v>64</v>
      </c>
      <c r="D368" s="4">
        <v>6</v>
      </c>
      <c r="E368" s="16" t="s">
        <v>62</v>
      </c>
      <c r="F368" s="17" t="s">
        <v>56</v>
      </c>
    </row>
    <row r="369" spans="1:6">
      <c r="A369" s="4" t="str">
        <f t="shared" si="5"/>
        <v>trna958|7</v>
      </c>
      <c r="B369" s="4" t="s">
        <v>42</v>
      </c>
      <c r="C369" s="4" t="s">
        <v>65</v>
      </c>
      <c r="D369" s="4">
        <v>7</v>
      </c>
      <c r="E369" s="16" t="s">
        <v>58</v>
      </c>
      <c r="F369" s="17" t="s">
        <v>56</v>
      </c>
    </row>
    <row r="370" spans="1:6">
      <c r="A370" s="4" t="str">
        <f t="shared" si="5"/>
        <v>trna958|8</v>
      </c>
      <c r="B370" s="4" t="s">
        <v>42</v>
      </c>
      <c r="C370" s="4" t="s">
        <v>66</v>
      </c>
      <c r="D370" s="4">
        <v>8</v>
      </c>
      <c r="E370" s="3" t="s">
        <v>58</v>
      </c>
      <c r="F370" s="4" t="s">
        <v>67</v>
      </c>
    </row>
    <row r="371" spans="1:6">
      <c r="A371" s="4" t="str">
        <f t="shared" si="5"/>
        <v>trna958|9</v>
      </c>
      <c r="B371" s="4" t="s">
        <v>42</v>
      </c>
      <c r="C371" s="4" t="s">
        <v>68</v>
      </c>
      <c r="D371" s="4">
        <v>9</v>
      </c>
      <c r="E371" s="3" t="s">
        <v>62</v>
      </c>
      <c r="F371" s="4" t="s">
        <v>69</v>
      </c>
    </row>
    <row r="372" spans="1:6">
      <c r="A372" s="4" t="str">
        <f t="shared" si="5"/>
        <v>trna958|10</v>
      </c>
      <c r="B372" s="4" t="s">
        <v>42</v>
      </c>
      <c r="C372" s="4" t="s">
        <v>70</v>
      </c>
      <c r="D372" s="4">
        <v>10</v>
      </c>
      <c r="E372" s="8" t="s">
        <v>55</v>
      </c>
      <c r="F372" s="7" t="s">
        <v>71</v>
      </c>
    </row>
    <row r="373" spans="1:6">
      <c r="A373" s="4" t="str">
        <f t="shared" si="5"/>
        <v>trna958|11</v>
      </c>
      <c r="B373" s="4" t="s">
        <v>42</v>
      </c>
      <c r="C373" s="4" t="s">
        <v>72</v>
      </c>
      <c r="D373" s="4">
        <v>11</v>
      </c>
      <c r="E373" s="8" t="s">
        <v>55</v>
      </c>
      <c r="F373" s="7" t="s">
        <v>71</v>
      </c>
    </row>
    <row r="374" spans="1:6">
      <c r="A374" s="4" t="str">
        <f t="shared" si="5"/>
        <v>trna958|12</v>
      </c>
      <c r="B374" s="4" t="s">
        <v>42</v>
      </c>
      <c r="C374" s="4" t="s">
        <v>73</v>
      </c>
      <c r="D374" s="4">
        <v>12</v>
      </c>
      <c r="E374" s="8" t="s">
        <v>62</v>
      </c>
      <c r="F374" s="7" t="s">
        <v>71</v>
      </c>
    </row>
    <row r="375" spans="1:6">
      <c r="A375" s="4" t="str">
        <f t="shared" si="5"/>
        <v>trna958|13</v>
      </c>
      <c r="B375" s="4" t="s">
        <v>42</v>
      </c>
      <c r="C375" s="4" t="s">
        <v>74</v>
      </c>
      <c r="D375" s="4">
        <v>13</v>
      </c>
      <c r="E375" s="8" t="s">
        <v>58</v>
      </c>
      <c r="F375" s="7" t="s">
        <v>71</v>
      </c>
    </row>
    <row r="376" spans="1:6">
      <c r="A376" s="4" t="str">
        <f t="shared" si="5"/>
        <v>trna958|14</v>
      </c>
      <c r="B376" s="4" t="s">
        <v>42</v>
      </c>
      <c r="C376" s="4" t="s">
        <v>75</v>
      </c>
      <c r="D376" s="4">
        <v>14</v>
      </c>
      <c r="E376" s="18" t="s">
        <v>62</v>
      </c>
      <c r="F376" s="19" t="s">
        <v>76</v>
      </c>
    </row>
    <row r="377" spans="1:6">
      <c r="A377" s="4" t="str">
        <f t="shared" si="5"/>
        <v>trna958|15</v>
      </c>
      <c r="B377" s="4" t="s">
        <v>42</v>
      </c>
      <c r="C377" s="4" t="s">
        <v>77</v>
      </c>
      <c r="D377" s="4">
        <v>15</v>
      </c>
      <c r="E377" s="18" t="s">
        <v>55</v>
      </c>
      <c r="F377" s="19" t="s">
        <v>76</v>
      </c>
    </row>
    <row r="378" spans="1:6">
      <c r="A378" s="4" t="str">
        <f t="shared" si="5"/>
        <v>trna958|16</v>
      </c>
      <c r="B378" s="4" t="s">
        <v>42</v>
      </c>
      <c r="C378" s="4" t="s">
        <v>78</v>
      </c>
      <c r="D378" s="4">
        <v>16</v>
      </c>
      <c r="E378" s="18" t="s">
        <v>62</v>
      </c>
      <c r="F378" s="19" t="s">
        <v>76</v>
      </c>
    </row>
    <row r="379" spans="1:6">
      <c r="A379" s="4" t="str">
        <f t="shared" si="5"/>
        <v>trna958|17</v>
      </c>
      <c r="B379" s="4" t="s">
        <v>42</v>
      </c>
      <c r="C379" s="4" t="s">
        <v>139</v>
      </c>
      <c r="D379" s="4">
        <v>17</v>
      </c>
      <c r="E379" s="18" t="s">
        <v>58</v>
      </c>
      <c r="F379" s="19" t="s">
        <v>76</v>
      </c>
    </row>
    <row r="380" spans="1:6">
      <c r="A380" s="4" t="str">
        <f t="shared" si="5"/>
        <v>trna958|17a</v>
      </c>
      <c r="B380" s="4" t="s">
        <v>42</v>
      </c>
      <c r="C380" s="4" t="s">
        <v>150</v>
      </c>
      <c r="D380" s="4">
        <v>18</v>
      </c>
      <c r="E380" s="18" t="s">
        <v>58</v>
      </c>
      <c r="F380" s="19" t="s">
        <v>76</v>
      </c>
    </row>
    <row r="381" spans="1:6">
      <c r="A381" s="4" t="str">
        <f t="shared" si="5"/>
        <v>trna958|18</v>
      </c>
      <c r="B381" s="4" t="s">
        <v>42</v>
      </c>
      <c r="C381" s="4" t="s">
        <v>79</v>
      </c>
      <c r="D381" s="4">
        <v>19</v>
      </c>
      <c r="E381" s="18" t="s">
        <v>55</v>
      </c>
      <c r="F381" s="19" t="s">
        <v>76</v>
      </c>
    </row>
    <row r="382" spans="1:6">
      <c r="A382" s="4" t="str">
        <f t="shared" si="5"/>
        <v>trna958|19</v>
      </c>
      <c r="B382" s="4" t="s">
        <v>42</v>
      </c>
      <c r="C382" s="4" t="s">
        <v>80</v>
      </c>
      <c r="D382" s="4">
        <v>20</v>
      </c>
      <c r="E382" s="18" t="s">
        <v>55</v>
      </c>
      <c r="F382" s="19" t="s">
        <v>76</v>
      </c>
    </row>
    <row r="383" spans="1:6">
      <c r="A383" s="4" t="str">
        <f t="shared" si="5"/>
        <v>trna958|20</v>
      </c>
      <c r="B383" s="4" t="s">
        <v>42</v>
      </c>
      <c r="C383" s="4" t="s">
        <v>81</v>
      </c>
      <c r="D383" s="4">
        <v>21</v>
      </c>
      <c r="E383" s="18" t="s">
        <v>60</v>
      </c>
      <c r="F383" s="19" t="s">
        <v>76</v>
      </c>
    </row>
    <row r="384" spans="1:6">
      <c r="A384" s="4" t="str">
        <f t="shared" si="5"/>
        <v>trna958|21</v>
      </c>
      <c r="B384" s="4" t="s">
        <v>42</v>
      </c>
      <c r="C384" s="4" t="s">
        <v>82</v>
      </c>
      <c r="D384" s="4">
        <v>22</v>
      </c>
      <c r="E384" s="18" t="s">
        <v>58</v>
      </c>
      <c r="F384" s="19" t="s">
        <v>76</v>
      </c>
    </row>
    <row r="385" spans="1:6">
      <c r="A385" s="4" t="str">
        <f t="shared" si="5"/>
        <v>trna958|22</v>
      </c>
      <c r="B385" s="4" t="s">
        <v>42</v>
      </c>
      <c r="C385" s="4" t="s">
        <v>83</v>
      </c>
      <c r="D385" s="4">
        <v>23</v>
      </c>
      <c r="E385" s="8" t="s">
        <v>58</v>
      </c>
      <c r="F385" s="7" t="s">
        <v>71</v>
      </c>
    </row>
    <row r="386" spans="1:6">
      <c r="A386" s="4" t="str">
        <f t="shared" ref="A386:A449" si="6">B386&amp;"|"&amp;C386</f>
        <v>trna958|23</v>
      </c>
      <c r="B386" s="4" t="s">
        <v>42</v>
      </c>
      <c r="C386" s="4" t="s">
        <v>84</v>
      </c>
      <c r="D386" s="4">
        <v>24</v>
      </c>
      <c r="E386" s="8" t="s">
        <v>58</v>
      </c>
      <c r="F386" s="7" t="s">
        <v>71</v>
      </c>
    </row>
    <row r="387" spans="1:6">
      <c r="A387" s="4" t="str">
        <f t="shared" si="6"/>
        <v>trna958|24</v>
      </c>
      <c r="B387" s="4" t="s">
        <v>42</v>
      </c>
      <c r="C387" s="4" t="s">
        <v>85</v>
      </c>
      <c r="D387" s="4">
        <v>25</v>
      </c>
      <c r="E387" s="8" t="s">
        <v>60</v>
      </c>
      <c r="F387" s="7" t="s">
        <v>71</v>
      </c>
    </row>
    <row r="388" spans="1:6">
      <c r="A388" s="4" t="str">
        <f t="shared" si="6"/>
        <v>trna958|25</v>
      </c>
      <c r="B388" s="4" t="s">
        <v>42</v>
      </c>
      <c r="C388" s="4" t="s">
        <v>86</v>
      </c>
      <c r="D388" s="4">
        <v>26</v>
      </c>
      <c r="E388" s="8" t="s">
        <v>60</v>
      </c>
      <c r="F388" s="7" t="s">
        <v>71</v>
      </c>
    </row>
    <row r="389" spans="1:6">
      <c r="A389" s="4" t="str">
        <f t="shared" si="6"/>
        <v>trna958|26</v>
      </c>
      <c r="B389" s="4" t="s">
        <v>42</v>
      </c>
      <c r="C389" s="4" t="s">
        <v>87</v>
      </c>
      <c r="D389" s="4">
        <v>27</v>
      </c>
      <c r="E389" s="3" t="s">
        <v>58</v>
      </c>
      <c r="F389" s="4" t="s">
        <v>88</v>
      </c>
    </row>
    <row r="390" spans="1:6">
      <c r="A390" s="4" t="str">
        <f t="shared" si="6"/>
        <v>trna958|27</v>
      </c>
      <c r="B390" s="4" t="s">
        <v>42</v>
      </c>
      <c r="C390" s="4" t="s">
        <v>89</v>
      </c>
      <c r="D390" s="4">
        <v>28</v>
      </c>
      <c r="E390" s="20" t="s">
        <v>58</v>
      </c>
      <c r="F390" s="21" t="s">
        <v>90</v>
      </c>
    </row>
    <row r="391" spans="1:6">
      <c r="A391" s="4" t="str">
        <f t="shared" si="6"/>
        <v>trna958|28</v>
      </c>
      <c r="B391" s="4" t="s">
        <v>42</v>
      </c>
      <c r="C391" s="4" t="s">
        <v>91</v>
      </c>
      <c r="D391" s="4">
        <v>29</v>
      </c>
      <c r="E391" s="20" t="s">
        <v>58</v>
      </c>
      <c r="F391" s="21" t="s">
        <v>90</v>
      </c>
    </row>
    <row r="392" spans="1:6">
      <c r="A392" s="4" t="str">
        <f t="shared" si="6"/>
        <v>trna958|29</v>
      </c>
      <c r="B392" s="4" t="s">
        <v>42</v>
      </c>
      <c r="C392" s="4" t="s">
        <v>92</v>
      </c>
      <c r="D392" s="4">
        <v>30</v>
      </c>
      <c r="E392" s="20" t="s">
        <v>60</v>
      </c>
      <c r="F392" s="21" t="s">
        <v>90</v>
      </c>
    </row>
    <row r="393" spans="1:6">
      <c r="A393" s="4" t="str">
        <f t="shared" si="6"/>
        <v>trna958|30</v>
      </c>
      <c r="B393" s="4" t="s">
        <v>42</v>
      </c>
      <c r="C393" s="4" t="s">
        <v>93</v>
      </c>
      <c r="D393" s="4">
        <v>31</v>
      </c>
      <c r="E393" s="20" t="s">
        <v>58</v>
      </c>
      <c r="F393" s="21" t="s">
        <v>90</v>
      </c>
    </row>
    <row r="394" spans="1:6">
      <c r="A394" s="4" t="str">
        <f t="shared" si="6"/>
        <v>trna958|31</v>
      </c>
      <c r="B394" s="4" t="s">
        <v>42</v>
      </c>
      <c r="C394" s="4" t="s">
        <v>94</v>
      </c>
      <c r="D394" s="4">
        <v>32</v>
      </c>
      <c r="E394" s="20" t="s">
        <v>58</v>
      </c>
      <c r="F394" s="21" t="s">
        <v>90</v>
      </c>
    </row>
    <row r="395" spans="1:6">
      <c r="A395" s="4" t="str">
        <f t="shared" si="6"/>
        <v>trna958|32</v>
      </c>
      <c r="B395" s="4" t="s">
        <v>42</v>
      </c>
      <c r="C395" s="4" t="s">
        <v>95</v>
      </c>
      <c r="D395" s="4">
        <v>33</v>
      </c>
      <c r="E395" s="18" t="s">
        <v>58</v>
      </c>
      <c r="F395" s="19" t="s">
        <v>96</v>
      </c>
    </row>
    <row r="396" spans="1:6">
      <c r="A396" s="4" t="str">
        <f t="shared" si="6"/>
        <v>trna958|33</v>
      </c>
      <c r="B396" s="4" t="s">
        <v>42</v>
      </c>
      <c r="C396" s="4" t="s">
        <v>97</v>
      </c>
      <c r="D396" s="4">
        <v>34</v>
      </c>
      <c r="E396" s="18" t="s">
        <v>58</v>
      </c>
      <c r="F396" s="19" t="s">
        <v>96</v>
      </c>
    </row>
    <row r="397" spans="1:6">
      <c r="A397" s="4" t="str">
        <f t="shared" si="6"/>
        <v>trna958|34</v>
      </c>
      <c r="B397" s="4" t="s">
        <v>42</v>
      </c>
      <c r="C397" s="4" t="s">
        <v>98</v>
      </c>
      <c r="D397" s="4">
        <v>35</v>
      </c>
      <c r="E397" s="18" t="s">
        <v>60</v>
      </c>
      <c r="F397" s="19" t="s">
        <v>96</v>
      </c>
    </row>
    <row r="398" spans="1:6">
      <c r="A398" s="4" t="str">
        <f t="shared" si="6"/>
        <v>trna958|35</v>
      </c>
      <c r="B398" s="4" t="s">
        <v>42</v>
      </c>
      <c r="C398" s="4" t="s">
        <v>99</v>
      </c>
      <c r="D398" s="4">
        <v>36</v>
      </c>
      <c r="E398" s="18" t="s">
        <v>58</v>
      </c>
      <c r="F398" s="19" t="s">
        <v>96</v>
      </c>
    </row>
    <row r="399" spans="1:6">
      <c r="A399" s="4" t="str">
        <f t="shared" si="6"/>
        <v>trna958|36</v>
      </c>
      <c r="B399" s="4" t="s">
        <v>42</v>
      </c>
      <c r="C399" s="4" t="s">
        <v>100</v>
      </c>
      <c r="D399" s="4">
        <v>37</v>
      </c>
      <c r="E399" s="18" t="s">
        <v>62</v>
      </c>
      <c r="F399" s="19" t="s">
        <v>96</v>
      </c>
    </row>
    <row r="400" spans="1:6">
      <c r="A400" s="4" t="str">
        <f t="shared" si="6"/>
        <v>trna958|37</v>
      </c>
      <c r="B400" s="4" t="s">
        <v>42</v>
      </c>
      <c r="C400" s="4" t="s">
        <v>101</v>
      </c>
      <c r="D400" s="4">
        <v>38</v>
      </c>
      <c r="E400" s="18" t="s">
        <v>60</v>
      </c>
      <c r="F400" s="19" t="s">
        <v>96</v>
      </c>
    </row>
    <row r="401" spans="1:6">
      <c r="A401" s="4" t="str">
        <f t="shared" si="6"/>
        <v>trna958|38</v>
      </c>
      <c r="B401" s="4" t="s">
        <v>42</v>
      </c>
      <c r="C401" s="4" t="s">
        <v>102</v>
      </c>
      <c r="D401" s="4">
        <v>39</v>
      </c>
      <c r="E401" s="18" t="s">
        <v>55</v>
      </c>
      <c r="F401" s="19" t="s">
        <v>96</v>
      </c>
    </row>
    <row r="402" spans="1:6">
      <c r="A402" s="4" t="str">
        <f t="shared" si="6"/>
        <v>trna958|39</v>
      </c>
      <c r="B402" s="4" t="s">
        <v>42</v>
      </c>
      <c r="C402" s="4" t="s">
        <v>103</v>
      </c>
      <c r="D402" s="4">
        <v>40</v>
      </c>
      <c r="E402" s="20" t="s">
        <v>55</v>
      </c>
      <c r="F402" s="21" t="s">
        <v>90</v>
      </c>
    </row>
    <row r="403" spans="1:6">
      <c r="A403" s="4" t="str">
        <f t="shared" si="6"/>
        <v>trna958|40</v>
      </c>
      <c r="B403" s="4" t="s">
        <v>42</v>
      </c>
      <c r="C403" s="4" t="s">
        <v>104</v>
      </c>
      <c r="D403" s="4">
        <v>41</v>
      </c>
      <c r="E403" s="20" t="s">
        <v>62</v>
      </c>
      <c r="F403" s="21" t="s">
        <v>90</v>
      </c>
    </row>
    <row r="404" spans="1:6">
      <c r="A404" s="4" t="str">
        <f t="shared" si="6"/>
        <v>trna958|41</v>
      </c>
      <c r="B404" s="4" t="s">
        <v>42</v>
      </c>
      <c r="C404" s="4" t="s">
        <v>105</v>
      </c>
      <c r="D404" s="4">
        <v>42</v>
      </c>
      <c r="E404" s="20" t="s">
        <v>60</v>
      </c>
      <c r="F404" s="21" t="s">
        <v>90</v>
      </c>
    </row>
    <row r="405" spans="1:6">
      <c r="A405" s="4" t="str">
        <f t="shared" si="6"/>
        <v>trna958|42</v>
      </c>
      <c r="B405" s="4" t="s">
        <v>42</v>
      </c>
      <c r="C405" s="4" t="s">
        <v>106</v>
      </c>
      <c r="D405" s="4">
        <v>43</v>
      </c>
      <c r="E405" s="20" t="s">
        <v>62</v>
      </c>
      <c r="F405" s="21" t="s">
        <v>90</v>
      </c>
    </row>
    <row r="406" spans="1:6">
      <c r="A406" s="4" t="str">
        <f t="shared" si="6"/>
        <v>trna958|43</v>
      </c>
      <c r="B406" s="4" t="s">
        <v>42</v>
      </c>
      <c r="C406" s="4" t="s">
        <v>107</v>
      </c>
      <c r="D406" s="4">
        <v>44</v>
      </c>
      <c r="E406" s="20" t="s">
        <v>62</v>
      </c>
      <c r="F406" s="21" t="s">
        <v>90</v>
      </c>
    </row>
    <row r="407" spans="1:6">
      <c r="A407" s="4" t="str">
        <f t="shared" si="6"/>
        <v>trna958|44</v>
      </c>
      <c r="B407" s="4" t="s">
        <v>42</v>
      </c>
      <c r="C407" s="4" t="s">
        <v>108</v>
      </c>
      <c r="D407" s="4">
        <v>45</v>
      </c>
      <c r="E407" s="18" t="s">
        <v>58</v>
      </c>
      <c r="F407" s="19" t="s">
        <v>109</v>
      </c>
    </row>
    <row r="408" spans="1:6">
      <c r="A408" s="4" t="str">
        <f t="shared" si="6"/>
        <v>trna958|45</v>
      </c>
      <c r="B408" s="4" t="s">
        <v>42</v>
      </c>
      <c r="C408" s="4" t="s">
        <v>110</v>
      </c>
      <c r="D408" s="4">
        <v>46</v>
      </c>
      <c r="E408" s="18" t="s">
        <v>55</v>
      </c>
      <c r="F408" s="19" t="s">
        <v>109</v>
      </c>
    </row>
    <row r="409" spans="1:6">
      <c r="A409" s="4" t="str">
        <f t="shared" si="6"/>
        <v>trna958|e1</v>
      </c>
      <c r="B409" s="4" t="s">
        <v>42</v>
      </c>
      <c r="C409" s="4" t="s">
        <v>140</v>
      </c>
      <c r="D409" s="4">
        <v>47</v>
      </c>
      <c r="E409" s="18" t="s">
        <v>58</v>
      </c>
      <c r="F409" s="19" t="s">
        <v>109</v>
      </c>
    </row>
    <row r="410" spans="1:6">
      <c r="A410" s="4" t="str">
        <f t="shared" si="6"/>
        <v>trna958|e2</v>
      </c>
      <c r="B410" s="4" t="s">
        <v>42</v>
      </c>
      <c r="C410" s="4" t="s">
        <v>141</v>
      </c>
      <c r="D410" s="4">
        <v>48</v>
      </c>
      <c r="E410" s="18" t="s">
        <v>62</v>
      </c>
      <c r="F410" s="19" t="s">
        <v>109</v>
      </c>
    </row>
    <row r="411" spans="1:6">
      <c r="A411" s="4" t="str">
        <f t="shared" si="6"/>
        <v>trna958|e3</v>
      </c>
      <c r="B411" s="4" t="s">
        <v>42</v>
      </c>
      <c r="C411" s="4" t="s">
        <v>142</v>
      </c>
      <c r="D411" s="4">
        <v>49</v>
      </c>
      <c r="E411" s="18" t="s">
        <v>62</v>
      </c>
      <c r="F411" s="19" t="s">
        <v>109</v>
      </c>
    </row>
    <row r="412" spans="1:6">
      <c r="A412" s="4" t="str">
        <f t="shared" si="6"/>
        <v>trna958|e4</v>
      </c>
      <c r="B412" s="4" t="s">
        <v>42</v>
      </c>
      <c r="C412" s="4" t="s">
        <v>143</v>
      </c>
      <c r="D412" s="4">
        <v>50</v>
      </c>
      <c r="E412" s="18" t="s">
        <v>58</v>
      </c>
      <c r="F412" s="19" t="s">
        <v>109</v>
      </c>
    </row>
    <row r="413" spans="1:6">
      <c r="A413" s="4" t="str">
        <f t="shared" si="6"/>
        <v>trna958|e5</v>
      </c>
      <c r="B413" s="4" t="s">
        <v>42</v>
      </c>
      <c r="C413" s="4" t="s">
        <v>144</v>
      </c>
      <c r="D413" s="4">
        <v>51</v>
      </c>
      <c r="E413" s="18" t="s">
        <v>60</v>
      </c>
      <c r="F413" s="19" t="s">
        <v>109</v>
      </c>
    </row>
    <row r="414" spans="1:6">
      <c r="A414" s="4" t="str">
        <f t="shared" si="6"/>
        <v>trna958|e6</v>
      </c>
      <c r="B414" s="4" t="s">
        <v>42</v>
      </c>
      <c r="C414" s="4" t="s">
        <v>145</v>
      </c>
      <c r="D414" s="4">
        <v>52</v>
      </c>
      <c r="E414" s="18" t="s">
        <v>55</v>
      </c>
      <c r="F414" s="19" t="s">
        <v>109</v>
      </c>
    </row>
    <row r="415" spans="1:6">
      <c r="A415" s="4" t="str">
        <f t="shared" si="6"/>
        <v>trna958|e7</v>
      </c>
      <c r="B415" s="4" t="s">
        <v>42</v>
      </c>
      <c r="C415" s="4" t="s">
        <v>146</v>
      </c>
      <c r="D415" s="4">
        <v>53</v>
      </c>
      <c r="E415" s="18" t="s">
        <v>55</v>
      </c>
      <c r="F415" s="19" t="s">
        <v>109</v>
      </c>
    </row>
    <row r="416" spans="1:6">
      <c r="A416" s="4" t="str">
        <f t="shared" si="6"/>
        <v>trna958|e8</v>
      </c>
      <c r="B416" s="4" t="s">
        <v>42</v>
      </c>
      <c r="C416" s="4" t="s">
        <v>147</v>
      </c>
      <c r="D416" s="4">
        <v>54</v>
      </c>
      <c r="E416" s="18" t="s">
        <v>60</v>
      </c>
      <c r="F416" s="19" t="s">
        <v>109</v>
      </c>
    </row>
    <row r="417" spans="1:6">
      <c r="A417" s="4" t="str">
        <f t="shared" si="6"/>
        <v>trna958|e9</v>
      </c>
      <c r="B417" s="4" t="s">
        <v>42</v>
      </c>
      <c r="C417" s="4" t="s">
        <v>148</v>
      </c>
      <c r="D417" s="4">
        <v>55</v>
      </c>
      <c r="E417" s="18" t="s">
        <v>60</v>
      </c>
      <c r="F417" s="19" t="s">
        <v>109</v>
      </c>
    </row>
    <row r="418" spans="1:6">
      <c r="A418" s="4" t="str">
        <f t="shared" si="6"/>
        <v>trna958|e10</v>
      </c>
      <c r="B418" s="4" t="s">
        <v>42</v>
      </c>
      <c r="C418" s="4" t="s">
        <v>151</v>
      </c>
      <c r="D418" s="4">
        <v>56</v>
      </c>
      <c r="E418" s="18" t="s">
        <v>58</v>
      </c>
      <c r="F418" s="19" t="s">
        <v>109</v>
      </c>
    </row>
    <row r="419" spans="1:6">
      <c r="A419" s="4" t="str">
        <f t="shared" si="6"/>
        <v>trna958|e11</v>
      </c>
      <c r="B419" s="4" t="s">
        <v>42</v>
      </c>
      <c r="C419" s="4" t="s">
        <v>152</v>
      </c>
      <c r="D419" s="4">
        <v>57</v>
      </c>
      <c r="E419" s="18" t="s">
        <v>58</v>
      </c>
      <c r="F419" s="19" t="s">
        <v>109</v>
      </c>
    </row>
    <row r="420" spans="1:6">
      <c r="A420" s="4" t="str">
        <f t="shared" si="6"/>
        <v>trna958|e12</v>
      </c>
      <c r="B420" s="4" t="s">
        <v>42</v>
      </c>
      <c r="C420" s="4" t="s">
        <v>153</v>
      </c>
      <c r="D420" s="4">
        <v>58</v>
      </c>
      <c r="E420" s="18" t="s">
        <v>55</v>
      </c>
      <c r="F420" s="19" t="s">
        <v>109</v>
      </c>
    </row>
    <row r="421" spans="1:6">
      <c r="A421" s="4" t="str">
        <f t="shared" si="6"/>
        <v>trna958|e13</v>
      </c>
      <c r="B421" s="4" t="s">
        <v>42</v>
      </c>
      <c r="C421" s="4" t="s">
        <v>154</v>
      </c>
      <c r="D421" s="4">
        <v>59</v>
      </c>
      <c r="E421" s="18" t="s">
        <v>55</v>
      </c>
      <c r="F421" s="19" t="s">
        <v>109</v>
      </c>
    </row>
    <row r="422" spans="1:6">
      <c r="A422" s="4" t="str">
        <f t="shared" si="6"/>
        <v>trna958|46</v>
      </c>
      <c r="B422" s="4" t="s">
        <v>42</v>
      </c>
      <c r="C422" s="4" t="s">
        <v>111</v>
      </c>
      <c r="D422" s="4">
        <v>60</v>
      </c>
      <c r="E422" s="18" t="s">
        <v>58</v>
      </c>
      <c r="F422" s="19" t="s">
        <v>109</v>
      </c>
    </row>
    <row r="423" spans="1:6">
      <c r="A423" s="4" t="str">
        <f t="shared" si="6"/>
        <v>trna958|47</v>
      </c>
      <c r="B423" s="4" t="s">
        <v>42</v>
      </c>
      <c r="C423" s="4" t="s">
        <v>149</v>
      </c>
      <c r="D423" s="4">
        <v>61</v>
      </c>
      <c r="E423" s="18" t="s">
        <v>58</v>
      </c>
      <c r="F423" s="19" t="s">
        <v>109</v>
      </c>
    </row>
    <row r="424" spans="1:6">
      <c r="A424" s="4" t="str">
        <f t="shared" si="6"/>
        <v>trna958|48</v>
      </c>
      <c r="B424" s="4" t="s">
        <v>42</v>
      </c>
      <c r="C424" s="4" t="s">
        <v>112</v>
      </c>
      <c r="D424" s="4">
        <v>62</v>
      </c>
      <c r="E424" s="18" t="s">
        <v>58</v>
      </c>
      <c r="F424" s="19" t="s">
        <v>109</v>
      </c>
    </row>
    <row r="425" spans="1:6">
      <c r="A425" s="4" t="str">
        <f t="shared" si="6"/>
        <v>trna958|49</v>
      </c>
      <c r="B425" s="4" t="s">
        <v>42</v>
      </c>
      <c r="C425" s="4" t="s">
        <v>113</v>
      </c>
      <c r="D425" s="4">
        <v>63</v>
      </c>
      <c r="E425" s="22" t="s">
        <v>60</v>
      </c>
      <c r="F425" s="10" t="s">
        <v>114</v>
      </c>
    </row>
    <row r="426" spans="1:6">
      <c r="A426" s="4" t="str">
        <f t="shared" si="6"/>
        <v>trna958|50</v>
      </c>
      <c r="B426" s="4" t="s">
        <v>42</v>
      </c>
      <c r="C426" s="4" t="s">
        <v>115</v>
      </c>
      <c r="D426" s="4">
        <v>64</v>
      </c>
      <c r="E426" s="22" t="s">
        <v>55</v>
      </c>
      <c r="F426" s="10" t="s">
        <v>114</v>
      </c>
    </row>
    <row r="427" spans="1:6">
      <c r="A427" s="4" t="str">
        <f t="shared" si="6"/>
        <v>trna958|51</v>
      </c>
      <c r="B427" s="4" t="s">
        <v>42</v>
      </c>
      <c r="C427" s="4" t="s">
        <v>116</v>
      </c>
      <c r="D427" s="4">
        <v>65</v>
      </c>
      <c r="E427" s="22" t="s">
        <v>55</v>
      </c>
      <c r="F427" s="10" t="s">
        <v>114</v>
      </c>
    </row>
    <row r="428" spans="1:6">
      <c r="A428" s="4" t="str">
        <f t="shared" si="6"/>
        <v>trna958|52</v>
      </c>
      <c r="B428" s="4" t="s">
        <v>42</v>
      </c>
      <c r="C428" s="4" t="s">
        <v>117</v>
      </c>
      <c r="D428" s="4">
        <v>66</v>
      </c>
      <c r="E428" s="22" t="s">
        <v>58</v>
      </c>
      <c r="F428" s="10" t="s">
        <v>114</v>
      </c>
    </row>
    <row r="429" spans="1:6">
      <c r="A429" s="4" t="str">
        <f t="shared" si="6"/>
        <v>trna958|53</v>
      </c>
      <c r="B429" s="4" t="s">
        <v>42</v>
      </c>
      <c r="C429" s="4" t="s">
        <v>118</v>
      </c>
      <c r="D429" s="4">
        <v>67</v>
      </c>
      <c r="E429" s="22" t="s">
        <v>55</v>
      </c>
      <c r="F429" s="10" t="s">
        <v>114</v>
      </c>
    </row>
    <row r="430" spans="1:6">
      <c r="A430" s="4" t="str">
        <f t="shared" si="6"/>
        <v>trna958|54</v>
      </c>
      <c r="B430" s="4" t="s">
        <v>42</v>
      </c>
      <c r="C430" s="4" t="s">
        <v>119</v>
      </c>
      <c r="D430" s="4">
        <v>68</v>
      </c>
      <c r="E430" s="18" t="s">
        <v>58</v>
      </c>
      <c r="F430" s="19" t="s">
        <v>120</v>
      </c>
    </row>
    <row r="431" spans="1:6">
      <c r="A431" s="4" t="str">
        <f t="shared" si="6"/>
        <v>trna958|55</v>
      </c>
      <c r="B431" s="4" t="s">
        <v>42</v>
      </c>
      <c r="C431" s="4" t="s">
        <v>121</v>
      </c>
      <c r="D431" s="4">
        <v>69</v>
      </c>
      <c r="E431" s="18" t="s">
        <v>58</v>
      </c>
      <c r="F431" s="19" t="s">
        <v>120</v>
      </c>
    </row>
    <row r="432" spans="1:6">
      <c r="A432" s="4" t="str">
        <f t="shared" si="6"/>
        <v>trna958|56</v>
      </c>
      <c r="B432" s="4" t="s">
        <v>42</v>
      </c>
      <c r="C432" s="4" t="s">
        <v>122</v>
      </c>
      <c r="D432" s="4">
        <v>70</v>
      </c>
      <c r="E432" s="18" t="s">
        <v>60</v>
      </c>
      <c r="F432" s="19" t="s">
        <v>120</v>
      </c>
    </row>
    <row r="433" spans="1:6">
      <c r="A433" s="4" t="str">
        <f t="shared" si="6"/>
        <v>trna958|57</v>
      </c>
      <c r="B433" s="4" t="s">
        <v>42</v>
      </c>
      <c r="C433" s="4" t="s">
        <v>123</v>
      </c>
      <c r="D433" s="4">
        <v>71</v>
      </c>
      <c r="E433" s="18" t="s">
        <v>55</v>
      </c>
      <c r="F433" s="19" t="s">
        <v>120</v>
      </c>
    </row>
    <row r="434" spans="1:6">
      <c r="A434" s="4" t="str">
        <f t="shared" si="6"/>
        <v>trna958|58</v>
      </c>
      <c r="B434" s="4" t="s">
        <v>42</v>
      </c>
      <c r="C434" s="4" t="s">
        <v>124</v>
      </c>
      <c r="D434" s="4">
        <v>72</v>
      </c>
      <c r="E434" s="18" t="s">
        <v>62</v>
      </c>
      <c r="F434" s="19" t="s">
        <v>120</v>
      </c>
    </row>
    <row r="435" spans="1:6">
      <c r="A435" s="4" t="str">
        <f t="shared" si="6"/>
        <v>trna958|59</v>
      </c>
      <c r="B435" s="4" t="s">
        <v>42</v>
      </c>
      <c r="C435" s="4" t="s">
        <v>125</v>
      </c>
      <c r="D435" s="4">
        <v>73</v>
      </c>
      <c r="E435" s="18" t="s">
        <v>58</v>
      </c>
      <c r="F435" s="19" t="s">
        <v>120</v>
      </c>
    </row>
    <row r="436" spans="1:6">
      <c r="A436" s="4" t="str">
        <f t="shared" si="6"/>
        <v>trna958|60</v>
      </c>
      <c r="B436" s="4" t="s">
        <v>42</v>
      </c>
      <c r="C436" s="4" t="s">
        <v>126</v>
      </c>
      <c r="D436" s="4">
        <v>74</v>
      </c>
      <c r="E436" s="18" t="s">
        <v>60</v>
      </c>
      <c r="F436" s="19" t="s">
        <v>120</v>
      </c>
    </row>
    <row r="437" spans="1:6">
      <c r="A437" s="4" t="str">
        <f t="shared" si="6"/>
        <v>trna958|61</v>
      </c>
      <c r="B437" s="4" t="s">
        <v>42</v>
      </c>
      <c r="C437" s="4" t="s">
        <v>127</v>
      </c>
      <c r="D437" s="4">
        <v>75</v>
      </c>
      <c r="E437" s="22" t="s">
        <v>60</v>
      </c>
      <c r="F437" s="10" t="s">
        <v>114</v>
      </c>
    </row>
    <row r="438" spans="1:6">
      <c r="A438" s="4" t="str">
        <f t="shared" si="6"/>
        <v>trna958|62</v>
      </c>
      <c r="B438" s="4" t="s">
        <v>42</v>
      </c>
      <c r="C438" s="4" t="s">
        <v>128</v>
      </c>
      <c r="D438" s="4">
        <v>76</v>
      </c>
      <c r="E438" s="22" t="s">
        <v>62</v>
      </c>
      <c r="F438" s="10" t="s">
        <v>114</v>
      </c>
    </row>
    <row r="439" spans="1:6">
      <c r="A439" s="4" t="str">
        <f t="shared" si="6"/>
        <v>trna958|63</v>
      </c>
      <c r="B439" s="4" t="s">
        <v>42</v>
      </c>
      <c r="C439" s="4" t="s">
        <v>129</v>
      </c>
      <c r="D439" s="4">
        <v>77</v>
      </c>
      <c r="E439" s="22" t="s">
        <v>60</v>
      </c>
      <c r="F439" s="10" t="s">
        <v>114</v>
      </c>
    </row>
    <row r="440" spans="1:6">
      <c r="A440" s="4" t="str">
        <f t="shared" si="6"/>
        <v>trna958|64</v>
      </c>
      <c r="B440" s="4" t="s">
        <v>42</v>
      </c>
      <c r="C440" s="4" t="s">
        <v>130</v>
      </c>
      <c r="D440" s="4">
        <v>78</v>
      </c>
      <c r="E440" s="22" t="s">
        <v>60</v>
      </c>
      <c r="F440" s="10" t="s">
        <v>114</v>
      </c>
    </row>
    <row r="441" spans="1:6">
      <c r="A441" s="4" t="str">
        <f t="shared" si="6"/>
        <v>trna958|65</v>
      </c>
      <c r="B441" s="4" t="s">
        <v>42</v>
      </c>
      <c r="C441" s="4" t="s">
        <v>131</v>
      </c>
      <c r="D441" s="4">
        <v>79</v>
      </c>
      <c r="E441" s="22" t="s">
        <v>55</v>
      </c>
      <c r="F441" s="10" t="s">
        <v>114</v>
      </c>
    </row>
    <row r="442" spans="1:6">
      <c r="A442" s="4" t="str">
        <f t="shared" si="6"/>
        <v>trna958|66</v>
      </c>
      <c r="B442" s="4" t="s">
        <v>42</v>
      </c>
      <c r="C442" s="4" t="s">
        <v>132</v>
      </c>
      <c r="D442" s="4">
        <v>80</v>
      </c>
      <c r="E442" s="16" t="s">
        <v>55</v>
      </c>
      <c r="F442" s="17" t="s">
        <v>56</v>
      </c>
    </row>
    <row r="443" spans="1:6">
      <c r="A443" s="4" t="str">
        <f t="shared" si="6"/>
        <v>trna958|67</v>
      </c>
      <c r="B443" s="4" t="s">
        <v>42</v>
      </c>
      <c r="C443" s="4" t="s">
        <v>133</v>
      </c>
      <c r="D443" s="4">
        <v>81</v>
      </c>
      <c r="E443" s="16" t="s">
        <v>58</v>
      </c>
      <c r="F443" s="17" t="s">
        <v>56</v>
      </c>
    </row>
    <row r="444" spans="1:6">
      <c r="A444" s="4" t="str">
        <f t="shared" si="6"/>
        <v>trna958|68</v>
      </c>
      <c r="B444" s="4" t="s">
        <v>42</v>
      </c>
      <c r="C444" s="4" t="s">
        <v>134</v>
      </c>
      <c r="D444" s="4">
        <v>82</v>
      </c>
      <c r="E444" s="16" t="s">
        <v>55</v>
      </c>
      <c r="F444" s="17" t="s">
        <v>56</v>
      </c>
    </row>
    <row r="445" spans="1:6">
      <c r="A445" s="4" t="str">
        <f t="shared" si="6"/>
        <v>trna958|69</v>
      </c>
      <c r="B445" s="4" t="s">
        <v>42</v>
      </c>
      <c r="C445" s="4" t="s">
        <v>135</v>
      </c>
      <c r="D445" s="4">
        <v>83</v>
      </c>
      <c r="E445" s="16" t="s">
        <v>58</v>
      </c>
      <c r="F445" s="17" t="s">
        <v>56</v>
      </c>
    </row>
    <row r="446" spans="1:6">
      <c r="A446" s="4" t="str">
        <f t="shared" si="6"/>
        <v>trna958|70</v>
      </c>
      <c r="B446" s="4" t="s">
        <v>42</v>
      </c>
      <c r="C446" s="4" t="s">
        <v>136</v>
      </c>
      <c r="D446" s="4">
        <v>84</v>
      </c>
      <c r="E446" s="16" t="s">
        <v>58</v>
      </c>
      <c r="F446" s="17" t="s">
        <v>56</v>
      </c>
    </row>
    <row r="447" spans="1:6">
      <c r="A447" s="4" t="str">
        <f t="shared" si="6"/>
        <v>trna958|71</v>
      </c>
      <c r="B447" s="4" t="s">
        <v>42</v>
      </c>
      <c r="C447" s="4" t="s">
        <v>137</v>
      </c>
      <c r="D447" s="4">
        <v>85</v>
      </c>
      <c r="E447" s="16" t="s">
        <v>55</v>
      </c>
      <c r="F447" s="17" t="s">
        <v>56</v>
      </c>
    </row>
    <row r="448" spans="1:6">
      <c r="A448" s="4" t="str">
        <f t="shared" si="6"/>
        <v>trna958|72</v>
      </c>
      <c r="B448" s="4" t="s">
        <v>42</v>
      </c>
      <c r="C448" s="4" t="s">
        <v>138</v>
      </c>
      <c r="D448" s="4">
        <v>86</v>
      </c>
      <c r="E448" s="16" t="s">
        <v>55</v>
      </c>
      <c r="F448" s="17" t="s">
        <v>56</v>
      </c>
    </row>
    <row r="449" spans="1:6">
      <c r="A449" s="4" t="str">
        <f t="shared" si="6"/>
        <v>trna1091|1</v>
      </c>
      <c r="B449" s="4" t="s">
        <v>43</v>
      </c>
      <c r="C449" s="4" t="s">
        <v>54</v>
      </c>
      <c r="D449" s="4">
        <v>1</v>
      </c>
      <c r="E449" s="16" t="s">
        <v>58</v>
      </c>
      <c r="F449" s="17" t="s">
        <v>56</v>
      </c>
    </row>
    <row r="450" spans="1:6">
      <c r="A450" s="4" t="str">
        <f t="shared" ref="A450:A513" si="7">B450&amp;"|"&amp;C450</f>
        <v>trna1091|2</v>
      </c>
      <c r="B450" s="4" t="s">
        <v>43</v>
      </c>
      <c r="C450" s="4" t="s">
        <v>57</v>
      </c>
      <c r="D450" s="4">
        <v>2</v>
      </c>
      <c r="E450" s="16" t="s">
        <v>60</v>
      </c>
      <c r="F450" s="17" t="s">
        <v>56</v>
      </c>
    </row>
    <row r="451" spans="1:6">
      <c r="A451" s="4" t="str">
        <f t="shared" si="7"/>
        <v>trna1091|3</v>
      </c>
      <c r="B451" s="4" t="s">
        <v>43</v>
      </c>
      <c r="C451" s="4" t="s">
        <v>59</v>
      </c>
      <c r="D451" s="4">
        <v>3</v>
      </c>
      <c r="E451" s="16" t="s">
        <v>62</v>
      </c>
      <c r="F451" s="17" t="s">
        <v>56</v>
      </c>
    </row>
    <row r="452" spans="1:6">
      <c r="A452" s="4" t="str">
        <f t="shared" si="7"/>
        <v>trna1091|4</v>
      </c>
      <c r="B452" s="4" t="s">
        <v>43</v>
      </c>
      <c r="C452" s="4" t="s">
        <v>61</v>
      </c>
      <c r="D452" s="4">
        <v>4</v>
      </c>
      <c r="E452" s="16" t="s">
        <v>62</v>
      </c>
      <c r="F452" s="17" t="s">
        <v>56</v>
      </c>
    </row>
    <row r="453" spans="1:6">
      <c r="A453" s="4" t="str">
        <f t="shared" si="7"/>
        <v>trna1091|5</v>
      </c>
      <c r="B453" s="4" t="s">
        <v>43</v>
      </c>
      <c r="C453" s="4" t="s">
        <v>63</v>
      </c>
      <c r="D453" s="4">
        <v>5</v>
      </c>
      <c r="E453" s="16" t="s">
        <v>60</v>
      </c>
      <c r="F453" s="17" t="s">
        <v>56</v>
      </c>
    </row>
    <row r="454" spans="1:6">
      <c r="A454" s="4" t="str">
        <f t="shared" si="7"/>
        <v>trna1091|6</v>
      </c>
      <c r="B454" s="4" t="s">
        <v>43</v>
      </c>
      <c r="C454" s="4" t="s">
        <v>64</v>
      </c>
      <c r="D454" s="4">
        <v>6</v>
      </c>
      <c r="E454" s="16" t="s">
        <v>62</v>
      </c>
      <c r="F454" s="17" t="s">
        <v>56</v>
      </c>
    </row>
    <row r="455" spans="1:6">
      <c r="A455" s="4" t="str">
        <f t="shared" si="7"/>
        <v>trna1091|7</v>
      </c>
      <c r="B455" s="4" t="s">
        <v>43</v>
      </c>
      <c r="C455" s="4" t="s">
        <v>65</v>
      </c>
      <c r="D455" s="4">
        <v>7</v>
      </c>
      <c r="E455" s="16" t="s">
        <v>58</v>
      </c>
      <c r="F455" s="17" t="s">
        <v>56</v>
      </c>
    </row>
    <row r="456" spans="1:6">
      <c r="A456" s="4" t="str">
        <f t="shared" si="7"/>
        <v>trna1091|8</v>
      </c>
      <c r="B456" s="4" t="s">
        <v>43</v>
      </c>
      <c r="C456" s="4" t="s">
        <v>66</v>
      </c>
      <c r="D456" s="4">
        <v>8</v>
      </c>
      <c r="E456" s="3" t="s">
        <v>58</v>
      </c>
      <c r="F456" s="4" t="s">
        <v>67</v>
      </c>
    </row>
    <row r="457" spans="1:6">
      <c r="A457" s="4" t="str">
        <f t="shared" si="7"/>
        <v>trna1091|9</v>
      </c>
      <c r="B457" s="4" t="s">
        <v>43</v>
      </c>
      <c r="C457" s="4" t="s">
        <v>68</v>
      </c>
      <c r="D457" s="4">
        <v>9</v>
      </c>
      <c r="E457" s="3" t="s">
        <v>62</v>
      </c>
      <c r="F457" s="4" t="s">
        <v>69</v>
      </c>
    </row>
    <row r="458" spans="1:6">
      <c r="A458" s="4" t="str">
        <f t="shared" si="7"/>
        <v>trna1091|10</v>
      </c>
      <c r="B458" s="4" t="s">
        <v>43</v>
      </c>
      <c r="C458" s="4" t="s">
        <v>70</v>
      </c>
      <c r="D458" s="4">
        <v>10</v>
      </c>
      <c r="E458" s="8" t="s">
        <v>55</v>
      </c>
      <c r="F458" s="7" t="s">
        <v>71</v>
      </c>
    </row>
    <row r="459" spans="1:6">
      <c r="A459" s="4" t="str">
        <f t="shared" si="7"/>
        <v>trna1091|11</v>
      </c>
      <c r="B459" s="4" t="s">
        <v>43</v>
      </c>
      <c r="C459" s="4" t="s">
        <v>72</v>
      </c>
      <c r="D459" s="4">
        <v>11</v>
      </c>
      <c r="E459" s="8" t="s">
        <v>55</v>
      </c>
      <c r="F459" s="7" t="s">
        <v>71</v>
      </c>
    </row>
    <row r="460" spans="1:6">
      <c r="A460" s="4" t="str">
        <f t="shared" si="7"/>
        <v>trna1091|12</v>
      </c>
      <c r="B460" s="4" t="s">
        <v>43</v>
      </c>
      <c r="C460" s="4" t="s">
        <v>73</v>
      </c>
      <c r="D460" s="4">
        <v>12</v>
      </c>
      <c r="E460" s="8" t="s">
        <v>62</v>
      </c>
      <c r="F460" s="7" t="s">
        <v>71</v>
      </c>
    </row>
    <row r="461" spans="1:6">
      <c r="A461" s="4" t="str">
        <f t="shared" si="7"/>
        <v>trna1091|13</v>
      </c>
      <c r="B461" s="4" t="s">
        <v>43</v>
      </c>
      <c r="C461" s="4" t="s">
        <v>74</v>
      </c>
      <c r="D461" s="4">
        <v>13</v>
      </c>
      <c r="E461" s="8" t="s">
        <v>58</v>
      </c>
      <c r="F461" s="7" t="s">
        <v>71</v>
      </c>
    </row>
    <row r="462" spans="1:6">
      <c r="A462" s="4" t="str">
        <f t="shared" si="7"/>
        <v>trna1091|14</v>
      </c>
      <c r="B462" s="4" t="s">
        <v>43</v>
      </c>
      <c r="C462" s="4" t="s">
        <v>75</v>
      </c>
      <c r="D462" s="4">
        <v>14</v>
      </c>
      <c r="E462" s="18" t="s">
        <v>62</v>
      </c>
      <c r="F462" s="19" t="s">
        <v>76</v>
      </c>
    </row>
    <row r="463" spans="1:6">
      <c r="A463" s="4" t="str">
        <f t="shared" si="7"/>
        <v>trna1091|15</v>
      </c>
      <c r="B463" s="4" t="s">
        <v>43</v>
      </c>
      <c r="C463" s="4" t="s">
        <v>77</v>
      </c>
      <c r="D463" s="4">
        <v>15</v>
      </c>
      <c r="E463" s="18" t="s">
        <v>55</v>
      </c>
      <c r="F463" s="19" t="s">
        <v>76</v>
      </c>
    </row>
    <row r="464" spans="1:6">
      <c r="A464" s="4" t="str">
        <f t="shared" si="7"/>
        <v>trna1091|16</v>
      </c>
      <c r="B464" s="4" t="s">
        <v>43</v>
      </c>
      <c r="C464" s="4" t="s">
        <v>78</v>
      </c>
      <c r="D464" s="4">
        <v>16</v>
      </c>
      <c r="E464" s="18" t="s">
        <v>62</v>
      </c>
      <c r="F464" s="19" t="s">
        <v>76</v>
      </c>
    </row>
    <row r="465" spans="1:6">
      <c r="A465" s="4" t="str">
        <f t="shared" si="7"/>
        <v>trna1091|17</v>
      </c>
      <c r="B465" s="4" t="s">
        <v>43</v>
      </c>
      <c r="C465" s="4" t="s">
        <v>139</v>
      </c>
      <c r="D465" s="4">
        <v>17</v>
      </c>
      <c r="E465" s="18" t="s">
        <v>58</v>
      </c>
      <c r="F465" s="19" t="s">
        <v>76</v>
      </c>
    </row>
    <row r="466" spans="1:6">
      <c r="A466" s="4" t="str">
        <f t="shared" si="7"/>
        <v>trna1091|17a</v>
      </c>
      <c r="B466" s="4" t="s">
        <v>43</v>
      </c>
      <c r="C466" s="4" t="s">
        <v>150</v>
      </c>
      <c r="D466" s="4">
        <v>18</v>
      </c>
      <c r="E466" s="18" t="s">
        <v>58</v>
      </c>
      <c r="F466" s="19" t="s">
        <v>76</v>
      </c>
    </row>
    <row r="467" spans="1:6">
      <c r="A467" s="4" t="str">
        <f t="shared" si="7"/>
        <v>trna1091|18</v>
      </c>
      <c r="B467" s="4" t="s">
        <v>43</v>
      </c>
      <c r="C467" s="4" t="s">
        <v>79</v>
      </c>
      <c r="D467" s="4">
        <v>19</v>
      </c>
      <c r="E467" s="18" t="s">
        <v>55</v>
      </c>
      <c r="F467" s="19" t="s">
        <v>76</v>
      </c>
    </row>
    <row r="468" spans="1:6">
      <c r="A468" s="4" t="str">
        <f t="shared" si="7"/>
        <v>trna1091|19</v>
      </c>
      <c r="B468" s="4" t="s">
        <v>43</v>
      </c>
      <c r="C468" s="4" t="s">
        <v>80</v>
      </c>
      <c r="D468" s="4">
        <v>20</v>
      </c>
      <c r="E468" s="18" t="s">
        <v>55</v>
      </c>
      <c r="F468" s="19" t="s">
        <v>76</v>
      </c>
    </row>
    <row r="469" spans="1:6">
      <c r="A469" s="4" t="str">
        <f t="shared" si="7"/>
        <v>trna1091|20</v>
      </c>
      <c r="B469" s="4" t="s">
        <v>43</v>
      </c>
      <c r="C469" s="4" t="s">
        <v>81</v>
      </c>
      <c r="D469" s="4">
        <v>21</v>
      </c>
      <c r="E469" s="18" t="s">
        <v>60</v>
      </c>
      <c r="F469" s="19" t="s">
        <v>76</v>
      </c>
    </row>
    <row r="470" spans="1:6">
      <c r="A470" s="4" t="str">
        <f t="shared" si="7"/>
        <v>trna1091|21</v>
      </c>
      <c r="B470" s="4" t="s">
        <v>43</v>
      </c>
      <c r="C470" s="4" t="s">
        <v>82</v>
      </c>
      <c r="D470" s="4">
        <v>22</v>
      </c>
      <c r="E470" s="18" t="s">
        <v>58</v>
      </c>
      <c r="F470" s="19" t="s">
        <v>76</v>
      </c>
    </row>
    <row r="471" spans="1:6">
      <c r="A471" s="4" t="str">
        <f t="shared" si="7"/>
        <v>trna1091|22</v>
      </c>
      <c r="B471" s="4" t="s">
        <v>43</v>
      </c>
      <c r="C471" s="4" t="s">
        <v>83</v>
      </c>
      <c r="D471" s="4">
        <v>23</v>
      </c>
      <c r="E471" s="8" t="s">
        <v>58</v>
      </c>
      <c r="F471" s="7" t="s">
        <v>71</v>
      </c>
    </row>
    <row r="472" spans="1:6">
      <c r="A472" s="4" t="str">
        <f t="shared" si="7"/>
        <v>trna1091|23</v>
      </c>
      <c r="B472" s="4" t="s">
        <v>43</v>
      </c>
      <c r="C472" s="4" t="s">
        <v>84</v>
      </c>
      <c r="D472" s="4">
        <v>24</v>
      </c>
      <c r="E472" s="8" t="s">
        <v>58</v>
      </c>
      <c r="F472" s="7" t="s">
        <v>71</v>
      </c>
    </row>
    <row r="473" spans="1:6">
      <c r="A473" s="4" t="str">
        <f t="shared" si="7"/>
        <v>trna1091|24</v>
      </c>
      <c r="B473" s="4" t="s">
        <v>43</v>
      </c>
      <c r="C473" s="4" t="s">
        <v>85</v>
      </c>
      <c r="D473" s="4">
        <v>25</v>
      </c>
      <c r="E473" s="8" t="s">
        <v>60</v>
      </c>
      <c r="F473" s="7" t="s">
        <v>71</v>
      </c>
    </row>
    <row r="474" spans="1:6">
      <c r="A474" s="4" t="str">
        <f t="shared" si="7"/>
        <v>trna1091|25</v>
      </c>
      <c r="B474" s="4" t="s">
        <v>43</v>
      </c>
      <c r="C474" s="4" t="s">
        <v>86</v>
      </c>
      <c r="D474" s="4">
        <v>26</v>
      </c>
      <c r="E474" s="8" t="s">
        <v>60</v>
      </c>
      <c r="F474" s="7" t="s">
        <v>71</v>
      </c>
    </row>
    <row r="475" spans="1:6">
      <c r="A475" s="4" t="str">
        <f t="shared" si="7"/>
        <v>trna1091|26</v>
      </c>
      <c r="B475" s="4" t="s">
        <v>43</v>
      </c>
      <c r="C475" s="4" t="s">
        <v>87</v>
      </c>
      <c r="D475" s="4">
        <v>27</v>
      </c>
      <c r="E475" s="3" t="s">
        <v>58</v>
      </c>
      <c r="F475" s="4" t="s">
        <v>88</v>
      </c>
    </row>
    <row r="476" spans="1:6">
      <c r="A476" s="4" t="str">
        <f t="shared" si="7"/>
        <v>trna1091|27</v>
      </c>
      <c r="B476" s="4" t="s">
        <v>43</v>
      </c>
      <c r="C476" s="4" t="s">
        <v>89</v>
      </c>
      <c r="D476" s="4">
        <v>28</v>
      </c>
      <c r="E476" s="20" t="s">
        <v>58</v>
      </c>
      <c r="F476" s="21" t="s">
        <v>90</v>
      </c>
    </row>
    <row r="477" spans="1:6">
      <c r="A477" s="4" t="str">
        <f t="shared" si="7"/>
        <v>trna1091|28</v>
      </c>
      <c r="B477" s="4" t="s">
        <v>43</v>
      </c>
      <c r="C477" s="4" t="s">
        <v>91</v>
      </c>
      <c r="D477" s="4">
        <v>29</v>
      </c>
      <c r="E477" s="20" t="s">
        <v>58</v>
      </c>
      <c r="F477" s="21" t="s">
        <v>90</v>
      </c>
    </row>
    <row r="478" spans="1:6">
      <c r="A478" s="4" t="str">
        <f t="shared" si="7"/>
        <v>trna1091|29</v>
      </c>
      <c r="B478" s="4" t="s">
        <v>43</v>
      </c>
      <c r="C478" s="4" t="s">
        <v>92</v>
      </c>
      <c r="D478" s="4">
        <v>30</v>
      </c>
      <c r="E478" s="20" t="s">
        <v>60</v>
      </c>
      <c r="F478" s="21" t="s">
        <v>90</v>
      </c>
    </row>
    <row r="479" spans="1:6">
      <c r="A479" s="4" t="str">
        <f t="shared" si="7"/>
        <v>trna1091|30</v>
      </c>
      <c r="B479" s="4" t="s">
        <v>43</v>
      </c>
      <c r="C479" s="4" t="s">
        <v>93</v>
      </c>
      <c r="D479" s="4">
        <v>31</v>
      </c>
      <c r="E479" s="20" t="s">
        <v>58</v>
      </c>
      <c r="F479" s="21" t="s">
        <v>90</v>
      </c>
    </row>
    <row r="480" spans="1:6">
      <c r="A480" s="4" t="str">
        <f t="shared" si="7"/>
        <v>trna1091|31</v>
      </c>
      <c r="B480" s="4" t="s">
        <v>43</v>
      </c>
      <c r="C480" s="4" t="s">
        <v>94</v>
      </c>
      <c r="D480" s="4">
        <v>32</v>
      </c>
      <c r="E480" s="20" t="s">
        <v>58</v>
      </c>
      <c r="F480" s="21" t="s">
        <v>90</v>
      </c>
    </row>
    <row r="481" spans="1:6">
      <c r="A481" s="4" t="str">
        <f t="shared" si="7"/>
        <v>trna1091|32</v>
      </c>
      <c r="B481" s="4" t="s">
        <v>43</v>
      </c>
      <c r="C481" s="4" t="s">
        <v>95</v>
      </c>
      <c r="D481" s="4">
        <v>33</v>
      </c>
      <c r="E481" s="18" t="s">
        <v>58</v>
      </c>
      <c r="F481" s="19" t="s">
        <v>96</v>
      </c>
    </row>
    <row r="482" spans="1:6">
      <c r="A482" s="4" t="str">
        <f t="shared" si="7"/>
        <v>trna1091|33</v>
      </c>
      <c r="B482" s="4" t="s">
        <v>43</v>
      </c>
      <c r="C482" s="4" t="s">
        <v>97</v>
      </c>
      <c r="D482" s="4">
        <v>34</v>
      </c>
      <c r="E482" s="18" t="s">
        <v>58</v>
      </c>
      <c r="F482" s="19" t="s">
        <v>96</v>
      </c>
    </row>
    <row r="483" spans="1:6">
      <c r="A483" s="4" t="str">
        <f t="shared" si="7"/>
        <v>trna1091|34</v>
      </c>
      <c r="B483" s="4" t="s">
        <v>43</v>
      </c>
      <c r="C483" s="4" t="s">
        <v>98</v>
      </c>
      <c r="D483" s="4">
        <v>35</v>
      </c>
      <c r="E483" s="18" t="s">
        <v>60</v>
      </c>
      <c r="F483" s="19" t="s">
        <v>96</v>
      </c>
    </row>
    <row r="484" spans="1:6">
      <c r="A484" s="4" t="str">
        <f t="shared" si="7"/>
        <v>trna1091|35</v>
      </c>
      <c r="B484" s="4" t="s">
        <v>43</v>
      </c>
      <c r="C484" s="4" t="s">
        <v>99</v>
      </c>
      <c r="D484" s="4">
        <v>36</v>
      </c>
      <c r="E484" s="18" t="s">
        <v>58</v>
      </c>
      <c r="F484" s="19" t="s">
        <v>96</v>
      </c>
    </row>
    <row r="485" spans="1:6">
      <c r="A485" s="4" t="str">
        <f t="shared" si="7"/>
        <v>trna1091|36</v>
      </c>
      <c r="B485" s="4" t="s">
        <v>43</v>
      </c>
      <c r="C485" s="4" t="s">
        <v>100</v>
      </c>
      <c r="D485" s="4">
        <v>37</v>
      </c>
      <c r="E485" s="18" t="s">
        <v>62</v>
      </c>
      <c r="F485" s="19" t="s">
        <v>96</v>
      </c>
    </row>
    <row r="486" spans="1:6">
      <c r="A486" s="4" t="str">
        <f t="shared" si="7"/>
        <v>trna1091|37</v>
      </c>
      <c r="B486" s="4" t="s">
        <v>43</v>
      </c>
      <c r="C486" s="4" t="s">
        <v>101</v>
      </c>
      <c r="D486" s="4">
        <v>38</v>
      </c>
      <c r="E486" s="18" t="s">
        <v>60</v>
      </c>
      <c r="F486" s="19" t="s">
        <v>96</v>
      </c>
    </row>
    <row r="487" spans="1:6">
      <c r="A487" s="4" t="str">
        <f t="shared" si="7"/>
        <v>trna1091|38</v>
      </c>
      <c r="B487" s="4" t="s">
        <v>43</v>
      </c>
      <c r="C487" s="4" t="s">
        <v>102</v>
      </c>
      <c r="D487" s="4">
        <v>39</v>
      </c>
      <c r="E487" s="18" t="s">
        <v>62</v>
      </c>
      <c r="F487" s="19" t="s">
        <v>96</v>
      </c>
    </row>
    <row r="488" spans="1:6">
      <c r="A488" s="4" t="str">
        <f t="shared" si="7"/>
        <v>trna1091|39</v>
      </c>
      <c r="B488" s="4" t="s">
        <v>43</v>
      </c>
      <c r="C488" s="4" t="s">
        <v>103</v>
      </c>
      <c r="D488" s="4">
        <v>40</v>
      </c>
      <c r="E488" s="20" t="s">
        <v>55</v>
      </c>
      <c r="F488" s="21" t="s">
        <v>90</v>
      </c>
    </row>
    <row r="489" spans="1:6">
      <c r="A489" s="4" t="str">
        <f t="shared" si="7"/>
        <v>trna1091|40</v>
      </c>
      <c r="B489" s="4" t="s">
        <v>43</v>
      </c>
      <c r="C489" s="4" t="s">
        <v>104</v>
      </c>
      <c r="D489" s="4">
        <v>41</v>
      </c>
      <c r="E489" s="20" t="s">
        <v>55</v>
      </c>
      <c r="F489" s="21" t="s">
        <v>90</v>
      </c>
    </row>
    <row r="490" spans="1:6">
      <c r="A490" s="4" t="str">
        <f t="shared" si="7"/>
        <v>trna1091|41</v>
      </c>
      <c r="B490" s="4" t="s">
        <v>43</v>
      </c>
      <c r="C490" s="4" t="s">
        <v>105</v>
      </c>
      <c r="D490" s="4">
        <v>42</v>
      </c>
      <c r="E490" s="20" t="s">
        <v>62</v>
      </c>
      <c r="F490" s="21" t="s">
        <v>90</v>
      </c>
    </row>
    <row r="491" spans="1:6">
      <c r="A491" s="4" t="str">
        <f t="shared" si="7"/>
        <v>trna1091|42</v>
      </c>
      <c r="B491" s="4" t="s">
        <v>43</v>
      </c>
      <c r="C491" s="4" t="s">
        <v>106</v>
      </c>
      <c r="D491" s="4">
        <v>43</v>
      </c>
      <c r="E491" s="20" t="s">
        <v>62</v>
      </c>
      <c r="F491" s="21" t="s">
        <v>90</v>
      </c>
    </row>
    <row r="492" spans="1:6">
      <c r="A492" s="4" t="str">
        <f t="shared" si="7"/>
        <v>trna1091|43</v>
      </c>
      <c r="B492" s="4" t="s">
        <v>43</v>
      </c>
      <c r="C492" s="4" t="s">
        <v>107</v>
      </c>
      <c r="D492" s="4">
        <v>44</v>
      </c>
      <c r="E492" s="20" t="s">
        <v>55</v>
      </c>
      <c r="F492" s="21" t="s">
        <v>90</v>
      </c>
    </row>
    <row r="493" spans="1:6">
      <c r="A493" s="4" t="str">
        <f t="shared" si="7"/>
        <v>trna1091|44</v>
      </c>
      <c r="B493" s="4" t="s">
        <v>43</v>
      </c>
      <c r="C493" s="4" t="s">
        <v>108</v>
      </c>
      <c r="D493" s="4">
        <v>45</v>
      </c>
      <c r="E493" s="18" t="s">
        <v>55</v>
      </c>
      <c r="F493" s="19" t="s">
        <v>109</v>
      </c>
    </row>
    <row r="494" spans="1:6">
      <c r="A494" s="4" t="str">
        <f t="shared" si="7"/>
        <v>trna1091|45</v>
      </c>
      <c r="B494" s="4" t="s">
        <v>43</v>
      </c>
      <c r="C494" s="4" t="s">
        <v>110</v>
      </c>
      <c r="D494" s="4">
        <v>46</v>
      </c>
      <c r="E494" s="18" t="s">
        <v>60</v>
      </c>
      <c r="F494" s="19" t="s">
        <v>109</v>
      </c>
    </row>
    <row r="495" spans="1:6">
      <c r="A495" s="4" t="str">
        <f t="shared" si="7"/>
        <v>trna1091|e1</v>
      </c>
      <c r="B495" s="4" t="s">
        <v>43</v>
      </c>
      <c r="C495" s="4" t="s">
        <v>140</v>
      </c>
      <c r="D495" s="4">
        <v>47</v>
      </c>
      <c r="E495" s="18" t="s">
        <v>58</v>
      </c>
      <c r="F495" s="19" t="s">
        <v>109</v>
      </c>
    </row>
    <row r="496" spans="1:6">
      <c r="A496" s="4" t="str">
        <f t="shared" si="7"/>
        <v>trna1091|e2</v>
      </c>
      <c r="B496" s="4" t="s">
        <v>43</v>
      </c>
      <c r="C496" s="4" t="s">
        <v>141</v>
      </c>
      <c r="D496" s="4">
        <v>48</v>
      </c>
      <c r="E496" s="18" t="s">
        <v>55</v>
      </c>
      <c r="F496" s="19" t="s">
        <v>109</v>
      </c>
    </row>
    <row r="497" spans="1:6">
      <c r="A497" s="4" t="str">
        <f t="shared" si="7"/>
        <v>trna1091|e3</v>
      </c>
      <c r="B497" s="4" t="s">
        <v>43</v>
      </c>
      <c r="C497" s="4" t="s">
        <v>142</v>
      </c>
      <c r="D497" s="4">
        <v>49</v>
      </c>
      <c r="E497" s="18" t="s">
        <v>58</v>
      </c>
      <c r="F497" s="19" t="s">
        <v>109</v>
      </c>
    </row>
    <row r="498" spans="1:6">
      <c r="A498" s="4" t="str">
        <f t="shared" si="7"/>
        <v>trna1091|e4</v>
      </c>
      <c r="B498" s="4" t="s">
        <v>43</v>
      </c>
      <c r="C498" s="4" t="s">
        <v>143</v>
      </c>
      <c r="D498" s="4">
        <v>50</v>
      </c>
      <c r="E498" s="18" t="s">
        <v>55</v>
      </c>
      <c r="F498" s="19" t="s">
        <v>109</v>
      </c>
    </row>
    <row r="499" spans="1:6">
      <c r="A499" s="4" t="str">
        <f t="shared" si="7"/>
        <v>trna1091|e5</v>
      </c>
      <c r="B499" s="4" t="s">
        <v>43</v>
      </c>
      <c r="C499" s="4" t="s">
        <v>144</v>
      </c>
      <c r="D499" s="4">
        <v>51</v>
      </c>
      <c r="E499" s="18" t="s">
        <v>62</v>
      </c>
      <c r="F499" s="19" t="s">
        <v>109</v>
      </c>
    </row>
    <row r="500" spans="1:6">
      <c r="A500" s="4" t="str">
        <f t="shared" si="7"/>
        <v>trna1091|e6</v>
      </c>
      <c r="B500" s="4" t="s">
        <v>43</v>
      </c>
      <c r="C500" s="4" t="s">
        <v>145</v>
      </c>
      <c r="D500" s="4">
        <v>52</v>
      </c>
      <c r="E500" s="18" t="s">
        <v>55</v>
      </c>
      <c r="F500" s="19" t="s">
        <v>109</v>
      </c>
    </row>
    <row r="501" spans="1:6">
      <c r="A501" s="4" t="str">
        <f t="shared" si="7"/>
        <v>trna1091|e7</v>
      </c>
      <c r="B501" s="4" t="s">
        <v>43</v>
      </c>
      <c r="C501" s="4" t="s">
        <v>146</v>
      </c>
      <c r="D501" s="4">
        <v>53</v>
      </c>
      <c r="E501" s="18" t="s">
        <v>58</v>
      </c>
      <c r="F501" s="19" t="s">
        <v>109</v>
      </c>
    </row>
    <row r="502" spans="1:6">
      <c r="A502" s="4" t="str">
        <f t="shared" si="7"/>
        <v>trna1091|e8</v>
      </c>
      <c r="B502" s="4" t="s">
        <v>43</v>
      </c>
      <c r="C502" s="4" t="s">
        <v>147</v>
      </c>
      <c r="D502" s="4">
        <v>54</v>
      </c>
      <c r="E502" s="18" t="s">
        <v>58</v>
      </c>
      <c r="F502" s="19" t="s">
        <v>109</v>
      </c>
    </row>
    <row r="503" spans="1:6">
      <c r="A503" s="4" t="str">
        <f t="shared" si="7"/>
        <v>trna1091|e9</v>
      </c>
      <c r="B503" s="4" t="s">
        <v>43</v>
      </c>
      <c r="C503" s="4" t="s">
        <v>148</v>
      </c>
      <c r="D503" s="4">
        <v>55</v>
      </c>
      <c r="E503" s="18" t="s">
        <v>58</v>
      </c>
      <c r="F503" s="19" t="s">
        <v>109</v>
      </c>
    </row>
    <row r="504" spans="1:6">
      <c r="A504" s="4" t="str">
        <f t="shared" si="7"/>
        <v>trna1091|e10</v>
      </c>
      <c r="B504" s="4" t="s">
        <v>43</v>
      </c>
      <c r="C504" s="4" t="s">
        <v>151</v>
      </c>
      <c r="D504" s="4">
        <v>56</v>
      </c>
      <c r="E504" s="18" t="s">
        <v>58</v>
      </c>
      <c r="F504" s="19" t="s">
        <v>109</v>
      </c>
    </row>
    <row r="505" spans="1:6">
      <c r="A505" s="4" t="str">
        <f t="shared" si="7"/>
        <v>trna1091|e11</v>
      </c>
      <c r="B505" s="4" t="s">
        <v>43</v>
      </c>
      <c r="C505" s="4" t="s">
        <v>152</v>
      </c>
      <c r="D505" s="4">
        <v>57</v>
      </c>
      <c r="E505" s="18" t="s">
        <v>60</v>
      </c>
      <c r="F505" s="19" t="s">
        <v>109</v>
      </c>
    </row>
    <row r="506" spans="1:6">
      <c r="A506" s="4" t="str">
        <f t="shared" si="7"/>
        <v>trna1091|e12</v>
      </c>
      <c r="B506" s="4" t="s">
        <v>43</v>
      </c>
      <c r="C506" s="4" t="s">
        <v>153</v>
      </c>
      <c r="D506" s="4">
        <v>58</v>
      </c>
      <c r="E506" s="18" t="s">
        <v>58</v>
      </c>
      <c r="F506" s="19" t="s">
        <v>109</v>
      </c>
    </row>
    <row r="507" spans="1:6">
      <c r="A507" s="4" t="str">
        <f t="shared" si="7"/>
        <v>trna1091|e13</v>
      </c>
      <c r="B507" s="4" t="s">
        <v>43</v>
      </c>
      <c r="C507" s="4" t="s">
        <v>154</v>
      </c>
      <c r="D507" s="4">
        <v>59</v>
      </c>
      <c r="E507" s="18" t="s">
        <v>58</v>
      </c>
      <c r="F507" s="19" t="s">
        <v>109</v>
      </c>
    </row>
    <row r="508" spans="1:6">
      <c r="A508" s="4" t="str">
        <f t="shared" si="7"/>
        <v>trna1091|e14</v>
      </c>
      <c r="B508" s="4" t="s">
        <v>43</v>
      </c>
      <c r="C508" s="4" t="s">
        <v>155</v>
      </c>
      <c r="D508" s="4">
        <v>60</v>
      </c>
      <c r="E508" s="18" t="s">
        <v>55</v>
      </c>
      <c r="F508" s="19" t="s">
        <v>109</v>
      </c>
    </row>
    <row r="509" spans="1:6">
      <c r="A509" s="4" t="str">
        <f t="shared" si="7"/>
        <v>trna1091|e15</v>
      </c>
      <c r="B509" s="4" t="s">
        <v>43</v>
      </c>
      <c r="C509" s="4" t="s">
        <v>156</v>
      </c>
      <c r="D509" s="4">
        <v>61</v>
      </c>
      <c r="E509" s="18" t="s">
        <v>62</v>
      </c>
      <c r="F509" s="19" t="s">
        <v>109</v>
      </c>
    </row>
    <row r="510" spans="1:6">
      <c r="A510" s="4" t="str">
        <f t="shared" si="7"/>
        <v>trna1091|46</v>
      </c>
      <c r="B510" s="4" t="s">
        <v>43</v>
      </c>
      <c r="C510" s="4" t="s">
        <v>111</v>
      </c>
      <c r="D510" s="4">
        <v>62</v>
      </c>
      <c r="E510" s="18" t="s">
        <v>62</v>
      </c>
      <c r="F510" s="19" t="s">
        <v>109</v>
      </c>
    </row>
    <row r="511" spans="1:6">
      <c r="A511" s="4" t="str">
        <f t="shared" si="7"/>
        <v>trna1091|47</v>
      </c>
      <c r="B511" s="4" t="s">
        <v>43</v>
      </c>
      <c r="C511" s="4" t="s">
        <v>149</v>
      </c>
      <c r="D511" s="4">
        <v>63</v>
      </c>
      <c r="E511" s="18" t="s">
        <v>55</v>
      </c>
      <c r="F511" s="19" t="s">
        <v>109</v>
      </c>
    </row>
    <row r="512" spans="1:6">
      <c r="A512" s="4" t="str">
        <f t="shared" si="7"/>
        <v>trna1091|48</v>
      </c>
      <c r="B512" s="4" t="s">
        <v>43</v>
      </c>
      <c r="C512" s="4" t="s">
        <v>112</v>
      </c>
      <c r="D512" s="4">
        <v>64</v>
      </c>
      <c r="E512" s="18" t="s">
        <v>58</v>
      </c>
      <c r="F512" s="19" t="s">
        <v>109</v>
      </c>
    </row>
    <row r="513" spans="1:6">
      <c r="A513" s="4" t="str">
        <f t="shared" si="7"/>
        <v>trna1091|49</v>
      </c>
      <c r="B513" s="4" t="s">
        <v>43</v>
      </c>
      <c r="C513" s="4" t="s">
        <v>113</v>
      </c>
      <c r="D513" s="4">
        <v>65</v>
      </c>
      <c r="E513" s="22" t="s">
        <v>60</v>
      </c>
      <c r="F513" s="10" t="s">
        <v>114</v>
      </c>
    </row>
    <row r="514" spans="1:6">
      <c r="A514" s="4" t="str">
        <f t="shared" ref="A514:A577" si="8">B514&amp;"|"&amp;C514</f>
        <v>trna1091|50</v>
      </c>
      <c r="B514" s="4" t="s">
        <v>43</v>
      </c>
      <c r="C514" s="4" t="s">
        <v>115</v>
      </c>
      <c r="D514" s="4">
        <v>66</v>
      </c>
      <c r="E514" s="22" t="s">
        <v>62</v>
      </c>
      <c r="F514" s="10" t="s">
        <v>114</v>
      </c>
    </row>
    <row r="515" spans="1:6">
      <c r="A515" s="4" t="str">
        <f t="shared" si="8"/>
        <v>trna1091|51</v>
      </c>
      <c r="B515" s="4" t="s">
        <v>43</v>
      </c>
      <c r="C515" s="4" t="s">
        <v>116</v>
      </c>
      <c r="D515" s="4">
        <v>67</v>
      </c>
      <c r="E515" s="22" t="s">
        <v>55</v>
      </c>
      <c r="F515" s="10" t="s">
        <v>114</v>
      </c>
    </row>
    <row r="516" spans="1:6">
      <c r="A516" s="4" t="str">
        <f t="shared" si="8"/>
        <v>trna1091|52</v>
      </c>
      <c r="B516" s="4" t="s">
        <v>43</v>
      </c>
      <c r="C516" s="4" t="s">
        <v>117</v>
      </c>
      <c r="D516" s="4">
        <v>68</v>
      </c>
      <c r="E516" s="22" t="s">
        <v>55</v>
      </c>
      <c r="F516" s="10" t="s">
        <v>114</v>
      </c>
    </row>
    <row r="517" spans="1:6">
      <c r="A517" s="4" t="str">
        <f t="shared" si="8"/>
        <v>trna1091|53</v>
      </c>
      <c r="B517" s="4" t="s">
        <v>43</v>
      </c>
      <c r="C517" s="4" t="s">
        <v>118</v>
      </c>
      <c r="D517" s="4">
        <v>69</v>
      </c>
      <c r="E517" s="22" t="s">
        <v>55</v>
      </c>
      <c r="F517" s="10" t="s">
        <v>114</v>
      </c>
    </row>
    <row r="518" spans="1:6">
      <c r="A518" s="4" t="str">
        <f t="shared" si="8"/>
        <v>trna1091|54</v>
      </c>
      <c r="B518" s="4" t="s">
        <v>43</v>
      </c>
      <c r="C518" s="4" t="s">
        <v>119</v>
      </c>
      <c r="D518" s="4">
        <v>70</v>
      </c>
      <c r="E518" s="18" t="s">
        <v>62</v>
      </c>
      <c r="F518" s="19" t="s">
        <v>120</v>
      </c>
    </row>
    <row r="519" spans="1:6">
      <c r="A519" s="4" t="str">
        <f t="shared" si="8"/>
        <v>trna1091|55</v>
      </c>
      <c r="B519" s="4" t="s">
        <v>43</v>
      </c>
      <c r="C519" s="4" t="s">
        <v>121</v>
      </c>
      <c r="D519" s="4">
        <v>71</v>
      </c>
      <c r="E519" s="18" t="s">
        <v>60</v>
      </c>
      <c r="F519" s="19" t="s">
        <v>120</v>
      </c>
    </row>
    <row r="520" spans="1:6">
      <c r="A520" s="4" t="str">
        <f t="shared" si="8"/>
        <v>trna1091|56</v>
      </c>
      <c r="B520" s="4" t="s">
        <v>43</v>
      </c>
      <c r="C520" s="4" t="s">
        <v>122</v>
      </c>
      <c r="D520" s="4">
        <v>72</v>
      </c>
      <c r="E520" s="18" t="s">
        <v>60</v>
      </c>
      <c r="F520" s="19" t="s">
        <v>120</v>
      </c>
    </row>
    <row r="521" spans="1:6">
      <c r="A521" s="4" t="str">
        <f t="shared" si="8"/>
        <v>trna1091|57</v>
      </c>
      <c r="B521" s="4" t="s">
        <v>43</v>
      </c>
      <c r="C521" s="4" t="s">
        <v>123</v>
      </c>
      <c r="D521" s="4">
        <v>73</v>
      </c>
      <c r="E521" s="18" t="s">
        <v>58</v>
      </c>
      <c r="F521" s="19" t="s">
        <v>120</v>
      </c>
    </row>
    <row r="522" spans="1:6">
      <c r="A522" s="4" t="str">
        <f t="shared" si="8"/>
        <v>trna1091|58</v>
      </c>
      <c r="B522" s="4" t="s">
        <v>43</v>
      </c>
      <c r="C522" s="4" t="s">
        <v>124</v>
      </c>
      <c r="D522" s="4">
        <v>74</v>
      </c>
      <c r="E522" s="18" t="s">
        <v>60</v>
      </c>
      <c r="F522" s="19" t="s">
        <v>120</v>
      </c>
    </row>
    <row r="523" spans="1:6">
      <c r="A523" s="4" t="str">
        <f t="shared" si="8"/>
        <v>trna1091|59</v>
      </c>
      <c r="B523" s="4" t="s">
        <v>43</v>
      </c>
      <c r="C523" s="4" t="s">
        <v>125</v>
      </c>
      <c r="D523" s="4">
        <v>75</v>
      </c>
      <c r="E523" s="18" t="s">
        <v>58</v>
      </c>
      <c r="F523" s="19" t="s">
        <v>120</v>
      </c>
    </row>
    <row r="524" spans="1:6">
      <c r="A524" s="4" t="str">
        <f t="shared" si="8"/>
        <v>trna1091|60</v>
      </c>
      <c r="B524" s="4" t="s">
        <v>43</v>
      </c>
      <c r="C524" s="4" t="s">
        <v>126</v>
      </c>
      <c r="D524" s="4">
        <v>76</v>
      </c>
      <c r="E524" s="18" t="s">
        <v>55</v>
      </c>
      <c r="F524" s="19" t="s">
        <v>120</v>
      </c>
    </row>
    <row r="525" spans="1:6">
      <c r="A525" s="4" t="str">
        <f t="shared" si="8"/>
        <v>trna1091|61</v>
      </c>
      <c r="B525" s="4" t="s">
        <v>43</v>
      </c>
      <c r="C525" s="4" t="s">
        <v>127</v>
      </c>
      <c r="D525" s="4">
        <v>77</v>
      </c>
      <c r="E525" s="22" t="s">
        <v>60</v>
      </c>
      <c r="F525" s="10" t="s">
        <v>114</v>
      </c>
    </row>
    <row r="526" spans="1:6">
      <c r="A526" s="4" t="str">
        <f t="shared" si="8"/>
        <v>trna1091|62</v>
      </c>
      <c r="B526" s="4" t="s">
        <v>43</v>
      </c>
      <c r="C526" s="4" t="s">
        <v>128</v>
      </c>
      <c r="D526" s="4">
        <v>78</v>
      </c>
      <c r="E526" s="22" t="s">
        <v>60</v>
      </c>
      <c r="F526" s="10" t="s">
        <v>114</v>
      </c>
    </row>
    <row r="527" spans="1:6">
      <c r="A527" s="4" t="str">
        <f t="shared" si="8"/>
        <v>trna1091|63</v>
      </c>
      <c r="B527" s="4" t="s">
        <v>43</v>
      </c>
      <c r="C527" s="4" t="s">
        <v>129</v>
      </c>
      <c r="D527" s="4">
        <v>79</v>
      </c>
      <c r="E527" s="22" t="s">
        <v>58</v>
      </c>
      <c r="F527" s="10" t="s">
        <v>114</v>
      </c>
    </row>
    <row r="528" spans="1:6">
      <c r="A528" s="4" t="str">
        <f t="shared" si="8"/>
        <v>trna1091|64</v>
      </c>
      <c r="B528" s="4" t="s">
        <v>43</v>
      </c>
      <c r="C528" s="4" t="s">
        <v>130</v>
      </c>
      <c r="D528" s="4">
        <v>80</v>
      </c>
      <c r="E528" s="22" t="s">
        <v>58</v>
      </c>
      <c r="F528" s="10" t="s">
        <v>114</v>
      </c>
    </row>
    <row r="529" spans="1:6">
      <c r="A529" s="4" t="str">
        <f t="shared" si="8"/>
        <v>trna1091|65</v>
      </c>
      <c r="B529" s="4" t="s">
        <v>43</v>
      </c>
      <c r="C529" s="4" t="s">
        <v>131</v>
      </c>
      <c r="D529" s="4">
        <v>81</v>
      </c>
      <c r="E529" s="22" t="s">
        <v>55</v>
      </c>
      <c r="F529" s="10" t="s">
        <v>114</v>
      </c>
    </row>
    <row r="530" spans="1:6">
      <c r="A530" s="4" t="str">
        <f t="shared" si="8"/>
        <v>trna1091|66</v>
      </c>
      <c r="B530" s="4" t="s">
        <v>43</v>
      </c>
      <c r="C530" s="4" t="s">
        <v>132</v>
      </c>
      <c r="D530" s="4">
        <v>82</v>
      </c>
      <c r="E530" s="16" t="s">
        <v>62</v>
      </c>
      <c r="F530" s="17" t="s">
        <v>56</v>
      </c>
    </row>
    <row r="531" spans="1:6">
      <c r="A531" s="4" t="str">
        <f t="shared" si="8"/>
        <v>trna1091|67</v>
      </c>
      <c r="B531" s="4" t="s">
        <v>43</v>
      </c>
      <c r="C531" s="4" t="s">
        <v>133</v>
      </c>
      <c r="D531" s="4">
        <v>83</v>
      </c>
      <c r="E531" s="16" t="s">
        <v>58</v>
      </c>
      <c r="F531" s="17" t="s">
        <v>56</v>
      </c>
    </row>
    <row r="532" spans="1:6">
      <c r="A532" s="4" t="str">
        <f t="shared" si="8"/>
        <v>trna1091|68</v>
      </c>
      <c r="B532" s="4" t="s">
        <v>43</v>
      </c>
      <c r="C532" s="4" t="s">
        <v>134</v>
      </c>
      <c r="D532" s="4">
        <v>84</v>
      </c>
      <c r="E532" s="16" t="s">
        <v>55</v>
      </c>
      <c r="F532" s="17" t="s">
        <v>56</v>
      </c>
    </row>
    <row r="533" spans="1:6">
      <c r="A533" s="4" t="str">
        <f t="shared" si="8"/>
        <v>trna1091|69</v>
      </c>
      <c r="B533" s="4" t="s">
        <v>43</v>
      </c>
      <c r="C533" s="4" t="s">
        <v>135</v>
      </c>
      <c r="D533" s="4">
        <v>85</v>
      </c>
      <c r="E533" s="16" t="s">
        <v>58</v>
      </c>
      <c r="F533" s="17" t="s">
        <v>56</v>
      </c>
    </row>
    <row r="534" spans="1:6">
      <c r="A534" s="4" t="str">
        <f t="shared" si="8"/>
        <v>trna1091|70</v>
      </c>
      <c r="B534" s="4" t="s">
        <v>43</v>
      </c>
      <c r="C534" s="4" t="s">
        <v>136</v>
      </c>
      <c r="D534" s="4">
        <v>86</v>
      </c>
      <c r="E534" s="16" t="s">
        <v>58</v>
      </c>
      <c r="F534" s="17" t="s">
        <v>56</v>
      </c>
    </row>
    <row r="535" spans="1:6">
      <c r="A535" s="4" t="str">
        <f t="shared" si="8"/>
        <v>trna1091|71</v>
      </c>
      <c r="B535" s="4" t="s">
        <v>43</v>
      </c>
      <c r="C535" s="4" t="s">
        <v>137</v>
      </c>
      <c r="D535" s="4">
        <v>87</v>
      </c>
      <c r="E535" s="16" t="s">
        <v>55</v>
      </c>
      <c r="F535" s="17" t="s">
        <v>56</v>
      </c>
    </row>
    <row r="536" spans="1:6">
      <c r="A536" s="4" t="str">
        <f t="shared" si="8"/>
        <v>trna1091|72</v>
      </c>
      <c r="B536" s="4" t="s">
        <v>43</v>
      </c>
      <c r="C536" s="4" t="s">
        <v>138</v>
      </c>
      <c r="D536" s="4">
        <v>88</v>
      </c>
      <c r="E536" s="16" t="s">
        <v>55</v>
      </c>
      <c r="F536" s="17" t="s">
        <v>56</v>
      </c>
    </row>
    <row r="537" spans="1:6">
      <c r="A537" s="4" t="str">
        <f t="shared" si="8"/>
        <v>trna1395|1</v>
      </c>
      <c r="B537" s="4" t="s">
        <v>44</v>
      </c>
      <c r="C537" s="4" t="s">
        <v>54</v>
      </c>
      <c r="D537" s="4">
        <v>1</v>
      </c>
      <c r="E537" s="16" t="s">
        <v>60</v>
      </c>
      <c r="F537" s="17" t="s">
        <v>56</v>
      </c>
    </row>
    <row r="538" spans="1:6">
      <c r="A538" s="4" t="str">
        <f t="shared" si="8"/>
        <v>trna1395|2</v>
      </c>
      <c r="B538" s="4" t="s">
        <v>44</v>
      </c>
      <c r="C538" s="4" t="s">
        <v>57</v>
      </c>
      <c r="D538" s="4">
        <v>2</v>
      </c>
      <c r="E538" s="16" t="s">
        <v>58</v>
      </c>
      <c r="F538" s="17" t="s">
        <v>56</v>
      </c>
    </row>
    <row r="539" spans="1:6">
      <c r="A539" s="4" t="str">
        <f t="shared" si="8"/>
        <v>trna1395|3</v>
      </c>
      <c r="B539" s="4" t="s">
        <v>44</v>
      </c>
      <c r="C539" s="4" t="s">
        <v>59</v>
      </c>
      <c r="D539" s="4">
        <v>3</v>
      </c>
      <c r="E539" s="16" t="s">
        <v>55</v>
      </c>
      <c r="F539" s="17" t="s">
        <v>56</v>
      </c>
    </row>
    <row r="540" spans="1:6">
      <c r="A540" s="4" t="str">
        <f t="shared" si="8"/>
        <v>trna1395|4</v>
      </c>
      <c r="B540" s="4" t="s">
        <v>44</v>
      </c>
      <c r="C540" s="4" t="s">
        <v>61</v>
      </c>
      <c r="D540" s="4">
        <v>4</v>
      </c>
      <c r="E540" s="16" t="s">
        <v>62</v>
      </c>
      <c r="F540" s="17" t="s">
        <v>56</v>
      </c>
    </row>
    <row r="541" spans="1:6">
      <c r="A541" s="4" t="str">
        <f t="shared" si="8"/>
        <v>trna1395|5</v>
      </c>
      <c r="B541" s="4" t="s">
        <v>44</v>
      </c>
      <c r="C541" s="4" t="s">
        <v>63</v>
      </c>
      <c r="D541" s="4">
        <v>5</v>
      </c>
      <c r="E541" s="16" t="s">
        <v>55</v>
      </c>
      <c r="F541" s="17" t="s">
        <v>56</v>
      </c>
    </row>
    <row r="542" spans="1:6">
      <c r="A542" s="4" t="str">
        <f t="shared" si="8"/>
        <v>trna1395|6</v>
      </c>
      <c r="B542" s="4" t="s">
        <v>44</v>
      </c>
      <c r="C542" s="4" t="s">
        <v>64</v>
      </c>
      <c r="D542" s="4">
        <v>6</v>
      </c>
      <c r="E542" s="16" t="s">
        <v>55</v>
      </c>
      <c r="F542" s="17" t="s">
        <v>56</v>
      </c>
    </row>
    <row r="543" spans="1:6">
      <c r="A543" s="4" t="str">
        <f t="shared" si="8"/>
        <v>trna1395|7</v>
      </c>
      <c r="B543" s="4" t="s">
        <v>44</v>
      </c>
      <c r="C543" s="4" t="s">
        <v>65</v>
      </c>
      <c r="D543" s="4">
        <v>7</v>
      </c>
      <c r="E543" s="16" t="s">
        <v>55</v>
      </c>
      <c r="F543" s="17" t="s">
        <v>56</v>
      </c>
    </row>
    <row r="544" spans="1:6">
      <c r="A544" s="4" t="str">
        <f t="shared" si="8"/>
        <v>trna1395|8</v>
      </c>
      <c r="B544" s="4" t="s">
        <v>44</v>
      </c>
      <c r="C544" s="4" t="s">
        <v>66</v>
      </c>
      <c r="D544" s="4">
        <v>8</v>
      </c>
      <c r="E544" s="3" t="s">
        <v>58</v>
      </c>
      <c r="F544" s="4" t="s">
        <v>67</v>
      </c>
    </row>
    <row r="545" spans="1:6">
      <c r="A545" s="4" t="str">
        <f t="shared" si="8"/>
        <v>trna1395|9</v>
      </c>
      <c r="B545" s="4" t="s">
        <v>44</v>
      </c>
      <c r="C545" s="4" t="s">
        <v>68</v>
      </c>
      <c r="D545" s="4">
        <v>9</v>
      </c>
      <c r="E545" s="3" t="s">
        <v>58</v>
      </c>
      <c r="F545" s="4" t="s">
        <v>69</v>
      </c>
    </row>
    <row r="546" spans="1:6">
      <c r="A546" s="4" t="str">
        <f t="shared" si="8"/>
        <v>trna1395|10</v>
      </c>
      <c r="B546" s="4" t="s">
        <v>44</v>
      </c>
      <c r="C546" s="4" t="s">
        <v>70</v>
      </c>
      <c r="D546" s="4">
        <v>10</v>
      </c>
      <c r="E546" s="8" t="s">
        <v>55</v>
      </c>
      <c r="F546" s="7" t="s">
        <v>71</v>
      </c>
    </row>
    <row r="547" spans="1:6">
      <c r="A547" s="4" t="str">
        <f t="shared" si="8"/>
        <v>trna1395|11</v>
      </c>
      <c r="B547" s="4" t="s">
        <v>44</v>
      </c>
      <c r="C547" s="4" t="s">
        <v>72</v>
      </c>
      <c r="D547" s="4">
        <v>11</v>
      </c>
      <c r="E547" s="8" t="s">
        <v>60</v>
      </c>
      <c r="F547" s="7" t="s">
        <v>71</v>
      </c>
    </row>
    <row r="548" spans="1:6">
      <c r="A548" s="4" t="str">
        <f t="shared" si="8"/>
        <v>trna1395|12</v>
      </c>
      <c r="B548" s="4" t="s">
        <v>44</v>
      </c>
      <c r="C548" s="4" t="s">
        <v>73</v>
      </c>
      <c r="D548" s="4">
        <v>12</v>
      </c>
      <c r="E548" s="8" t="s">
        <v>60</v>
      </c>
      <c r="F548" s="7" t="s">
        <v>71</v>
      </c>
    </row>
    <row r="549" spans="1:6">
      <c r="A549" s="4" t="str">
        <f t="shared" si="8"/>
        <v>trna1395|13</v>
      </c>
      <c r="B549" s="4" t="s">
        <v>44</v>
      </c>
      <c r="C549" s="4" t="s">
        <v>74</v>
      </c>
      <c r="D549" s="4">
        <v>13</v>
      </c>
      <c r="E549" s="8" t="s">
        <v>62</v>
      </c>
      <c r="F549" s="7" t="s">
        <v>71</v>
      </c>
    </row>
    <row r="550" spans="1:6">
      <c r="A550" s="4" t="str">
        <f t="shared" si="8"/>
        <v>trna1395|14</v>
      </c>
      <c r="B550" s="4" t="s">
        <v>44</v>
      </c>
      <c r="C550" s="4" t="s">
        <v>75</v>
      </c>
      <c r="D550" s="4">
        <v>14</v>
      </c>
      <c r="E550" s="18" t="s">
        <v>55</v>
      </c>
      <c r="F550" s="19" t="s">
        <v>76</v>
      </c>
    </row>
    <row r="551" spans="1:6">
      <c r="A551" s="4" t="str">
        <f t="shared" si="8"/>
        <v>trna1395|15</v>
      </c>
      <c r="B551" s="4" t="s">
        <v>44</v>
      </c>
      <c r="C551" s="4" t="s">
        <v>77</v>
      </c>
      <c r="D551" s="4">
        <v>15</v>
      </c>
      <c r="E551" s="18" t="s">
        <v>62</v>
      </c>
      <c r="F551" s="19" t="s">
        <v>76</v>
      </c>
    </row>
    <row r="552" spans="1:6">
      <c r="A552" s="4" t="str">
        <f t="shared" si="8"/>
        <v>trna1395|18</v>
      </c>
      <c r="B552" s="4" t="s">
        <v>44</v>
      </c>
      <c r="C552" s="4" t="s">
        <v>79</v>
      </c>
      <c r="D552" s="4">
        <v>16</v>
      </c>
      <c r="E552" s="18" t="s">
        <v>55</v>
      </c>
      <c r="F552" s="19" t="s">
        <v>76</v>
      </c>
    </row>
    <row r="553" spans="1:6">
      <c r="A553" s="4" t="str">
        <f t="shared" si="8"/>
        <v>trna1395|19</v>
      </c>
      <c r="B553" s="4" t="s">
        <v>44</v>
      </c>
      <c r="C553" s="4" t="s">
        <v>80</v>
      </c>
      <c r="D553" s="4">
        <v>17</v>
      </c>
      <c r="E553" s="18" t="s">
        <v>55</v>
      </c>
      <c r="F553" s="19" t="s">
        <v>76</v>
      </c>
    </row>
    <row r="554" spans="1:6">
      <c r="A554" s="4" t="str">
        <f t="shared" si="8"/>
        <v>trna1395|20</v>
      </c>
      <c r="B554" s="4" t="s">
        <v>44</v>
      </c>
      <c r="C554" s="4" t="s">
        <v>81</v>
      </c>
      <c r="D554" s="4">
        <v>18</v>
      </c>
      <c r="E554" s="18" t="s">
        <v>55</v>
      </c>
      <c r="F554" s="19" t="s">
        <v>76</v>
      </c>
    </row>
    <row r="555" spans="1:6">
      <c r="A555" s="4" t="str">
        <f t="shared" si="8"/>
        <v>trna1395|20a</v>
      </c>
      <c r="B555" s="4" t="s">
        <v>44</v>
      </c>
      <c r="C555" s="4" t="s">
        <v>157</v>
      </c>
      <c r="D555" s="4">
        <v>19</v>
      </c>
      <c r="E555" s="18" t="s">
        <v>62</v>
      </c>
      <c r="F555" s="19" t="s">
        <v>76</v>
      </c>
    </row>
    <row r="556" spans="1:6">
      <c r="A556" s="4" t="str">
        <f t="shared" si="8"/>
        <v>trna1395|20b</v>
      </c>
      <c r="B556" s="4" t="s">
        <v>44</v>
      </c>
      <c r="C556" s="4" t="s">
        <v>158</v>
      </c>
      <c r="D556" s="4">
        <v>20</v>
      </c>
      <c r="E556" s="18" t="s">
        <v>58</v>
      </c>
      <c r="F556" s="19" t="s">
        <v>76</v>
      </c>
    </row>
    <row r="557" spans="1:6">
      <c r="A557" s="4" t="str">
        <f t="shared" si="8"/>
        <v>trna1395|20c</v>
      </c>
      <c r="B557" s="4" t="s">
        <v>44</v>
      </c>
      <c r="C557" s="4" t="s">
        <v>159</v>
      </c>
      <c r="D557" s="4">
        <v>21</v>
      </c>
      <c r="E557" s="18" t="s">
        <v>62</v>
      </c>
      <c r="F557" s="19" t="s">
        <v>76</v>
      </c>
    </row>
    <row r="558" spans="1:6">
      <c r="A558" s="4" t="str">
        <f t="shared" si="8"/>
        <v>trna1395|21</v>
      </c>
      <c r="B558" s="4" t="s">
        <v>44</v>
      </c>
      <c r="C558" s="4" t="s">
        <v>82</v>
      </c>
      <c r="D558" s="4">
        <v>22</v>
      </c>
      <c r="E558" s="18" t="s">
        <v>58</v>
      </c>
      <c r="F558" s="19" t="s">
        <v>76</v>
      </c>
    </row>
    <row r="559" spans="1:6">
      <c r="A559" s="4" t="str">
        <f t="shared" si="8"/>
        <v>trna1395|22</v>
      </c>
      <c r="B559" s="4" t="s">
        <v>44</v>
      </c>
      <c r="C559" s="4" t="s">
        <v>83</v>
      </c>
      <c r="D559" s="4">
        <v>23</v>
      </c>
      <c r="E559" s="8" t="s">
        <v>58</v>
      </c>
      <c r="F559" s="7" t="s">
        <v>71</v>
      </c>
    </row>
    <row r="560" spans="1:6">
      <c r="A560" s="4" t="str">
        <f t="shared" si="8"/>
        <v>trna1395|23</v>
      </c>
      <c r="B560" s="4" t="s">
        <v>44</v>
      </c>
      <c r="C560" s="4" t="s">
        <v>84</v>
      </c>
      <c r="D560" s="4">
        <v>24</v>
      </c>
      <c r="E560" s="8" t="s">
        <v>55</v>
      </c>
      <c r="F560" s="7" t="s">
        <v>71</v>
      </c>
    </row>
    <row r="561" spans="1:6">
      <c r="A561" s="4" t="str">
        <f t="shared" si="8"/>
        <v>trna1395|24</v>
      </c>
      <c r="B561" s="4" t="s">
        <v>44</v>
      </c>
      <c r="C561" s="4" t="s">
        <v>85</v>
      </c>
      <c r="D561" s="4">
        <v>25</v>
      </c>
      <c r="E561" s="8" t="s">
        <v>62</v>
      </c>
      <c r="F561" s="7" t="s">
        <v>71</v>
      </c>
    </row>
    <row r="562" spans="1:6">
      <c r="A562" s="4" t="str">
        <f t="shared" si="8"/>
        <v>trna1395|25</v>
      </c>
      <c r="B562" s="4" t="s">
        <v>44</v>
      </c>
      <c r="C562" s="4" t="s">
        <v>86</v>
      </c>
      <c r="D562" s="4">
        <v>26</v>
      </c>
      <c r="E562" s="8" t="s">
        <v>58</v>
      </c>
      <c r="F562" s="7" t="s">
        <v>71</v>
      </c>
    </row>
    <row r="563" spans="1:6">
      <c r="A563" s="4" t="str">
        <f t="shared" si="8"/>
        <v>trna1395|26</v>
      </c>
      <c r="B563" s="4" t="s">
        <v>44</v>
      </c>
      <c r="C563" s="4" t="s">
        <v>87</v>
      </c>
      <c r="D563" s="4">
        <v>27</v>
      </c>
      <c r="E563" s="3" t="s">
        <v>62</v>
      </c>
      <c r="F563" s="4" t="s">
        <v>88</v>
      </c>
    </row>
    <row r="564" spans="1:6">
      <c r="A564" s="4" t="str">
        <f t="shared" si="8"/>
        <v>trna1395|27</v>
      </c>
      <c r="B564" s="4" t="s">
        <v>44</v>
      </c>
      <c r="C564" s="4" t="s">
        <v>89</v>
      </c>
      <c r="D564" s="4">
        <v>28</v>
      </c>
      <c r="E564" s="20" t="s">
        <v>60</v>
      </c>
      <c r="F564" s="21" t="s">
        <v>90</v>
      </c>
    </row>
    <row r="565" spans="1:6">
      <c r="A565" s="4" t="str">
        <f t="shared" si="8"/>
        <v>trna1395|28</v>
      </c>
      <c r="B565" s="4" t="s">
        <v>44</v>
      </c>
      <c r="C565" s="4" t="s">
        <v>91</v>
      </c>
      <c r="D565" s="4">
        <v>29</v>
      </c>
      <c r="E565" s="20" t="s">
        <v>60</v>
      </c>
      <c r="F565" s="21" t="s">
        <v>90</v>
      </c>
    </row>
    <row r="566" spans="1:6">
      <c r="A566" s="4" t="str">
        <f t="shared" si="8"/>
        <v>trna1395|29</v>
      </c>
      <c r="B566" s="4" t="s">
        <v>44</v>
      </c>
      <c r="C566" s="4" t="s">
        <v>92</v>
      </c>
      <c r="D566" s="4">
        <v>30</v>
      </c>
      <c r="E566" s="20" t="s">
        <v>55</v>
      </c>
      <c r="F566" s="21" t="s">
        <v>90</v>
      </c>
    </row>
    <row r="567" spans="1:6">
      <c r="A567" s="4" t="str">
        <f t="shared" si="8"/>
        <v>trna1395|30</v>
      </c>
      <c r="B567" s="4" t="s">
        <v>44</v>
      </c>
      <c r="C567" s="4" t="s">
        <v>93</v>
      </c>
      <c r="D567" s="4">
        <v>31</v>
      </c>
      <c r="E567" s="20" t="s">
        <v>60</v>
      </c>
      <c r="F567" s="21" t="s">
        <v>90</v>
      </c>
    </row>
    <row r="568" spans="1:6">
      <c r="A568" s="4" t="str">
        <f t="shared" si="8"/>
        <v>trna1395|31</v>
      </c>
      <c r="B568" s="4" t="s">
        <v>44</v>
      </c>
      <c r="C568" s="4" t="s">
        <v>94</v>
      </c>
      <c r="D568" s="4">
        <v>32</v>
      </c>
      <c r="E568" s="20" t="s">
        <v>58</v>
      </c>
      <c r="F568" s="21" t="s">
        <v>90</v>
      </c>
    </row>
    <row r="569" spans="1:6">
      <c r="A569" s="4" t="str">
        <f t="shared" si="8"/>
        <v>trna1395|32</v>
      </c>
      <c r="B569" s="4" t="s">
        <v>44</v>
      </c>
      <c r="C569" s="4" t="s">
        <v>95</v>
      </c>
      <c r="D569" s="4">
        <v>33</v>
      </c>
      <c r="E569" s="18" t="s">
        <v>58</v>
      </c>
      <c r="F569" s="19" t="s">
        <v>96</v>
      </c>
    </row>
    <row r="570" spans="1:6">
      <c r="A570" s="4" t="str">
        <f t="shared" si="8"/>
        <v>trna1395|33</v>
      </c>
      <c r="B570" s="4" t="s">
        <v>44</v>
      </c>
      <c r="C570" s="4" t="s">
        <v>97</v>
      </c>
      <c r="D570" s="4">
        <v>34</v>
      </c>
      <c r="E570" s="18" t="s">
        <v>60</v>
      </c>
      <c r="F570" s="19" t="s">
        <v>96</v>
      </c>
    </row>
    <row r="571" spans="1:6">
      <c r="A571" s="4" t="str">
        <f t="shared" si="8"/>
        <v>trna1395|34</v>
      </c>
      <c r="B571" s="4" t="s">
        <v>44</v>
      </c>
      <c r="C571" s="4" t="s">
        <v>98</v>
      </c>
      <c r="D571" s="4">
        <v>35</v>
      </c>
      <c r="E571" s="18" t="s">
        <v>60</v>
      </c>
      <c r="F571" s="19" t="s">
        <v>96</v>
      </c>
    </row>
    <row r="572" spans="1:6">
      <c r="A572" s="4" t="str">
        <f t="shared" si="8"/>
        <v>trna1395|35</v>
      </c>
      <c r="B572" s="4" t="s">
        <v>44</v>
      </c>
      <c r="C572" s="4" t="s">
        <v>99</v>
      </c>
      <c r="D572" s="4">
        <v>36</v>
      </c>
      <c r="E572" s="18" t="s">
        <v>58</v>
      </c>
      <c r="F572" s="19" t="s">
        <v>96</v>
      </c>
    </row>
    <row r="573" spans="1:6">
      <c r="A573" s="4" t="str">
        <f t="shared" si="8"/>
        <v>trna1395|36</v>
      </c>
      <c r="B573" s="4" t="s">
        <v>44</v>
      </c>
      <c r="C573" s="4" t="s">
        <v>100</v>
      </c>
      <c r="D573" s="4">
        <v>37</v>
      </c>
      <c r="E573" s="18" t="s">
        <v>62</v>
      </c>
      <c r="F573" s="19" t="s">
        <v>96</v>
      </c>
    </row>
    <row r="574" spans="1:6">
      <c r="A574" s="4" t="str">
        <f t="shared" si="8"/>
        <v>trna1395|37</v>
      </c>
      <c r="B574" s="4" t="s">
        <v>44</v>
      </c>
      <c r="C574" s="4" t="s">
        <v>101</v>
      </c>
      <c r="D574" s="4">
        <v>38</v>
      </c>
      <c r="E574" s="18" t="s">
        <v>55</v>
      </c>
      <c r="F574" s="19" t="s">
        <v>96</v>
      </c>
    </row>
    <row r="575" spans="1:6">
      <c r="A575" s="4" t="str">
        <f t="shared" si="8"/>
        <v>trna1395|38</v>
      </c>
      <c r="B575" s="4" t="s">
        <v>44</v>
      </c>
      <c r="C575" s="4" t="s">
        <v>102</v>
      </c>
      <c r="D575" s="4">
        <v>39</v>
      </c>
      <c r="E575" s="18" t="s">
        <v>55</v>
      </c>
      <c r="F575" s="19" t="s">
        <v>96</v>
      </c>
    </row>
    <row r="576" spans="1:6">
      <c r="A576" s="4" t="str">
        <f t="shared" si="8"/>
        <v>trna1395|39</v>
      </c>
      <c r="B576" s="4" t="s">
        <v>44</v>
      </c>
      <c r="C576" s="4" t="s">
        <v>103</v>
      </c>
      <c r="D576" s="4">
        <v>40</v>
      </c>
      <c r="E576" s="20" t="s">
        <v>55</v>
      </c>
      <c r="F576" s="21" t="s">
        <v>90</v>
      </c>
    </row>
    <row r="577" spans="1:6">
      <c r="A577" s="4" t="str">
        <f t="shared" si="8"/>
        <v>trna1395|40</v>
      </c>
      <c r="B577" s="4" t="s">
        <v>44</v>
      </c>
      <c r="C577" s="4" t="s">
        <v>104</v>
      </c>
      <c r="D577" s="4">
        <v>41</v>
      </c>
      <c r="E577" s="20" t="s">
        <v>55</v>
      </c>
      <c r="F577" s="21" t="s">
        <v>90</v>
      </c>
    </row>
    <row r="578" spans="1:6">
      <c r="A578" s="4" t="str">
        <f t="shared" ref="A578:A641" si="9">B578&amp;"|"&amp;C578</f>
        <v>trna1395|41</v>
      </c>
      <c r="B578" s="4" t="s">
        <v>44</v>
      </c>
      <c r="C578" s="4" t="s">
        <v>105</v>
      </c>
      <c r="D578" s="4">
        <v>42</v>
      </c>
      <c r="E578" s="20" t="s">
        <v>58</v>
      </c>
      <c r="F578" s="21" t="s">
        <v>90</v>
      </c>
    </row>
    <row r="579" spans="1:6">
      <c r="A579" s="4" t="str">
        <f t="shared" si="9"/>
        <v>trna1395|42</v>
      </c>
      <c r="B579" s="4" t="s">
        <v>44</v>
      </c>
      <c r="C579" s="4" t="s">
        <v>106</v>
      </c>
      <c r="D579" s="4">
        <v>43</v>
      </c>
      <c r="E579" s="20" t="s">
        <v>55</v>
      </c>
      <c r="F579" s="21" t="s">
        <v>90</v>
      </c>
    </row>
    <row r="580" spans="1:6">
      <c r="A580" s="4" t="str">
        <f t="shared" si="9"/>
        <v>trna1395|43</v>
      </c>
      <c r="B580" s="4" t="s">
        <v>44</v>
      </c>
      <c r="C580" s="4" t="s">
        <v>107</v>
      </c>
      <c r="D580" s="4">
        <v>44</v>
      </c>
      <c r="E580" s="20" t="s">
        <v>55</v>
      </c>
      <c r="F580" s="21" t="s">
        <v>90</v>
      </c>
    </row>
    <row r="581" spans="1:6">
      <c r="A581" s="4" t="str">
        <f t="shared" si="9"/>
        <v>trna1395|44</v>
      </c>
      <c r="B581" s="4" t="s">
        <v>44</v>
      </c>
      <c r="C581" s="4" t="s">
        <v>108</v>
      </c>
      <c r="D581" s="4">
        <v>45</v>
      </c>
      <c r="E581" s="18" t="s">
        <v>60</v>
      </c>
      <c r="F581" s="19" t="s">
        <v>109</v>
      </c>
    </row>
    <row r="582" spans="1:6">
      <c r="A582" s="4" t="str">
        <f t="shared" si="9"/>
        <v>trna1395|45</v>
      </c>
      <c r="B582" s="4" t="s">
        <v>44</v>
      </c>
      <c r="C582" s="4" t="s">
        <v>110</v>
      </c>
      <c r="D582" s="4">
        <v>46</v>
      </c>
      <c r="E582" s="18" t="s">
        <v>60</v>
      </c>
      <c r="F582" s="19" t="s">
        <v>109</v>
      </c>
    </row>
    <row r="583" spans="1:6">
      <c r="A583" s="4" t="str">
        <f t="shared" si="9"/>
        <v>trna1395|e1</v>
      </c>
      <c r="B583" s="4" t="s">
        <v>44</v>
      </c>
      <c r="C583" s="4" t="s">
        <v>140</v>
      </c>
      <c r="D583" s="4">
        <v>47</v>
      </c>
      <c r="E583" s="18" t="s">
        <v>55</v>
      </c>
      <c r="F583" s="19" t="s">
        <v>109</v>
      </c>
    </row>
    <row r="584" spans="1:6">
      <c r="A584" s="4" t="str">
        <f t="shared" si="9"/>
        <v>trna1395|e2</v>
      </c>
      <c r="B584" s="4" t="s">
        <v>44</v>
      </c>
      <c r="C584" s="4" t="s">
        <v>141</v>
      </c>
      <c r="D584" s="4">
        <v>48</v>
      </c>
      <c r="E584" s="18" t="s">
        <v>60</v>
      </c>
      <c r="F584" s="19" t="s">
        <v>109</v>
      </c>
    </row>
    <row r="585" spans="1:6">
      <c r="A585" s="4" t="str">
        <f t="shared" si="9"/>
        <v>trna1395|e3</v>
      </c>
      <c r="B585" s="4" t="s">
        <v>44</v>
      </c>
      <c r="C585" s="4" t="s">
        <v>142</v>
      </c>
      <c r="D585" s="4">
        <v>49</v>
      </c>
      <c r="E585" s="18" t="s">
        <v>62</v>
      </c>
      <c r="F585" s="19" t="s">
        <v>109</v>
      </c>
    </row>
    <row r="586" spans="1:6">
      <c r="A586" s="4" t="str">
        <f t="shared" si="9"/>
        <v>trna1395|e4</v>
      </c>
      <c r="B586" s="4" t="s">
        <v>44</v>
      </c>
      <c r="C586" s="4" t="s">
        <v>143</v>
      </c>
      <c r="D586" s="4">
        <v>50</v>
      </c>
      <c r="E586" s="18" t="s">
        <v>60</v>
      </c>
      <c r="F586" s="19" t="s">
        <v>109</v>
      </c>
    </row>
    <row r="587" spans="1:6">
      <c r="A587" s="4" t="str">
        <f t="shared" si="9"/>
        <v>trna1395|e5</v>
      </c>
      <c r="B587" s="4" t="s">
        <v>44</v>
      </c>
      <c r="C587" s="4" t="s">
        <v>144</v>
      </c>
      <c r="D587" s="4">
        <v>51</v>
      </c>
      <c r="E587" s="18" t="s">
        <v>55</v>
      </c>
      <c r="F587" s="19" t="s">
        <v>109</v>
      </c>
    </row>
    <row r="588" spans="1:6">
      <c r="A588" s="4" t="str">
        <f t="shared" si="9"/>
        <v>trna1395|e6</v>
      </c>
      <c r="B588" s="4" t="s">
        <v>44</v>
      </c>
      <c r="C588" s="4" t="s">
        <v>145</v>
      </c>
      <c r="D588" s="4">
        <v>52</v>
      </c>
      <c r="E588" s="18" t="s">
        <v>60</v>
      </c>
      <c r="F588" s="19" t="s">
        <v>109</v>
      </c>
    </row>
    <row r="589" spans="1:6">
      <c r="A589" s="4" t="str">
        <f t="shared" si="9"/>
        <v>trna1395|e7</v>
      </c>
      <c r="B589" s="4" t="s">
        <v>44</v>
      </c>
      <c r="C589" s="4" t="s">
        <v>146</v>
      </c>
      <c r="D589" s="4">
        <v>53</v>
      </c>
      <c r="E589" s="18" t="s">
        <v>62</v>
      </c>
      <c r="F589" s="19" t="s">
        <v>109</v>
      </c>
    </row>
    <row r="590" spans="1:6">
      <c r="A590" s="4" t="str">
        <f t="shared" si="9"/>
        <v>trna1395|e8</v>
      </c>
      <c r="B590" s="4" t="s">
        <v>44</v>
      </c>
      <c r="C590" s="4" t="s">
        <v>147</v>
      </c>
      <c r="D590" s="4">
        <v>54</v>
      </c>
      <c r="E590" s="18" t="s">
        <v>62</v>
      </c>
      <c r="F590" s="19" t="s">
        <v>109</v>
      </c>
    </row>
    <row r="591" spans="1:6">
      <c r="A591" s="4" t="str">
        <f t="shared" si="9"/>
        <v>trna1395|e9</v>
      </c>
      <c r="B591" s="4" t="s">
        <v>44</v>
      </c>
      <c r="C591" s="4" t="s">
        <v>148</v>
      </c>
      <c r="D591" s="4">
        <v>55</v>
      </c>
      <c r="E591" s="18" t="s">
        <v>58</v>
      </c>
      <c r="F591" s="19" t="s">
        <v>109</v>
      </c>
    </row>
    <row r="592" spans="1:6">
      <c r="A592" s="4" t="str">
        <f t="shared" si="9"/>
        <v>trna1395|e10</v>
      </c>
      <c r="B592" s="4" t="s">
        <v>44</v>
      </c>
      <c r="C592" s="4" t="s">
        <v>151</v>
      </c>
      <c r="D592" s="4">
        <v>56</v>
      </c>
      <c r="E592" s="18" t="s">
        <v>58</v>
      </c>
      <c r="F592" s="19" t="s">
        <v>109</v>
      </c>
    </row>
    <row r="593" spans="1:6">
      <c r="A593" s="4" t="str">
        <f t="shared" si="9"/>
        <v>trna1395|e11</v>
      </c>
      <c r="B593" s="4" t="s">
        <v>44</v>
      </c>
      <c r="C593" s="4" t="s">
        <v>152</v>
      </c>
      <c r="D593" s="4">
        <v>57</v>
      </c>
      <c r="E593" s="18" t="s">
        <v>58</v>
      </c>
      <c r="F593" s="19" t="s">
        <v>109</v>
      </c>
    </row>
    <row r="594" spans="1:6">
      <c r="A594" s="4" t="str">
        <f t="shared" si="9"/>
        <v>trna1395|e12</v>
      </c>
      <c r="B594" s="4" t="s">
        <v>44</v>
      </c>
      <c r="C594" s="4" t="s">
        <v>153</v>
      </c>
      <c r="D594" s="4">
        <v>58</v>
      </c>
      <c r="E594" s="18" t="s">
        <v>55</v>
      </c>
      <c r="F594" s="19" t="s">
        <v>109</v>
      </c>
    </row>
    <row r="595" spans="1:6">
      <c r="A595" s="4" t="str">
        <f t="shared" si="9"/>
        <v>trna1395|e13</v>
      </c>
      <c r="B595" s="4" t="s">
        <v>44</v>
      </c>
      <c r="C595" s="4" t="s">
        <v>154</v>
      </c>
      <c r="D595" s="4">
        <v>59</v>
      </c>
      <c r="E595" s="18" t="s">
        <v>62</v>
      </c>
      <c r="F595" s="19" t="s">
        <v>109</v>
      </c>
    </row>
    <row r="596" spans="1:6">
      <c r="A596" s="4" t="str">
        <f t="shared" si="9"/>
        <v>trna1395|e14</v>
      </c>
      <c r="B596" s="4" t="s">
        <v>44</v>
      </c>
      <c r="C596" s="4" t="s">
        <v>155</v>
      </c>
      <c r="D596" s="4">
        <v>60</v>
      </c>
      <c r="E596" s="18" t="s">
        <v>58</v>
      </c>
      <c r="F596" s="19" t="s">
        <v>109</v>
      </c>
    </row>
    <row r="597" spans="1:6">
      <c r="A597" s="4" t="str">
        <f t="shared" si="9"/>
        <v>trna1395|e15</v>
      </c>
      <c r="B597" s="4" t="s">
        <v>44</v>
      </c>
      <c r="C597" s="4" t="s">
        <v>156</v>
      </c>
      <c r="D597" s="4">
        <v>61</v>
      </c>
      <c r="E597" s="18" t="s">
        <v>58</v>
      </c>
      <c r="F597" s="19" t="s">
        <v>109</v>
      </c>
    </row>
    <row r="598" spans="1:6">
      <c r="A598" s="4" t="str">
        <f t="shared" si="9"/>
        <v>trna1395|e16</v>
      </c>
      <c r="B598" s="4" t="s">
        <v>44</v>
      </c>
      <c r="C598" s="4" t="s">
        <v>160</v>
      </c>
      <c r="D598" s="4">
        <v>62</v>
      </c>
      <c r="E598" s="18" t="s">
        <v>58</v>
      </c>
      <c r="F598" s="19" t="s">
        <v>109</v>
      </c>
    </row>
    <row r="599" spans="1:6">
      <c r="A599" s="4" t="str">
        <f t="shared" si="9"/>
        <v>trna1395|e17</v>
      </c>
      <c r="B599" s="4" t="s">
        <v>44</v>
      </c>
      <c r="C599" s="4" t="s">
        <v>161</v>
      </c>
      <c r="D599" s="4">
        <v>63</v>
      </c>
      <c r="E599" s="18" t="s">
        <v>62</v>
      </c>
      <c r="F599" s="19" t="s">
        <v>109</v>
      </c>
    </row>
    <row r="600" spans="1:6">
      <c r="A600" s="4" t="str">
        <f t="shared" si="9"/>
        <v>trna1395|e18</v>
      </c>
      <c r="B600" s="4" t="s">
        <v>44</v>
      </c>
      <c r="C600" s="4" t="s">
        <v>162</v>
      </c>
      <c r="D600" s="4">
        <v>64</v>
      </c>
      <c r="E600" s="18" t="s">
        <v>58</v>
      </c>
      <c r="F600" s="19" t="s">
        <v>109</v>
      </c>
    </row>
    <row r="601" spans="1:6">
      <c r="A601" s="4" t="str">
        <f t="shared" si="9"/>
        <v>trna1395|e19</v>
      </c>
      <c r="B601" s="4" t="s">
        <v>44</v>
      </c>
      <c r="C601" s="4" t="s">
        <v>163</v>
      </c>
      <c r="D601" s="4">
        <v>65</v>
      </c>
      <c r="E601" s="18" t="s">
        <v>58</v>
      </c>
      <c r="F601" s="19" t="s">
        <v>109</v>
      </c>
    </row>
    <row r="602" spans="1:6">
      <c r="A602" s="4" t="str">
        <f t="shared" si="9"/>
        <v>trna1395|46</v>
      </c>
      <c r="B602" s="4" t="s">
        <v>44</v>
      </c>
      <c r="C602" s="4" t="s">
        <v>111</v>
      </c>
      <c r="D602" s="4">
        <v>66</v>
      </c>
      <c r="E602" s="18" t="s">
        <v>62</v>
      </c>
      <c r="F602" s="19" t="s">
        <v>109</v>
      </c>
    </row>
    <row r="603" spans="1:6">
      <c r="A603" s="4" t="str">
        <f t="shared" si="9"/>
        <v>trna1395|47</v>
      </c>
      <c r="B603" s="4" t="s">
        <v>44</v>
      </c>
      <c r="C603" s="4" t="s">
        <v>149</v>
      </c>
      <c r="D603" s="4">
        <v>67</v>
      </c>
      <c r="E603" s="18" t="s">
        <v>55</v>
      </c>
      <c r="F603" s="19" t="s">
        <v>109</v>
      </c>
    </row>
    <row r="604" spans="1:6">
      <c r="A604" s="4" t="str">
        <f t="shared" si="9"/>
        <v>trna1395|48</v>
      </c>
      <c r="B604" s="4" t="s">
        <v>44</v>
      </c>
      <c r="C604" s="4" t="s">
        <v>112</v>
      </c>
      <c r="D604" s="4">
        <v>68</v>
      </c>
      <c r="E604" s="18" t="s">
        <v>58</v>
      </c>
      <c r="F604" s="19" t="s">
        <v>109</v>
      </c>
    </row>
    <row r="605" spans="1:6">
      <c r="A605" s="4" t="str">
        <f t="shared" si="9"/>
        <v>trna1395|49</v>
      </c>
      <c r="B605" s="4" t="s">
        <v>44</v>
      </c>
      <c r="C605" s="4" t="s">
        <v>113</v>
      </c>
      <c r="D605" s="4">
        <v>69</v>
      </c>
      <c r="E605" s="22" t="s">
        <v>62</v>
      </c>
      <c r="F605" s="10" t="s">
        <v>114</v>
      </c>
    </row>
    <row r="606" spans="1:6">
      <c r="A606" s="4" t="str">
        <f t="shared" si="9"/>
        <v>trna1395|50</v>
      </c>
      <c r="B606" s="4" t="s">
        <v>44</v>
      </c>
      <c r="C606" s="4" t="s">
        <v>115</v>
      </c>
      <c r="D606" s="4">
        <v>70</v>
      </c>
      <c r="E606" s="22" t="s">
        <v>62</v>
      </c>
      <c r="F606" s="10" t="s">
        <v>114</v>
      </c>
    </row>
    <row r="607" spans="1:6">
      <c r="A607" s="4" t="str">
        <f t="shared" si="9"/>
        <v>trna1395|51</v>
      </c>
      <c r="B607" s="4" t="s">
        <v>44</v>
      </c>
      <c r="C607" s="4" t="s">
        <v>116</v>
      </c>
      <c r="D607" s="4">
        <v>71</v>
      </c>
      <c r="E607" s="22" t="s">
        <v>55</v>
      </c>
      <c r="F607" s="10" t="s">
        <v>114</v>
      </c>
    </row>
    <row r="608" spans="1:6">
      <c r="A608" s="4" t="str">
        <f t="shared" si="9"/>
        <v>trna1395|52</v>
      </c>
      <c r="B608" s="4" t="s">
        <v>44</v>
      </c>
      <c r="C608" s="4" t="s">
        <v>117</v>
      </c>
      <c r="D608" s="4">
        <v>72</v>
      </c>
      <c r="E608" s="22" t="s">
        <v>55</v>
      </c>
      <c r="F608" s="10" t="s">
        <v>114</v>
      </c>
    </row>
    <row r="609" spans="1:6">
      <c r="A609" s="4" t="str">
        <f t="shared" si="9"/>
        <v>trna1395|53</v>
      </c>
      <c r="B609" s="4" t="s">
        <v>44</v>
      </c>
      <c r="C609" s="4" t="s">
        <v>118</v>
      </c>
      <c r="D609" s="4">
        <v>73</v>
      </c>
      <c r="E609" s="22" t="s">
        <v>55</v>
      </c>
      <c r="F609" s="10" t="s">
        <v>114</v>
      </c>
    </row>
    <row r="610" spans="1:6">
      <c r="A610" s="4" t="str">
        <f t="shared" si="9"/>
        <v>trna1395|54</v>
      </c>
      <c r="B610" s="4" t="s">
        <v>44</v>
      </c>
      <c r="C610" s="4" t="s">
        <v>119</v>
      </c>
      <c r="D610" s="4">
        <v>74</v>
      </c>
      <c r="E610" s="18" t="s">
        <v>58</v>
      </c>
      <c r="F610" s="19" t="s">
        <v>120</v>
      </c>
    </row>
    <row r="611" spans="1:6">
      <c r="A611" s="4" t="str">
        <f t="shared" si="9"/>
        <v>trna1395|55</v>
      </c>
      <c r="B611" s="4" t="s">
        <v>44</v>
      </c>
      <c r="C611" s="4" t="s">
        <v>121</v>
      </c>
      <c r="D611" s="4">
        <v>75</v>
      </c>
      <c r="E611" s="18" t="s">
        <v>58</v>
      </c>
      <c r="F611" s="19" t="s">
        <v>120</v>
      </c>
    </row>
    <row r="612" spans="1:6">
      <c r="A612" s="4" t="str">
        <f t="shared" si="9"/>
        <v>trna1395|56</v>
      </c>
      <c r="B612" s="4" t="s">
        <v>44</v>
      </c>
      <c r="C612" s="4" t="s">
        <v>122</v>
      </c>
      <c r="D612" s="4">
        <v>76</v>
      </c>
      <c r="E612" s="18" t="s">
        <v>60</v>
      </c>
      <c r="F612" s="19" t="s">
        <v>120</v>
      </c>
    </row>
    <row r="613" spans="1:6">
      <c r="A613" s="4" t="str">
        <f t="shared" si="9"/>
        <v>trna1395|57</v>
      </c>
      <c r="B613" s="4" t="s">
        <v>44</v>
      </c>
      <c r="C613" s="4" t="s">
        <v>123</v>
      </c>
      <c r="D613" s="4">
        <v>77</v>
      </c>
      <c r="E613" s="18" t="s">
        <v>60</v>
      </c>
      <c r="F613" s="19" t="s">
        <v>120</v>
      </c>
    </row>
    <row r="614" spans="1:6">
      <c r="A614" s="4" t="str">
        <f t="shared" si="9"/>
        <v>trna1395|58</v>
      </c>
      <c r="B614" s="4" t="s">
        <v>44</v>
      </c>
      <c r="C614" s="4" t="s">
        <v>124</v>
      </c>
      <c r="D614" s="4">
        <v>78</v>
      </c>
      <c r="E614" s="18" t="s">
        <v>62</v>
      </c>
      <c r="F614" s="19" t="s">
        <v>120</v>
      </c>
    </row>
    <row r="615" spans="1:6">
      <c r="A615" s="4" t="str">
        <f t="shared" si="9"/>
        <v>trna1395|59</v>
      </c>
      <c r="B615" s="4" t="s">
        <v>44</v>
      </c>
      <c r="C615" s="4" t="s">
        <v>125</v>
      </c>
      <c r="D615" s="4">
        <v>79</v>
      </c>
      <c r="E615" s="18" t="s">
        <v>60</v>
      </c>
      <c r="F615" s="19" t="s">
        <v>120</v>
      </c>
    </row>
    <row r="616" spans="1:6">
      <c r="A616" s="4" t="str">
        <f t="shared" si="9"/>
        <v>trna1395|60</v>
      </c>
      <c r="B616" s="4" t="s">
        <v>44</v>
      </c>
      <c r="C616" s="4" t="s">
        <v>126</v>
      </c>
      <c r="D616" s="4">
        <v>80</v>
      </c>
      <c r="E616" s="18" t="s">
        <v>58</v>
      </c>
      <c r="F616" s="19" t="s">
        <v>120</v>
      </c>
    </row>
    <row r="617" spans="1:6">
      <c r="A617" s="4" t="str">
        <f t="shared" si="9"/>
        <v>trna1395|61</v>
      </c>
      <c r="B617" s="4" t="s">
        <v>44</v>
      </c>
      <c r="C617" s="4" t="s">
        <v>127</v>
      </c>
      <c r="D617" s="4">
        <v>81</v>
      </c>
      <c r="E617" s="22" t="s">
        <v>60</v>
      </c>
      <c r="F617" s="10" t="s">
        <v>114</v>
      </c>
    </row>
    <row r="618" spans="1:6">
      <c r="A618" s="4" t="str">
        <f t="shared" si="9"/>
        <v>trna1395|62</v>
      </c>
      <c r="B618" s="4" t="s">
        <v>44</v>
      </c>
      <c r="C618" s="4" t="s">
        <v>128</v>
      </c>
      <c r="D618" s="4">
        <v>82</v>
      </c>
      <c r="E618" s="22" t="s">
        <v>58</v>
      </c>
      <c r="F618" s="10" t="s">
        <v>114</v>
      </c>
    </row>
    <row r="619" spans="1:6">
      <c r="A619" s="4" t="str">
        <f t="shared" si="9"/>
        <v>trna1395|63</v>
      </c>
      <c r="B619" s="4" t="s">
        <v>44</v>
      </c>
      <c r="C619" s="4" t="s">
        <v>129</v>
      </c>
      <c r="D619" s="4">
        <v>83</v>
      </c>
      <c r="E619" s="22" t="s">
        <v>58</v>
      </c>
      <c r="F619" s="10" t="s">
        <v>114</v>
      </c>
    </row>
    <row r="620" spans="1:6">
      <c r="A620" s="4" t="str">
        <f t="shared" si="9"/>
        <v>trna1395|64</v>
      </c>
      <c r="B620" s="4" t="s">
        <v>44</v>
      </c>
      <c r="C620" s="4" t="s">
        <v>130</v>
      </c>
      <c r="D620" s="4">
        <v>84</v>
      </c>
      <c r="E620" s="22" t="s">
        <v>58</v>
      </c>
      <c r="F620" s="10" t="s">
        <v>114</v>
      </c>
    </row>
    <row r="621" spans="1:6">
      <c r="A621" s="4" t="str">
        <f t="shared" si="9"/>
        <v>trna1395|65</v>
      </c>
      <c r="B621" s="4" t="s">
        <v>44</v>
      </c>
      <c r="C621" s="4" t="s">
        <v>131</v>
      </c>
      <c r="D621" s="4">
        <v>85</v>
      </c>
      <c r="E621" s="22" t="s">
        <v>58</v>
      </c>
      <c r="F621" s="10" t="s">
        <v>114</v>
      </c>
    </row>
    <row r="622" spans="1:6">
      <c r="A622" s="4" t="str">
        <f t="shared" si="9"/>
        <v>trna1395|66</v>
      </c>
      <c r="B622" s="4" t="s">
        <v>44</v>
      </c>
      <c r="C622" s="4" t="s">
        <v>132</v>
      </c>
      <c r="D622" s="4">
        <v>86</v>
      </c>
      <c r="E622" s="16" t="s">
        <v>62</v>
      </c>
      <c r="F622" s="17" t="s">
        <v>56</v>
      </c>
    </row>
    <row r="623" spans="1:6">
      <c r="A623" s="4" t="str">
        <f t="shared" si="9"/>
        <v>trna1395|67</v>
      </c>
      <c r="B623" s="4" t="s">
        <v>44</v>
      </c>
      <c r="C623" s="4" t="s">
        <v>133</v>
      </c>
      <c r="D623" s="4">
        <v>87</v>
      </c>
      <c r="E623" s="16" t="s">
        <v>60</v>
      </c>
      <c r="F623" s="17" t="s">
        <v>56</v>
      </c>
    </row>
    <row r="624" spans="1:6">
      <c r="A624" s="4" t="str">
        <f t="shared" si="9"/>
        <v>trna1395|68</v>
      </c>
      <c r="B624" s="4" t="s">
        <v>44</v>
      </c>
      <c r="C624" s="4" t="s">
        <v>134</v>
      </c>
      <c r="D624" s="4">
        <v>88</v>
      </c>
      <c r="E624" s="16" t="s">
        <v>58</v>
      </c>
      <c r="F624" s="17" t="s">
        <v>56</v>
      </c>
    </row>
    <row r="625" spans="1:6">
      <c r="A625" s="4" t="str">
        <f t="shared" si="9"/>
        <v>trna1395|69</v>
      </c>
      <c r="B625" s="4" t="s">
        <v>44</v>
      </c>
      <c r="C625" s="4" t="s">
        <v>135</v>
      </c>
      <c r="D625" s="4">
        <v>89</v>
      </c>
      <c r="E625" s="16" t="s">
        <v>58</v>
      </c>
      <c r="F625" s="17" t="s">
        <v>56</v>
      </c>
    </row>
    <row r="626" spans="1:6">
      <c r="A626" s="4" t="str">
        <f t="shared" si="9"/>
        <v>trna1395|70</v>
      </c>
      <c r="B626" s="4" t="s">
        <v>44</v>
      </c>
      <c r="C626" s="4" t="s">
        <v>136</v>
      </c>
      <c r="D626" s="4">
        <v>90</v>
      </c>
      <c r="E626" s="16" t="s">
        <v>60</v>
      </c>
      <c r="F626" s="17" t="s">
        <v>56</v>
      </c>
    </row>
    <row r="627" spans="1:6">
      <c r="A627" s="4" t="str">
        <f t="shared" si="9"/>
        <v>trna1395|71</v>
      </c>
      <c r="B627" s="4" t="s">
        <v>44</v>
      </c>
      <c r="C627" s="4" t="s">
        <v>137</v>
      </c>
      <c r="D627" s="4">
        <v>91</v>
      </c>
      <c r="E627" s="16" t="s">
        <v>62</v>
      </c>
      <c r="F627" s="17" t="s">
        <v>56</v>
      </c>
    </row>
    <row r="628" spans="1:6">
      <c r="A628" s="4" t="str">
        <f t="shared" si="9"/>
        <v>trna1395|72</v>
      </c>
      <c r="B628" s="4" t="s">
        <v>44</v>
      </c>
      <c r="C628" s="4" t="s">
        <v>138</v>
      </c>
      <c r="D628" s="4">
        <v>92</v>
      </c>
      <c r="E628" s="16" t="s">
        <v>55</v>
      </c>
      <c r="F628" s="17" t="s">
        <v>56</v>
      </c>
    </row>
    <row r="629" spans="1:6">
      <c r="A629" s="4" t="str">
        <f t="shared" si="9"/>
        <v>trna1470|1</v>
      </c>
      <c r="B629" s="4" t="s">
        <v>45</v>
      </c>
      <c r="C629" s="4" t="s">
        <v>54</v>
      </c>
      <c r="D629" s="4">
        <v>1</v>
      </c>
      <c r="E629" s="16" t="s">
        <v>58</v>
      </c>
      <c r="F629" s="17" t="s">
        <v>56</v>
      </c>
    </row>
    <row r="630" spans="1:6">
      <c r="A630" s="4" t="str">
        <f t="shared" si="9"/>
        <v>trna1470|2</v>
      </c>
      <c r="B630" s="4" t="s">
        <v>45</v>
      </c>
      <c r="C630" s="4" t="s">
        <v>57</v>
      </c>
      <c r="D630" s="4">
        <v>2</v>
      </c>
      <c r="E630" s="16" t="s">
        <v>55</v>
      </c>
      <c r="F630" s="17" t="s">
        <v>56</v>
      </c>
    </row>
    <row r="631" spans="1:6">
      <c r="A631" s="4" t="str">
        <f t="shared" si="9"/>
        <v>trna1470|3</v>
      </c>
      <c r="B631" s="4" t="s">
        <v>45</v>
      </c>
      <c r="C631" s="4" t="s">
        <v>59</v>
      </c>
      <c r="D631" s="4">
        <v>3</v>
      </c>
      <c r="E631" s="16" t="s">
        <v>55</v>
      </c>
      <c r="F631" s="17" t="s">
        <v>56</v>
      </c>
    </row>
    <row r="632" spans="1:6">
      <c r="A632" s="4" t="str">
        <f t="shared" si="9"/>
        <v>trna1470|4</v>
      </c>
      <c r="B632" s="4" t="s">
        <v>45</v>
      </c>
      <c r="C632" s="4" t="s">
        <v>61</v>
      </c>
      <c r="D632" s="4">
        <v>4</v>
      </c>
      <c r="E632" s="16" t="s">
        <v>58</v>
      </c>
      <c r="F632" s="17" t="s">
        <v>56</v>
      </c>
    </row>
    <row r="633" spans="1:6">
      <c r="A633" s="4" t="str">
        <f t="shared" si="9"/>
        <v>trna1470|5</v>
      </c>
      <c r="B633" s="4" t="s">
        <v>45</v>
      </c>
      <c r="C633" s="4" t="s">
        <v>63</v>
      </c>
      <c r="D633" s="4">
        <v>5</v>
      </c>
      <c r="E633" s="16" t="s">
        <v>60</v>
      </c>
      <c r="F633" s="17" t="s">
        <v>56</v>
      </c>
    </row>
    <row r="634" spans="1:6">
      <c r="A634" s="4" t="str">
        <f t="shared" si="9"/>
        <v>trna1470|6</v>
      </c>
      <c r="B634" s="4" t="s">
        <v>45</v>
      </c>
      <c r="C634" s="4" t="s">
        <v>64</v>
      </c>
      <c r="D634" s="4">
        <v>6</v>
      </c>
      <c r="E634" s="16" t="s">
        <v>60</v>
      </c>
      <c r="F634" s="17" t="s">
        <v>56</v>
      </c>
    </row>
    <row r="635" spans="1:6">
      <c r="A635" s="4" t="str">
        <f t="shared" si="9"/>
        <v>trna1470|7</v>
      </c>
      <c r="B635" s="4" t="s">
        <v>45</v>
      </c>
      <c r="C635" s="4" t="s">
        <v>65</v>
      </c>
      <c r="D635" s="4">
        <v>7</v>
      </c>
      <c r="E635" s="16" t="s">
        <v>62</v>
      </c>
      <c r="F635" s="17" t="s">
        <v>56</v>
      </c>
    </row>
    <row r="636" spans="1:6">
      <c r="A636" s="4" t="str">
        <f t="shared" si="9"/>
        <v>trna1470|8</v>
      </c>
      <c r="B636" s="4" t="s">
        <v>45</v>
      </c>
      <c r="C636" s="4" t="s">
        <v>66</v>
      </c>
      <c r="D636" s="4">
        <v>8</v>
      </c>
      <c r="E636" s="3" t="s">
        <v>58</v>
      </c>
      <c r="F636" s="4" t="s">
        <v>67</v>
      </c>
    </row>
    <row r="637" spans="1:6">
      <c r="A637" s="4" t="str">
        <f t="shared" si="9"/>
        <v>trna1470|9</v>
      </c>
      <c r="B637" s="4" t="s">
        <v>45</v>
      </c>
      <c r="C637" s="4" t="s">
        <v>68</v>
      </c>
      <c r="D637" s="4">
        <v>9</v>
      </c>
      <c r="E637" s="3" t="s">
        <v>58</v>
      </c>
      <c r="F637" s="4" t="s">
        <v>69</v>
      </c>
    </row>
    <row r="638" spans="1:6">
      <c r="A638" s="4" t="str">
        <f t="shared" si="9"/>
        <v>trna1470|10</v>
      </c>
      <c r="B638" s="4" t="s">
        <v>45</v>
      </c>
      <c r="C638" s="4" t="s">
        <v>70</v>
      </c>
      <c r="D638" s="4">
        <v>10</v>
      </c>
      <c r="E638" s="8" t="s">
        <v>58</v>
      </c>
      <c r="F638" s="7" t="s">
        <v>71</v>
      </c>
    </row>
    <row r="639" spans="1:6">
      <c r="A639" s="4" t="str">
        <f t="shared" si="9"/>
        <v>trna1470|11</v>
      </c>
      <c r="B639" s="4" t="s">
        <v>45</v>
      </c>
      <c r="C639" s="4" t="s">
        <v>72</v>
      </c>
      <c r="D639" s="4">
        <v>11</v>
      </c>
      <c r="E639" s="8" t="s">
        <v>58</v>
      </c>
      <c r="F639" s="7" t="s">
        <v>71</v>
      </c>
    </row>
    <row r="640" spans="1:6">
      <c r="A640" s="4" t="str">
        <f t="shared" si="9"/>
        <v>trna1470|12</v>
      </c>
      <c r="B640" s="4" t="s">
        <v>45</v>
      </c>
      <c r="C640" s="4" t="s">
        <v>73</v>
      </c>
      <c r="D640" s="4">
        <v>12</v>
      </c>
      <c r="E640" s="8" t="s">
        <v>58</v>
      </c>
      <c r="F640" s="7" t="s">
        <v>71</v>
      </c>
    </row>
    <row r="641" spans="1:6">
      <c r="A641" s="4" t="str">
        <f t="shared" si="9"/>
        <v>trna1470|13</v>
      </c>
      <c r="B641" s="4" t="s">
        <v>45</v>
      </c>
      <c r="C641" s="4" t="s">
        <v>74</v>
      </c>
      <c r="D641" s="4">
        <v>13</v>
      </c>
      <c r="E641" s="8" t="s">
        <v>60</v>
      </c>
      <c r="F641" s="7" t="s">
        <v>71</v>
      </c>
    </row>
    <row r="642" spans="1:6">
      <c r="A642" s="4" t="str">
        <f t="shared" ref="A642:A705" si="10">B642&amp;"|"&amp;C642</f>
        <v>trna1470|14</v>
      </c>
      <c r="B642" s="4" t="s">
        <v>45</v>
      </c>
      <c r="C642" s="4" t="s">
        <v>75</v>
      </c>
      <c r="D642" s="4">
        <v>14</v>
      </c>
      <c r="E642" s="18" t="s">
        <v>55</v>
      </c>
      <c r="F642" s="19" t="s">
        <v>76</v>
      </c>
    </row>
    <row r="643" spans="1:6">
      <c r="A643" s="4" t="str">
        <f t="shared" si="10"/>
        <v>trna1470|15</v>
      </c>
      <c r="B643" s="4" t="s">
        <v>45</v>
      </c>
      <c r="C643" s="4" t="s">
        <v>77</v>
      </c>
      <c r="D643" s="4">
        <v>15</v>
      </c>
      <c r="E643" s="18" t="s">
        <v>55</v>
      </c>
      <c r="F643" s="19" t="s">
        <v>76</v>
      </c>
    </row>
    <row r="644" spans="1:6">
      <c r="A644" s="4" t="str">
        <f t="shared" si="10"/>
        <v>trna1470|16</v>
      </c>
      <c r="B644" s="4" t="s">
        <v>45</v>
      </c>
      <c r="C644" s="4" t="s">
        <v>78</v>
      </c>
      <c r="D644" s="4">
        <v>16</v>
      </c>
      <c r="E644" s="18" t="s">
        <v>60</v>
      </c>
      <c r="F644" s="19" t="s">
        <v>76</v>
      </c>
    </row>
    <row r="645" spans="1:6">
      <c r="A645" s="4" t="str">
        <f t="shared" si="10"/>
        <v>trna1470|17</v>
      </c>
      <c r="B645" s="4" t="s">
        <v>45</v>
      </c>
      <c r="C645" s="4" t="s">
        <v>139</v>
      </c>
      <c r="D645" s="4">
        <v>17</v>
      </c>
      <c r="E645" s="18" t="s">
        <v>60</v>
      </c>
      <c r="F645" s="19" t="s">
        <v>76</v>
      </c>
    </row>
    <row r="646" spans="1:6">
      <c r="A646" s="4" t="str">
        <f t="shared" si="10"/>
        <v>trna1470|17a</v>
      </c>
      <c r="B646" s="4" t="s">
        <v>45</v>
      </c>
      <c r="C646" s="4" t="s">
        <v>150</v>
      </c>
      <c r="D646" s="4">
        <v>18</v>
      </c>
      <c r="E646" s="18" t="s">
        <v>62</v>
      </c>
      <c r="F646" s="19" t="s">
        <v>76</v>
      </c>
    </row>
    <row r="647" spans="1:6">
      <c r="A647" s="4" t="str">
        <f t="shared" si="10"/>
        <v>trna1470|18</v>
      </c>
      <c r="B647" s="4" t="s">
        <v>45</v>
      </c>
      <c r="C647" s="4" t="s">
        <v>79</v>
      </c>
      <c r="D647" s="4">
        <v>19</v>
      </c>
      <c r="E647" s="18" t="s">
        <v>55</v>
      </c>
      <c r="F647" s="19" t="s">
        <v>76</v>
      </c>
    </row>
    <row r="648" spans="1:6">
      <c r="A648" s="4" t="str">
        <f t="shared" si="10"/>
        <v>trna1470|19</v>
      </c>
      <c r="B648" s="4" t="s">
        <v>45</v>
      </c>
      <c r="C648" s="4" t="s">
        <v>80</v>
      </c>
      <c r="D648" s="4">
        <v>20</v>
      </c>
      <c r="E648" s="18" t="s">
        <v>55</v>
      </c>
      <c r="F648" s="19" t="s">
        <v>76</v>
      </c>
    </row>
    <row r="649" spans="1:6">
      <c r="A649" s="4" t="str">
        <f t="shared" si="10"/>
        <v>trna1470|20</v>
      </c>
      <c r="B649" s="4" t="s">
        <v>45</v>
      </c>
      <c r="C649" s="4" t="s">
        <v>81</v>
      </c>
      <c r="D649" s="4">
        <v>21</v>
      </c>
      <c r="E649" s="18" t="s">
        <v>60</v>
      </c>
      <c r="F649" s="19" t="s">
        <v>76</v>
      </c>
    </row>
    <row r="650" spans="1:6">
      <c r="A650" s="4" t="str">
        <f t="shared" si="10"/>
        <v>trna1470|20a</v>
      </c>
      <c r="B650" s="4" t="s">
        <v>45</v>
      </c>
      <c r="C650" s="4" t="s">
        <v>157</v>
      </c>
      <c r="D650" s="4">
        <v>22</v>
      </c>
      <c r="E650" s="18" t="s">
        <v>62</v>
      </c>
      <c r="F650" s="19" t="s">
        <v>76</v>
      </c>
    </row>
    <row r="651" spans="1:6">
      <c r="A651" s="4" t="str">
        <f t="shared" si="10"/>
        <v>trna1470|21</v>
      </c>
      <c r="B651" s="4" t="s">
        <v>45</v>
      </c>
      <c r="C651" s="4" t="s">
        <v>82</v>
      </c>
      <c r="D651" s="4">
        <v>23</v>
      </c>
      <c r="E651" s="18" t="s">
        <v>55</v>
      </c>
      <c r="F651" s="19" t="s">
        <v>76</v>
      </c>
    </row>
    <row r="652" spans="1:6">
      <c r="A652" s="4" t="str">
        <f t="shared" si="10"/>
        <v>trna1470|22</v>
      </c>
      <c r="B652" s="4" t="s">
        <v>45</v>
      </c>
      <c r="C652" s="4" t="s">
        <v>83</v>
      </c>
      <c r="D652" s="4">
        <v>24</v>
      </c>
      <c r="E652" s="8" t="s">
        <v>55</v>
      </c>
      <c r="F652" s="7" t="s">
        <v>71</v>
      </c>
    </row>
    <row r="653" spans="1:6">
      <c r="A653" s="4" t="str">
        <f t="shared" si="10"/>
        <v>trna1470|23</v>
      </c>
      <c r="B653" s="4" t="s">
        <v>45</v>
      </c>
      <c r="C653" s="4" t="s">
        <v>84</v>
      </c>
      <c r="D653" s="4">
        <v>25</v>
      </c>
      <c r="E653" s="8" t="s">
        <v>55</v>
      </c>
      <c r="F653" s="7" t="s">
        <v>71</v>
      </c>
    </row>
    <row r="654" spans="1:6">
      <c r="A654" s="4" t="str">
        <f t="shared" si="10"/>
        <v>trna1470|24</v>
      </c>
      <c r="B654" s="4" t="s">
        <v>45</v>
      </c>
      <c r="C654" s="4" t="s">
        <v>85</v>
      </c>
      <c r="D654" s="4">
        <v>26</v>
      </c>
      <c r="E654" s="8" t="s">
        <v>62</v>
      </c>
      <c r="F654" s="7" t="s">
        <v>71</v>
      </c>
    </row>
    <row r="655" spans="1:6">
      <c r="A655" s="4" t="str">
        <f t="shared" si="10"/>
        <v>trna1470|25</v>
      </c>
      <c r="B655" s="4" t="s">
        <v>45</v>
      </c>
      <c r="C655" s="4" t="s">
        <v>86</v>
      </c>
      <c r="D655" s="4">
        <v>27</v>
      </c>
      <c r="E655" s="8" t="s">
        <v>55</v>
      </c>
      <c r="F655" s="7" t="s">
        <v>71</v>
      </c>
    </row>
    <row r="656" spans="1:6">
      <c r="A656" s="4" t="str">
        <f t="shared" si="10"/>
        <v>trna1470|26</v>
      </c>
      <c r="B656" s="4" t="s">
        <v>45</v>
      </c>
      <c r="C656" s="4" t="s">
        <v>87</v>
      </c>
      <c r="D656" s="4">
        <v>28</v>
      </c>
      <c r="E656" s="3" t="s">
        <v>55</v>
      </c>
      <c r="F656" s="4" t="s">
        <v>88</v>
      </c>
    </row>
    <row r="657" spans="1:6">
      <c r="A657" s="4" t="str">
        <f t="shared" si="10"/>
        <v>trna1470|27</v>
      </c>
      <c r="B657" s="4" t="s">
        <v>45</v>
      </c>
      <c r="C657" s="4" t="s">
        <v>89</v>
      </c>
      <c r="D657" s="4">
        <v>29</v>
      </c>
      <c r="E657" s="20" t="s">
        <v>62</v>
      </c>
      <c r="F657" s="21" t="s">
        <v>90</v>
      </c>
    </row>
    <row r="658" spans="1:6">
      <c r="A658" s="4" t="str">
        <f t="shared" si="10"/>
        <v>trna1470|28</v>
      </c>
      <c r="B658" s="4" t="s">
        <v>45</v>
      </c>
      <c r="C658" s="4" t="s">
        <v>91</v>
      </c>
      <c r="D658" s="4">
        <v>30</v>
      </c>
      <c r="E658" s="20" t="s">
        <v>55</v>
      </c>
      <c r="F658" s="21" t="s">
        <v>90</v>
      </c>
    </row>
    <row r="659" spans="1:6">
      <c r="A659" s="4" t="str">
        <f t="shared" si="10"/>
        <v>trna1470|29</v>
      </c>
      <c r="B659" s="4" t="s">
        <v>45</v>
      </c>
      <c r="C659" s="4" t="s">
        <v>92</v>
      </c>
      <c r="D659" s="4">
        <v>31</v>
      </c>
      <c r="E659" s="20" t="s">
        <v>62</v>
      </c>
      <c r="F659" s="21" t="s">
        <v>90</v>
      </c>
    </row>
    <row r="660" spans="1:6">
      <c r="A660" s="4" t="str">
        <f t="shared" si="10"/>
        <v>trna1470|30</v>
      </c>
      <c r="B660" s="4" t="s">
        <v>45</v>
      </c>
      <c r="C660" s="4" t="s">
        <v>93</v>
      </c>
      <c r="D660" s="4">
        <v>32</v>
      </c>
      <c r="E660" s="20" t="s">
        <v>62</v>
      </c>
      <c r="F660" s="21" t="s">
        <v>90</v>
      </c>
    </row>
    <row r="661" spans="1:6">
      <c r="A661" s="4" t="str">
        <f t="shared" si="10"/>
        <v>trna1470|31</v>
      </c>
      <c r="B661" s="4" t="s">
        <v>45</v>
      </c>
      <c r="C661" s="4" t="s">
        <v>94</v>
      </c>
      <c r="D661" s="4">
        <v>33</v>
      </c>
      <c r="E661" s="20" t="s">
        <v>62</v>
      </c>
      <c r="F661" s="21" t="s">
        <v>90</v>
      </c>
    </row>
    <row r="662" spans="1:6">
      <c r="A662" s="4" t="str">
        <f t="shared" si="10"/>
        <v>trna1470|32</v>
      </c>
      <c r="B662" s="4" t="s">
        <v>45</v>
      </c>
      <c r="C662" s="4" t="s">
        <v>95</v>
      </c>
      <c r="D662" s="4">
        <v>34</v>
      </c>
      <c r="E662" s="18" t="s">
        <v>62</v>
      </c>
      <c r="F662" s="19" t="s">
        <v>96</v>
      </c>
    </row>
    <row r="663" spans="1:6">
      <c r="A663" s="4" t="str">
        <f t="shared" si="10"/>
        <v>trna1470|33</v>
      </c>
      <c r="B663" s="4" t="s">
        <v>45</v>
      </c>
      <c r="C663" s="4" t="s">
        <v>97</v>
      </c>
      <c r="D663" s="4">
        <v>35</v>
      </c>
      <c r="E663" s="18" t="s">
        <v>58</v>
      </c>
      <c r="F663" s="19" t="s">
        <v>96</v>
      </c>
    </row>
    <row r="664" spans="1:6">
      <c r="A664" s="4" t="str">
        <f t="shared" si="10"/>
        <v>trna1470|34</v>
      </c>
      <c r="B664" s="4" t="s">
        <v>45</v>
      </c>
      <c r="C664" s="4" t="s">
        <v>98</v>
      </c>
      <c r="D664" s="4">
        <v>36</v>
      </c>
      <c r="E664" s="18" t="s">
        <v>60</v>
      </c>
      <c r="F664" s="19" t="s">
        <v>96</v>
      </c>
    </row>
    <row r="665" spans="1:6">
      <c r="A665" s="4" t="str">
        <f t="shared" si="10"/>
        <v>trna1470|35</v>
      </c>
      <c r="B665" s="4" t="s">
        <v>45</v>
      </c>
      <c r="C665" s="4" t="s">
        <v>99</v>
      </c>
      <c r="D665" s="4">
        <v>37</v>
      </c>
      <c r="E665" s="18" t="s">
        <v>58</v>
      </c>
      <c r="F665" s="19" t="s">
        <v>96</v>
      </c>
    </row>
    <row r="666" spans="1:6">
      <c r="A666" s="4" t="str">
        <f t="shared" si="10"/>
        <v>trna1470|36</v>
      </c>
      <c r="B666" s="4" t="s">
        <v>45</v>
      </c>
      <c r="C666" s="4" t="s">
        <v>100</v>
      </c>
      <c r="D666" s="4">
        <v>38</v>
      </c>
      <c r="E666" s="18" t="s">
        <v>62</v>
      </c>
      <c r="F666" s="19" t="s">
        <v>96</v>
      </c>
    </row>
    <row r="667" spans="1:6">
      <c r="A667" s="4" t="str">
        <f t="shared" si="10"/>
        <v>trna1470|37</v>
      </c>
      <c r="B667" s="4" t="s">
        <v>45</v>
      </c>
      <c r="C667" s="4" t="s">
        <v>101</v>
      </c>
      <c r="D667" s="4">
        <v>39</v>
      </c>
      <c r="E667" s="18" t="s">
        <v>55</v>
      </c>
      <c r="F667" s="19" t="s">
        <v>96</v>
      </c>
    </row>
    <row r="668" spans="1:6">
      <c r="A668" s="4" t="str">
        <f t="shared" si="10"/>
        <v>trna1470|38</v>
      </c>
      <c r="B668" s="4" t="s">
        <v>45</v>
      </c>
      <c r="C668" s="4" t="s">
        <v>102</v>
      </c>
      <c r="D668" s="4">
        <v>40</v>
      </c>
      <c r="E668" s="18" t="s">
        <v>55</v>
      </c>
      <c r="F668" s="19" t="s">
        <v>96</v>
      </c>
    </row>
    <row r="669" spans="1:6">
      <c r="A669" s="4" t="str">
        <f t="shared" si="10"/>
        <v>trna1470|39</v>
      </c>
      <c r="B669" s="4" t="s">
        <v>45</v>
      </c>
      <c r="C669" s="4" t="s">
        <v>103</v>
      </c>
      <c r="D669" s="4">
        <v>41</v>
      </c>
      <c r="E669" s="20" t="s">
        <v>58</v>
      </c>
      <c r="F669" s="21" t="s">
        <v>90</v>
      </c>
    </row>
    <row r="670" spans="1:6">
      <c r="A670" s="4" t="str">
        <f t="shared" si="10"/>
        <v>trna1470|40</v>
      </c>
      <c r="B670" s="4" t="s">
        <v>45</v>
      </c>
      <c r="C670" s="4" t="s">
        <v>104</v>
      </c>
      <c r="D670" s="4">
        <v>42</v>
      </c>
      <c r="E670" s="20" t="s">
        <v>58</v>
      </c>
      <c r="F670" s="21" t="s">
        <v>90</v>
      </c>
    </row>
    <row r="671" spans="1:6">
      <c r="A671" s="4" t="str">
        <f t="shared" si="10"/>
        <v>trna1470|41</v>
      </c>
      <c r="B671" s="4" t="s">
        <v>45</v>
      </c>
      <c r="C671" s="4" t="s">
        <v>105</v>
      </c>
      <c r="D671" s="4">
        <v>43</v>
      </c>
      <c r="E671" s="20" t="s">
        <v>58</v>
      </c>
      <c r="F671" s="21" t="s">
        <v>90</v>
      </c>
    </row>
    <row r="672" spans="1:6">
      <c r="A672" s="4" t="str">
        <f t="shared" si="10"/>
        <v>trna1470|42</v>
      </c>
      <c r="B672" s="4" t="s">
        <v>45</v>
      </c>
      <c r="C672" s="4" t="s">
        <v>106</v>
      </c>
      <c r="D672" s="4">
        <v>44</v>
      </c>
      <c r="E672" s="20" t="s">
        <v>60</v>
      </c>
      <c r="F672" s="21" t="s">
        <v>90</v>
      </c>
    </row>
    <row r="673" spans="1:6">
      <c r="A673" s="4" t="str">
        <f t="shared" si="10"/>
        <v>trna1470|43</v>
      </c>
      <c r="B673" s="4" t="s">
        <v>45</v>
      </c>
      <c r="C673" s="4" t="s">
        <v>107</v>
      </c>
      <c r="D673" s="4">
        <v>45</v>
      </c>
      <c r="E673" s="20" t="s">
        <v>58</v>
      </c>
      <c r="F673" s="21" t="s">
        <v>90</v>
      </c>
    </row>
    <row r="674" spans="1:6">
      <c r="A674" s="4" t="str">
        <f t="shared" si="10"/>
        <v>trna1470|44</v>
      </c>
      <c r="B674" s="4" t="s">
        <v>45</v>
      </c>
      <c r="C674" s="4" t="s">
        <v>108</v>
      </c>
      <c r="D674" s="4">
        <v>46</v>
      </c>
      <c r="E674" s="18" t="s">
        <v>60</v>
      </c>
      <c r="F674" s="19" t="s">
        <v>109</v>
      </c>
    </row>
    <row r="675" spans="1:6">
      <c r="A675" s="4" t="str">
        <f t="shared" si="10"/>
        <v>trna1470|45</v>
      </c>
      <c r="B675" s="4" t="s">
        <v>45</v>
      </c>
      <c r="C675" s="4" t="s">
        <v>110</v>
      </c>
      <c r="D675" s="4">
        <v>47</v>
      </c>
      <c r="E675" s="18" t="s">
        <v>55</v>
      </c>
      <c r="F675" s="19" t="s">
        <v>109</v>
      </c>
    </row>
    <row r="676" spans="1:6">
      <c r="A676" s="4" t="str">
        <f t="shared" si="10"/>
        <v>trna1470|e1</v>
      </c>
      <c r="B676" s="4" t="s">
        <v>45</v>
      </c>
      <c r="C676" s="4" t="s">
        <v>140</v>
      </c>
      <c r="D676" s="4">
        <v>48</v>
      </c>
      <c r="E676" s="18" t="s">
        <v>62</v>
      </c>
      <c r="F676" s="19" t="s">
        <v>109</v>
      </c>
    </row>
    <row r="677" spans="1:6">
      <c r="A677" s="4" t="str">
        <f t="shared" si="10"/>
        <v>trna1470|e2</v>
      </c>
      <c r="B677" s="4" t="s">
        <v>45</v>
      </c>
      <c r="C677" s="4" t="s">
        <v>141</v>
      </c>
      <c r="D677" s="4">
        <v>49</v>
      </c>
      <c r="E677" s="18" t="s">
        <v>58</v>
      </c>
      <c r="F677" s="19" t="s">
        <v>109</v>
      </c>
    </row>
    <row r="678" spans="1:6">
      <c r="A678" s="4" t="str">
        <f t="shared" si="10"/>
        <v>trna1470|e3</v>
      </c>
      <c r="B678" s="4" t="s">
        <v>45</v>
      </c>
      <c r="C678" s="4" t="s">
        <v>142</v>
      </c>
      <c r="D678" s="4">
        <v>50</v>
      </c>
      <c r="E678" s="18" t="s">
        <v>58</v>
      </c>
      <c r="F678" s="19" t="s">
        <v>109</v>
      </c>
    </row>
    <row r="679" spans="1:6">
      <c r="A679" s="4" t="str">
        <f t="shared" si="10"/>
        <v>trna1470|e4</v>
      </c>
      <c r="B679" s="4" t="s">
        <v>45</v>
      </c>
      <c r="C679" s="4" t="s">
        <v>143</v>
      </c>
      <c r="D679" s="4">
        <v>51</v>
      </c>
      <c r="E679" s="18" t="s">
        <v>58</v>
      </c>
      <c r="F679" s="19" t="s">
        <v>109</v>
      </c>
    </row>
    <row r="680" spans="1:6">
      <c r="A680" s="4" t="str">
        <f t="shared" si="10"/>
        <v>trna1470|e5</v>
      </c>
      <c r="B680" s="4" t="s">
        <v>45</v>
      </c>
      <c r="C680" s="4" t="s">
        <v>144</v>
      </c>
      <c r="D680" s="4">
        <v>52</v>
      </c>
      <c r="E680" s="18" t="s">
        <v>60</v>
      </c>
      <c r="F680" s="19" t="s">
        <v>109</v>
      </c>
    </row>
    <row r="681" spans="1:6">
      <c r="A681" s="4" t="str">
        <f t="shared" si="10"/>
        <v>trna1470|e6</v>
      </c>
      <c r="B681" s="4" t="s">
        <v>45</v>
      </c>
      <c r="C681" s="4" t="s">
        <v>145</v>
      </c>
      <c r="D681" s="4">
        <v>53</v>
      </c>
      <c r="E681" s="18" t="s">
        <v>60</v>
      </c>
      <c r="F681" s="19" t="s">
        <v>109</v>
      </c>
    </row>
    <row r="682" spans="1:6">
      <c r="A682" s="4" t="str">
        <f t="shared" si="10"/>
        <v>trna1470|e7</v>
      </c>
      <c r="B682" s="4" t="s">
        <v>45</v>
      </c>
      <c r="C682" s="4" t="s">
        <v>146</v>
      </c>
      <c r="D682" s="4">
        <v>54</v>
      </c>
      <c r="E682" s="18" t="s">
        <v>58</v>
      </c>
      <c r="F682" s="19" t="s">
        <v>109</v>
      </c>
    </row>
    <row r="683" spans="1:6">
      <c r="A683" s="4" t="str">
        <f t="shared" si="10"/>
        <v>trna1470|e8</v>
      </c>
      <c r="B683" s="4" t="s">
        <v>45</v>
      </c>
      <c r="C683" s="4" t="s">
        <v>147</v>
      </c>
      <c r="D683" s="4">
        <v>55</v>
      </c>
      <c r="E683" s="18" t="s">
        <v>55</v>
      </c>
      <c r="F683" s="19" t="s">
        <v>109</v>
      </c>
    </row>
    <row r="684" spans="1:6">
      <c r="A684" s="4" t="str">
        <f t="shared" si="10"/>
        <v>trna1470|e9</v>
      </c>
      <c r="B684" s="4" t="s">
        <v>45</v>
      </c>
      <c r="C684" s="4" t="s">
        <v>148</v>
      </c>
      <c r="D684" s="4">
        <v>56</v>
      </c>
      <c r="E684" s="18" t="s">
        <v>62</v>
      </c>
      <c r="F684" s="19" t="s">
        <v>109</v>
      </c>
    </row>
    <row r="685" spans="1:6">
      <c r="A685" s="4" t="str">
        <f t="shared" si="10"/>
        <v>trna1470|e10</v>
      </c>
      <c r="B685" s="4" t="s">
        <v>45</v>
      </c>
      <c r="C685" s="4" t="s">
        <v>151</v>
      </c>
      <c r="D685" s="4">
        <v>57</v>
      </c>
      <c r="E685" s="18" t="s">
        <v>62</v>
      </c>
      <c r="F685" s="19" t="s">
        <v>109</v>
      </c>
    </row>
    <row r="686" spans="1:6">
      <c r="A686" s="4" t="str">
        <f t="shared" si="10"/>
        <v>trna1470|e11</v>
      </c>
      <c r="B686" s="4" t="s">
        <v>45</v>
      </c>
      <c r="C686" s="4" t="s">
        <v>152</v>
      </c>
      <c r="D686" s="4">
        <v>58</v>
      </c>
      <c r="E686" s="18" t="s">
        <v>55</v>
      </c>
      <c r="F686" s="19" t="s">
        <v>109</v>
      </c>
    </row>
    <row r="687" spans="1:6">
      <c r="A687" s="4" t="str">
        <f t="shared" si="10"/>
        <v>trna1470|e12</v>
      </c>
      <c r="B687" s="4" t="s">
        <v>45</v>
      </c>
      <c r="C687" s="4" t="s">
        <v>153</v>
      </c>
      <c r="D687" s="4">
        <v>59</v>
      </c>
      <c r="E687" s="18" t="s">
        <v>55</v>
      </c>
      <c r="F687" s="19" t="s">
        <v>109</v>
      </c>
    </row>
    <row r="688" spans="1:6">
      <c r="A688" s="4" t="str">
        <f t="shared" si="10"/>
        <v>trna1470|e13</v>
      </c>
      <c r="B688" s="4" t="s">
        <v>45</v>
      </c>
      <c r="C688" s="4" t="s">
        <v>154</v>
      </c>
      <c r="D688" s="4">
        <v>60</v>
      </c>
      <c r="E688" s="18" t="s">
        <v>62</v>
      </c>
      <c r="F688" s="19" t="s">
        <v>109</v>
      </c>
    </row>
    <row r="689" spans="1:6">
      <c r="A689" s="4" t="str">
        <f t="shared" si="10"/>
        <v>trna1470|e14</v>
      </c>
      <c r="B689" s="4" t="s">
        <v>45</v>
      </c>
      <c r="C689" s="4" t="s">
        <v>155</v>
      </c>
      <c r="D689" s="4">
        <v>61</v>
      </c>
      <c r="E689" s="18" t="s">
        <v>60</v>
      </c>
      <c r="F689" s="19" t="s">
        <v>109</v>
      </c>
    </row>
    <row r="690" spans="1:6">
      <c r="A690" s="4" t="str">
        <f t="shared" si="10"/>
        <v>trna1470|e15</v>
      </c>
      <c r="B690" s="4" t="s">
        <v>45</v>
      </c>
      <c r="C690" s="4" t="s">
        <v>156</v>
      </c>
      <c r="D690" s="4">
        <v>62</v>
      </c>
      <c r="E690" s="18" t="s">
        <v>58</v>
      </c>
      <c r="F690" s="19" t="s">
        <v>109</v>
      </c>
    </row>
    <row r="691" spans="1:6">
      <c r="A691" s="4" t="str">
        <f t="shared" si="10"/>
        <v>trna1470|e16</v>
      </c>
      <c r="B691" s="4" t="s">
        <v>45</v>
      </c>
      <c r="C691" s="4" t="s">
        <v>160</v>
      </c>
      <c r="D691" s="4">
        <v>63</v>
      </c>
      <c r="E691" s="18" t="s">
        <v>58</v>
      </c>
      <c r="F691" s="19" t="s">
        <v>109</v>
      </c>
    </row>
    <row r="692" spans="1:6">
      <c r="A692" s="4" t="str">
        <f t="shared" si="10"/>
        <v>trna1470|e17</v>
      </c>
      <c r="B692" s="4" t="s">
        <v>45</v>
      </c>
      <c r="C692" s="4" t="s">
        <v>161</v>
      </c>
      <c r="D692" s="4">
        <v>64</v>
      </c>
      <c r="E692" s="18" t="s">
        <v>58</v>
      </c>
      <c r="F692" s="19" t="s">
        <v>109</v>
      </c>
    </row>
    <row r="693" spans="1:6">
      <c r="A693" s="4" t="str">
        <f t="shared" si="10"/>
        <v>trna1470|e18</v>
      </c>
      <c r="B693" s="4" t="s">
        <v>45</v>
      </c>
      <c r="C693" s="4" t="s">
        <v>162</v>
      </c>
      <c r="D693" s="4">
        <v>65</v>
      </c>
      <c r="E693" s="18" t="s">
        <v>62</v>
      </c>
      <c r="F693" s="19" t="s">
        <v>109</v>
      </c>
    </row>
    <row r="694" spans="1:6">
      <c r="A694" s="4" t="str">
        <f t="shared" si="10"/>
        <v>trna1470|e19</v>
      </c>
      <c r="B694" s="4" t="s">
        <v>45</v>
      </c>
      <c r="C694" s="4" t="s">
        <v>163</v>
      </c>
      <c r="D694" s="4">
        <v>66</v>
      </c>
      <c r="E694" s="18" t="s">
        <v>55</v>
      </c>
      <c r="F694" s="19" t="s">
        <v>109</v>
      </c>
    </row>
    <row r="695" spans="1:6">
      <c r="A695" s="4" t="str">
        <f t="shared" si="10"/>
        <v>trna1470|46</v>
      </c>
      <c r="B695" s="4" t="s">
        <v>45</v>
      </c>
      <c r="C695" s="4" t="s">
        <v>111</v>
      </c>
      <c r="D695" s="4">
        <v>67</v>
      </c>
      <c r="E695" s="18" t="s">
        <v>62</v>
      </c>
      <c r="F695" s="19" t="s">
        <v>109</v>
      </c>
    </row>
    <row r="696" spans="1:6">
      <c r="A696" s="4" t="str">
        <f t="shared" si="10"/>
        <v>trna1470|47</v>
      </c>
      <c r="B696" s="4" t="s">
        <v>45</v>
      </c>
      <c r="C696" s="4" t="s">
        <v>149</v>
      </c>
      <c r="D696" s="4">
        <v>68</v>
      </c>
      <c r="E696" s="18" t="s">
        <v>55</v>
      </c>
      <c r="F696" s="19" t="s">
        <v>109</v>
      </c>
    </row>
    <row r="697" spans="1:6">
      <c r="A697" s="4" t="str">
        <f t="shared" si="10"/>
        <v>trna1470|48</v>
      </c>
      <c r="B697" s="4" t="s">
        <v>45</v>
      </c>
      <c r="C697" s="4" t="s">
        <v>112</v>
      </c>
      <c r="D697" s="4">
        <v>69</v>
      </c>
      <c r="E697" s="18" t="s">
        <v>58</v>
      </c>
      <c r="F697" s="19" t="s">
        <v>109</v>
      </c>
    </row>
    <row r="698" spans="1:6">
      <c r="A698" s="4" t="str">
        <f t="shared" si="10"/>
        <v>trna1470|49</v>
      </c>
      <c r="B698" s="4" t="s">
        <v>45</v>
      </c>
      <c r="C698" s="4" t="s">
        <v>113</v>
      </c>
      <c r="D698" s="4">
        <v>70</v>
      </c>
      <c r="E698" s="22" t="s">
        <v>60</v>
      </c>
      <c r="F698" s="10" t="s">
        <v>114</v>
      </c>
    </row>
    <row r="699" spans="1:6">
      <c r="A699" s="4" t="str">
        <f t="shared" si="10"/>
        <v>trna1470|50</v>
      </c>
      <c r="B699" s="4" t="s">
        <v>45</v>
      </c>
      <c r="C699" s="4" t="s">
        <v>115</v>
      </c>
      <c r="D699" s="4">
        <v>71</v>
      </c>
      <c r="E699" s="22" t="s">
        <v>58</v>
      </c>
      <c r="F699" s="10" t="s">
        <v>114</v>
      </c>
    </row>
    <row r="700" spans="1:6">
      <c r="A700" s="4" t="str">
        <f t="shared" si="10"/>
        <v>trna1470|51</v>
      </c>
      <c r="B700" s="4" t="s">
        <v>45</v>
      </c>
      <c r="C700" s="4" t="s">
        <v>116</v>
      </c>
      <c r="D700" s="4">
        <v>72</v>
      </c>
      <c r="E700" s="22" t="s">
        <v>58</v>
      </c>
      <c r="F700" s="10" t="s">
        <v>114</v>
      </c>
    </row>
    <row r="701" spans="1:6">
      <c r="A701" s="4" t="str">
        <f t="shared" si="10"/>
        <v>trna1470|52</v>
      </c>
      <c r="B701" s="4" t="s">
        <v>45</v>
      </c>
      <c r="C701" s="4" t="s">
        <v>117</v>
      </c>
      <c r="D701" s="4">
        <v>73</v>
      </c>
      <c r="E701" s="22" t="s">
        <v>58</v>
      </c>
      <c r="F701" s="10" t="s">
        <v>114</v>
      </c>
    </row>
    <row r="702" spans="1:6">
      <c r="A702" s="4" t="str">
        <f t="shared" si="10"/>
        <v>trna1470|53</v>
      </c>
      <c r="B702" s="4" t="s">
        <v>45</v>
      </c>
      <c r="C702" s="4" t="s">
        <v>118</v>
      </c>
      <c r="D702" s="4">
        <v>74</v>
      </c>
      <c r="E702" s="22" t="s">
        <v>55</v>
      </c>
      <c r="F702" s="10" t="s">
        <v>114</v>
      </c>
    </row>
    <row r="703" spans="1:6">
      <c r="A703" s="4" t="str">
        <f t="shared" si="10"/>
        <v>trna1470|54</v>
      </c>
      <c r="B703" s="4" t="s">
        <v>45</v>
      </c>
      <c r="C703" s="4" t="s">
        <v>119</v>
      </c>
      <c r="D703" s="4">
        <v>75</v>
      </c>
      <c r="E703" s="18" t="s">
        <v>62</v>
      </c>
      <c r="F703" s="19" t="s">
        <v>120</v>
      </c>
    </row>
    <row r="704" spans="1:6">
      <c r="A704" s="4" t="str">
        <f t="shared" si="10"/>
        <v>trna1470|55</v>
      </c>
      <c r="B704" s="4" t="s">
        <v>45</v>
      </c>
      <c r="C704" s="4" t="s">
        <v>121</v>
      </c>
      <c r="D704" s="4">
        <v>76</v>
      </c>
      <c r="E704" s="18" t="s">
        <v>60</v>
      </c>
      <c r="F704" s="19" t="s">
        <v>120</v>
      </c>
    </row>
    <row r="705" spans="1:6">
      <c r="A705" s="4" t="str">
        <f t="shared" si="10"/>
        <v>trna1470|56</v>
      </c>
      <c r="B705" s="4" t="s">
        <v>45</v>
      </c>
      <c r="C705" s="4" t="s">
        <v>122</v>
      </c>
      <c r="D705" s="4">
        <v>77</v>
      </c>
      <c r="E705" s="18" t="s">
        <v>60</v>
      </c>
      <c r="F705" s="19" t="s">
        <v>120</v>
      </c>
    </row>
    <row r="706" spans="1:6">
      <c r="A706" s="4" t="str">
        <f t="shared" ref="A706:A721" si="11">B706&amp;"|"&amp;C706</f>
        <v>trna1470|57</v>
      </c>
      <c r="B706" s="4" t="s">
        <v>45</v>
      </c>
      <c r="C706" s="4" t="s">
        <v>123</v>
      </c>
      <c r="D706" s="4">
        <v>78</v>
      </c>
      <c r="E706" s="18" t="s">
        <v>58</v>
      </c>
      <c r="F706" s="19" t="s">
        <v>120</v>
      </c>
    </row>
    <row r="707" spans="1:6">
      <c r="A707" s="4" t="str">
        <f t="shared" si="11"/>
        <v>trna1470|58</v>
      </c>
      <c r="B707" s="4" t="s">
        <v>45</v>
      </c>
      <c r="C707" s="4" t="s">
        <v>124</v>
      </c>
      <c r="D707" s="4">
        <v>79</v>
      </c>
      <c r="E707" s="18" t="s">
        <v>58</v>
      </c>
      <c r="F707" s="19" t="s">
        <v>120</v>
      </c>
    </row>
    <row r="708" spans="1:6">
      <c r="A708" s="4" t="str">
        <f t="shared" si="11"/>
        <v>trna1470|59</v>
      </c>
      <c r="B708" s="4" t="s">
        <v>45</v>
      </c>
      <c r="C708" s="4" t="s">
        <v>125</v>
      </c>
      <c r="D708" s="4">
        <v>80</v>
      </c>
      <c r="E708" s="18" t="s">
        <v>58</v>
      </c>
      <c r="F708" s="19" t="s">
        <v>120</v>
      </c>
    </row>
    <row r="709" spans="1:6">
      <c r="A709" s="4" t="str">
        <f t="shared" si="11"/>
        <v>trna1470|60</v>
      </c>
      <c r="B709" s="4" t="s">
        <v>45</v>
      </c>
      <c r="C709" s="4" t="s">
        <v>126</v>
      </c>
      <c r="D709" s="4">
        <v>81</v>
      </c>
      <c r="E709" s="18" t="s">
        <v>58</v>
      </c>
      <c r="F709" s="19" t="s">
        <v>120</v>
      </c>
    </row>
    <row r="710" spans="1:6">
      <c r="A710" s="4" t="str">
        <f t="shared" si="11"/>
        <v>trna1470|61</v>
      </c>
      <c r="B710" s="4" t="s">
        <v>45</v>
      </c>
      <c r="C710" s="4" t="s">
        <v>127</v>
      </c>
      <c r="D710" s="4">
        <v>82</v>
      </c>
      <c r="E710" s="22" t="s">
        <v>60</v>
      </c>
      <c r="F710" s="10" t="s">
        <v>114</v>
      </c>
    </row>
    <row r="711" spans="1:6">
      <c r="A711" s="4" t="str">
        <f t="shared" si="11"/>
        <v>trna1470|62</v>
      </c>
      <c r="B711" s="4" t="s">
        <v>45</v>
      </c>
      <c r="C711" s="4" t="s">
        <v>128</v>
      </c>
      <c r="D711" s="4">
        <v>83</v>
      </c>
      <c r="E711" s="22" t="s">
        <v>62</v>
      </c>
      <c r="F711" s="10" t="s">
        <v>114</v>
      </c>
    </row>
    <row r="712" spans="1:6">
      <c r="A712" s="4" t="str">
        <f t="shared" si="11"/>
        <v>trna1470|63</v>
      </c>
      <c r="B712" s="4" t="s">
        <v>45</v>
      </c>
      <c r="C712" s="4" t="s">
        <v>129</v>
      </c>
      <c r="D712" s="4">
        <v>84</v>
      </c>
      <c r="E712" s="22" t="s">
        <v>55</v>
      </c>
      <c r="F712" s="10" t="s">
        <v>114</v>
      </c>
    </row>
    <row r="713" spans="1:6">
      <c r="A713" s="4" t="str">
        <f t="shared" si="11"/>
        <v>trna1470|64</v>
      </c>
      <c r="B713" s="4" t="s">
        <v>45</v>
      </c>
      <c r="C713" s="4" t="s">
        <v>130</v>
      </c>
      <c r="D713" s="4">
        <v>85</v>
      </c>
      <c r="E713" s="22" t="s">
        <v>55</v>
      </c>
      <c r="F713" s="10" t="s">
        <v>114</v>
      </c>
    </row>
    <row r="714" spans="1:6">
      <c r="A714" s="4" t="str">
        <f t="shared" si="11"/>
        <v>trna1470|65</v>
      </c>
      <c r="B714" s="4" t="s">
        <v>45</v>
      </c>
      <c r="C714" s="4" t="s">
        <v>131</v>
      </c>
      <c r="D714" s="4">
        <v>86</v>
      </c>
      <c r="E714" s="22" t="s">
        <v>62</v>
      </c>
      <c r="F714" s="10" t="s">
        <v>114</v>
      </c>
    </row>
    <row r="715" spans="1:6">
      <c r="A715" s="4" t="str">
        <f t="shared" si="11"/>
        <v>trna1470|66</v>
      </c>
      <c r="B715" s="4" t="s">
        <v>45</v>
      </c>
      <c r="C715" s="4" t="s">
        <v>132</v>
      </c>
      <c r="D715" s="4">
        <v>87</v>
      </c>
      <c r="E715" s="16" t="s">
        <v>58</v>
      </c>
      <c r="F715" s="17" t="s">
        <v>56</v>
      </c>
    </row>
    <row r="716" spans="1:6">
      <c r="A716" s="4" t="str">
        <f t="shared" si="11"/>
        <v>trna1470|67</v>
      </c>
      <c r="B716" s="4" t="s">
        <v>45</v>
      </c>
      <c r="C716" s="4" t="s">
        <v>133</v>
      </c>
      <c r="D716" s="4">
        <v>88</v>
      </c>
      <c r="E716" s="16" t="s">
        <v>55</v>
      </c>
      <c r="F716" s="17" t="s">
        <v>56</v>
      </c>
    </row>
    <row r="717" spans="1:6">
      <c r="A717" s="4" t="str">
        <f t="shared" si="11"/>
        <v>trna1470|68</v>
      </c>
      <c r="B717" s="4" t="s">
        <v>45</v>
      </c>
      <c r="C717" s="4" t="s">
        <v>134</v>
      </c>
      <c r="D717" s="4">
        <v>89</v>
      </c>
      <c r="E717" s="16" t="s">
        <v>60</v>
      </c>
      <c r="F717" s="17" t="s">
        <v>56</v>
      </c>
    </row>
    <row r="718" spans="1:6">
      <c r="A718" s="4" t="str">
        <f t="shared" si="11"/>
        <v>trna1470|69</v>
      </c>
      <c r="B718" s="4" t="s">
        <v>45</v>
      </c>
      <c r="C718" s="4" t="s">
        <v>135</v>
      </c>
      <c r="D718" s="4">
        <v>90</v>
      </c>
      <c r="E718" s="16" t="s">
        <v>62</v>
      </c>
      <c r="F718" s="17" t="s">
        <v>56</v>
      </c>
    </row>
    <row r="719" spans="1:6">
      <c r="A719" s="4" t="str">
        <f t="shared" si="11"/>
        <v>trna1470|70</v>
      </c>
      <c r="B719" s="4" t="s">
        <v>45</v>
      </c>
      <c r="C719" s="4" t="s">
        <v>136</v>
      </c>
      <c r="D719" s="4">
        <v>91</v>
      </c>
      <c r="E719" s="16" t="s">
        <v>60</v>
      </c>
      <c r="F719" s="17" t="s">
        <v>56</v>
      </c>
    </row>
    <row r="720" spans="1:6">
      <c r="A720" s="4" t="str">
        <f t="shared" si="11"/>
        <v>trna1470|71</v>
      </c>
      <c r="B720" s="4" t="s">
        <v>45</v>
      </c>
      <c r="C720" s="4" t="s">
        <v>137</v>
      </c>
      <c r="D720" s="4">
        <v>92</v>
      </c>
      <c r="E720" s="16" t="s">
        <v>58</v>
      </c>
      <c r="F720" s="17" t="s">
        <v>56</v>
      </c>
    </row>
    <row r="721" spans="1:6">
      <c r="A721" s="4" t="str">
        <f t="shared" si="11"/>
        <v>trna1470|72</v>
      </c>
      <c r="B721" s="4" t="s">
        <v>45</v>
      </c>
      <c r="C721" s="4" t="s">
        <v>138</v>
      </c>
      <c r="D721" s="4">
        <v>93</v>
      </c>
      <c r="E721" s="16" t="s">
        <v>62</v>
      </c>
      <c r="F721" s="17" t="s">
        <v>56</v>
      </c>
    </row>
  </sheetData>
  <autoFilter ref="A1:F72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3"/>
  <sheetViews>
    <sheetView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1" customWidth="1"/>
    <col min="2" max="2" width="17" customWidth="1"/>
    <col min="3" max="3" width="13" customWidth="1"/>
    <col min="4" max="5" width="12" customWidth="1"/>
    <col min="6" max="7" width="9" customWidth="1"/>
    <col min="8" max="8" width="8" customWidth="1"/>
    <col min="9" max="10" width="9" customWidth="1"/>
    <col min="11" max="11" width="10" customWidth="1"/>
  </cols>
  <sheetData>
    <row r="1" spans="1:11" ht="30">
      <c r="A1" s="2" t="s">
        <v>1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</row>
    <row r="2" spans="1:11">
      <c r="A2" s="4" t="s">
        <v>37</v>
      </c>
      <c r="B2" s="4" t="s">
        <v>56</v>
      </c>
      <c r="C2" s="4" t="s">
        <v>174</v>
      </c>
      <c r="D2" s="4">
        <f>INDEX(Positions!$D$2:$D$721,MATCH($A2&amp;"|1",Positions!$A$2:$A$721,0))</f>
        <v>1</v>
      </c>
      <c r="E2" s="4">
        <f>INDEX(Positions!$D$2:$D$721,MATCH($A2&amp;"|72",Positions!$A$2:$A$721,0))</f>
        <v>70</v>
      </c>
      <c r="F2" s="4" t="str">
        <f>INDEX(Positions!$E$2:$E$721,MATCH($A2&amp;"|1",Positions!$A$2:$A$721,0))</f>
        <v>G</v>
      </c>
      <c r="G2" s="4" t="str">
        <f>INDEX(Positions!$E$2:$E$721,MATCH($A2&amp;"|72",Positions!$A$2:$A$721,0))</f>
        <v>U</v>
      </c>
      <c r="H2" s="3" t="str">
        <f t="shared" ref="H2:H65" si="0">F2&amp;"-"&amp;G2</f>
        <v>G-U</v>
      </c>
      <c r="I2" s="4">
        <f t="shared" ref="I2:I65" si="1">(F2="G")+(G2="G")</f>
        <v>1</v>
      </c>
      <c r="J2" s="4">
        <f t="shared" ref="J2:J65" si="2">(F2="C")+(G2="C")</f>
        <v>0</v>
      </c>
      <c r="K2" s="3">
        <f t="shared" ref="K2:K65" si="3">I2+J2</f>
        <v>1</v>
      </c>
    </row>
    <row r="3" spans="1:11">
      <c r="A3" s="4" t="s">
        <v>37</v>
      </c>
      <c r="B3" s="4" t="s">
        <v>56</v>
      </c>
      <c r="C3" s="4" t="s">
        <v>175</v>
      </c>
      <c r="D3" s="4">
        <f>INDEX(Positions!$D$2:$D$721,MATCH($A3&amp;"|2",Positions!$A$2:$A$721,0))</f>
        <v>2</v>
      </c>
      <c r="E3" s="4">
        <f>INDEX(Positions!$D$2:$D$721,MATCH($A3&amp;"|71",Positions!$A$2:$A$721,0))</f>
        <v>69</v>
      </c>
      <c r="F3" s="4" t="str">
        <f>INDEX(Positions!$E$2:$E$721,MATCH($A3&amp;"|2",Positions!$A$2:$A$721,0))</f>
        <v>U</v>
      </c>
      <c r="G3" s="4" t="str">
        <f>INDEX(Positions!$E$2:$E$721,MATCH($A3&amp;"|71",Positions!$A$2:$A$721,0))</f>
        <v>A</v>
      </c>
      <c r="H3" s="3" t="str">
        <f t="shared" si="0"/>
        <v>U-A</v>
      </c>
      <c r="I3" s="4">
        <f t="shared" si="1"/>
        <v>0</v>
      </c>
      <c r="J3" s="4">
        <f t="shared" si="2"/>
        <v>0</v>
      </c>
      <c r="K3" s="3">
        <f t="shared" si="3"/>
        <v>0</v>
      </c>
    </row>
    <row r="4" spans="1:11">
      <c r="A4" s="4" t="s">
        <v>37</v>
      </c>
      <c r="B4" s="4" t="s">
        <v>56</v>
      </c>
      <c r="C4" s="4" t="s">
        <v>176</v>
      </c>
      <c r="D4" s="4">
        <f>INDEX(Positions!$D$2:$D$721,MATCH($A4&amp;"|3",Positions!$A$2:$A$721,0))</f>
        <v>3</v>
      </c>
      <c r="E4" s="4">
        <f>INDEX(Positions!$D$2:$D$721,MATCH($A4&amp;"|70",Positions!$A$2:$A$721,0))</f>
        <v>68</v>
      </c>
      <c r="F4" s="4" t="str">
        <f>INDEX(Positions!$E$2:$E$721,MATCH($A4&amp;"|3",Positions!$A$2:$A$721,0))</f>
        <v>C</v>
      </c>
      <c r="G4" s="4" t="str">
        <f>INDEX(Positions!$E$2:$E$721,MATCH($A4&amp;"|70",Positions!$A$2:$A$721,0))</f>
        <v>U</v>
      </c>
      <c r="H4" s="3" t="str">
        <f t="shared" si="0"/>
        <v>C-U</v>
      </c>
      <c r="I4" s="4">
        <f t="shared" si="1"/>
        <v>0</v>
      </c>
      <c r="J4" s="4">
        <f t="shared" si="2"/>
        <v>1</v>
      </c>
      <c r="K4" s="3">
        <f t="shared" si="3"/>
        <v>1</v>
      </c>
    </row>
    <row r="5" spans="1:11">
      <c r="A5" s="4" t="s">
        <v>37</v>
      </c>
      <c r="B5" s="4" t="s">
        <v>56</v>
      </c>
      <c r="C5" s="4" t="s">
        <v>177</v>
      </c>
      <c r="D5" s="4">
        <f>INDEX(Positions!$D$2:$D$721,MATCH($A5&amp;"|4",Positions!$A$2:$A$721,0))</f>
        <v>4</v>
      </c>
      <c r="E5" s="4">
        <f>INDEX(Positions!$D$2:$D$721,MATCH($A5&amp;"|69",Positions!$A$2:$A$721,0))</f>
        <v>67</v>
      </c>
      <c r="F5" s="4" t="str">
        <f>INDEX(Positions!$E$2:$E$721,MATCH($A5&amp;"|4",Positions!$A$2:$A$721,0))</f>
        <v>A</v>
      </c>
      <c r="G5" s="4" t="str">
        <f>INDEX(Positions!$E$2:$E$721,MATCH($A5&amp;"|69",Positions!$A$2:$A$721,0))</f>
        <v>U</v>
      </c>
      <c r="H5" s="3" t="str">
        <f t="shared" si="0"/>
        <v>A-U</v>
      </c>
      <c r="I5" s="4">
        <f t="shared" si="1"/>
        <v>0</v>
      </c>
      <c r="J5" s="4">
        <f t="shared" si="2"/>
        <v>0</v>
      </c>
      <c r="K5" s="3">
        <f t="shared" si="3"/>
        <v>0</v>
      </c>
    </row>
    <row r="6" spans="1:11">
      <c r="A6" s="4" t="s">
        <v>37</v>
      </c>
      <c r="B6" s="4" t="s">
        <v>56</v>
      </c>
      <c r="C6" s="4" t="s">
        <v>178</v>
      </c>
      <c r="D6" s="4">
        <f>INDEX(Positions!$D$2:$D$721,MATCH($A6&amp;"|5",Positions!$A$2:$A$721,0))</f>
        <v>5</v>
      </c>
      <c r="E6" s="4">
        <f>INDEX(Positions!$D$2:$D$721,MATCH($A6&amp;"|68",Positions!$A$2:$A$721,0))</f>
        <v>66</v>
      </c>
      <c r="F6" s="4" t="str">
        <f>INDEX(Positions!$E$2:$E$721,MATCH($A6&amp;"|5",Positions!$A$2:$A$721,0))</f>
        <v>G</v>
      </c>
      <c r="G6" s="4" t="str">
        <f>INDEX(Positions!$E$2:$E$721,MATCH($A6&amp;"|68",Positions!$A$2:$A$721,0))</f>
        <v>U</v>
      </c>
      <c r="H6" s="3" t="str">
        <f t="shared" si="0"/>
        <v>G-U</v>
      </c>
      <c r="I6" s="4">
        <f t="shared" si="1"/>
        <v>1</v>
      </c>
      <c r="J6" s="4">
        <f t="shared" si="2"/>
        <v>0</v>
      </c>
      <c r="K6" s="3">
        <f t="shared" si="3"/>
        <v>1</v>
      </c>
    </row>
    <row r="7" spans="1:11">
      <c r="A7" s="4" t="s">
        <v>37</v>
      </c>
      <c r="B7" s="4" t="s">
        <v>56</v>
      </c>
      <c r="C7" s="4" t="s">
        <v>179</v>
      </c>
      <c r="D7" s="4">
        <f>INDEX(Positions!$D$2:$D$721,MATCH($A7&amp;"|6",Positions!$A$2:$A$721,0))</f>
        <v>6</v>
      </c>
      <c r="E7" s="4">
        <f>INDEX(Positions!$D$2:$D$721,MATCH($A7&amp;"|67",Positions!$A$2:$A$721,0))</f>
        <v>65</v>
      </c>
      <c r="F7" s="4" t="str">
        <f>INDEX(Positions!$E$2:$E$721,MATCH($A7&amp;"|6",Positions!$A$2:$A$721,0))</f>
        <v>G</v>
      </c>
      <c r="G7" s="4" t="str">
        <f>INDEX(Positions!$E$2:$E$721,MATCH($A7&amp;"|67",Positions!$A$2:$A$721,0))</f>
        <v>U</v>
      </c>
      <c r="H7" s="3" t="str">
        <f t="shared" si="0"/>
        <v>G-U</v>
      </c>
      <c r="I7" s="4">
        <f t="shared" si="1"/>
        <v>1</v>
      </c>
      <c r="J7" s="4">
        <f t="shared" si="2"/>
        <v>0</v>
      </c>
      <c r="K7" s="3">
        <f t="shared" si="3"/>
        <v>1</v>
      </c>
    </row>
    <row r="8" spans="1:11">
      <c r="A8" s="4" t="s">
        <v>37</v>
      </c>
      <c r="B8" s="4" t="s">
        <v>56</v>
      </c>
      <c r="C8" s="4" t="s">
        <v>180</v>
      </c>
      <c r="D8" s="4">
        <f>INDEX(Positions!$D$2:$D$721,MATCH($A8&amp;"|7",Positions!$A$2:$A$721,0))</f>
        <v>7</v>
      </c>
      <c r="E8" s="4">
        <f>INDEX(Positions!$D$2:$D$721,MATCH($A8&amp;"|66",Positions!$A$2:$A$721,0))</f>
        <v>64</v>
      </c>
      <c r="F8" s="4" t="str">
        <f>INDEX(Positions!$E$2:$E$721,MATCH($A8&amp;"|7",Positions!$A$2:$A$721,0))</f>
        <v>G</v>
      </c>
      <c r="G8" s="4" t="str">
        <f>INDEX(Positions!$E$2:$E$721,MATCH($A8&amp;"|66",Positions!$A$2:$A$721,0))</f>
        <v>C</v>
      </c>
      <c r="H8" s="3" t="str">
        <f t="shared" si="0"/>
        <v>G-C</v>
      </c>
      <c r="I8" s="4">
        <f t="shared" si="1"/>
        <v>1</v>
      </c>
      <c r="J8" s="4">
        <f t="shared" si="2"/>
        <v>1</v>
      </c>
      <c r="K8" s="3">
        <f t="shared" si="3"/>
        <v>2</v>
      </c>
    </row>
    <row r="9" spans="1:11">
      <c r="A9" s="4" t="s">
        <v>37</v>
      </c>
      <c r="B9" s="4" t="s">
        <v>71</v>
      </c>
      <c r="C9" s="4" t="s">
        <v>181</v>
      </c>
      <c r="D9" s="4">
        <f>INDEX(Positions!$D$2:$D$721,MATCH($A9&amp;"|10",Positions!$A$2:$A$721,0))</f>
        <v>10</v>
      </c>
      <c r="E9" s="4">
        <f>INDEX(Positions!$D$2:$D$721,MATCH($A9&amp;"|25",Positions!$A$2:$A$721,0))</f>
        <v>24</v>
      </c>
      <c r="F9" s="4" t="str">
        <f>INDEX(Positions!$E$2:$E$721,MATCH($A9&amp;"|10",Positions!$A$2:$A$721,0))</f>
        <v>A</v>
      </c>
      <c r="G9" s="4" t="str">
        <f>INDEX(Positions!$E$2:$E$721,MATCH($A9&amp;"|25",Positions!$A$2:$A$721,0))</f>
        <v>U</v>
      </c>
      <c r="H9" s="3" t="str">
        <f t="shared" si="0"/>
        <v>A-U</v>
      </c>
      <c r="I9" s="4">
        <f t="shared" si="1"/>
        <v>0</v>
      </c>
      <c r="J9" s="4">
        <f t="shared" si="2"/>
        <v>0</v>
      </c>
      <c r="K9" s="3">
        <f t="shared" si="3"/>
        <v>0</v>
      </c>
    </row>
    <row r="10" spans="1:11">
      <c r="A10" s="4" t="s">
        <v>37</v>
      </c>
      <c r="B10" s="4" t="s">
        <v>71</v>
      </c>
      <c r="C10" s="4" t="s">
        <v>182</v>
      </c>
      <c r="D10" s="4">
        <f>INDEX(Positions!$D$2:$D$721,MATCH($A10&amp;"|11",Positions!$A$2:$A$721,0))</f>
        <v>11</v>
      </c>
      <c r="E10" s="4">
        <f>INDEX(Positions!$D$2:$D$721,MATCH($A10&amp;"|24",Positions!$A$2:$A$721,0))</f>
        <v>23</v>
      </c>
      <c r="F10" s="4" t="str">
        <f>INDEX(Positions!$E$2:$E$721,MATCH($A10&amp;"|11",Positions!$A$2:$A$721,0))</f>
        <v>A</v>
      </c>
      <c r="G10" s="4" t="str">
        <f>INDEX(Positions!$E$2:$E$721,MATCH($A10&amp;"|24",Positions!$A$2:$A$721,0))</f>
        <v>A</v>
      </c>
      <c r="H10" s="3" t="str">
        <f t="shared" si="0"/>
        <v>A-A</v>
      </c>
      <c r="I10" s="4">
        <f t="shared" si="1"/>
        <v>0</v>
      </c>
      <c r="J10" s="4">
        <f t="shared" si="2"/>
        <v>0</v>
      </c>
      <c r="K10" s="3">
        <f t="shared" si="3"/>
        <v>0</v>
      </c>
    </row>
    <row r="11" spans="1:11">
      <c r="A11" s="4" t="s">
        <v>37</v>
      </c>
      <c r="B11" s="4" t="s">
        <v>71</v>
      </c>
      <c r="C11" s="4" t="s">
        <v>183</v>
      </c>
      <c r="D11" s="4">
        <f>INDEX(Positions!$D$2:$D$721,MATCH($A11&amp;"|12",Positions!$A$2:$A$721,0))</f>
        <v>12</v>
      </c>
      <c r="E11" s="4">
        <f>INDEX(Positions!$D$2:$D$721,MATCH($A11&amp;"|23",Positions!$A$2:$A$721,0))</f>
        <v>22</v>
      </c>
      <c r="F11" s="4" t="str">
        <f>INDEX(Positions!$E$2:$E$721,MATCH($A11&amp;"|12",Positions!$A$2:$A$721,0))</f>
        <v>G</v>
      </c>
      <c r="G11" s="4" t="str">
        <f>INDEX(Positions!$E$2:$E$721,MATCH($A11&amp;"|23",Positions!$A$2:$A$721,0))</f>
        <v>C</v>
      </c>
      <c r="H11" s="3" t="str">
        <f t="shared" si="0"/>
        <v>G-C</v>
      </c>
      <c r="I11" s="4">
        <f t="shared" si="1"/>
        <v>1</v>
      </c>
      <c r="J11" s="4">
        <f t="shared" si="2"/>
        <v>1</v>
      </c>
      <c r="K11" s="3">
        <f t="shared" si="3"/>
        <v>2</v>
      </c>
    </row>
    <row r="12" spans="1:11">
      <c r="A12" s="4" t="s">
        <v>37</v>
      </c>
      <c r="B12" s="4" t="s">
        <v>71</v>
      </c>
      <c r="C12" s="4" t="s">
        <v>184</v>
      </c>
      <c r="D12" s="4">
        <f>INDEX(Positions!$D$2:$D$721,MATCH($A12&amp;"|13",Positions!$A$2:$A$721,0))</f>
        <v>13</v>
      </c>
      <c r="E12" s="4">
        <f>INDEX(Positions!$D$2:$D$721,MATCH($A12&amp;"|22",Positions!$A$2:$A$721,0))</f>
        <v>21</v>
      </c>
      <c r="F12" s="4" t="str">
        <f>INDEX(Positions!$E$2:$E$721,MATCH($A12&amp;"|13",Positions!$A$2:$A$721,0))</f>
        <v>A</v>
      </c>
      <c r="G12" s="4" t="str">
        <f>INDEX(Positions!$E$2:$E$721,MATCH($A12&amp;"|22",Positions!$A$2:$A$721,0))</f>
        <v>U</v>
      </c>
      <c r="H12" s="3" t="str">
        <f t="shared" si="0"/>
        <v>A-U</v>
      </c>
      <c r="I12" s="4">
        <f t="shared" si="1"/>
        <v>0</v>
      </c>
      <c r="J12" s="4">
        <f t="shared" si="2"/>
        <v>0</v>
      </c>
      <c r="K12" s="3">
        <f t="shared" si="3"/>
        <v>0</v>
      </c>
    </row>
    <row r="13" spans="1:11">
      <c r="A13" s="4" t="s">
        <v>37</v>
      </c>
      <c r="B13" s="4" t="s">
        <v>90</v>
      </c>
      <c r="C13" s="4" t="s">
        <v>185</v>
      </c>
      <c r="D13" s="4">
        <f>INDEX(Positions!$D$2:$D$721,MATCH($A13&amp;"|27",Positions!$A$2:$A$721,0))</f>
        <v>26</v>
      </c>
      <c r="E13" s="4">
        <f>INDEX(Positions!$D$2:$D$721,MATCH($A13&amp;"|43",Positions!$A$2:$A$721,0))</f>
        <v>42</v>
      </c>
      <c r="F13" s="4" t="str">
        <f>INDEX(Positions!$E$2:$E$721,MATCH($A13&amp;"|27",Positions!$A$2:$A$721,0))</f>
        <v>U</v>
      </c>
      <c r="G13" s="4" t="str">
        <f>INDEX(Positions!$E$2:$E$721,MATCH($A13&amp;"|43",Positions!$A$2:$A$721,0))</f>
        <v>A</v>
      </c>
      <c r="H13" s="3" t="str">
        <f t="shared" si="0"/>
        <v>U-A</v>
      </c>
      <c r="I13" s="4">
        <f t="shared" si="1"/>
        <v>0</v>
      </c>
      <c r="J13" s="4">
        <f t="shared" si="2"/>
        <v>0</v>
      </c>
      <c r="K13" s="3">
        <f t="shared" si="3"/>
        <v>0</v>
      </c>
    </row>
    <row r="14" spans="1:11">
      <c r="A14" s="4" t="s">
        <v>37</v>
      </c>
      <c r="B14" s="4" t="s">
        <v>90</v>
      </c>
      <c r="C14" s="4" t="s">
        <v>186</v>
      </c>
      <c r="D14" s="4">
        <f>INDEX(Positions!$D$2:$D$721,MATCH($A14&amp;"|28",Positions!$A$2:$A$721,0))</f>
        <v>27</v>
      </c>
      <c r="E14" s="4">
        <f>INDEX(Positions!$D$2:$D$721,MATCH($A14&amp;"|42",Positions!$A$2:$A$721,0))</f>
        <v>41</v>
      </c>
      <c r="F14" s="4" t="str">
        <f>INDEX(Positions!$E$2:$E$721,MATCH($A14&amp;"|28",Positions!$A$2:$A$721,0))</f>
        <v>G</v>
      </c>
      <c r="G14" s="4" t="str">
        <f>INDEX(Positions!$E$2:$E$721,MATCH($A14&amp;"|42",Positions!$A$2:$A$721,0))</f>
        <v>C</v>
      </c>
      <c r="H14" s="3" t="str">
        <f t="shared" si="0"/>
        <v>G-C</v>
      </c>
      <c r="I14" s="4">
        <f t="shared" si="1"/>
        <v>1</v>
      </c>
      <c r="J14" s="4">
        <f t="shared" si="2"/>
        <v>1</v>
      </c>
      <c r="K14" s="3">
        <f t="shared" si="3"/>
        <v>2</v>
      </c>
    </row>
    <row r="15" spans="1:11">
      <c r="A15" s="4" t="s">
        <v>37</v>
      </c>
      <c r="B15" s="4" t="s">
        <v>90</v>
      </c>
      <c r="C15" s="4" t="s">
        <v>187</v>
      </c>
      <c r="D15" s="4">
        <f>INDEX(Positions!$D$2:$D$721,MATCH($A15&amp;"|29",Positions!$A$2:$A$721,0))</f>
        <v>28</v>
      </c>
      <c r="E15" s="4">
        <f>INDEX(Positions!$D$2:$D$721,MATCH($A15&amp;"|41",Positions!$A$2:$A$721,0))</f>
        <v>40</v>
      </c>
      <c r="F15" s="4" t="str">
        <f>INDEX(Positions!$E$2:$E$721,MATCH($A15&amp;"|29",Positions!$A$2:$A$721,0))</f>
        <v>U</v>
      </c>
      <c r="G15" s="4" t="str">
        <f>INDEX(Positions!$E$2:$E$721,MATCH($A15&amp;"|41",Positions!$A$2:$A$721,0))</f>
        <v>A</v>
      </c>
      <c r="H15" s="3" t="str">
        <f t="shared" si="0"/>
        <v>U-A</v>
      </c>
      <c r="I15" s="4">
        <f t="shared" si="1"/>
        <v>0</v>
      </c>
      <c r="J15" s="4">
        <f t="shared" si="2"/>
        <v>0</v>
      </c>
      <c r="K15" s="3">
        <f t="shared" si="3"/>
        <v>0</v>
      </c>
    </row>
    <row r="16" spans="1:11">
      <c r="A16" s="4" t="s">
        <v>37</v>
      </c>
      <c r="B16" s="4" t="s">
        <v>90</v>
      </c>
      <c r="C16" s="4" t="s">
        <v>188</v>
      </c>
      <c r="D16" s="4">
        <f>INDEX(Positions!$D$2:$D$721,MATCH($A16&amp;"|30",Positions!$A$2:$A$721,0))</f>
        <v>29</v>
      </c>
      <c r="E16" s="4">
        <f>INDEX(Positions!$D$2:$D$721,MATCH($A16&amp;"|40",Positions!$A$2:$A$721,0))</f>
        <v>39</v>
      </c>
      <c r="F16" s="4" t="str">
        <f>INDEX(Positions!$E$2:$E$721,MATCH($A16&amp;"|30",Positions!$A$2:$A$721,0))</f>
        <v>A</v>
      </c>
      <c r="G16" s="4" t="str">
        <f>INDEX(Positions!$E$2:$E$721,MATCH($A16&amp;"|40",Positions!$A$2:$A$721,0))</f>
        <v>U</v>
      </c>
      <c r="H16" s="3" t="str">
        <f t="shared" si="0"/>
        <v>A-U</v>
      </c>
      <c r="I16" s="4">
        <f t="shared" si="1"/>
        <v>0</v>
      </c>
      <c r="J16" s="4">
        <f t="shared" si="2"/>
        <v>0</v>
      </c>
      <c r="K16" s="3">
        <f t="shared" si="3"/>
        <v>0</v>
      </c>
    </row>
    <row r="17" spans="1:11">
      <c r="A17" s="4" t="s">
        <v>37</v>
      </c>
      <c r="B17" s="4" t="s">
        <v>90</v>
      </c>
      <c r="C17" s="4" t="s">
        <v>189</v>
      </c>
      <c r="D17" s="4">
        <f>INDEX(Positions!$D$2:$D$721,MATCH($A17&amp;"|31",Positions!$A$2:$A$721,0))</f>
        <v>30</v>
      </c>
      <c r="E17" s="4">
        <f>INDEX(Positions!$D$2:$D$721,MATCH($A17&amp;"|39",Positions!$A$2:$A$721,0))</f>
        <v>38</v>
      </c>
      <c r="F17" s="4" t="str">
        <f>INDEX(Positions!$E$2:$E$721,MATCH($A17&amp;"|31",Positions!$A$2:$A$721,0))</f>
        <v>G</v>
      </c>
      <c r="G17" s="4" t="str">
        <f>INDEX(Positions!$E$2:$E$721,MATCH($A17&amp;"|39",Positions!$A$2:$A$721,0))</f>
        <v>U</v>
      </c>
      <c r="H17" s="3" t="str">
        <f t="shared" si="0"/>
        <v>G-U</v>
      </c>
      <c r="I17" s="4">
        <f t="shared" si="1"/>
        <v>1</v>
      </c>
      <c r="J17" s="4">
        <f t="shared" si="2"/>
        <v>0</v>
      </c>
      <c r="K17" s="3">
        <f t="shared" si="3"/>
        <v>1</v>
      </c>
    </row>
    <row r="18" spans="1:11">
      <c r="A18" s="4" t="s">
        <v>37</v>
      </c>
      <c r="B18" s="4" t="s">
        <v>114</v>
      </c>
      <c r="C18" s="4" t="s">
        <v>190</v>
      </c>
      <c r="D18" s="4">
        <f>INDEX(Positions!$D$2:$D$721,MATCH($A18&amp;"|49",Positions!$A$2:$A$721,0))</f>
        <v>47</v>
      </c>
      <c r="E18" s="4">
        <f>INDEX(Positions!$D$2:$D$721,MATCH($A18&amp;"|65",Positions!$A$2:$A$721,0))</f>
        <v>63</v>
      </c>
      <c r="F18" s="4" t="str">
        <f>INDEX(Positions!$E$2:$E$721,MATCH($A18&amp;"|49",Positions!$A$2:$A$721,0))</f>
        <v>U</v>
      </c>
      <c r="G18" s="4" t="str">
        <f>INDEX(Positions!$E$2:$E$721,MATCH($A18&amp;"|65",Positions!$A$2:$A$721,0))</f>
        <v>A</v>
      </c>
      <c r="H18" s="3" t="str">
        <f t="shared" si="0"/>
        <v>U-A</v>
      </c>
      <c r="I18" s="4">
        <f t="shared" si="1"/>
        <v>0</v>
      </c>
      <c r="J18" s="4">
        <f t="shared" si="2"/>
        <v>0</v>
      </c>
      <c r="K18" s="3">
        <f t="shared" si="3"/>
        <v>0</v>
      </c>
    </row>
    <row r="19" spans="1:11">
      <c r="A19" s="4" t="s">
        <v>37</v>
      </c>
      <c r="B19" s="4" t="s">
        <v>114</v>
      </c>
      <c r="C19" s="4" t="s">
        <v>191</v>
      </c>
      <c r="D19" s="4">
        <f>INDEX(Positions!$D$2:$D$721,MATCH($A19&amp;"|50",Positions!$A$2:$A$721,0))</f>
        <v>48</v>
      </c>
      <c r="E19" s="4">
        <f>INDEX(Positions!$D$2:$D$721,MATCH($A19&amp;"|64",Positions!$A$2:$A$721,0))</f>
        <v>62</v>
      </c>
      <c r="F19" s="4" t="str">
        <f>INDEX(Positions!$E$2:$E$721,MATCH($A19&amp;"|50",Positions!$A$2:$A$721,0))</f>
        <v>A</v>
      </c>
      <c r="G19" s="4" t="str">
        <f>INDEX(Positions!$E$2:$E$721,MATCH($A19&amp;"|64",Positions!$A$2:$A$721,0))</f>
        <v>U</v>
      </c>
      <c r="H19" s="3" t="str">
        <f t="shared" si="0"/>
        <v>A-U</v>
      </c>
      <c r="I19" s="4">
        <f t="shared" si="1"/>
        <v>0</v>
      </c>
      <c r="J19" s="4">
        <f t="shared" si="2"/>
        <v>0</v>
      </c>
      <c r="K19" s="3">
        <f t="shared" si="3"/>
        <v>0</v>
      </c>
    </row>
    <row r="20" spans="1:11">
      <c r="A20" s="4" t="s">
        <v>37</v>
      </c>
      <c r="B20" s="4" t="s">
        <v>114</v>
      </c>
      <c r="C20" s="4" t="s">
        <v>192</v>
      </c>
      <c r="D20" s="4">
        <f>INDEX(Positions!$D$2:$D$721,MATCH($A20&amp;"|51",Positions!$A$2:$A$721,0))</f>
        <v>49</v>
      </c>
      <c r="E20" s="4">
        <f>INDEX(Positions!$D$2:$D$721,MATCH($A20&amp;"|63",Positions!$A$2:$A$721,0))</f>
        <v>61</v>
      </c>
      <c r="F20" s="4" t="str">
        <f>INDEX(Positions!$E$2:$E$721,MATCH($A20&amp;"|51",Positions!$A$2:$A$721,0))</f>
        <v>G</v>
      </c>
      <c r="G20" s="4" t="str">
        <f>INDEX(Positions!$E$2:$E$721,MATCH($A20&amp;"|63",Positions!$A$2:$A$721,0))</f>
        <v>U</v>
      </c>
      <c r="H20" s="3" t="str">
        <f t="shared" si="0"/>
        <v>G-U</v>
      </c>
      <c r="I20" s="4">
        <f t="shared" si="1"/>
        <v>1</v>
      </c>
      <c r="J20" s="4">
        <f t="shared" si="2"/>
        <v>0</v>
      </c>
      <c r="K20" s="3">
        <f t="shared" si="3"/>
        <v>1</v>
      </c>
    </row>
    <row r="21" spans="1:11">
      <c r="A21" s="4" t="s">
        <v>37</v>
      </c>
      <c r="B21" s="4" t="s">
        <v>114</v>
      </c>
      <c r="C21" s="4" t="s">
        <v>193</v>
      </c>
      <c r="D21" s="4">
        <f>INDEX(Positions!$D$2:$D$721,MATCH($A21&amp;"|52",Positions!$A$2:$A$721,0))</f>
        <v>50</v>
      </c>
      <c r="E21" s="4">
        <f>INDEX(Positions!$D$2:$D$721,MATCH($A21&amp;"|62",Positions!$A$2:$A$721,0))</f>
        <v>60</v>
      </c>
      <c r="F21" s="4" t="str">
        <f>INDEX(Positions!$E$2:$E$721,MATCH($A21&amp;"|52",Positions!$A$2:$A$721,0))</f>
        <v>G</v>
      </c>
      <c r="G21" s="4" t="str">
        <f>INDEX(Positions!$E$2:$E$721,MATCH($A21&amp;"|62",Positions!$A$2:$A$721,0))</f>
        <v>U</v>
      </c>
      <c r="H21" s="3" t="str">
        <f t="shared" si="0"/>
        <v>G-U</v>
      </c>
      <c r="I21" s="4">
        <f t="shared" si="1"/>
        <v>1</v>
      </c>
      <c r="J21" s="4">
        <f t="shared" si="2"/>
        <v>0</v>
      </c>
      <c r="K21" s="3">
        <f t="shared" si="3"/>
        <v>1</v>
      </c>
    </row>
    <row r="22" spans="1:11">
      <c r="A22" s="4" t="s">
        <v>37</v>
      </c>
      <c r="B22" s="4" t="s">
        <v>114</v>
      </c>
      <c r="C22" s="4" t="s">
        <v>194</v>
      </c>
      <c r="D22" s="4">
        <f>INDEX(Positions!$D$2:$D$721,MATCH($A22&amp;"|53",Positions!$A$2:$A$721,0))</f>
        <v>51</v>
      </c>
      <c r="E22" s="4">
        <f>INDEX(Positions!$D$2:$D$721,MATCH($A22&amp;"|61",Positions!$A$2:$A$721,0))</f>
        <v>59</v>
      </c>
      <c r="F22" s="4" t="str">
        <f>INDEX(Positions!$E$2:$E$721,MATCH($A22&amp;"|53",Positions!$A$2:$A$721,0))</f>
        <v>G</v>
      </c>
      <c r="G22" s="4" t="str">
        <f>INDEX(Positions!$E$2:$E$721,MATCH($A22&amp;"|61",Positions!$A$2:$A$721,0))</f>
        <v>C</v>
      </c>
      <c r="H22" s="3" t="str">
        <f t="shared" si="0"/>
        <v>G-C</v>
      </c>
      <c r="I22" s="4">
        <f t="shared" si="1"/>
        <v>1</v>
      </c>
      <c r="J22" s="4">
        <f t="shared" si="2"/>
        <v>1</v>
      </c>
      <c r="K22" s="3">
        <f t="shared" si="3"/>
        <v>2</v>
      </c>
    </row>
    <row r="23" spans="1:11">
      <c r="A23" s="23" t="s">
        <v>37</v>
      </c>
      <c r="B23" s="23" t="s">
        <v>195</v>
      </c>
      <c r="C23" s="23" t="s">
        <v>196</v>
      </c>
      <c r="D23" s="23">
        <f>INDEX(Positions!$D$2:$D$721,MATCH($A23&amp;"|8",Positions!$A$2:$A$721,0))</f>
        <v>8</v>
      </c>
      <c r="E23" s="23">
        <f>INDEX(Positions!$D$2:$D$721,MATCH($A23&amp;"|14",Positions!$A$2:$A$721,0))</f>
        <v>14</v>
      </c>
      <c r="F23" s="23" t="str">
        <f>INDEX(Positions!$E$2:$E$721,MATCH($A23&amp;"|8",Positions!$A$2:$A$721,0))</f>
        <v>U</v>
      </c>
      <c r="G23" s="23" t="str">
        <f>INDEX(Positions!$E$2:$E$721,MATCH($A23&amp;"|14",Positions!$A$2:$A$721,0))</f>
        <v>A</v>
      </c>
      <c r="H23" s="24" t="str">
        <f t="shared" si="0"/>
        <v>U-A</v>
      </c>
      <c r="I23" s="23">
        <f t="shared" si="1"/>
        <v>0</v>
      </c>
      <c r="J23" s="23">
        <f t="shared" si="2"/>
        <v>0</v>
      </c>
      <c r="K23" s="24">
        <f t="shared" si="3"/>
        <v>0</v>
      </c>
    </row>
    <row r="24" spans="1:11">
      <c r="A24" s="23" t="s">
        <v>37</v>
      </c>
      <c r="B24" s="23" t="s">
        <v>195</v>
      </c>
      <c r="C24" s="23" t="s">
        <v>197</v>
      </c>
      <c r="D24" s="23">
        <f>INDEX(Positions!$D$2:$D$721,MATCH($A24&amp;"|15",Positions!$A$2:$A$721,0))</f>
        <v>15</v>
      </c>
      <c r="E24" s="23">
        <f>INDEX(Positions!$D$2:$D$721,MATCH($A24&amp;"|48",Positions!$A$2:$A$721,0))</f>
        <v>46</v>
      </c>
      <c r="F24" s="23" t="str">
        <f>INDEX(Positions!$E$2:$E$721,MATCH($A24&amp;"|15",Positions!$A$2:$A$721,0))</f>
        <v>A</v>
      </c>
      <c r="G24" s="23" t="str">
        <f>INDEX(Positions!$E$2:$E$721,MATCH($A24&amp;"|48",Positions!$A$2:$A$721,0))</f>
        <v>U</v>
      </c>
      <c r="H24" s="24" t="str">
        <f t="shared" si="0"/>
        <v>A-U</v>
      </c>
      <c r="I24" s="23">
        <f t="shared" si="1"/>
        <v>0</v>
      </c>
      <c r="J24" s="23">
        <f t="shared" si="2"/>
        <v>0</v>
      </c>
      <c r="K24" s="24">
        <f t="shared" si="3"/>
        <v>0</v>
      </c>
    </row>
    <row r="25" spans="1:11">
      <c r="A25" s="23" t="s">
        <v>37</v>
      </c>
      <c r="B25" s="23" t="s">
        <v>195</v>
      </c>
      <c r="C25" s="23" t="s">
        <v>198</v>
      </c>
      <c r="D25" s="23">
        <f>INDEX(Positions!$D$2:$D$721,MATCH($A25&amp;"|18",Positions!$A$2:$A$721,0))</f>
        <v>17</v>
      </c>
      <c r="E25" s="23">
        <f>INDEX(Positions!$D$2:$D$721,MATCH($A25&amp;"|55",Positions!$A$2:$A$721,0))</f>
        <v>53</v>
      </c>
      <c r="F25" s="23" t="str">
        <f>INDEX(Positions!$E$2:$E$721,MATCH($A25&amp;"|18",Positions!$A$2:$A$721,0))</f>
        <v>G</v>
      </c>
      <c r="G25" s="23" t="str">
        <f>INDEX(Positions!$E$2:$E$721,MATCH($A25&amp;"|55",Positions!$A$2:$A$721,0))</f>
        <v>U</v>
      </c>
      <c r="H25" s="24" t="str">
        <f t="shared" si="0"/>
        <v>G-U</v>
      </c>
      <c r="I25" s="23">
        <f t="shared" si="1"/>
        <v>1</v>
      </c>
      <c r="J25" s="23">
        <f t="shared" si="2"/>
        <v>0</v>
      </c>
      <c r="K25" s="24">
        <f t="shared" si="3"/>
        <v>1</v>
      </c>
    </row>
    <row r="26" spans="1:11">
      <c r="A26" s="23" t="s">
        <v>37</v>
      </c>
      <c r="B26" s="23" t="s">
        <v>195</v>
      </c>
      <c r="C26" s="23" t="s">
        <v>199</v>
      </c>
      <c r="D26" s="23">
        <f>INDEX(Positions!$D$2:$D$721,MATCH($A26&amp;"|19",Positions!$A$2:$A$721,0))</f>
        <v>18</v>
      </c>
      <c r="E26" s="23">
        <f>INDEX(Positions!$D$2:$D$721,MATCH($A26&amp;"|56",Positions!$A$2:$A$721,0))</f>
        <v>54</v>
      </c>
      <c r="F26" s="23" t="str">
        <f>INDEX(Positions!$E$2:$E$721,MATCH($A26&amp;"|19",Positions!$A$2:$A$721,0))</f>
        <v>G</v>
      </c>
      <c r="G26" s="23" t="str">
        <f>INDEX(Positions!$E$2:$E$721,MATCH($A26&amp;"|56",Positions!$A$2:$A$721,0))</f>
        <v>C</v>
      </c>
      <c r="H26" s="24" t="str">
        <f t="shared" si="0"/>
        <v>G-C</v>
      </c>
      <c r="I26" s="23">
        <f t="shared" si="1"/>
        <v>1</v>
      </c>
      <c r="J26" s="23">
        <f t="shared" si="2"/>
        <v>1</v>
      </c>
      <c r="K26" s="24">
        <f t="shared" si="3"/>
        <v>2</v>
      </c>
    </row>
    <row r="27" spans="1:11">
      <c r="A27" s="23" t="s">
        <v>37</v>
      </c>
      <c r="B27" s="23" t="s">
        <v>195</v>
      </c>
      <c r="C27" s="23" t="s">
        <v>200</v>
      </c>
      <c r="D27" s="23">
        <f>INDEX(Positions!$D$2:$D$721,MATCH($A27&amp;"|26",Positions!$A$2:$A$721,0))</f>
        <v>25</v>
      </c>
      <c r="E27" s="23">
        <f>INDEX(Positions!$D$2:$D$721,MATCH($A27&amp;"|44",Positions!$A$2:$A$721,0))</f>
        <v>43</v>
      </c>
      <c r="F27" s="23" t="str">
        <f>INDEX(Positions!$E$2:$E$721,MATCH($A27&amp;"|26",Positions!$A$2:$A$721,0))</f>
        <v>U</v>
      </c>
      <c r="G27" s="23" t="str">
        <f>INDEX(Positions!$E$2:$E$721,MATCH($A27&amp;"|44",Positions!$A$2:$A$721,0))</f>
        <v>G</v>
      </c>
      <c r="H27" s="24" t="str">
        <f t="shared" si="0"/>
        <v>U-G</v>
      </c>
      <c r="I27" s="23">
        <f t="shared" si="1"/>
        <v>1</v>
      </c>
      <c r="J27" s="23">
        <f t="shared" si="2"/>
        <v>0</v>
      </c>
      <c r="K27" s="24">
        <f t="shared" si="3"/>
        <v>1</v>
      </c>
    </row>
    <row r="28" spans="1:11">
      <c r="A28" s="23" t="s">
        <v>37</v>
      </c>
      <c r="B28" s="23" t="s">
        <v>195</v>
      </c>
      <c r="C28" s="23" t="s">
        <v>201</v>
      </c>
      <c r="D28" s="23">
        <f>INDEX(Positions!$D$2:$D$721,MATCH($A28&amp;"|32",Positions!$A$2:$A$721,0))</f>
        <v>31</v>
      </c>
      <c r="E28" s="23">
        <f>INDEX(Positions!$D$2:$D$721,MATCH($A28&amp;"|38",Positions!$A$2:$A$721,0))</f>
        <v>37</v>
      </c>
      <c r="F28" s="23" t="str">
        <f>INDEX(Positions!$E$2:$E$721,MATCH($A28&amp;"|32",Positions!$A$2:$A$721,0))</f>
        <v>U</v>
      </c>
      <c r="G28" s="23" t="str">
        <f>INDEX(Positions!$E$2:$E$721,MATCH($A28&amp;"|38",Positions!$A$2:$A$721,0))</f>
        <v>A</v>
      </c>
      <c r="H28" s="24" t="str">
        <f t="shared" si="0"/>
        <v>U-A</v>
      </c>
      <c r="I28" s="23">
        <f t="shared" si="1"/>
        <v>0</v>
      </c>
      <c r="J28" s="23">
        <f t="shared" si="2"/>
        <v>0</v>
      </c>
      <c r="K28" s="24">
        <f t="shared" si="3"/>
        <v>0</v>
      </c>
    </row>
    <row r="29" spans="1:11">
      <c r="A29" s="23" t="s">
        <v>37</v>
      </c>
      <c r="B29" s="23" t="s">
        <v>195</v>
      </c>
      <c r="C29" s="23" t="s">
        <v>202</v>
      </c>
      <c r="D29" s="23">
        <f>INDEX(Positions!$D$2:$D$721,MATCH($A29&amp;"|54",Positions!$A$2:$A$721,0))</f>
        <v>52</v>
      </c>
      <c r="E29" s="23">
        <f>INDEX(Positions!$D$2:$D$721,MATCH($A29&amp;"|58",Positions!$A$2:$A$721,0))</f>
        <v>56</v>
      </c>
      <c r="F29" s="23" t="str">
        <f>INDEX(Positions!$E$2:$E$721,MATCH($A29&amp;"|54",Positions!$A$2:$A$721,0))</f>
        <v>A</v>
      </c>
      <c r="G29" s="23" t="str">
        <f>INDEX(Positions!$E$2:$E$721,MATCH($A29&amp;"|58",Positions!$A$2:$A$721,0))</f>
        <v>U</v>
      </c>
      <c r="H29" s="24" t="str">
        <f t="shared" si="0"/>
        <v>A-U</v>
      </c>
      <c r="I29" s="23">
        <f t="shared" si="1"/>
        <v>0</v>
      </c>
      <c r="J29" s="23">
        <f t="shared" si="2"/>
        <v>0</v>
      </c>
      <c r="K29" s="24">
        <f t="shared" si="3"/>
        <v>0</v>
      </c>
    </row>
    <row r="30" spans="1:11">
      <c r="A30" s="4" t="s">
        <v>38</v>
      </c>
      <c r="B30" s="4" t="s">
        <v>56</v>
      </c>
      <c r="C30" s="4" t="s">
        <v>174</v>
      </c>
      <c r="D30" s="4">
        <f>INDEX(Positions!$D$2:$D$721,MATCH($A30&amp;"|1",Positions!$A$2:$A$721,0))</f>
        <v>1</v>
      </c>
      <c r="E30" s="4">
        <f>INDEX(Positions!$D$2:$D$721,MATCH($A30&amp;"|72",Positions!$A$2:$A$721,0))</f>
        <v>70</v>
      </c>
      <c r="F30" s="4" t="str">
        <f>INDEX(Positions!$E$2:$E$721,MATCH($A30&amp;"|1",Positions!$A$2:$A$721,0))</f>
        <v>G</v>
      </c>
      <c r="G30" s="4" t="str">
        <f>INDEX(Positions!$E$2:$E$721,MATCH($A30&amp;"|72",Positions!$A$2:$A$721,0))</f>
        <v>U</v>
      </c>
      <c r="H30" s="3" t="str">
        <f t="shared" si="0"/>
        <v>G-U</v>
      </c>
      <c r="I30" s="4">
        <f t="shared" si="1"/>
        <v>1</v>
      </c>
      <c r="J30" s="4">
        <f t="shared" si="2"/>
        <v>0</v>
      </c>
      <c r="K30" s="3">
        <f t="shared" si="3"/>
        <v>1</v>
      </c>
    </row>
    <row r="31" spans="1:11">
      <c r="A31" s="4" t="s">
        <v>38</v>
      </c>
      <c r="B31" s="4" t="s">
        <v>56</v>
      </c>
      <c r="C31" s="4" t="s">
        <v>175</v>
      </c>
      <c r="D31" s="4">
        <f>INDEX(Positions!$D$2:$D$721,MATCH($A31&amp;"|2",Positions!$A$2:$A$721,0))</f>
        <v>2</v>
      </c>
      <c r="E31" s="4">
        <f>INDEX(Positions!$D$2:$D$721,MATCH($A31&amp;"|71",Positions!$A$2:$A$721,0))</f>
        <v>69</v>
      </c>
      <c r="F31" s="4" t="str">
        <f>INDEX(Positions!$E$2:$E$721,MATCH($A31&amp;"|2",Positions!$A$2:$A$721,0))</f>
        <v>U</v>
      </c>
      <c r="G31" s="4" t="str">
        <f>INDEX(Positions!$E$2:$E$721,MATCH($A31&amp;"|71",Positions!$A$2:$A$721,0))</f>
        <v>A</v>
      </c>
      <c r="H31" s="3" t="str">
        <f t="shared" si="0"/>
        <v>U-A</v>
      </c>
      <c r="I31" s="4">
        <f t="shared" si="1"/>
        <v>0</v>
      </c>
      <c r="J31" s="4">
        <f t="shared" si="2"/>
        <v>0</v>
      </c>
      <c r="K31" s="3">
        <f t="shared" si="3"/>
        <v>0</v>
      </c>
    </row>
    <row r="32" spans="1:11">
      <c r="A32" s="4" t="s">
        <v>38</v>
      </c>
      <c r="B32" s="4" t="s">
        <v>56</v>
      </c>
      <c r="C32" s="4" t="s">
        <v>176</v>
      </c>
      <c r="D32" s="4">
        <f>INDEX(Positions!$D$2:$D$721,MATCH($A32&amp;"|3",Positions!$A$2:$A$721,0))</f>
        <v>3</v>
      </c>
      <c r="E32" s="4">
        <f>INDEX(Positions!$D$2:$D$721,MATCH($A32&amp;"|70",Positions!$A$2:$A$721,0))</f>
        <v>68</v>
      </c>
      <c r="F32" s="4" t="str">
        <f>INDEX(Positions!$E$2:$E$721,MATCH($A32&amp;"|3",Positions!$A$2:$A$721,0))</f>
        <v>U</v>
      </c>
      <c r="G32" s="4" t="str">
        <f>INDEX(Positions!$E$2:$E$721,MATCH($A32&amp;"|70",Positions!$A$2:$A$721,0))</f>
        <v>U</v>
      </c>
      <c r="H32" s="3" t="str">
        <f t="shared" si="0"/>
        <v>U-U</v>
      </c>
      <c r="I32" s="4">
        <f t="shared" si="1"/>
        <v>0</v>
      </c>
      <c r="J32" s="4">
        <f t="shared" si="2"/>
        <v>0</v>
      </c>
      <c r="K32" s="3">
        <f t="shared" si="3"/>
        <v>0</v>
      </c>
    </row>
    <row r="33" spans="1:11">
      <c r="A33" s="4" t="s">
        <v>38</v>
      </c>
      <c r="B33" s="4" t="s">
        <v>56</v>
      </c>
      <c r="C33" s="4" t="s">
        <v>177</v>
      </c>
      <c r="D33" s="4">
        <f>INDEX(Positions!$D$2:$D$721,MATCH($A33&amp;"|4",Positions!$A$2:$A$721,0))</f>
        <v>4</v>
      </c>
      <c r="E33" s="4">
        <f>INDEX(Positions!$D$2:$D$721,MATCH($A33&amp;"|69",Positions!$A$2:$A$721,0))</f>
        <v>67</v>
      </c>
      <c r="F33" s="4" t="str">
        <f>INDEX(Positions!$E$2:$E$721,MATCH($A33&amp;"|4",Positions!$A$2:$A$721,0))</f>
        <v>A</v>
      </c>
      <c r="G33" s="4" t="str">
        <f>INDEX(Positions!$E$2:$E$721,MATCH($A33&amp;"|69",Positions!$A$2:$A$721,0))</f>
        <v>U</v>
      </c>
      <c r="H33" s="3" t="str">
        <f t="shared" si="0"/>
        <v>A-U</v>
      </c>
      <c r="I33" s="4">
        <f t="shared" si="1"/>
        <v>0</v>
      </c>
      <c r="J33" s="4">
        <f t="shared" si="2"/>
        <v>0</v>
      </c>
      <c r="K33" s="3">
        <f t="shared" si="3"/>
        <v>0</v>
      </c>
    </row>
    <row r="34" spans="1:11">
      <c r="A34" s="4" t="s">
        <v>38</v>
      </c>
      <c r="B34" s="4" t="s">
        <v>56</v>
      </c>
      <c r="C34" s="4" t="s">
        <v>178</v>
      </c>
      <c r="D34" s="4">
        <f>INDEX(Positions!$D$2:$D$721,MATCH($A34&amp;"|5",Positions!$A$2:$A$721,0))</f>
        <v>5</v>
      </c>
      <c r="E34" s="4">
        <f>INDEX(Positions!$D$2:$D$721,MATCH($A34&amp;"|68",Positions!$A$2:$A$721,0))</f>
        <v>66</v>
      </c>
      <c r="F34" s="4" t="str">
        <f>INDEX(Positions!$E$2:$E$721,MATCH($A34&amp;"|5",Positions!$A$2:$A$721,0))</f>
        <v>G</v>
      </c>
      <c r="G34" s="4" t="str">
        <f>INDEX(Positions!$E$2:$E$721,MATCH($A34&amp;"|68",Positions!$A$2:$A$721,0))</f>
        <v>U</v>
      </c>
      <c r="H34" s="3" t="str">
        <f t="shared" si="0"/>
        <v>G-U</v>
      </c>
      <c r="I34" s="4">
        <f t="shared" si="1"/>
        <v>1</v>
      </c>
      <c r="J34" s="4">
        <f t="shared" si="2"/>
        <v>0</v>
      </c>
      <c r="K34" s="3">
        <f t="shared" si="3"/>
        <v>1</v>
      </c>
    </row>
    <row r="35" spans="1:11">
      <c r="A35" s="4" t="s">
        <v>38</v>
      </c>
      <c r="B35" s="4" t="s">
        <v>56</v>
      </c>
      <c r="C35" s="4" t="s">
        <v>179</v>
      </c>
      <c r="D35" s="4">
        <f>INDEX(Positions!$D$2:$D$721,MATCH($A35&amp;"|6",Positions!$A$2:$A$721,0))</f>
        <v>6</v>
      </c>
      <c r="E35" s="4">
        <f>INDEX(Positions!$D$2:$D$721,MATCH($A35&amp;"|67",Positions!$A$2:$A$721,0))</f>
        <v>65</v>
      </c>
      <c r="F35" s="4" t="str">
        <f>INDEX(Positions!$E$2:$E$721,MATCH($A35&amp;"|6",Positions!$A$2:$A$721,0))</f>
        <v>A</v>
      </c>
      <c r="G35" s="4" t="str">
        <f>INDEX(Positions!$E$2:$E$721,MATCH($A35&amp;"|67",Positions!$A$2:$A$721,0))</f>
        <v>U</v>
      </c>
      <c r="H35" s="3" t="str">
        <f t="shared" si="0"/>
        <v>A-U</v>
      </c>
      <c r="I35" s="4">
        <f t="shared" si="1"/>
        <v>0</v>
      </c>
      <c r="J35" s="4">
        <f t="shared" si="2"/>
        <v>0</v>
      </c>
      <c r="K35" s="3">
        <f t="shared" si="3"/>
        <v>0</v>
      </c>
    </row>
    <row r="36" spans="1:11">
      <c r="A36" s="4" t="s">
        <v>38</v>
      </c>
      <c r="B36" s="4" t="s">
        <v>56</v>
      </c>
      <c r="C36" s="4" t="s">
        <v>180</v>
      </c>
      <c r="D36" s="4">
        <f>INDEX(Positions!$D$2:$D$721,MATCH($A36&amp;"|7",Positions!$A$2:$A$721,0))</f>
        <v>7</v>
      </c>
      <c r="E36" s="4">
        <f>INDEX(Positions!$D$2:$D$721,MATCH($A36&amp;"|66",Positions!$A$2:$A$721,0))</f>
        <v>64</v>
      </c>
      <c r="F36" s="4" t="str">
        <f>INDEX(Positions!$E$2:$E$721,MATCH($A36&amp;"|7",Positions!$A$2:$A$721,0))</f>
        <v>G</v>
      </c>
      <c r="G36" s="4" t="str">
        <f>INDEX(Positions!$E$2:$E$721,MATCH($A36&amp;"|66",Positions!$A$2:$A$721,0))</f>
        <v>C</v>
      </c>
      <c r="H36" s="3" t="str">
        <f t="shared" si="0"/>
        <v>G-C</v>
      </c>
      <c r="I36" s="4">
        <f t="shared" si="1"/>
        <v>1</v>
      </c>
      <c r="J36" s="4">
        <f t="shared" si="2"/>
        <v>1</v>
      </c>
      <c r="K36" s="3">
        <f t="shared" si="3"/>
        <v>2</v>
      </c>
    </row>
    <row r="37" spans="1:11">
      <c r="A37" s="4" t="s">
        <v>38</v>
      </c>
      <c r="B37" s="4" t="s">
        <v>71</v>
      </c>
      <c r="C37" s="4" t="s">
        <v>181</v>
      </c>
      <c r="D37" s="4">
        <f>INDEX(Positions!$D$2:$D$721,MATCH($A37&amp;"|10",Positions!$A$2:$A$721,0))</f>
        <v>10</v>
      </c>
      <c r="E37" s="4">
        <f>INDEX(Positions!$D$2:$D$721,MATCH($A37&amp;"|25",Positions!$A$2:$A$721,0))</f>
        <v>24</v>
      </c>
      <c r="F37" s="4" t="str">
        <f>INDEX(Positions!$E$2:$E$721,MATCH($A37&amp;"|10",Positions!$A$2:$A$721,0))</f>
        <v>A</v>
      </c>
      <c r="G37" s="4" t="str">
        <f>INDEX(Positions!$E$2:$E$721,MATCH($A37&amp;"|25",Positions!$A$2:$A$721,0))</f>
        <v>U</v>
      </c>
      <c r="H37" s="3" t="str">
        <f t="shared" si="0"/>
        <v>A-U</v>
      </c>
      <c r="I37" s="4">
        <f t="shared" si="1"/>
        <v>0</v>
      </c>
      <c r="J37" s="4">
        <f t="shared" si="2"/>
        <v>0</v>
      </c>
      <c r="K37" s="3">
        <f t="shared" si="3"/>
        <v>0</v>
      </c>
    </row>
    <row r="38" spans="1:11">
      <c r="A38" s="4" t="s">
        <v>38</v>
      </c>
      <c r="B38" s="4" t="s">
        <v>71</v>
      </c>
      <c r="C38" s="4" t="s">
        <v>182</v>
      </c>
      <c r="D38" s="4">
        <f>INDEX(Positions!$D$2:$D$721,MATCH($A38&amp;"|11",Positions!$A$2:$A$721,0))</f>
        <v>11</v>
      </c>
      <c r="E38" s="4">
        <f>INDEX(Positions!$D$2:$D$721,MATCH($A38&amp;"|24",Positions!$A$2:$A$721,0))</f>
        <v>23</v>
      </c>
      <c r="F38" s="4" t="str">
        <f>INDEX(Positions!$E$2:$E$721,MATCH($A38&amp;"|11",Positions!$A$2:$A$721,0))</f>
        <v>A</v>
      </c>
      <c r="G38" s="4" t="str">
        <f>INDEX(Positions!$E$2:$E$721,MATCH($A38&amp;"|24",Positions!$A$2:$A$721,0))</f>
        <v>A</v>
      </c>
      <c r="H38" s="3" t="str">
        <f t="shared" si="0"/>
        <v>A-A</v>
      </c>
      <c r="I38" s="4">
        <f t="shared" si="1"/>
        <v>0</v>
      </c>
      <c r="J38" s="4">
        <f t="shared" si="2"/>
        <v>0</v>
      </c>
      <c r="K38" s="3">
        <f t="shared" si="3"/>
        <v>0</v>
      </c>
    </row>
    <row r="39" spans="1:11">
      <c r="A39" s="4" t="s">
        <v>38</v>
      </c>
      <c r="B39" s="4" t="s">
        <v>71</v>
      </c>
      <c r="C39" s="4" t="s">
        <v>183</v>
      </c>
      <c r="D39" s="4">
        <f>INDEX(Positions!$D$2:$D$721,MATCH($A39&amp;"|12",Positions!$A$2:$A$721,0))</f>
        <v>12</v>
      </c>
      <c r="E39" s="4">
        <f>INDEX(Positions!$D$2:$D$721,MATCH($A39&amp;"|23",Positions!$A$2:$A$721,0))</f>
        <v>22</v>
      </c>
      <c r="F39" s="4" t="str">
        <f>INDEX(Positions!$E$2:$E$721,MATCH($A39&amp;"|12",Positions!$A$2:$A$721,0))</f>
        <v>G</v>
      </c>
      <c r="G39" s="4" t="str">
        <f>INDEX(Positions!$E$2:$E$721,MATCH($A39&amp;"|23",Positions!$A$2:$A$721,0))</f>
        <v>C</v>
      </c>
      <c r="H39" s="3" t="str">
        <f t="shared" si="0"/>
        <v>G-C</v>
      </c>
      <c r="I39" s="4">
        <f t="shared" si="1"/>
        <v>1</v>
      </c>
      <c r="J39" s="4">
        <f t="shared" si="2"/>
        <v>1</v>
      </c>
      <c r="K39" s="3">
        <f t="shared" si="3"/>
        <v>2</v>
      </c>
    </row>
    <row r="40" spans="1:11">
      <c r="A40" s="4" t="s">
        <v>38</v>
      </c>
      <c r="B40" s="4" t="s">
        <v>71</v>
      </c>
      <c r="C40" s="4" t="s">
        <v>184</v>
      </c>
      <c r="D40" s="4">
        <f>INDEX(Positions!$D$2:$D$721,MATCH($A40&amp;"|13",Positions!$A$2:$A$721,0))</f>
        <v>13</v>
      </c>
      <c r="E40" s="4">
        <f>INDEX(Positions!$D$2:$D$721,MATCH($A40&amp;"|22",Positions!$A$2:$A$721,0))</f>
        <v>21</v>
      </c>
      <c r="F40" s="4" t="str">
        <f>INDEX(Positions!$E$2:$E$721,MATCH($A40&amp;"|13",Positions!$A$2:$A$721,0))</f>
        <v>A</v>
      </c>
      <c r="G40" s="4" t="str">
        <f>INDEX(Positions!$E$2:$E$721,MATCH($A40&amp;"|22",Positions!$A$2:$A$721,0))</f>
        <v>U</v>
      </c>
      <c r="H40" s="3" t="str">
        <f t="shared" si="0"/>
        <v>A-U</v>
      </c>
      <c r="I40" s="4">
        <f t="shared" si="1"/>
        <v>0</v>
      </c>
      <c r="J40" s="4">
        <f t="shared" si="2"/>
        <v>0</v>
      </c>
      <c r="K40" s="3">
        <f t="shared" si="3"/>
        <v>0</v>
      </c>
    </row>
    <row r="41" spans="1:11">
      <c r="A41" s="4" t="s">
        <v>38</v>
      </c>
      <c r="B41" s="4" t="s">
        <v>90</v>
      </c>
      <c r="C41" s="4" t="s">
        <v>185</v>
      </c>
      <c r="D41" s="4">
        <f>INDEX(Positions!$D$2:$D$721,MATCH($A41&amp;"|27",Positions!$A$2:$A$721,0))</f>
        <v>26</v>
      </c>
      <c r="E41" s="4">
        <f>INDEX(Positions!$D$2:$D$721,MATCH($A41&amp;"|43",Positions!$A$2:$A$721,0))</f>
        <v>42</v>
      </c>
      <c r="F41" s="4" t="str">
        <f>INDEX(Positions!$E$2:$E$721,MATCH($A41&amp;"|27",Positions!$A$2:$A$721,0))</f>
        <v>U</v>
      </c>
      <c r="G41" s="4" t="str">
        <f>INDEX(Positions!$E$2:$E$721,MATCH($A41&amp;"|43",Positions!$A$2:$A$721,0))</f>
        <v>A</v>
      </c>
      <c r="H41" s="3" t="str">
        <f t="shared" si="0"/>
        <v>U-A</v>
      </c>
      <c r="I41" s="4">
        <f t="shared" si="1"/>
        <v>0</v>
      </c>
      <c r="J41" s="4">
        <f t="shared" si="2"/>
        <v>0</v>
      </c>
      <c r="K41" s="3">
        <f t="shared" si="3"/>
        <v>0</v>
      </c>
    </row>
    <row r="42" spans="1:11">
      <c r="A42" s="4" t="s">
        <v>38</v>
      </c>
      <c r="B42" s="4" t="s">
        <v>90</v>
      </c>
      <c r="C42" s="4" t="s">
        <v>186</v>
      </c>
      <c r="D42" s="4">
        <f>INDEX(Positions!$D$2:$D$721,MATCH($A42&amp;"|28",Positions!$A$2:$A$721,0))</f>
        <v>27</v>
      </c>
      <c r="E42" s="4">
        <f>INDEX(Positions!$D$2:$D$721,MATCH($A42&amp;"|42",Positions!$A$2:$A$721,0))</f>
        <v>41</v>
      </c>
      <c r="F42" s="4" t="str">
        <f>INDEX(Positions!$E$2:$E$721,MATCH($A42&amp;"|28",Positions!$A$2:$A$721,0))</f>
        <v>G</v>
      </c>
      <c r="G42" s="4" t="str">
        <f>INDEX(Positions!$E$2:$E$721,MATCH($A42&amp;"|42",Positions!$A$2:$A$721,0))</f>
        <v>C</v>
      </c>
      <c r="H42" s="3" t="str">
        <f t="shared" si="0"/>
        <v>G-C</v>
      </c>
      <c r="I42" s="4">
        <f t="shared" si="1"/>
        <v>1</v>
      </c>
      <c r="J42" s="4">
        <f t="shared" si="2"/>
        <v>1</v>
      </c>
      <c r="K42" s="3">
        <f t="shared" si="3"/>
        <v>2</v>
      </c>
    </row>
    <row r="43" spans="1:11">
      <c r="A43" s="4" t="s">
        <v>38</v>
      </c>
      <c r="B43" s="4" t="s">
        <v>90</v>
      </c>
      <c r="C43" s="4" t="s">
        <v>187</v>
      </c>
      <c r="D43" s="4">
        <f>INDEX(Positions!$D$2:$D$721,MATCH($A43&amp;"|29",Positions!$A$2:$A$721,0))</f>
        <v>28</v>
      </c>
      <c r="E43" s="4">
        <f>INDEX(Positions!$D$2:$D$721,MATCH($A43&amp;"|41",Positions!$A$2:$A$721,0))</f>
        <v>40</v>
      </c>
      <c r="F43" s="4" t="str">
        <f>INDEX(Positions!$E$2:$E$721,MATCH($A43&amp;"|29",Positions!$A$2:$A$721,0))</f>
        <v>U</v>
      </c>
      <c r="G43" s="4" t="str">
        <f>INDEX(Positions!$E$2:$E$721,MATCH($A43&amp;"|41",Positions!$A$2:$A$721,0))</f>
        <v>A</v>
      </c>
      <c r="H43" s="3" t="str">
        <f t="shared" si="0"/>
        <v>U-A</v>
      </c>
      <c r="I43" s="4">
        <f t="shared" si="1"/>
        <v>0</v>
      </c>
      <c r="J43" s="4">
        <f t="shared" si="2"/>
        <v>0</v>
      </c>
      <c r="K43" s="3">
        <f t="shared" si="3"/>
        <v>0</v>
      </c>
    </row>
    <row r="44" spans="1:11">
      <c r="A44" s="4" t="s">
        <v>38</v>
      </c>
      <c r="B44" s="4" t="s">
        <v>90</v>
      </c>
      <c r="C44" s="4" t="s">
        <v>188</v>
      </c>
      <c r="D44" s="4">
        <f>INDEX(Positions!$D$2:$D$721,MATCH($A44&amp;"|30",Positions!$A$2:$A$721,0))</f>
        <v>29</v>
      </c>
      <c r="E44" s="4">
        <f>INDEX(Positions!$D$2:$D$721,MATCH($A44&amp;"|40",Positions!$A$2:$A$721,0))</f>
        <v>39</v>
      </c>
      <c r="F44" s="4" t="str">
        <f>INDEX(Positions!$E$2:$E$721,MATCH($A44&amp;"|30",Positions!$A$2:$A$721,0))</f>
        <v>A</v>
      </c>
      <c r="G44" s="4" t="str">
        <f>INDEX(Positions!$E$2:$E$721,MATCH($A44&amp;"|40",Positions!$A$2:$A$721,0))</f>
        <v>U</v>
      </c>
      <c r="H44" s="3" t="str">
        <f t="shared" si="0"/>
        <v>A-U</v>
      </c>
      <c r="I44" s="4">
        <f t="shared" si="1"/>
        <v>0</v>
      </c>
      <c r="J44" s="4">
        <f t="shared" si="2"/>
        <v>0</v>
      </c>
      <c r="K44" s="3">
        <f t="shared" si="3"/>
        <v>0</v>
      </c>
    </row>
    <row r="45" spans="1:11">
      <c r="A45" s="4" t="s">
        <v>38</v>
      </c>
      <c r="B45" s="4" t="s">
        <v>90</v>
      </c>
      <c r="C45" s="4" t="s">
        <v>189</v>
      </c>
      <c r="D45" s="4">
        <f>INDEX(Positions!$D$2:$D$721,MATCH($A45&amp;"|31",Positions!$A$2:$A$721,0))</f>
        <v>30</v>
      </c>
      <c r="E45" s="4">
        <f>INDEX(Positions!$D$2:$D$721,MATCH($A45&amp;"|39",Positions!$A$2:$A$721,0))</f>
        <v>38</v>
      </c>
      <c r="F45" s="4" t="str">
        <f>INDEX(Positions!$E$2:$E$721,MATCH($A45&amp;"|31",Positions!$A$2:$A$721,0))</f>
        <v>A</v>
      </c>
      <c r="G45" s="4" t="str">
        <f>INDEX(Positions!$E$2:$E$721,MATCH($A45&amp;"|39",Positions!$A$2:$A$721,0))</f>
        <v>U</v>
      </c>
      <c r="H45" s="3" t="str">
        <f t="shared" si="0"/>
        <v>A-U</v>
      </c>
      <c r="I45" s="4">
        <f t="shared" si="1"/>
        <v>0</v>
      </c>
      <c r="J45" s="4">
        <f t="shared" si="2"/>
        <v>0</v>
      </c>
      <c r="K45" s="3">
        <f t="shared" si="3"/>
        <v>0</v>
      </c>
    </row>
    <row r="46" spans="1:11">
      <c r="A46" s="4" t="s">
        <v>38</v>
      </c>
      <c r="B46" s="4" t="s">
        <v>114</v>
      </c>
      <c r="C46" s="4" t="s">
        <v>190</v>
      </c>
      <c r="D46" s="4">
        <f>INDEX(Positions!$D$2:$D$721,MATCH($A46&amp;"|49",Positions!$A$2:$A$721,0))</f>
        <v>47</v>
      </c>
      <c r="E46" s="4">
        <f>INDEX(Positions!$D$2:$D$721,MATCH($A46&amp;"|65",Positions!$A$2:$A$721,0))</f>
        <v>63</v>
      </c>
      <c r="F46" s="4" t="str">
        <f>INDEX(Positions!$E$2:$E$721,MATCH($A46&amp;"|49",Positions!$A$2:$A$721,0))</f>
        <v>U</v>
      </c>
      <c r="G46" s="4" t="str">
        <f>INDEX(Positions!$E$2:$E$721,MATCH($A46&amp;"|65",Positions!$A$2:$A$721,0))</f>
        <v>A</v>
      </c>
      <c r="H46" s="3" t="str">
        <f t="shared" si="0"/>
        <v>U-A</v>
      </c>
      <c r="I46" s="4">
        <f t="shared" si="1"/>
        <v>0</v>
      </c>
      <c r="J46" s="4">
        <f t="shared" si="2"/>
        <v>0</v>
      </c>
      <c r="K46" s="3">
        <f t="shared" si="3"/>
        <v>0</v>
      </c>
    </row>
    <row r="47" spans="1:11">
      <c r="A47" s="4" t="s">
        <v>38</v>
      </c>
      <c r="B47" s="4" t="s">
        <v>114</v>
      </c>
      <c r="C47" s="4" t="s">
        <v>191</v>
      </c>
      <c r="D47" s="4">
        <f>INDEX(Positions!$D$2:$D$721,MATCH($A47&amp;"|50",Positions!$A$2:$A$721,0))</f>
        <v>48</v>
      </c>
      <c r="E47" s="4">
        <f>INDEX(Positions!$D$2:$D$721,MATCH($A47&amp;"|64",Positions!$A$2:$A$721,0))</f>
        <v>62</v>
      </c>
      <c r="F47" s="4" t="str">
        <f>INDEX(Positions!$E$2:$E$721,MATCH($A47&amp;"|50",Positions!$A$2:$A$721,0))</f>
        <v>A</v>
      </c>
      <c r="G47" s="4" t="str">
        <f>INDEX(Positions!$E$2:$E$721,MATCH($A47&amp;"|64",Positions!$A$2:$A$721,0))</f>
        <v>U</v>
      </c>
      <c r="H47" s="3" t="str">
        <f t="shared" si="0"/>
        <v>A-U</v>
      </c>
      <c r="I47" s="4">
        <f t="shared" si="1"/>
        <v>0</v>
      </c>
      <c r="J47" s="4">
        <f t="shared" si="2"/>
        <v>0</v>
      </c>
      <c r="K47" s="3">
        <f t="shared" si="3"/>
        <v>0</v>
      </c>
    </row>
    <row r="48" spans="1:11">
      <c r="A48" s="4" t="s">
        <v>38</v>
      </c>
      <c r="B48" s="4" t="s">
        <v>114</v>
      </c>
      <c r="C48" s="4" t="s">
        <v>192</v>
      </c>
      <c r="D48" s="4">
        <f>INDEX(Positions!$D$2:$D$721,MATCH($A48&amp;"|51",Positions!$A$2:$A$721,0))</f>
        <v>49</v>
      </c>
      <c r="E48" s="4">
        <f>INDEX(Positions!$D$2:$D$721,MATCH($A48&amp;"|63",Positions!$A$2:$A$721,0))</f>
        <v>61</v>
      </c>
      <c r="F48" s="4" t="str">
        <f>INDEX(Positions!$E$2:$E$721,MATCH($A48&amp;"|51",Positions!$A$2:$A$721,0))</f>
        <v>G</v>
      </c>
      <c r="G48" s="4" t="str">
        <f>INDEX(Positions!$E$2:$E$721,MATCH($A48&amp;"|63",Positions!$A$2:$A$721,0))</f>
        <v>U</v>
      </c>
      <c r="H48" s="3" t="str">
        <f t="shared" si="0"/>
        <v>G-U</v>
      </c>
      <c r="I48" s="4">
        <f t="shared" si="1"/>
        <v>1</v>
      </c>
      <c r="J48" s="4">
        <f t="shared" si="2"/>
        <v>0</v>
      </c>
      <c r="K48" s="3">
        <f t="shared" si="3"/>
        <v>1</v>
      </c>
    </row>
    <row r="49" spans="1:11">
      <c r="A49" s="4" t="s">
        <v>38</v>
      </c>
      <c r="B49" s="4" t="s">
        <v>114</v>
      </c>
      <c r="C49" s="4" t="s">
        <v>193</v>
      </c>
      <c r="D49" s="4">
        <f>INDEX(Positions!$D$2:$D$721,MATCH($A49&amp;"|52",Positions!$A$2:$A$721,0))</f>
        <v>50</v>
      </c>
      <c r="E49" s="4">
        <f>INDEX(Positions!$D$2:$D$721,MATCH($A49&amp;"|62",Positions!$A$2:$A$721,0))</f>
        <v>60</v>
      </c>
      <c r="F49" s="4" t="str">
        <f>INDEX(Positions!$E$2:$E$721,MATCH($A49&amp;"|52",Positions!$A$2:$A$721,0))</f>
        <v>G</v>
      </c>
      <c r="G49" s="4" t="str">
        <f>INDEX(Positions!$E$2:$E$721,MATCH($A49&amp;"|62",Positions!$A$2:$A$721,0))</f>
        <v>U</v>
      </c>
      <c r="H49" s="3" t="str">
        <f t="shared" si="0"/>
        <v>G-U</v>
      </c>
      <c r="I49" s="4">
        <f t="shared" si="1"/>
        <v>1</v>
      </c>
      <c r="J49" s="4">
        <f t="shared" si="2"/>
        <v>0</v>
      </c>
      <c r="K49" s="3">
        <f t="shared" si="3"/>
        <v>1</v>
      </c>
    </row>
    <row r="50" spans="1:11">
      <c r="A50" s="4" t="s">
        <v>38</v>
      </c>
      <c r="B50" s="4" t="s">
        <v>114</v>
      </c>
      <c r="C50" s="4" t="s">
        <v>194</v>
      </c>
      <c r="D50" s="4">
        <f>INDEX(Positions!$D$2:$D$721,MATCH($A50&amp;"|53",Positions!$A$2:$A$721,0))</f>
        <v>51</v>
      </c>
      <c r="E50" s="4">
        <f>INDEX(Positions!$D$2:$D$721,MATCH($A50&amp;"|61",Positions!$A$2:$A$721,0))</f>
        <v>59</v>
      </c>
      <c r="F50" s="4" t="str">
        <f>INDEX(Positions!$E$2:$E$721,MATCH($A50&amp;"|53",Positions!$A$2:$A$721,0))</f>
        <v>G</v>
      </c>
      <c r="G50" s="4" t="str">
        <f>INDEX(Positions!$E$2:$E$721,MATCH($A50&amp;"|61",Positions!$A$2:$A$721,0))</f>
        <v>C</v>
      </c>
      <c r="H50" s="3" t="str">
        <f t="shared" si="0"/>
        <v>G-C</v>
      </c>
      <c r="I50" s="4">
        <f t="shared" si="1"/>
        <v>1</v>
      </c>
      <c r="J50" s="4">
        <f t="shared" si="2"/>
        <v>1</v>
      </c>
      <c r="K50" s="3">
        <f t="shared" si="3"/>
        <v>2</v>
      </c>
    </row>
    <row r="51" spans="1:11">
      <c r="A51" s="23" t="s">
        <v>38</v>
      </c>
      <c r="B51" s="23" t="s">
        <v>195</v>
      </c>
      <c r="C51" s="23" t="s">
        <v>196</v>
      </c>
      <c r="D51" s="23">
        <f>INDEX(Positions!$D$2:$D$721,MATCH($A51&amp;"|8",Positions!$A$2:$A$721,0))</f>
        <v>8</v>
      </c>
      <c r="E51" s="23">
        <f>INDEX(Positions!$D$2:$D$721,MATCH($A51&amp;"|14",Positions!$A$2:$A$721,0))</f>
        <v>14</v>
      </c>
      <c r="F51" s="23" t="str">
        <f>INDEX(Positions!$E$2:$E$721,MATCH($A51&amp;"|8",Positions!$A$2:$A$721,0))</f>
        <v>U</v>
      </c>
      <c r="G51" s="23" t="str">
        <f>INDEX(Positions!$E$2:$E$721,MATCH($A51&amp;"|14",Positions!$A$2:$A$721,0))</f>
        <v>A</v>
      </c>
      <c r="H51" s="24" t="str">
        <f t="shared" si="0"/>
        <v>U-A</v>
      </c>
      <c r="I51" s="23">
        <f t="shared" si="1"/>
        <v>0</v>
      </c>
      <c r="J51" s="23">
        <f t="shared" si="2"/>
        <v>0</v>
      </c>
      <c r="K51" s="24">
        <f t="shared" si="3"/>
        <v>0</v>
      </c>
    </row>
    <row r="52" spans="1:11">
      <c r="A52" s="23" t="s">
        <v>38</v>
      </c>
      <c r="B52" s="23" t="s">
        <v>195</v>
      </c>
      <c r="C52" s="23" t="s">
        <v>197</v>
      </c>
      <c r="D52" s="23">
        <f>INDEX(Positions!$D$2:$D$721,MATCH($A52&amp;"|15",Positions!$A$2:$A$721,0))</f>
        <v>15</v>
      </c>
      <c r="E52" s="23">
        <f>INDEX(Positions!$D$2:$D$721,MATCH($A52&amp;"|48",Positions!$A$2:$A$721,0))</f>
        <v>46</v>
      </c>
      <c r="F52" s="23" t="str">
        <f>INDEX(Positions!$E$2:$E$721,MATCH($A52&amp;"|15",Positions!$A$2:$A$721,0))</f>
        <v>A</v>
      </c>
      <c r="G52" s="23" t="str">
        <f>INDEX(Positions!$E$2:$E$721,MATCH($A52&amp;"|48",Positions!$A$2:$A$721,0))</f>
        <v>U</v>
      </c>
      <c r="H52" s="24" t="str">
        <f t="shared" si="0"/>
        <v>A-U</v>
      </c>
      <c r="I52" s="23">
        <f t="shared" si="1"/>
        <v>0</v>
      </c>
      <c r="J52" s="23">
        <f t="shared" si="2"/>
        <v>0</v>
      </c>
      <c r="K52" s="24">
        <f t="shared" si="3"/>
        <v>0</v>
      </c>
    </row>
    <row r="53" spans="1:11">
      <c r="A53" s="23" t="s">
        <v>38</v>
      </c>
      <c r="B53" s="23" t="s">
        <v>195</v>
      </c>
      <c r="C53" s="23" t="s">
        <v>198</v>
      </c>
      <c r="D53" s="23">
        <f>INDEX(Positions!$D$2:$D$721,MATCH($A53&amp;"|18",Positions!$A$2:$A$721,0))</f>
        <v>17</v>
      </c>
      <c r="E53" s="23">
        <f>INDEX(Positions!$D$2:$D$721,MATCH($A53&amp;"|55",Positions!$A$2:$A$721,0))</f>
        <v>53</v>
      </c>
      <c r="F53" s="23" t="str">
        <f>INDEX(Positions!$E$2:$E$721,MATCH($A53&amp;"|18",Positions!$A$2:$A$721,0))</f>
        <v>G</v>
      </c>
      <c r="G53" s="23" t="str">
        <f>INDEX(Positions!$E$2:$E$721,MATCH($A53&amp;"|55",Positions!$A$2:$A$721,0))</f>
        <v>U</v>
      </c>
      <c r="H53" s="24" t="str">
        <f t="shared" si="0"/>
        <v>G-U</v>
      </c>
      <c r="I53" s="23">
        <f t="shared" si="1"/>
        <v>1</v>
      </c>
      <c r="J53" s="23">
        <f t="shared" si="2"/>
        <v>0</v>
      </c>
      <c r="K53" s="24">
        <f t="shared" si="3"/>
        <v>1</v>
      </c>
    </row>
    <row r="54" spans="1:11">
      <c r="A54" s="23" t="s">
        <v>38</v>
      </c>
      <c r="B54" s="23" t="s">
        <v>195</v>
      </c>
      <c r="C54" s="23" t="s">
        <v>199</v>
      </c>
      <c r="D54" s="23">
        <f>INDEX(Positions!$D$2:$D$721,MATCH($A54&amp;"|19",Positions!$A$2:$A$721,0))</f>
        <v>18</v>
      </c>
      <c r="E54" s="23">
        <f>INDEX(Positions!$D$2:$D$721,MATCH($A54&amp;"|56",Positions!$A$2:$A$721,0))</f>
        <v>54</v>
      </c>
      <c r="F54" s="23" t="str">
        <f>INDEX(Positions!$E$2:$E$721,MATCH($A54&amp;"|19",Positions!$A$2:$A$721,0))</f>
        <v>G</v>
      </c>
      <c r="G54" s="23" t="str">
        <f>INDEX(Positions!$E$2:$E$721,MATCH($A54&amp;"|56",Positions!$A$2:$A$721,0))</f>
        <v>C</v>
      </c>
      <c r="H54" s="24" t="str">
        <f t="shared" si="0"/>
        <v>G-C</v>
      </c>
      <c r="I54" s="23">
        <f t="shared" si="1"/>
        <v>1</v>
      </c>
      <c r="J54" s="23">
        <f t="shared" si="2"/>
        <v>1</v>
      </c>
      <c r="K54" s="24">
        <f t="shared" si="3"/>
        <v>2</v>
      </c>
    </row>
    <row r="55" spans="1:11">
      <c r="A55" s="23" t="s">
        <v>38</v>
      </c>
      <c r="B55" s="23" t="s">
        <v>195</v>
      </c>
      <c r="C55" s="23" t="s">
        <v>200</v>
      </c>
      <c r="D55" s="23">
        <f>INDEX(Positions!$D$2:$D$721,MATCH($A55&amp;"|26",Positions!$A$2:$A$721,0))</f>
        <v>25</v>
      </c>
      <c r="E55" s="23">
        <f>INDEX(Positions!$D$2:$D$721,MATCH($A55&amp;"|44",Positions!$A$2:$A$721,0))</f>
        <v>43</v>
      </c>
      <c r="F55" s="23" t="str">
        <f>INDEX(Positions!$E$2:$E$721,MATCH($A55&amp;"|26",Positions!$A$2:$A$721,0))</f>
        <v>C</v>
      </c>
      <c r="G55" s="23" t="str">
        <f>INDEX(Positions!$E$2:$E$721,MATCH($A55&amp;"|44",Positions!$A$2:$A$721,0))</f>
        <v>G</v>
      </c>
      <c r="H55" s="24" t="str">
        <f t="shared" si="0"/>
        <v>C-G</v>
      </c>
      <c r="I55" s="23">
        <f t="shared" si="1"/>
        <v>1</v>
      </c>
      <c r="J55" s="23">
        <f t="shared" si="2"/>
        <v>1</v>
      </c>
      <c r="K55" s="24">
        <f t="shared" si="3"/>
        <v>2</v>
      </c>
    </row>
    <row r="56" spans="1:11">
      <c r="A56" s="23" t="s">
        <v>38</v>
      </c>
      <c r="B56" s="23" t="s">
        <v>195</v>
      </c>
      <c r="C56" s="23" t="s">
        <v>201</v>
      </c>
      <c r="D56" s="23">
        <f>INDEX(Positions!$D$2:$D$721,MATCH($A56&amp;"|32",Positions!$A$2:$A$721,0))</f>
        <v>31</v>
      </c>
      <c r="E56" s="23">
        <f>INDEX(Positions!$D$2:$D$721,MATCH($A56&amp;"|38",Positions!$A$2:$A$721,0))</f>
        <v>37</v>
      </c>
      <c r="F56" s="23" t="str">
        <f>INDEX(Positions!$E$2:$E$721,MATCH($A56&amp;"|32",Positions!$A$2:$A$721,0))</f>
        <v>U</v>
      </c>
      <c r="G56" s="23" t="str">
        <f>INDEX(Positions!$E$2:$E$721,MATCH($A56&amp;"|38",Positions!$A$2:$A$721,0))</f>
        <v>A</v>
      </c>
      <c r="H56" s="24" t="str">
        <f t="shared" si="0"/>
        <v>U-A</v>
      </c>
      <c r="I56" s="23">
        <f t="shared" si="1"/>
        <v>0</v>
      </c>
      <c r="J56" s="23">
        <f t="shared" si="2"/>
        <v>0</v>
      </c>
      <c r="K56" s="24">
        <f t="shared" si="3"/>
        <v>0</v>
      </c>
    </row>
    <row r="57" spans="1:11">
      <c r="A57" s="23" t="s">
        <v>38</v>
      </c>
      <c r="B57" s="23" t="s">
        <v>195</v>
      </c>
      <c r="C57" s="23" t="s">
        <v>202</v>
      </c>
      <c r="D57" s="23">
        <f>INDEX(Positions!$D$2:$D$721,MATCH($A57&amp;"|54",Positions!$A$2:$A$721,0))</f>
        <v>52</v>
      </c>
      <c r="E57" s="23">
        <f>INDEX(Positions!$D$2:$D$721,MATCH($A57&amp;"|58",Positions!$A$2:$A$721,0))</f>
        <v>56</v>
      </c>
      <c r="F57" s="23" t="str">
        <f>INDEX(Positions!$E$2:$E$721,MATCH($A57&amp;"|54",Positions!$A$2:$A$721,0))</f>
        <v>A</v>
      </c>
      <c r="G57" s="23" t="str">
        <f>INDEX(Positions!$E$2:$E$721,MATCH($A57&amp;"|58",Positions!$A$2:$A$721,0))</f>
        <v>U</v>
      </c>
      <c r="H57" s="24" t="str">
        <f t="shared" si="0"/>
        <v>A-U</v>
      </c>
      <c r="I57" s="23">
        <f t="shared" si="1"/>
        <v>0</v>
      </c>
      <c r="J57" s="23">
        <f t="shared" si="2"/>
        <v>0</v>
      </c>
      <c r="K57" s="24">
        <f t="shared" si="3"/>
        <v>0</v>
      </c>
    </row>
    <row r="58" spans="1:11">
      <c r="A58" s="4" t="s">
        <v>39</v>
      </c>
      <c r="B58" s="4" t="s">
        <v>56</v>
      </c>
      <c r="C58" s="4" t="s">
        <v>174</v>
      </c>
      <c r="D58" s="4">
        <f>INDEX(Positions!$D$2:$D$721,MATCH($A58&amp;"|1",Positions!$A$2:$A$721,0))</f>
        <v>1</v>
      </c>
      <c r="E58" s="4">
        <f>INDEX(Positions!$D$2:$D$721,MATCH($A58&amp;"|72",Positions!$A$2:$A$721,0))</f>
        <v>70</v>
      </c>
      <c r="F58" s="4" t="str">
        <f>INDEX(Positions!$E$2:$E$721,MATCH($A58&amp;"|1",Positions!$A$2:$A$721,0))</f>
        <v>G</v>
      </c>
      <c r="G58" s="4" t="str">
        <f>INDEX(Positions!$E$2:$E$721,MATCH($A58&amp;"|72",Positions!$A$2:$A$721,0))</f>
        <v>U</v>
      </c>
      <c r="H58" s="3" t="str">
        <f t="shared" si="0"/>
        <v>G-U</v>
      </c>
      <c r="I58" s="4">
        <f t="shared" si="1"/>
        <v>1</v>
      </c>
      <c r="J58" s="4">
        <f t="shared" si="2"/>
        <v>0</v>
      </c>
      <c r="K58" s="3">
        <f t="shared" si="3"/>
        <v>1</v>
      </c>
    </row>
    <row r="59" spans="1:11">
      <c r="A59" s="4" t="s">
        <v>39</v>
      </c>
      <c r="B59" s="4" t="s">
        <v>56</v>
      </c>
      <c r="C59" s="4" t="s">
        <v>175</v>
      </c>
      <c r="D59" s="4">
        <f>INDEX(Positions!$D$2:$D$721,MATCH($A59&amp;"|2",Positions!$A$2:$A$721,0))</f>
        <v>2</v>
      </c>
      <c r="E59" s="4">
        <f>INDEX(Positions!$D$2:$D$721,MATCH($A59&amp;"|71",Positions!$A$2:$A$721,0))</f>
        <v>69</v>
      </c>
      <c r="F59" s="4" t="str">
        <f>INDEX(Positions!$E$2:$E$721,MATCH($A59&amp;"|2",Positions!$A$2:$A$721,0))</f>
        <v>G</v>
      </c>
      <c r="G59" s="4" t="str">
        <f>INDEX(Positions!$E$2:$E$721,MATCH($A59&amp;"|71",Positions!$A$2:$A$721,0))</f>
        <v>U</v>
      </c>
      <c r="H59" s="3" t="str">
        <f t="shared" si="0"/>
        <v>G-U</v>
      </c>
      <c r="I59" s="4">
        <f t="shared" si="1"/>
        <v>1</v>
      </c>
      <c r="J59" s="4">
        <f t="shared" si="2"/>
        <v>0</v>
      </c>
      <c r="K59" s="3">
        <f t="shared" si="3"/>
        <v>1</v>
      </c>
    </row>
    <row r="60" spans="1:11">
      <c r="A60" s="4" t="s">
        <v>39</v>
      </c>
      <c r="B60" s="4" t="s">
        <v>56</v>
      </c>
      <c r="C60" s="4" t="s">
        <v>176</v>
      </c>
      <c r="D60" s="4">
        <f>INDEX(Positions!$D$2:$D$721,MATCH($A60&amp;"|3",Positions!$A$2:$A$721,0))</f>
        <v>3</v>
      </c>
      <c r="E60" s="4">
        <f>INDEX(Positions!$D$2:$D$721,MATCH($A60&amp;"|70",Positions!$A$2:$A$721,0))</f>
        <v>68</v>
      </c>
      <c r="F60" s="4" t="str">
        <f>INDEX(Positions!$E$2:$E$721,MATCH($A60&amp;"|3",Positions!$A$2:$A$721,0))</f>
        <v>G</v>
      </c>
      <c r="G60" s="4" t="str">
        <f>INDEX(Positions!$E$2:$E$721,MATCH($A60&amp;"|70",Positions!$A$2:$A$721,0))</f>
        <v>C</v>
      </c>
      <c r="H60" s="3" t="str">
        <f t="shared" si="0"/>
        <v>G-C</v>
      </c>
      <c r="I60" s="4">
        <f t="shared" si="1"/>
        <v>1</v>
      </c>
      <c r="J60" s="4">
        <f t="shared" si="2"/>
        <v>1</v>
      </c>
      <c r="K60" s="3">
        <f t="shared" si="3"/>
        <v>2</v>
      </c>
    </row>
    <row r="61" spans="1:11">
      <c r="A61" s="4" t="s">
        <v>39</v>
      </c>
      <c r="B61" s="4" t="s">
        <v>56</v>
      </c>
      <c r="C61" s="4" t="s">
        <v>177</v>
      </c>
      <c r="D61" s="4">
        <f>INDEX(Positions!$D$2:$D$721,MATCH($A61&amp;"|4",Positions!$A$2:$A$721,0))</f>
        <v>4</v>
      </c>
      <c r="E61" s="4">
        <f>INDEX(Positions!$D$2:$D$721,MATCH($A61&amp;"|69",Positions!$A$2:$A$721,0))</f>
        <v>67</v>
      </c>
      <c r="F61" s="4" t="str">
        <f>INDEX(Positions!$E$2:$E$721,MATCH($A61&amp;"|4",Positions!$A$2:$A$721,0))</f>
        <v>A</v>
      </c>
      <c r="G61" s="4" t="str">
        <f>INDEX(Positions!$E$2:$E$721,MATCH($A61&amp;"|69",Positions!$A$2:$A$721,0))</f>
        <v>U</v>
      </c>
      <c r="H61" s="3" t="str">
        <f t="shared" si="0"/>
        <v>A-U</v>
      </c>
      <c r="I61" s="4">
        <f t="shared" si="1"/>
        <v>0</v>
      </c>
      <c r="J61" s="4">
        <f t="shared" si="2"/>
        <v>0</v>
      </c>
      <c r="K61" s="3">
        <f t="shared" si="3"/>
        <v>0</v>
      </c>
    </row>
    <row r="62" spans="1:11">
      <c r="A62" s="4" t="s">
        <v>39</v>
      </c>
      <c r="B62" s="4" t="s">
        <v>56</v>
      </c>
      <c r="C62" s="4" t="s">
        <v>178</v>
      </c>
      <c r="D62" s="4">
        <f>INDEX(Positions!$D$2:$D$721,MATCH($A62&amp;"|5",Positions!$A$2:$A$721,0))</f>
        <v>5</v>
      </c>
      <c r="E62" s="4">
        <f>INDEX(Positions!$D$2:$D$721,MATCH($A62&amp;"|68",Positions!$A$2:$A$721,0))</f>
        <v>66</v>
      </c>
      <c r="F62" s="4" t="str">
        <f>INDEX(Positions!$E$2:$E$721,MATCH($A62&amp;"|5",Positions!$A$2:$A$721,0))</f>
        <v>G</v>
      </c>
      <c r="G62" s="4" t="str">
        <f>INDEX(Positions!$E$2:$E$721,MATCH($A62&amp;"|68",Positions!$A$2:$A$721,0))</f>
        <v>U</v>
      </c>
      <c r="H62" s="3" t="str">
        <f t="shared" si="0"/>
        <v>G-U</v>
      </c>
      <c r="I62" s="4">
        <f t="shared" si="1"/>
        <v>1</v>
      </c>
      <c r="J62" s="4">
        <f t="shared" si="2"/>
        <v>0</v>
      </c>
      <c r="K62" s="3">
        <f t="shared" si="3"/>
        <v>1</v>
      </c>
    </row>
    <row r="63" spans="1:11">
      <c r="A63" s="4" t="s">
        <v>39</v>
      </c>
      <c r="B63" s="4" t="s">
        <v>56</v>
      </c>
      <c r="C63" s="4" t="s">
        <v>179</v>
      </c>
      <c r="D63" s="4">
        <f>INDEX(Positions!$D$2:$D$721,MATCH($A63&amp;"|6",Positions!$A$2:$A$721,0))</f>
        <v>6</v>
      </c>
      <c r="E63" s="4">
        <f>INDEX(Positions!$D$2:$D$721,MATCH($A63&amp;"|67",Positions!$A$2:$A$721,0))</f>
        <v>65</v>
      </c>
      <c r="F63" s="4" t="str">
        <f>INDEX(Positions!$E$2:$E$721,MATCH($A63&amp;"|6",Positions!$A$2:$A$721,0))</f>
        <v>G</v>
      </c>
      <c r="G63" s="4" t="str">
        <f>INDEX(Positions!$E$2:$E$721,MATCH($A63&amp;"|67",Positions!$A$2:$A$721,0))</f>
        <v>U</v>
      </c>
      <c r="H63" s="3" t="str">
        <f t="shared" si="0"/>
        <v>G-U</v>
      </c>
      <c r="I63" s="4">
        <f t="shared" si="1"/>
        <v>1</v>
      </c>
      <c r="J63" s="4">
        <f t="shared" si="2"/>
        <v>0</v>
      </c>
      <c r="K63" s="3">
        <f t="shared" si="3"/>
        <v>1</v>
      </c>
    </row>
    <row r="64" spans="1:11">
      <c r="A64" s="4" t="s">
        <v>39</v>
      </c>
      <c r="B64" s="4" t="s">
        <v>56</v>
      </c>
      <c r="C64" s="4" t="s">
        <v>180</v>
      </c>
      <c r="D64" s="4">
        <f>INDEX(Positions!$D$2:$D$721,MATCH($A64&amp;"|7",Positions!$A$2:$A$721,0))</f>
        <v>7</v>
      </c>
      <c r="E64" s="4">
        <f>INDEX(Positions!$D$2:$D$721,MATCH($A64&amp;"|66",Positions!$A$2:$A$721,0))</f>
        <v>64</v>
      </c>
      <c r="F64" s="4" t="str">
        <f>INDEX(Positions!$E$2:$E$721,MATCH($A64&amp;"|7",Positions!$A$2:$A$721,0))</f>
        <v>U</v>
      </c>
      <c r="G64" s="4" t="str">
        <f>INDEX(Positions!$E$2:$E$721,MATCH($A64&amp;"|66",Positions!$A$2:$A$721,0))</f>
        <v>G</v>
      </c>
      <c r="H64" s="3" t="str">
        <f t="shared" si="0"/>
        <v>U-G</v>
      </c>
      <c r="I64" s="4">
        <f t="shared" si="1"/>
        <v>1</v>
      </c>
      <c r="J64" s="4">
        <f t="shared" si="2"/>
        <v>0</v>
      </c>
      <c r="K64" s="3">
        <f t="shared" si="3"/>
        <v>1</v>
      </c>
    </row>
    <row r="65" spans="1:11">
      <c r="A65" s="4" t="s">
        <v>39</v>
      </c>
      <c r="B65" s="4" t="s">
        <v>71</v>
      </c>
      <c r="C65" s="4" t="s">
        <v>181</v>
      </c>
      <c r="D65" s="4">
        <f>INDEX(Positions!$D$2:$D$721,MATCH($A65&amp;"|10",Positions!$A$2:$A$721,0))</f>
        <v>10</v>
      </c>
      <c r="E65" s="4">
        <f>INDEX(Positions!$D$2:$D$721,MATCH($A65&amp;"|25",Positions!$A$2:$A$721,0))</f>
        <v>25</v>
      </c>
      <c r="F65" s="4" t="str">
        <f>INDEX(Positions!$E$2:$E$721,MATCH($A65&amp;"|10",Positions!$A$2:$A$721,0))</f>
        <v>G</v>
      </c>
      <c r="G65" s="4" t="str">
        <f>INDEX(Positions!$E$2:$E$721,MATCH($A65&amp;"|25",Positions!$A$2:$A$721,0))</f>
        <v>U</v>
      </c>
      <c r="H65" s="3" t="str">
        <f t="shared" si="0"/>
        <v>G-U</v>
      </c>
      <c r="I65" s="4">
        <f t="shared" si="1"/>
        <v>1</v>
      </c>
      <c r="J65" s="4">
        <f t="shared" si="2"/>
        <v>0</v>
      </c>
      <c r="K65" s="3">
        <f t="shared" si="3"/>
        <v>1</v>
      </c>
    </row>
    <row r="66" spans="1:11">
      <c r="A66" s="4" t="s">
        <v>39</v>
      </c>
      <c r="B66" s="4" t="s">
        <v>71</v>
      </c>
      <c r="C66" s="4" t="s">
        <v>182</v>
      </c>
      <c r="D66" s="4">
        <f>INDEX(Positions!$D$2:$D$721,MATCH($A66&amp;"|11",Positions!$A$2:$A$721,0))</f>
        <v>11</v>
      </c>
      <c r="E66" s="4">
        <f>INDEX(Positions!$D$2:$D$721,MATCH($A66&amp;"|24",Positions!$A$2:$A$721,0))</f>
        <v>24</v>
      </c>
      <c r="F66" s="4" t="str">
        <f>INDEX(Positions!$E$2:$E$721,MATCH($A66&amp;"|11",Positions!$A$2:$A$721,0))</f>
        <v>A</v>
      </c>
      <c r="G66" s="4" t="str">
        <f>INDEX(Positions!$E$2:$E$721,MATCH($A66&amp;"|24",Positions!$A$2:$A$721,0))</f>
        <v>A</v>
      </c>
      <c r="H66" s="3" t="str">
        <f t="shared" ref="H66:H129" si="4">F66&amp;"-"&amp;G66</f>
        <v>A-A</v>
      </c>
      <c r="I66" s="4">
        <f t="shared" ref="I66:I129" si="5">(F66="G")+(G66="G")</f>
        <v>0</v>
      </c>
      <c r="J66" s="4">
        <f t="shared" ref="J66:J129" si="6">(F66="C")+(G66="C")</f>
        <v>0</v>
      </c>
      <c r="K66" s="3">
        <f t="shared" ref="K66:K129" si="7">I66+J66</f>
        <v>0</v>
      </c>
    </row>
    <row r="67" spans="1:11">
      <c r="A67" s="4" t="s">
        <v>39</v>
      </c>
      <c r="B67" s="4" t="s">
        <v>71</v>
      </c>
      <c r="C67" s="4" t="s">
        <v>183</v>
      </c>
      <c r="D67" s="4">
        <f>INDEX(Positions!$D$2:$D$721,MATCH($A67&amp;"|12",Positions!$A$2:$A$721,0))</f>
        <v>12</v>
      </c>
      <c r="E67" s="4">
        <f>INDEX(Positions!$D$2:$D$721,MATCH($A67&amp;"|23",Positions!$A$2:$A$721,0))</f>
        <v>23</v>
      </c>
      <c r="F67" s="4" t="str">
        <f>INDEX(Positions!$E$2:$E$721,MATCH($A67&amp;"|12",Positions!$A$2:$A$721,0))</f>
        <v>U</v>
      </c>
      <c r="G67" s="4" t="str">
        <f>INDEX(Positions!$E$2:$E$721,MATCH($A67&amp;"|23",Positions!$A$2:$A$721,0))</f>
        <v>A</v>
      </c>
      <c r="H67" s="3" t="str">
        <f t="shared" si="4"/>
        <v>U-A</v>
      </c>
      <c r="I67" s="4">
        <f t="shared" si="5"/>
        <v>0</v>
      </c>
      <c r="J67" s="4">
        <f t="shared" si="6"/>
        <v>0</v>
      </c>
      <c r="K67" s="3">
        <f t="shared" si="7"/>
        <v>0</v>
      </c>
    </row>
    <row r="68" spans="1:11">
      <c r="A68" s="4" t="s">
        <v>39</v>
      </c>
      <c r="B68" s="4" t="s">
        <v>71</v>
      </c>
      <c r="C68" s="4" t="s">
        <v>184</v>
      </c>
      <c r="D68" s="4">
        <f>INDEX(Positions!$D$2:$D$721,MATCH($A68&amp;"|13",Positions!$A$2:$A$721,0))</f>
        <v>13</v>
      </c>
      <c r="E68" s="4">
        <f>INDEX(Positions!$D$2:$D$721,MATCH($A68&amp;"|22",Positions!$A$2:$A$721,0))</f>
        <v>22</v>
      </c>
      <c r="F68" s="4" t="str">
        <f>INDEX(Positions!$E$2:$E$721,MATCH($A68&amp;"|13",Positions!$A$2:$A$721,0))</f>
        <v>C</v>
      </c>
      <c r="G68" s="4" t="str">
        <f>INDEX(Positions!$E$2:$E$721,MATCH($A68&amp;"|22",Positions!$A$2:$A$721,0))</f>
        <v>G</v>
      </c>
      <c r="H68" s="3" t="str">
        <f t="shared" si="4"/>
        <v>C-G</v>
      </c>
      <c r="I68" s="4">
        <f t="shared" si="5"/>
        <v>1</v>
      </c>
      <c r="J68" s="4">
        <f t="shared" si="6"/>
        <v>1</v>
      </c>
      <c r="K68" s="3">
        <f t="shared" si="7"/>
        <v>2</v>
      </c>
    </row>
    <row r="69" spans="1:11">
      <c r="A69" s="4" t="s">
        <v>39</v>
      </c>
      <c r="B69" s="4" t="s">
        <v>90</v>
      </c>
      <c r="C69" s="4" t="s">
        <v>185</v>
      </c>
      <c r="D69" s="4">
        <f>INDEX(Positions!$D$2:$D$721,MATCH($A69&amp;"|27",Positions!$A$2:$A$721,0))</f>
        <v>27</v>
      </c>
      <c r="E69" s="4">
        <f>INDEX(Positions!$D$2:$D$721,MATCH($A69&amp;"|43",Positions!$A$2:$A$721,0))</f>
        <v>43</v>
      </c>
      <c r="F69" s="4" t="str">
        <f>INDEX(Positions!$E$2:$E$721,MATCH($A69&amp;"|27",Positions!$A$2:$A$721,0))</f>
        <v>U</v>
      </c>
      <c r="G69" s="4" t="str">
        <f>INDEX(Positions!$E$2:$E$721,MATCH($A69&amp;"|43",Positions!$A$2:$A$721,0))</f>
        <v>A</v>
      </c>
      <c r="H69" s="3" t="str">
        <f t="shared" si="4"/>
        <v>U-A</v>
      </c>
      <c r="I69" s="4">
        <f t="shared" si="5"/>
        <v>0</v>
      </c>
      <c r="J69" s="4">
        <f t="shared" si="6"/>
        <v>0</v>
      </c>
      <c r="K69" s="3">
        <f t="shared" si="7"/>
        <v>0</v>
      </c>
    </row>
    <row r="70" spans="1:11">
      <c r="A70" s="4" t="s">
        <v>39</v>
      </c>
      <c r="B70" s="4" t="s">
        <v>90</v>
      </c>
      <c r="C70" s="4" t="s">
        <v>186</v>
      </c>
      <c r="D70" s="4">
        <f>INDEX(Positions!$D$2:$D$721,MATCH($A70&amp;"|28",Positions!$A$2:$A$721,0))</f>
        <v>28</v>
      </c>
      <c r="E70" s="4">
        <f>INDEX(Positions!$D$2:$D$721,MATCH($A70&amp;"|42",Positions!$A$2:$A$721,0))</f>
        <v>42</v>
      </c>
      <c r="F70" s="4" t="str">
        <f>INDEX(Positions!$E$2:$E$721,MATCH($A70&amp;"|28",Positions!$A$2:$A$721,0))</f>
        <v>U</v>
      </c>
      <c r="G70" s="4" t="str">
        <f>INDEX(Positions!$E$2:$E$721,MATCH($A70&amp;"|42",Positions!$A$2:$A$721,0))</f>
        <v>G</v>
      </c>
      <c r="H70" s="3" t="str">
        <f t="shared" si="4"/>
        <v>U-G</v>
      </c>
      <c r="I70" s="4">
        <f t="shared" si="5"/>
        <v>1</v>
      </c>
      <c r="J70" s="4">
        <f t="shared" si="6"/>
        <v>0</v>
      </c>
      <c r="K70" s="3">
        <f t="shared" si="7"/>
        <v>1</v>
      </c>
    </row>
    <row r="71" spans="1:11">
      <c r="A71" s="4" t="s">
        <v>39</v>
      </c>
      <c r="B71" s="4" t="s">
        <v>90</v>
      </c>
      <c r="C71" s="4" t="s">
        <v>187</v>
      </c>
      <c r="D71" s="4">
        <f>INDEX(Positions!$D$2:$D$721,MATCH($A71&amp;"|29",Positions!$A$2:$A$721,0))</f>
        <v>29</v>
      </c>
      <c r="E71" s="4">
        <f>INDEX(Positions!$D$2:$D$721,MATCH($A71&amp;"|41",Positions!$A$2:$A$721,0))</f>
        <v>41</v>
      </c>
      <c r="F71" s="4" t="str">
        <f>INDEX(Positions!$E$2:$E$721,MATCH($A71&amp;"|29",Positions!$A$2:$A$721,0))</f>
        <v>U</v>
      </c>
      <c r="G71" s="4" t="str">
        <f>INDEX(Positions!$E$2:$E$721,MATCH($A71&amp;"|41",Positions!$A$2:$A$721,0))</f>
        <v>G</v>
      </c>
      <c r="H71" s="3" t="str">
        <f t="shared" si="4"/>
        <v>U-G</v>
      </c>
      <c r="I71" s="4">
        <f t="shared" si="5"/>
        <v>1</v>
      </c>
      <c r="J71" s="4">
        <f t="shared" si="6"/>
        <v>0</v>
      </c>
      <c r="K71" s="3">
        <f t="shared" si="7"/>
        <v>1</v>
      </c>
    </row>
    <row r="72" spans="1:11">
      <c r="A72" s="4" t="s">
        <v>39</v>
      </c>
      <c r="B72" s="4" t="s">
        <v>90</v>
      </c>
      <c r="C72" s="4" t="s">
        <v>188</v>
      </c>
      <c r="D72" s="4">
        <f>INDEX(Positions!$D$2:$D$721,MATCH($A72&amp;"|30",Positions!$A$2:$A$721,0))</f>
        <v>30</v>
      </c>
      <c r="E72" s="4">
        <f>INDEX(Positions!$D$2:$D$721,MATCH($A72&amp;"|40",Positions!$A$2:$A$721,0))</f>
        <v>40</v>
      </c>
      <c r="F72" s="4" t="str">
        <f>INDEX(Positions!$E$2:$E$721,MATCH($A72&amp;"|30",Positions!$A$2:$A$721,0))</f>
        <v>U</v>
      </c>
      <c r="G72" s="4" t="str">
        <f>INDEX(Positions!$E$2:$E$721,MATCH($A72&amp;"|40",Positions!$A$2:$A$721,0))</f>
        <v>A</v>
      </c>
      <c r="H72" s="3" t="str">
        <f t="shared" si="4"/>
        <v>U-A</v>
      </c>
      <c r="I72" s="4">
        <f t="shared" si="5"/>
        <v>0</v>
      </c>
      <c r="J72" s="4">
        <f t="shared" si="6"/>
        <v>0</v>
      </c>
      <c r="K72" s="3">
        <f t="shared" si="7"/>
        <v>0</v>
      </c>
    </row>
    <row r="73" spans="1:11">
      <c r="A73" s="4" t="s">
        <v>39</v>
      </c>
      <c r="B73" s="4" t="s">
        <v>90</v>
      </c>
      <c r="C73" s="4" t="s">
        <v>189</v>
      </c>
      <c r="D73" s="4">
        <f>INDEX(Positions!$D$2:$D$721,MATCH($A73&amp;"|31",Positions!$A$2:$A$721,0))</f>
        <v>31</v>
      </c>
      <c r="E73" s="4">
        <f>INDEX(Positions!$D$2:$D$721,MATCH($A73&amp;"|39",Positions!$A$2:$A$721,0))</f>
        <v>39</v>
      </c>
      <c r="F73" s="4" t="str">
        <f>INDEX(Positions!$E$2:$E$721,MATCH($A73&amp;"|31",Positions!$A$2:$A$721,0))</f>
        <v>G</v>
      </c>
      <c r="G73" s="4" t="str">
        <f>INDEX(Positions!$E$2:$E$721,MATCH($A73&amp;"|39",Positions!$A$2:$A$721,0))</f>
        <v>C</v>
      </c>
      <c r="H73" s="3" t="str">
        <f t="shared" si="4"/>
        <v>G-C</v>
      </c>
      <c r="I73" s="4">
        <f t="shared" si="5"/>
        <v>1</v>
      </c>
      <c r="J73" s="4">
        <f t="shared" si="6"/>
        <v>1</v>
      </c>
      <c r="K73" s="3">
        <f t="shared" si="7"/>
        <v>2</v>
      </c>
    </row>
    <row r="74" spans="1:11">
      <c r="A74" s="4" t="s">
        <v>39</v>
      </c>
      <c r="B74" s="4" t="s">
        <v>114</v>
      </c>
      <c r="C74" s="4" t="s">
        <v>190</v>
      </c>
      <c r="D74" s="4">
        <f>INDEX(Positions!$D$2:$D$721,MATCH($A74&amp;"|49",Positions!$A$2:$A$721,0))</f>
        <v>47</v>
      </c>
      <c r="E74" s="4">
        <f>INDEX(Positions!$D$2:$D$721,MATCH($A74&amp;"|65",Positions!$A$2:$A$721,0))</f>
        <v>63</v>
      </c>
      <c r="F74" s="4" t="str">
        <f>INDEX(Positions!$E$2:$E$721,MATCH($A74&amp;"|49",Positions!$A$2:$A$721,0))</f>
        <v>U</v>
      </c>
      <c r="G74" s="4" t="str">
        <f>INDEX(Positions!$E$2:$E$721,MATCH($A74&amp;"|65",Positions!$A$2:$A$721,0))</f>
        <v>A</v>
      </c>
      <c r="H74" s="3" t="str">
        <f t="shared" si="4"/>
        <v>U-A</v>
      </c>
      <c r="I74" s="4">
        <f t="shared" si="5"/>
        <v>0</v>
      </c>
      <c r="J74" s="4">
        <f t="shared" si="6"/>
        <v>0</v>
      </c>
      <c r="K74" s="3">
        <f t="shared" si="7"/>
        <v>0</v>
      </c>
    </row>
    <row r="75" spans="1:11">
      <c r="A75" s="4" t="s">
        <v>39</v>
      </c>
      <c r="B75" s="4" t="s">
        <v>114</v>
      </c>
      <c r="C75" s="4" t="s">
        <v>191</v>
      </c>
      <c r="D75" s="4">
        <f>INDEX(Positions!$D$2:$D$721,MATCH($A75&amp;"|50",Positions!$A$2:$A$721,0))</f>
        <v>48</v>
      </c>
      <c r="E75" s="4">
        <f>INDEX(Positions!$D$2:$D$721,MATCH($A75&amp;"|64",Positions!$A$2:$A$721,0))</f>
        <v>62</v>
      </c>
      <c r="F75" s="4" t="str">
        <f>INDEX(Positions!$E$2:$E$721,MATCH($A75&amp;"|50",Positions!$A$2:$A$721,0))</f>
        <v>C</v>
      </c>
      <c r="G75" s="4" t="str">
        <f>INDEX(Positions!$E$2:$E$721,MATCH($A75&amp;"|64",Positions!$A$2:$A$721,0))</f>
        <v>G</v>
      </c>
      <c r="H75" s="3" t="str">
        <f t="shared" si="4"/>
        <v>C-G</v>
      </c>
      <c r="I75" s="4">
        <f t="shared" si="5"/>
        <v>1</v>
      </c>
      <c r="J75" s="4">
        <f t="shared" si="6"/>
        <v>1</v>
      </c>
      <c r="K75" s="3">
        <f t="shared" si="7"/>
        <v>2</v>
      </c>
    </row>
    <row r="76" spans="1:11">
      <c r="A76" s="4" t="s">
        <v>39</v>
      </c>
      <c r="B76" s="4" t="s">
        <v>114</v>
      </c>
      <c r="C76" s="4" t="s">
        <v>192</v>
      </c>
      <c r="D76" s="4">
        <f>INDEX(Positions!$D$2:$D$721,MATCH($A76&amp;"|51",Positions!$A$2:$A$721,0))</f>
        <v>49</v>
      </c>
      <c r="E76" s="4">
        <f>INDEX(Positions!$D$2:$D$721,MATCH($A76&amp;"|63",Positions!$A$2:$A$721,0))</f>
        <v>61</v>
      </c>
      <c r="F76" s="4" t="str">
        <f>INDEX(Positions!$E$2:$E$721,MATCH($A76&amp;"|51",Positions!$A$2:$A$721,0))</f>
        <v>U</v>
      </c>
      <c r="G76" s="4" t="str">
        <f>INDEX(Positions!$E$2:$E$721,MATCH($A76&amp;"|63",Positions!$A$2:$A$721,0))</f>
        <v>G</v>
      </c>
      <c r="H76" s="3" t="str">
        <f t="shared" si="4"/>
        <v>U-G</v>
      </c>
      <c r="I76" s="4">
        <f t="shared" si="5"/>
        <v>1</v>
      </c>
      <c r="J76" s="4">
        <f t="shared" si="6"/>
        <v>0</v>
      </c>
      <c r="K76" s="3">
        <f t="shared" si="7"/>
        <v>1</v>
      </c>
    </row>
    <row r="77" spans="1:11">
      <c r="A77" s="4" t="s">
        <v>39</v>
      </c>
      <c r="B77" s="4" t="s">
        <v>114</v>
      </c>
      <c r="C77" s="4" t="s">
        <v>193</v>
      </c>
      <c r="D77" s="4">
        <f>INDEX(Positions!$D$2:$D$721,MATCH($A77&amp;"|52",Positions!$A$2:$A$721,0))</f>
        <v>50</v>
      </c>
      <c r="E77" s="4">
        <f>INDEX(Positions!$D$2:$D$721,MATCH($A77&amp;"|62",Positions!$A$2:$A$721,0))</f>
        <v>60</v>
      </c>
      <c r="F77" s="4" t="str">
        <f>INDEX(Positions!$E$2:$E$721,MATCH($A77&amp;"|52",Positions!$A$2:$A$721,0))</f>
        <v>G</v>
      </c>
      <c r="G77" s="4" t="str">
        <f>INDEX(Positions!$E$2:$E$721,MATCH($A77&amp;"|62",Positions!$A$2:$A$721,0))</f>
        <v>U</v>
      </c>
      <c r="H77" s="3" t="str">
        <f t="shared" si="4"/>
        <v>G-U</v>
      </c>
      <c r="I77" s="4">
        <f t="shared" si="5"/>
        <v>1</v>
      </c>
      <c r="J77" s="4">
        <f t="shared" si="6"/>
        <v>0</v>
      </c>
      <c r="K77" s="3">
        <f t="shared" si="7"/>
        <v>1</v>
      </c>
    </row>
    <row r="78" spans="1:11">
      <c r="A78" s="4" t="s">
        <v>39</v>
      </c>
      <c r="B78" s="4" t="s">
        <v>114</v>
      </c>
      <c r="C78" s="4" t="s">
        <v>194</v>
      </c>
      <c r="D78" s="4">
        <f>INDEX(Positions!$D$2:$D$721,MATCH($A78&amp;"|53",Positions!$A$2:$A$721,0))</f>
        <v>51</v>
      </c>
      <c r="E78" s="4">
        <f>INDEX(Positions!$D$2:$D$721,MATCH($A78&amp;"|61",Positions!$A$2:$A$721,0))</f>
        <v>59</v>
      </c>
      <c r="F78" s="4" t="str">
        <f>INDEX(Positions!$E$2:$E$721,MATCH($A78&amp;"|53",Positions!$A$2:$A$721,0))</f>
        <v>G</v>
      </c>
      <c r="G78" s="4" t="str">
        <f>INDEX(Positions!$E$2:$E$721,MATCH($A78&amp;"|61",Positions!$A$2:$A$721,0))</f>
        <v>C</v>
      </c>
      <c r="H78" s="3" t="str">
        <f t="shared" si="4"/>
        <v>G-C</v>
      </c>
      <c r="I78" s="4">
        <f t="shared" si="5"/>
        <v>1</v>
      </c>
      <c r="J78" s="4">
        <f t="shared" si="6"/>
        <v>1</v>
      </c>
      <c r="K78" s="3">
        <f t="shared" si="7"/>
        <v>2</v>
      </c>
    </row>
    <row r="79" spans="1:11">
      <c r="A79" s="23" t="s">
        <v>39</v>
      </c>
      <c r="B79" s="23" t="s">
        <v>195</v>
      </c>
      <c r="C79" s="23" t="s">
        <v>196</v>
      </c>
      <c r="D79" s="23">
        <f>INDEX(Positions!$D$2:$D$721,MATCH($A79&amp;"|8",Positions!$A$2:$A$721,0))</f>
        <v>8</v>
      </c>
      <c r="E79" s="23">
        <f>INDEX(Positions!$D$2:$D$721,MATCH($A79&amp;"|14",Positions!$A$2:$A$721,0))</f>
        <v>14</v>
      </c>
      <c r="F79" s="23" t="str">
        <f>INDEX(Positions!$E$2:$E$721,MATCH($A79&amp;"|8",Positions!$A$2:$A$721,0))</f>
        <v>U</v>
      </c>
      <c r="G79" s="23" t="str">
        <f>INDEX(Positions!$E$2:$E$721,MATCH($A79&amp;"|14",Positions!$A$2:$A$721,0))</f>
        <v>G</v>
      </c>
      <c r="H79" s="24" t="str">
        <f t="shared" si="4"/>
        <v>U-G</v>
      </c>
      <c r="I79" s="23">
        <f t="shared" si="5"/>
        <v>1</v>
      </c>
      <c r="J79" s="23">
        <f t="shared" si="6"/>
        <v>0</v>
      </c>
      <c r="K79" s="24">
        <f t="shared" si="7"/>
        <v>1</v>
      </c>
    </row>
    <row r="80" spans="1:11">
      <c r="A80" s="23" t="s">
        <v>39</v>
      </c>
      <c r="B80" s="23" t="s">
        <v>195</v>
      </c>
      <c r="C80" s="23" t="s">
        <v>197</v>
      </c>
      <c r="D80" s="23">
        <f>INDEX(Positions!$D$2:$D$721,MATCH($A80&amp;"|15",Positions!$A$2:$A$721,0))</f>
        <v>15</v>
      </c>
      <c r="E80" s="23">
        <f>INDEX(Positions!$D$2:$D$721,MATCH($A80&amp;"|48",Positions!$A$2:$A$721,0))</f>
        <v>46</v>
      </c>
      <c r="F80" s="23" t="str">
        <f>INDEX(Positions!$E$2:$E$721,MATCH($A80&amp;"|15",Positions!$A$2:$A$721,0))</f>
        <v>G</v>
      </c>
      <c r="G80" s="23" t="str">
        <f>INDEX(Positions!$E$2:$E$721,MATCH($A80&amp;"|48",Positions!$A$2:$A$721,0))</f>
        <v>U</v>
      </c>
      <c r="H80" s="24" t="str">
        <f t="shared" si="4"/>
        <v>G-U</v>
      </c>
      <c r="I80" s="23">
        <f t="shared" si="5"/>
        <v>1</v>
      </c>
      <c r="J80" s="23">
        <f t="shared" si="6"/>
        <v>0</v>
      </c>
      <c r="K80" s="24">
        <f t="shared" si="7"/>
        <v>1</v>
      </c>
    </row>
    <row r="81" spans="1:11">
      <c r="A81" s="23" t="s">
        <v>39</v>
      </c>
      <c r="B81" s="23" t="s">
        <v>195</v>
      </c>
      <c r="C81" s="23" t="s">
        <v>198</v>
      </c>
      <c r="D81" s="23">
        <f>INDEX(Positions!$D$2:$D$721,MATCH($A81&amp;"|18",Positions!$A$2:$A$721,0))</f>
        <v>18</v>
      </c>
      <c r="E81" s="23">
        <f>INDEX(Positions!$D$2:$D$721,MATCH($A81&amp;"|55",Positions!$A$2:$A$721,0))</f>
        <v>53</v>
      </c>
      <c r="F81" s="23" t="str">
        <f>INDEX(Positions!$E$2:$E$721,MATCH($A81&amp;"|18",Positions!$A$2:$A$721,0))</f>
        <v>G</v>
      </c>
      <c r="G81" s="23" t="str">
        <f>INDEX(Positions!$E$2:$E$721,MATCH($A81&amp;"|55",Positions!$A$2:$A$721,0))</f>
        <v>U</v>
      </c>
      <c r="H81" s="24" t="str">
        <f t="shared" si="4"/>
        <v>G-U</v>
      </c>
      <c r="I81" s="23">
        <f t="shared" si="5"/>
        <v>1</v>
      </c>
      <c r="J81" s="23">
        <f t="shared" si="6"/>
        <v>0</v>
      </c>
      <c r="K81" s="24">
        <f t="shared" si="7"/>
        <v>1</v>
      </c>
    </row>
    <row r="82" spans="1:11">
      <c r="A82" s="23" t="s">
        <v>39</v>
      </c>
      <c r="B82" s="23" t="s">
        <v>195</v>
      </c>
      <c r="C82" s="23" t="s">
        <v>199</v>
      </c>
      <c r="D82" s="23">
        <f>INDEX(Positions!$D$2:$D$721,MATCH($A82&amp;"|19",Positions!$A$2:$A$721,0))</f>
        <v>19</v>
      </c>
      <c r="E82" s="23">
        <f>INDEX(Positions!$D$2:$D$721,MATCH($A82&amp;"|56",Positions!$A$2:$A$721,0))</f>
        <v>54</v>
      </c>
      <c r="F82" s="23" t="str">
        <f>INDEX(Positions!$E$2:$E$721,MATCH($A82&amp;"|19",Positions!$A$2:$A$721,0))</f>
        <v>G</v>
      </c>
      <c r="G82" s="23" t="str">
        <f>INDEX(Positions!$E$2:$E$721,MATCH($A82&amp;"|56",Positions!$A$2:$A$721,0))</f>
        <v>C</v>
      </c>
      <c r="H82" s="24" t="str">
        <f t="shared" si="4"/>
        <v>G-C</v>
      </c>
      <c r="I82" s="23">
        <f t="shared" si="5"/>
        <v>1</v>
      </c>
      <c r="J82" s="23">
        <f t="shared" si="6"/>
        <v>1</v>
      </c>
      <c r="K82" s="24">
        <f t="shared" si="7"/>
        <v>2</v>
      </c>
    </row>
    <row r="83" spans="1:11">
      <c r="A83" s="23" t="s">
        <v>39</v>
      </c>
      <c r="B83" s="23" t="s">
        <v>195</v>
      </c>
      <c r="C83" s="23" t="s">
        <v>200</v>
      </c>
      <c r="D83" s="23">
        <f>INDEX(Positions!$D$2:$D$721,MATCH($A83&amp;"|26",Positions!$A$2:$A$721,0))</f>
        <v>26</v>
      </c>
      <c r="E83" s="23">
        <f>INDEX(Positions!$D$2:$D$721,MATCH($A83&amp;"|44",Positions!$A$2:$A$721,0))</f>
        <v>44</v>
      </c>
      <c r="F83" s="23" t="str">
        <f>INDEX(Positions!$E$2:$E$721,MATCH($A83&amp;"|26",Positions!$A$2:$A$721,0))</f>
        <v>U</v>
      </c>
      <c r="G83" s="23" t="str">
        <f>INDEX(Positions!$E$2:$E$721,MATCH($A83&amp;"|44",Positions!$A$2:$A$721,0))</f>
        <v>A</v>
      </c>
      <c r="H83" s="24" t="str">
        <f t="shared" si="4"/>
        <v>U-A</v>
      </c>
      <c r="I83" s="23">
        <f t="shared" si="5"/>
        <v>0</v>
      </c>
      <c r="J83" s="23">
        <f t="shared" si="6"/>
        <v>0</v>
      </c>
      <c r="K83" s="24">
        <f t="shared" si="7"/>
        <v>0</v>
      </c>
    </row>
    <row r="84" spans="1:11">
      <c r="A84" s="23" t="s">
        <v>39</v>
      </c>
      <c r="B84" s="23" t="s">
        <v>195</v>
      </c>
      <c r="C84" s="23" t="s">
        <v>201</v>
      </c>
      <c r="D84" s="23">
        <f>INDEX(Positions!$D$2:$D$721,MATCH($A84&amp;"|32",Positions!$A$2:$A$721,0))</f>
        <v>32</v>
      </c>
      <c r="E84" s="23">
        <f>INDEX(Positions!$D$2:$D$721,MATCH($A84&amp;"|38",Positions!$A$2:$A$721,0))</f>
        <v>38</v>
      </c>
      <c r="F84" s="23" t="str">
        <f>INDEX(Positions!$E$2:$E$721,MATCH($A84&amp;"|32",Positions!$A$2:$A$721,0))</f>
        <v>G</v>
      </c>
      <c r="G84" s="23" t="str">
        <f>INDEX(Positions!$E$2:$E$721,MATCH($A84&amp;"|38",Positions!$A$2:$A$721,0))</f>
        <v>U</v>
      </c>
      <c r="H84" s="24" t="str">
        <f t="shared" si="4"/>
        <v>G-U</v>
      </c>
      <c r="I84" s="23">
        <f t="shared" si="5"/>
        <v>1</v>
      </c>
      <c r="J84" s="23">
        <f t="shared" si="6"/>
        <v>0</v>
      </c>
      <c r="K84" s="24">
        <f t="shared" si="7"/>
        <v>1</v>
      </c>
    </row>
    <row r="85" spans="1:11">
      <c r="A85" s="23" t="s">
        <v>39</v>
      </c>
      <c r="B85" s="23" t="s">
        <v>195</v>
      </c>
      <c r="C85" s="23" t="s">
        <v>202</v>
      </c>
      <c r="D85" s="23">
        <f>INDEX(Positions!$D$2:$D$721,MATCH($A85&amp;"|54",Positions!$A$2:$A$721,0))</f>
        <v>52</v>
      </c>
      <c r="E85" s="23">
        <f>INDEX(Positions!$D$2:$D$721,MATCH($A85&amp;"|58",Positions!$A$2:$A$721,0))</f>
        <v>56</v>
      </c>
      <c r="F85" s="23" t="str">
        <f>INDEX(Positions!$E$2:$E$721,MATCH($A85&amp;"|54",Positions!$A$2:$A$721,0))</f>
        <v>U</v>
      </c>
      <c r="G85" s="23" t="str">
        <f>INDEX(Positions!$E$2:$E$721,MATCH($A85&amp;"|58",Positions!$A$2:$A$721,0))</f>
        <v>U</v>
      </c>
      <c r="H85" s="24" t="str">
        <f t="shared" si="4"/>
        <v>U-U</v>
      </c>
      <c r="I85" s="23">
        <f t="shared" si="5"/>
        <v>0</v>
      </c>
      <c r="J85" s="23">
        <f t="shared" si="6"/>
        <v>0</v>
      </c>
      <c r="K85" s="24">
        <f t="shared" si="7"/>
        <v>0</v>
      </c>
    </row>
    <row r="86" spans="1:11">
      <c r="A86" s="4" t="s">
        <v>40</v>
      </c>
      <c r="B86" s="4" t="s">
        <v>56</v>
      </c>
      <c r="C86" s="4" t="s">
        <v>174</v>
      </c>
      <c r="D86" s="4">
        <f>INDEX(Positions!$D$2:$D$721,MATCH($A86&amp;"|1",Positions!$A$2:$A$721,0))</f>
        <v>1</v>
      </c>
      <c r="E86" s="4">
        <f>INDEX(Positions!$D$2:$D$721,MATCH($A86&amp;"|72",Positions!$A$2:$A$721,0))</f>
        <v>71</v>
      </c>
      <c r="F86" s="4" t="str">
        <f>INDEX(Positions!$E$2:$E$721,MATCH($A86&amp;"|1",Positions!$A$2:$A$721,0))</f>
        <v>G</v>
      </c>
      <c r="G86" s="4" t="str">
        <f>INDEX(Positions!$E$2:$E$721,MATCH($A86&amp;"|72",Positions!$A$2:$A$721,0))</f>
        <v>C</v>
      </c>
      <c r="H86" s="3" t="str">
        <f t="shared" si="4"/>
        <v>G-C</v>
      </c>
      <c r="I86" s="4">
        <f t="shared" si="5"/>
        <v>1</v>
      </c>
      <c r="J86" s="4">
        <f t="shared" si="6"/>
        <v>1</v>
      </c>
      <c r="K86" s="3">
        <f t="shared" si="7"/>
        <v>2</v>
      </c>
    </row>
    <row r="87" spans="1:11">
      <c r="A87" s="4" t="s">
        <v>40</v>
      </c>
      <c r="B87" s="4" t="s">
        <v>56</v>
      </c>
      <c r="C87" s="4" t="s">
        <v>175</v>
      </c>
      <c r="D87" s="4">
        <f>INDEX(Positions!$D$2:$D$721,MATCH($A87&amp;"|2",Positions!$A$2:$A$721,0))</f>
        <v>2</v>
      </c>
      <c r="E87" s="4">
        <f>INDEX(Positions!$D$2:$D$721,MATCH($A87&amp;"|71",Positions!$A$2:$A$721,0))</f>
        <v>70</v>
      </c>
      <c r="F87" s="4" t="str">
        <f>INDEX(Positions!$E$2:$E$721,MATCH($A87&amp;"|2",Positions!$A$2:$A$721,0))</f>
        <v>C</v>
      </c>
      <c r="G87" s="4" t="str">
        <f>INDEX(Positions!$E$2:$E$721,MATCH($A87&amp;"|71",Positions!$A$2:$A$721,0))</f>
        <v>G</v>
      </c>
      <c r="H87" s="3" t="str">
        <f t="shared" si="4"/>
        <v>C-G</v>
      </c>
      <c r="I87" s="4">
        <f t="shared" si="5"/>
        <v>1</v>
      </c>
      <c r="J87" s="4">
        <f t="shared" si="6"/>
        <v>1</v>
      </c>
      <c r="K87" s="3">
        <f t="shared" si="7"/>
        <v>2</v>
      </c>
    </row>
    <row r="88" spans="1:11">
      <c r="A88" s="4" t="s">
        <v>40</v>
      </c>
      <c r="B88" s="4" t="s">
        <v>56</v>
      </c>
      <c r="C88" s="4" t="s">
        <v>176</v>
      </c>
      <c r="D88" s="4">
        <f>INDEX(Positions!$D$2:$D$721,MATCH($A88&amp;"|3",Positions!$A$2:$A$721,0))</f>
        <v>3</v>
      </c>
      <c r="E88" s="4">
        <f>INDEX(Positions!$D$2:$D$721,MATCH($A88&amp;"|70",Positions!$A$2:$A$721,0))</f>
        <v>69</v>
      </c>
      <c r="F88" s="4" t="str">
        <f>INDEX(Positions!$E$2:$E$721,MATCH($A88&amp;"|3",Positions!$A$2:$A$721,0))</f>
        <v>C</v>
      </c>
      <c r="G88" s="4" t="str">
        <f>INDEX(Positions!$E$2:$E$721,MATCH($A88&amp;"|70",Positions!$A$2:$A$721,0))</f>
        <v>G</v>
      </c>
      <c r="H88" s="3" t="str">
        <f t="shared" si="4"/>
        <v>C-G</v>
      </c>
      <c r="I88" s="4">
        <f t="shared" si="5"/>
        <v>1</v>
      </c>
      <c r="J88" s="4">
        <f t="shared" si="6"/>
        <v>1</v>
      </c>
      <c r="K88" s="3">
        <f t="shared" si="7"/>
        <v>2</v>
      </c>
    </row>
    <row r="89" spans="1:11">
      <c r="A89" s="4" t="s">
        <v>40</v>
      </c>
      <c r="B89" s="4" t="s">
        <v>56</v>
      </c>
      <c r="C89" s="4" t="s">
        <v>177</v>
      </c>
      <c r="D89" s="4">
        <f>INDEX(Positions!$D$2:$D$721,MATCH($A89&amp;"|4",Positions!$A$2:$A$721,0))</f>
        <v>4</v>
      </c>
      <c r="E89" s="4">
        <f>INDEX(Positions!$D$2:$D$721,MATCH($A89&amp;"|69",Positions!$A$2:$A$721,0))</f>
        <v>68</v>
      </c>
      <c r="F89" s="4" t="str">
        <f>INDEX(Positions!$E$2:$E$721,MATCH($A89&amp;"|4",Positions!$A$2:$A$721,0))</f>
        <v>C</v>
      </c>
      <c r="G89" s="4" t="str">
        <f>INDEX(Positions!$E$2:$E$721,MATCH($A89&amp;"|69",Positions!$A$2:$A$721,0))</f>
        <v>G</v>
      </c>
      <c r="H89" s="3" t="str">
        <f t="shared" si="4"/>
        <v>C-G</v>
      </c>
      <c r="I89" s="4">
        <f t="shared" si="5"/>
        <v>1</v>
      </c>
      <c r="J89" s="4">
        <f t="shared" si="6"/>
        <v>1</v>
      </c>
      <c r="K89" s="3">
        <f t="shared" si="7"/>
        <v>2</v>
      </c>
    </row>
    <row r="90" spans="1:11">
      <c r="A90" s="4" t="s">
        <v>40</v>
      </c>
      <c r="B90" s="4" t="s">
        <v>56</v>
      </c>
      <c r="C90" s="4" t="s">
        <v>178</v>
      </c>
      <c r="D90" s="4">
        <f>INDEX(Positions!$D$2:$D$721,MATCH($A90&amp;"|5",Positions!$A$2:$A$721,0))</f>
        <v>5</v>
      </c>
      <c r="E90" s="4">
        <f>INDEX(Positions!$D$2:$D$721,MATCH($A90&amp;"|68",Positions!$A$2:$A$721,0))</f>
        <v>67</v>
      </c>
      <c r="F90" s="4" t="str">
        <f>INDEX(Positions!$E$2:$E$721,MATCH($A90&amp;"|5",Positions!$A$2:$A$721,0))</f>
        <v>G</v>
      </c>
      <c r="G90" s="4" t="str">
        <f>INDEX(Positions!$E$2:$E$721,MATCH($A90&amp;"|68",Positions!$A$2:$A$721,0))</f>
        <v>C</v>
      </c>
      <c r="H90" s="3" t="str">
        <f t="shared" si="4"/>
        <v>G-C</v>
      </c>
      <c r="I90" s="4">
        <f t="shared" si="5"/>
        <v>1</v>
      </c>
      <c r="J90" s="4">
        <f t="shared" si="6"/>
        <v>1</v>
      </c>
      <c r="K90" s="3">
        <f t="shared" si="7"/>
        <v>2</v>
      </c>
    </row>
    <row r="91" spans="1:11">
      <c r="A91" s="4" t="s">
        <v>40</v>
      </c>
      <c r="B91" s="4" t="s">
        <v>56</v>
      </c>
      <c r="C91" s="4" t="s">
        <v>179</v>
      </c>
      <c r="D91" s="4">
        <f>INDEX(Positions!$D$2:$D$721,MATCH($A91&amp;"|6",Positions!$A$2:$A$721,0))</f>
        <v>6</v>
      </c>
      <c r="E91" s="4">
        <f>INDEX(Positions!$D$2:$D$721,MATCH($A91&amp;"|67",Positions!$A$2:$A$721,0))</f>
        <v>66</v>
      </c>
      <c r="F91" s="4" t="str">
        <f>INDEX(Positions!$E$2:$E$721,MATCH($A91&amp;"|6",Positions!$A$2:$A$721,0))</f>
        <v>G</v>
      </c>
      <c r="G91" s="4" t="str">
        <f>INDEX(Positions!$E$2:$E$721,MATCH($A91&amp;"|67",Positions!$A$2:$A$721,0))</f>
        <v>C</v>
      </c>
      <c r="H91" s="3" t="str">
        <f t="shared" si="4"/>
        <v>G-C</v>
      </c>
      <c r="I91" s="4">
        <f t="shared" si="5"/>
        <v>1</v>
      </c>
      <c r="J91" s="4">
        <f t="shared" si="6"/>
        <v>1</v>
      </c>
      <c r="K91" s="3">
        <f t="shared" si="7"/>
        <v>2</v>
      </c>
    </row>
    <row r="92" spans="1:11">
      <c r="A92" s="4" t="s">
        <v>40</v>
      </c>
      <c r="B92" s="4" t="s">
        <v>56</v>
      </c>
      <c r="C92" s="4" t="s">
        <v>180</v>
      </c>
      <c r="D92" s="4">
        <f>INDEX(Positions!$D$2:$D$721,MATCH($A92&amp;"|7",Positions!$A$2:$A$721,0))</f>
        <v>7</v>
      </c>
      <c r="E92" s="4">
        <f>INDEX(Positions!$D$2:$D$721,MATCH($A92&amp;"|66",Positions!$A$2:$A$721,0))</f>
        <v>65</v>
      </c>
      <c r="F92" s="4" t="str">
        <f>INDEX(Positions!$E$2:$E$721,MATCH($A92&amp;"|7",Positions!$A$2:$A$721,0))</f>
        <v>A</v>
      </c>
      <c r="G92" s="4" t="str">
        <f>INDEX(Positions!$E$2:$E$721,MATCH($A92&amp;"|66",Positions!$A$2:$A$721,0))</f>
        <v>U</v>
      </c>
      <c r="H92" s="3" t="str">
        <f t="shared" si="4"/>
        <v>A-U</v>
      </c>
      <c r="I92" s="4">
        <f t="shared" si="5"/>
        <v>0</v>
      </c>
      <c r="J92" s="4">
        <f t="shared" si="6"/>
        <v>0</v>
      </c>
      <c r="K92" s="3">
        <f t="shared" si="7"/>
        <v>0</v>
      </c>
    </row>
    <row r="93" spans="1:11">
      <c r="A93" s="4" t="s">
        <v>40</v>
      </c>
      <c r="B93" s="4" t="s">
        <v>71</v>
      </c>
      <c r="C93" s="4" t="s">
        <v>181</v>
      </c>
      <c r="D93" s="4">
        <f>INDEX(Positions!$D$2:$D$721,MATCH($A93&amp;"|10",Positions!$A$2:$A$721,0))</f>
        <v>10</v>
      </c>
      <c r="E93" s="4">
        <f>INDEX(Positions!$D$2:$D$721,MATCH($A93&amp;"|25",Positions!$A$2:$A$721,0))</f>
        <v>25</v>
      </c>
      <c r="F93" s="4" t="str">
        <f>INDEX(Positions!$E$2:$E$721,MATCH($A93&amp;"|10",Positions!$A$2:$A$721,0))</f>
        <v>G</v>
      </c>
      <c r="G93" s="4" t="str">
        <f>INDEX(Positions!$E$2:$E$721,MATCH($A93&amp;"|25",Positions!$A$2:$A$721,0))</f>
        <v>G</v>
      </c>
      <c r="H93" s="3" t="str">
        <f t="shared" si="4"/>
        <v>G-G</v>
      </c>
      <c r="I93" s="4">
        <f t="shared" si="5"/>
        <v>2</v>
      </c>
      <c r="J93" s="4">
        <f t="shared" si="6"/>
        <v>0</v>
      </c>
      <c r="K93" s="3">
        <f t="shared" si="7"/>
        <v>2</v>
      </c>
    </row>
    <row r="94" spans="1:11">
      <c r="A94" s="4" t="s">
        <v>40</v>
      </c>
      <c r="B94" s="4" t="s">
        <v>71</v>
      </c>
      <c r="C94" s="4" t="s">
        <v>182</v>
      </c>
      <c r="D94" s="4">
        <f>INDEX(Positions!$D$2:$D$721,MATCH($A94&amp;"|11",Positions!$A$2:$A$721,0))</f>
        <v>11</v>
      </c>
      <c r="E94" s="4">
        <f>INDEX(Positions!$D$2:$D$721,MATCH($A94&amp;"|24",Positions!$A$2:$A$721,0))</f>
        <v>24</v>
      </c>
      <c r="F94" s="4" t="str">
        <f>INDEX(Positions!$E$2:$E$721,MATCH($A94&amp;"|11",Positions!$A$2:$A$721,0))</f>
        <v>C</v>
      </c>
      <c r="G94" s="4" t="str">
        <f>INDEX(Positions!$E$2:$E$721,MATCH($A94&amp;"|24",Positions!$A$2:$A$721,0))</f>
        <v>G</v>
      </c>
      <c r="H94" s="3" t="str">
        <f t="shared" si="4"/>
        <v>C-G</v>
      </c>
      <c r="I94" s="4">
        <f t="shared" si="5"/>
        <v>1</v>
      </c>
      <c r="J94" s="4">
        <f t="shared" si="6"/>
        <v>1</v>
      </c>
      <c r="K94" s="3">
        <f t="shared" si="7"/>
        <v>2</v>
      </c>
    </row>
    <row r="95" spans="1:11">
      <c r="A95" s="4" t="s">
        <v>40</v>
      </c>
      <c r="B95" s="4" t="s">
        <v>71</v>
      </c>
      <c r="C95" s="4" t="s">
        <v>183</v>
      </c>
      <c r="D95" s="4">
        <f>INDEX(Positions!$D$2:$D$721,MATCH($A95&amp;"|12",Positions!$A$2:$A$721,0))</f>
        <v>12</v>
      </c>
      <c r="E95" s="4">
        <f>INDEX(Positions!$D$2:$D$721,MATCH($A95&amp;"|23",Positions!$A$2:$A$721,0))</f>
        <v>23</v>
      </c>
      <c r="F95" s="4" t="str">
        <f>INDEX(Positions!$E$2:$E$721,MATCH($A95&amp;"|12",Positions!$A$2:$A$721,0))</f>
        <v>C</v>
      </c>
      <c r="G95" s="4" t="str">
        <f>INDEX(Positions!$E$2:$E$721,MATCH($A95&amp;"|23",Positions!$A$2:$A$721,0))</f>
        <v>G</v>
      </c>
      <c r="H95" s="3" t="str">
        <f t="shared" si="4"/>
        <v>C-G</v>
      </c>
      <c r="I95" s="4">
        <f t="shared" si="5"/>
        <v>1</v>
      </c>
      <c r="J95" s="4">
        <f t="shared" si="6"/>
        <v>1</v>
      </c>
      <c r="K95" s="3">
        <f t="shared" si="7"/>
        <v>2</v>
      </c>
    </row>
    <row r="96" spans="1:11">
      <c r="A96" s="4" t="s">
        <v>40</v>
      </c>
      <c r="B96" s="4" t="s">
        <v>71</v>
      </c>
      <c r="C96" s="4" t="s">
        <v>184</v>
      </c>
      <c r="D96" s="4">
        <f>INDEX(Positions!$D$2:$D$721,MATCH($A96&amp;"|13",Positions!$A$2:$A$721,0))</f>
        <v>13</v>
      </c>
      <c r="E96" s="4">
        <f>INDEX(Positions!$D$2:$D$721,MATCH($A96&amp;"|22",Positions!$A$2:$A$721,0))</f>
        <v>22</v>
      </c>
      <c r="F96" s="4" t="str">
        <f>INDEX(Positions!$E$2:$E$721,MATCH($A96&amp;"|13",Positions!$A$2:$A$721,0))</f>
        <v>U</v>
      </c>
      <c r="G96" s="4" t="str">
        <f>INDEX(Positions!$E$2:$E$721,MATCH($A96&amp;"|22",Positions!$A$2:$A$721,0))</f>
        <v>G</v>
      </c>
      <c r="H96" s="3" t="str">
        <f t="shared" si="4"/>
        <v>U-G</v>
      </c>
      <c r="I96" s="4">
        <f t="shared" si="5"/>
        <v>1</v>
      </c>
      <c r="J96" s="4">
        <f t="shared" si="6"/>
        <v>0</v>
      </c>
      <c r="K96" s="3">
        <f t="shared" si="7"/>
        <v>1</v>
      </c>
    </row>
    <row r="97" spans="1:11">
      <c r="A97" s="4" t="s">
        <v>40</v>
      </c>
      <c r="B97" s="4" t="s">
        <v>90</v>
      </c>
      <c r="C97" s="4" t="s">
        <v>185</v>
      </c>
      <c r="D97" s="4">
        <f>INDEX(Positions!$D$2:$D$721,MATCH($A97&amp;"|27",Positions!$A$2:$A$721,0))</f>
        <v>27</v>
      </c>
      <c r="E97" s="4">
        <f>INDEX(Positions!$D$2:$D$721,MATCH($A97&amp;"|43",Positions!$A$2:$A$721,0))</f>
        <v>43</v>
      </c>
      <c r="F97" s="4" t="str">
        <f>INDEX(Positions!$E$2:$E$721,MATCH($A97&amp;"|27",Positions!$A$2:$A$721,0))</f>
        <v>G</v>
      </c>
      <c r="G97" s="4" t="str">
        <f>INDEX(Positions!$E$2:$E$721,MATCH($A97&amp;"|43",Positions!$A$2:$A$721,0))</f>
        <v>A</v>
      </c>
      <c r="H97" s="3" t="str">
        <f t="shared" si="4"/>
        <v>G-A</v>
      </c>
      <c r="I97" s="4">
        <f t="shared" si="5"/>
        <v>1</v>
      </c>
      <c r="J97" s="4">
        <f t="shared" si="6"/>
        <v>0</v>
      </c>
      <c r="K97" s="3">
        <f t="shared" si="7"/>
        <v>1</v>
      </c>
    </row>
    <row r="98" spans="1:11">
      <c r="A98" s="4" t="s">
        <v>40</v>
      </c>
      <c r="B98" s="4" t="s">
        <v>90</v>
      </c>
      <c r="C98" s="4" t="s">
        <v>186</v>
      </c>
      <c r="D98" s="4">
        <f>INDEX(Positions!$D$2:$D$721,MATCH($A98&amp;"|28",Positions!$A$2:$A$721,0))</f>
        <v>28</v>
      </c>
      <c r="E98" s="4">
        <f>INDEX(Positions!$D$2:$D$721,MATCH($A98&amp;"|42",Positions!$A$2:$A$721,0))</f>
        <v>42</v>
      </c>
      <c r="F98" s="4" t="str">
        <f>INDEX(Positions!$E$2:$E$721,MATCH($A98&amp;"|28",Positions!$A$2:$A$721,0))</f>
        <v>C</v>
      </c>
      <c r="G98" s="4" t="str">
        <f>INDEX(Positions!$E$2:$E$721,MATCH($A98&amp;"|42",Positions!$A$2:$A$721,0))</f>
        <v>G</v>
      </c>
      <c r="H98" s="3" t="str">
        <f t="shared" si="4"/>
        <v>C-G</v>
      </c>
      <c r="I98" s="4">
        <f t="shared" si="5"/>
        <v>1</v>
      </c>
      <c r="J98" s="4">
        <f t="shared" si="6"/>
        <v>1</v>
      </c>
      <c r="K98" s="3">
        <f t="shared" si="7"/>
        <v>2</v>
      </c>
    </row>
    <row r="99" spans="1:11">
      <c r="A99" s="4" t="s">
        <v>40</v>
      </c>
      <c r="B99" s="4" t="s">
        <v>90</v>
      </c>
      <c r="C99" s="4" t="s">
        <v>187</v>
      </c>
      <c r="D99" s="4">
        <f>INDEX(Positions!$D$2:$D$721,MATCH($A99&amp;"|29",Positions!$A$2:$A$721,0))</f>
        <v>29</v>
      </c>
      <c r="E99" s="4">
        <f>INDEX(Positions!$D$2:$D$721,MATCH($A99&amp;"|41",Positions!$A$2:$A$721,0))</f>
        <v>41</v>
      </c>
      <c r="F99" s="4" t="str">
        <f>INDEX(Positions!$E$2:$E$721,MATCH($A99&amp;"|29",Positions!$A$2:$A$721,0))</f>
        <v>C</v>
      </c>
      <c r="G99" s="4" t="str">
        <f>INDEX(Positions!$E$2:$E$721,MATCH($A99&amp;"|41",Positions!$A$2:$A$721,0))</f>
        <v>G</v>
      </c>
      <c r="H99" s="3" t="str">
        <f t="shared" si="4"/>
        <v>C-G</v>
      </c>
      <c r="I99" s="4">
        <f t="shared" si="5"/>
        <v>1</v>
      </c>
      <c r="J99" s="4">
        <f t="shared" si="6"/>
        <v>1</v>
      </c>
      <c r="K99" s="3">
        <f t="shared" si="7"/>
        <v>2</v>
      </c>
    </row>
    <row r="100" spans="1:11">
      <c r="A100" s="4" t="s">
        <v>40</v>
      </c>
      <c r="B100" s="4" t="s">
        <v>90</v>
      </c>
      <c r="C100" s="4" t="s">
        <v>188</v>
      </c>
      <c r="D100" s="4">
        <f>INDEX(Positions!$D$2:$D$721,MATCH($A100&amp;"|30",Positions!$A$2:$A$721,0))</f>
        <v>30</v>
      </c>
      <c r="E100" s="4">
        <f>INDEX(Positions!$D$2:$D$721,MATCH($A100&amp;"|40",Positions!$A$2:$A$721,0))</f>
        <v>40</v>
      </c>
      <c r="F100" s="4" t="str">
        <f>INDEX(Positions!$E$2:$E$721,MATCH($A100&amp;"|30",Positions!$A$2:$A$721,0))</f>
        <v>A</v>
      </c>
      <c r="G100" s="4" t="str">
        <f>INDEX(Positions!$E$2:$E$721,MATCH($A100&amp;"|40",Positions!$A$2:$A$721,0))</f>
        <v>U</v>
      </c>
      <c r="H100" s="3" t="str">
        <f t="shared" si="4"/>
        <v>A-U</v>
      </c>
      <c r="I100" s="4">
        <f t="shared" si="5"/>
        <v>0</v>
      </c>
      <c r="J100" s="4">
        <f t="shared" si="6"/>
        <v>0</v>
      </c>
      <c r="K100" s="3">
        <f t="shared" si="7"/>
        <v>0</v>
      </c>
    </row>
    <row r="101" spans="1:11">
      <c r="A101" s="4" t="s">
        <v>40</v>
      </c>
      <c r="B101" s="4" t="s">
        <v>90</v>
      </c>
      <c r="C101" s="4" t="s">
        <v>189</v>
      </c>
      <c r="D101" s="4">
        <f>INDEX(Positions!$D$2:$D$721,MATCH($A101&amp;"|31",Positions!$A$2:$A$721,0))</f>
        <v>31</v>
      </c>
      <c r="E101" s="4">
        <f>INDEX(Positions!$D$2:$D$721,MATCH($A101&amp;"|39",Positions!$A$2:$A$721,0))</f>
        <v>39</v>
      </c>
      <c r="F101" s="4" t="str">
        <f>INDEX(Positions!$E$2:$E$721,MATCH($A101&amp;"|31",Positions!$A$2:$A$721,0))</f>
        <v>G</v>
      </c>
      <c r="G101" s="4" t="str">
        <f>INDEX(Positions!$E$2:$E$721,MATCH($A101&amp;"|39",Positions!$A$2:$A$721,0))</f>
        <v>C</v>
      </c>
      <c r="H101" s="3" t="str">
        <f t="shared" si="4"/>
        <v>G-C</v>
      </c>
      <c r="I101" s="4">
        <f t="shared" si="5"/>
        <v>1</v>
      </c>
      <c r="J101" s="4">
        <f t="shared" si="6"/>
        <v>1</v>
      </c>
      <c r="K101" s="3">
        <f t="shared" si="7"/>
        <v>2</v>
      </c>
    </row>
    <row r="102" spans="1:11">
      <c r="A102" s="4" t="s">
        <v>40</v>
      </c>
      <c r="B102" s="4" t="s">
        <v>114</v>
      </c>
      <c r="C102" s="4" t="s">
        <v>190</v>
      </c>
      <c r="D102" s="4">
        <f>INDEX(Positions!$D$2:$D$721,MATCH($A102&amp;"|49",Positions!$A$2:$A$721,0))</f>
        <v>48</v>
      </c>
      <c r="E102" s="4">
        <f>INDEX(Positions!$D$2:$D$721,MATCH($A102&amp;"|65",Positions!$A$2:$A$721,0))</f>
        <v>64</v>
      </c>
      <c r="F102" s="4" t="str">
        <f>INDEX(Positions!$E$2:$E$721,MATCH($A102&amp;"|49",Positions!$A$2:$A$721,0))</f>
        <v>G</v>
      </c>
      <c r="G102" s="4" t="str">
        <f>INDEX(Positions!$E$2:$E$721,MATCH($A102&amp;"|65",Positions!$A$2:$A$721,0))</f>
        <v>C</v>
      </c>
      <c r="H102" s="3" t="str">
        <f t="shared" si="4"/>
        <v>G-C</v>
      </c>
      <c r="I102" s="4">
        <f t="shared" si="5"/>
        <v>1</v>
      </c>
      <c r="J102" s="4">
        <f t="shared" si="6"/>
        <v>1</v>
      </c>
      <c r="K102" s="3">
        <f t="shared" si="7"/>
        <v>2</v>
      </c>
    </row>
    <row r="103" spans="1:11">
      <c r="A103" s="4" t="s">
        <v>40</v>
      </c>
      <c r="B103" s="4" t="s">
        <v>114</v>
      </c>
      <c r="C103" s="4" t="s">
        <v>191</v>
      </c>
      <c r="D103" s="4">
        <f>INDEX(Positions!$D$2:$D$721,MATCH($A103&amp;"|50",Positions!$A$2:$A$721,0))</f>
        <v>49</v>
      </c>
      <c r="E103" s="4">
        <f>INDEX(Positions!$D$2:$D$721,MATCH($A103&amp;"|64",Positions!$A$2:$A$721,0))</f>
        <v>63</v>
      </c>
      <c r="F103" s="4" t="str">
        <f>INDEX(Positions!$E$2:$E$721,MATCH($A103&amp;"|50",Positions!$A$2:$A$721,0))</f>
        <v>C</v>
      </c>
      <c r="G103" s="4" t="str">
        <f>INDEX(Positions!$E$2:$E$721,MATCH($A103&amp;"|64",Positions!$A$2:$A$721,0))</f>
        <v>G</v>
      </c>
      <c r="H103" s="3" t="str">
        <f t="shared" si="4"/>
        <v>C-G</v>
      </c>
      <c r="I103" s="4">
        <f t="shared" si="5"/>
        <v>1</v>
      </c>
      <c r="J103" s="4">
        <f t="shared" si="6"/>
        <v>1</v>
      </c>
      <c r="K103" s="3">
        <f t="shared" si="7"/>
        <v>2</v>
      </c>
    </row>
    <row r="104" spans="1:11">
      <c r="A104" s="4" t="s">
        <v>40</v>
      </c>
      <c r="B104" s="4" t="s">
        <v>114</v>
      </c>
      <c r="C104" s="4" t="s">
        <v>192</v>
      </c>
      <c r="D104" s="4">
        <f>INDEX(Positions!$D$2:$D$721,MATCH($A104&amp;"|51",Positions!$A$2:$A$721,0))</f>
        <v>50</v>
      </c>
      <c r="E104" s="4">
        <f>INDEX(Positions!$D$2:$D$721,MATCH($A104&amp;"|63",Positions!$A$2:$A$721,0))</f>
        <v>62</v>
      </c>
      <c r="F104" s="4" t="str">
        <f>INDEX(Positions!$E$2:$E$721,MATCH($A104&amp;"|51",Positions!$A$2:$A$721,0))</f>
        <v>G</v>
      </c>
      <c r="G104" s="4" t="str">
        <f>INDEX(Positions!$E$2:$E$721,MATCH($A104&amp;"|63",Positions!$A$2:$A$721,0))</f>
        <v>C</v>
      </c>
      <c r="H104" s="3" t="str">
        <f t="shared" si="4"/>
        <v>G-C</v>
      </c>
      <c r="I104" s="4">
        <f t="shared" si="5"/>
        <v>1</v>
      </c>
      <c r="J104" s="4">
        <f t="shared" si="6"/>
        <v>1</v>
      </c>
      <c r="K104" s="3">
        <f t="shared" si="7"/>
        <v>2</v>
      </c>
    </row>
    <row r="105" spans="1:11">
      <c r="A105" s="4" t="s">
        <v>40</v>
      </c>
      <c r="B105" s="4" t="s">
        <v>114</v>
      </c>
      <c r="C105" s="4" t="s">
        <v>193</v>
      </c>
      <c r="D105" s="4">
        <f>INDEX(Positions!$D$2:$D$721,MATCH($A105&amp;"|52",Positions!$A$2:$A$721,0))</f>
        <v>51</v>
      </c>
      <c r="E105" s="4">
        <f>INDEX(Positions!$D$2:$D$721,MATCH($A105&amp;"|62",Positions!$A$2:$A$721,0))</f>
        <v>61</v>
      </c>
      <c r="F105" s="4" t="str">
        <f>INDEX(Positions!$E$2:$E$721,MATCH($A105&amp;"|52",Positions!$A$2:$A$721,0))</f>
        <v>U</v>
      </c>
      <c r="G105" s="4" t="str">
        <f>INDEX(Positions!$E$2:$E$721,MATCH($A105&amp;"|62",Positions!$A$2:$A$721,0))</f>
        <v>A</v>
      </c>
      <c r="H105" s="3" t="str">
        <f t="shared" si="4"/>
        <v>U-A</v>
      </c>
      <c r="I105" s="4">
        <f t="shared" si="5"/>
        <v>0</v>
      </c>
      <c r="J105" s="4">
        <f t="shared" si="6"/>
        <v>0</v>
      </c>
      <c r="K105" s="3">
        <f t="shared" si="7"/>
        <v>0</v>
      </c>
    </row>
    <row r="106" spans="1:11">
      <c r="A106" s="4" t="s">
        <v>40</v>
      </c>
      <c r="B106" s="4" t="s">
        <v>114</v>
      </c>
      <c r="C106" s="4" t="s">
        <v>194</v>
      </c>
      <c r="D106" s="4">
        <f>INDEX(Positions!$D$2:$D$721,MATCH($A106&amp;"|53",Positions!$A$2:$A$721,0))</f>
        <v>52</v>
      </c>
      <c r="E106" s="4">
        <f>INDEX(Positions!$D$2:$D$721,MATCH($A106&amp;"|61",Positions!$A$2:$A$721,0))</f>
        <v>60</v>
      </c>
      <c r="F106" s="4" t="str">
        <f>INDEX(Positions!$E$2:$E$721,MATCH($A106&amp;"|53",Positions!$A$2:$A$721,0))</f>
        <v>G</v>
      </c>
      <c r="G106" s="4" t="str">
        <f>INDEX(Positions!$E$2:$E$721,MATCH($A106&amp;"|61",Positions!$A$2:$A$721,0))</f>
        <v>C</v>
      </c>
      <c r="H106" s="3" t="str">
        <f t="shared" si="4"/>
        <v>G-C</v>
      </c>
      <c r="I106" s="4">
        <f t="shared" si="5"/>
        <v>1</v>
      </c>
      <c r="J106" s="4">
        <f t="shared" si="6"/>
        <v>1</v>
      </c>
      <c r="K106" s="3">
        <f t="shared" si="7"/>
        <v>2</v>
      </c>
    </row>
    <row r="107" spans="1:11">
      <c r="A107" s="23" t="s">
        <v>40</v>
      </c>
      <c r="B107" s="23" t="s">
        <v>195</v>
      </c>
      <c r="C107" s="23" t="s">
        <v>196</v>
      </c>
      <c r="D107" s="23">
        <f>INDEX(Positions!$D$2:$D$721,MATCH($A107&amp;"|8",Positions!$A$2:$A$721,0))</f>
        <v>8</v>
      </c>
      <c r="E107" s="23">
        <f>INDEX(Positions!$D$2:$D$721,MATCH($A107&amp;"|14",Positions!$A$2:$A$721,0))</f>
        <v>14</v>
      </c>
      <c r="F107" s="23" t="str">
        <f>INDEX(Positions!$E$2:$E$721,MATCH($A107&amp;"|8",Positions!$A$2:$A$721,0))</f>
        <v>U</v>
      </c>
      <c r="G107" s="23" t="str">
        <f>INDEX(Positions!$E$2:$E$721,MATCH($A107&amp;"|14",Positions!$A$2:$A$721,0))</f>
        <v>A</v>
      </c>
      <c r="H107" s="24" t="str">
        <f t="shared" si="4"/>
        <v>U-A</v>
      </c>
      <c r="I107" s="23">
        <f t="shared" si="5"/>
        <v>0</v>
      </c>
      <c r="J107" s="23">
        <f t="shared" si="6"/>
        <v>0</v>
      </c>
      <c r="K107" s="24">
        <f t="shared" si="7"/>
        <v>0</v>
      </c>
    </row>
    <row r="108" spans="1:11">
      <c r="A108" s="23" t="s">
        <v>40</v>
      </c>
      <c r="B108" s="23" t="s">
        <v>195</v>
      </c>
      <c r="C108" s="23" t="s">
        <v>197</v>
      </c>
      <c r="D108" s="23">
        <f>INDEX(Positions!$D$2:$D$721,MATCH($A108&amp;"|15",Positions!$A$2:$A$721,0))</f>
        <v>15</v>
      </c>
      <c r="E108" s="23">
        <f>INDEX(Positions!$D$2:$D$721,MATCH($A108&amp;"|48",Positions!$A$2:$A$721,0))</f>
        <v>47</v>
      </c>
      <c r="F108" s="23" t="str">
        <f>INDEX(Positions!$E$2:$E$721,MATCH($A108&amp;"|15",Positions!$A$2:$A$721,0))</f>
        <v>G</v>
      </c>
      <c r="G108" s="23" t="str">
        <f>INDEX(Positions!$E$2:$E$721,MATCH($A108&amp;"|48",Positions!$A$2:$A$721,0))</f>
        <v>C</v>
      </c>
      <c r="H108" s="24" t="str">
        <f t="shared" si="4"/>
        <v>G-C</v>
      </c>
      <c r="I108" s="23">
        <f t="shared" si="5"/>
        <v>1</v>
      </c>
      <c r="J108" s="23">
        <f t="shared" si="6"/>
        <v>1</v>
      </c>
      <c r="K108" s="24">
        <f t="shared" si="7"/>
        <v>2</v>
      </c>
    </row>
    <row r="109" spans="1:11">
      <c r="A109" s="23" t="s">
        <v>40</v>
      </c>
      <c r="B109" s="23" t="s">
        <v>195</v>
      </c>
      <c r="C109" s="23" t="s">
        <v>198</v>
      </c>
      <c r="D109" s="23">
        <f>INDEX(Positions!$D$2:$D$721,MATCH($A109&amp;"|18",Positions!$A$2:$A$721,0))</f>
        <v>18</v>
      </c>
      <c r="E109" s="23">
        <f>INDEX(Positions!$D$2:$D$721,MATCH($A109&amp;"|55",Positions!$A$2:$A$721,0))</f>
        <v>54</v>
      </c>
      <c r="F109" s="23" t="str">
        <f>INDEX(Positions!$E$2:$E$721,MATCH($A109&amp;"|18",Positions!$A$2:$A$721,0))</f>
        <v>G</v>
      </c>
      <c r="G109" s="23" t="str">
        <f>INDEX(Positions!$E$2:$E$721,MATCH($A109&amp;"|55",Positions!$A$2:$A$721,0))</f>
        <v>U</v>
      </c>
      <c r="H109" s="24" t="str">
        <f t="shared" si="4"/>
        <v>G-U</v>
      </c>
      <c r="I109" s="23">
        <f t="shared" si="5"/>
        <v>1</v>
      </c>
      <c r="J109" s="23">
        <f t="shared" si="6"/>
        <v>0</v>
      </c>
      <c r="K109" s="24">
        <f t="shared" si="7"/>
        <v>1</v>
      </c>
    </row>
    <row r="110" spans="1:11">
      <c r="A110" s="23" t="s">
        <v>40</v>
      </c>
      <c r="B110" s="23" t="s">
        <v>195</v>
      </c>
      <c r="C110" s="23" t="s">
        <v>199</v>
      </c>
      <c r="D110" s="23">
        <f>INDEX(Positions!$D$2:$D$721,MATCH($A110&amp;"|19",Positions!$A$2:$A$721,0))</f>
        <v>19</v>
      </c>
      <c r="E110" s="23">
        <f>INDEX(Positions!$D$2:$D$721,MATCH($A110&amp;"|56",Positions!$A$2:$A$721,0))</f>
        <v>55</v>
      </c>
      <c r="F110" s="23" t="str">
        <f>INDEX(Positions!$E$2:$E$721,MATCH($A110&amp;"|19",Positions!$A$2:$A$721,0))</f>
        <v>G</v>
      </c>
      <c r="G110" s="23" t="str">
        <f>INDEX(Positions!$E$2:$E$721,MATCH($A110&amp;"|56",Positions!$A$2:$A$721,0))</f>
        <v>C</v>
      </c>
      <c r="H110" s="24" t="str">
        <f t="shared" si="4"/>
        <v>G-C</v>
      </c>
      <c r="I110" s="23">
        <f t="shared" si="5"/>
        <v>1</v>
      </c>
      <c r="J110" s="23">
        <f t="shared" si="6"/>
        <v>1</v>
      </c>
      <c r="K110" s="24">
        <f t="shared" si="7"/>
        <v>2</v>
      </c>
    </row>
    <row r="111" spans="1:11">
      <c r="A111" s="23" t="s">
        <v>40</v>
      </c>
      <c r="B111" s="23" t="s">
        <v>195</v>
      </c>
      <c r="C111" s="23" t="s">
        <v>200</v>
      </c>
      <c r="D111" s="23">
        <f>INDEX(Positions!$D$2:$D$721,MATCH($A111&amp;"|26",Positions!$A$2:$A$721,0))</f>
        <v>26</v>
      </c>
      <c r="E111" s="23">
        <f>INDEX(Positions!$D$2:$D$721,MATCH($A111&amp;"|44",Positions!$A$2:$A$721,0))</f>
        <v>44</v>
      </c>
      <c r="F111" s="23" t="str">
        <f>INDEX(Positions!$E$2:$E$721,MATCH($A111&amp;"|26",Positions!$A$2:$A$721,0))</f>
        <v>C</v>
      </c>
      <c r="G111" s="23" t="str">
        <f>INDEX(Positions!$E$2:$E$721,MATCH($A111&amp;"|44",Positions!$A$2:$A$721,0))</f>
        <v>G</v>
      </c>
      <c r="H111" s="24" t="str">
        <f t="shared" si="4"/>
        <v>C-G</v>
      </c>
      <c r="I111" s="23">
        <f t="shared" si="5"/>
        <v>1</v>
      </c>
      <c r="J111" s="23">
        <f t="shared" si="6"/>
        <v>1</v>
      </c>
      <c r="K111" s="24">
        <f t="shared" si="7"/>
        <v>2</v>
      </c>
    </row>
    <row r="112" spans="1:11">
      <c r="A112" s="23" t="s">
        <v>40</v>
      </c>
      <c r="B112" s="23" t="s">
        <v>195</v>
      </c>
      <c r="C112" s="23" t="s">
        <v>201</v>
      </c>
      <c r="D112" s="23">
        <f>INDEX(Positions!$D$2:$D$721,MATCH($A112&amp;"|32",Positions!$A$2:$A$721,0))</f>
        <v>32</v>
      </c>
      <c r="E112" s="23">
        <f>INDEX(Positions!$D$2:$D$721,MATCH($A112&amp;"|38",Positions!$A$2:$A$721,0))</f>
        <v>38</v>
      </c>
      <c r="F112" s="23" t="str">
        <f>INDEX(Positions!$E$2:$E$721,MATCH($A112&amp;"|32",Positions!$A$2:$A$721,0))</f>
        <v>A</v>
      </c>
      <c r="G112" s="23" t="str">
        <f>INDEX(Positions!$E$2:$E$721,MATCH($A112&amp;"|38",Positions!$A$2:$A$721,0))</f>
        <v>U</v>
      </c>
      <c r="H112" s="24" t="str">
        <f t="shared" si="4"/>
        <v>A-U</v>
      </c>
      <c r="I112" s="23">
        <f t="shared" si="5"/>
        <v>0</v>
      </c>
      <c r="J112" s="23">
        <f t="shared" si="6"/>
        <v>0</v>
      </c>
      <c r="K112" s="24">
        <f t="shared" si="7"/>
        <v>0</v>
      </c>
    </row>
    <row r="113" spans="1:11">
      <c r="A113" s="23" t="s">
        <v>40</v>
      </c>
      <c r="B113" s="23" t="s">
        <v>195</v>
      </c>
      <c r="C113" s="23" t="s">
        <v>202</v>
      </c>
      <c r="D113" s="23">
        <f>INDEX(Positions!$D$2:$D$721,MATCH($A113&amp;"|54",Positions!$A$2:$A$721,0))</f>
        <v>53</v>
      </c>
      <c r="E113" s="23">
        <f>INDEX(Positions!$D$2:$D$721,MATCH($A113&amp;"|58",Positions!$A$2:$A$721,0))</f>
        <v>57</v>
      </c>
      <c r="F113" s="23" t="str">
        <f>INDEX(Positions!$E$2:$E$721,MATCH($A113&amp;"|54",Positions!$A$2:$A$721,0))</f>
        <v>U</v>
      </c>
      <c r="G113" s="23" t="str">
        <f>INDEX(Positions!$E$2:$E$721,MATCH($A113&amp;"|58",Positions!$A$2:$A$721,0))</f>
        <v>A</v>
      </c>
      <c r="H113" s="24" t="str">
        <f t="shared" si="4"/>
        <v>U-A</v>
      </c>
      <c r="I113" s="23">
        <f t="shared" si="5"/>
        <v>0</v>
      </c>
      <c r="J113" s="23">
        <f t="shared" si="6"/>
        <v>0</v>
      </c>
      <c r="K113" s="24">
        <f t="shared" si="7"/>
        <v>0</v>
      </c>
    </row>
    <row r="114" spans="1:11">
      <c r="A114" s="4" t="s">
        <v>41</v>
      </c>
      <c r="B114" s="4" t="s">
        <v>56</v>
      </c>
      <c r="C114" s="4" t="s">
        <v>174</v>
      </c>
      <c r="D114" s="4">
        <f>INDEX(Positions!$D$2:$D$721,MATCH($A114&amp;"|1",Positions!$A$2:$A$721,0))</f>
        <v>1</v>
      </c>
      <c r="E114" s="4">
        <f>INDEX(Positions!$D$2:$D$721,MATCH($A114&amp;"|72",Positions!$A$2:$A$721,0))</f>
        <v>80</v>
      </c>
      <c r="F114" s="4" t="str">
        <f>INDEX(Positions!$E$2:$E$721,MATCH($A114&amp;"|1",Positions!$A$2:$A$721,0))</f>
        <v>C</v>
      </c>
      <c r="G114" s="4" t="str">
        <f>INDEX(Positions!$E$2:$E$721,MATCH($A114&amp;"|72",Positions!$A$2:$A$721,0))</f>
        <v>G</v>
      </c>
      <c r="H114" s="3" t="str">
        <f t="shared" si="4"/>
        <v>C-G</v>
      </c>
      <c r="I114" s="4">
        <f t="shared" si="5"/>
        <v>1</v>
      </c>
      <c r="J114" s="4">
        <f t="shared" si="6"/>
        <v>1</v>
      </c>
      <c r="K114" s="3">
        <f t="shared" si="7"/>
        <v>2</v>
      </c>
    </row>
    <row r="115" spans="1:11">
      <c r="A115" s="4" t="s">
        <v>41</v>
      </c>
      <c r="B115" s="4" t="s">
        <v>56</v>
      </c>
      <c r="C115" s="4" t="s">
        <v>175</v>
      </c>
      <c r="D115" s="4">
        <f>INDEX(Positions!$D$2:$D$721,MATCH($A115&amp;"|2",Positions!$A$2:$A$721,0))</f>
        <v>2</v>
      </c>
      <c r="E115" s="4">
        <f>INDEX(Positions!$D$2:$D$721,MATCH($A115&amp;"|71",Positions!$A$2:$A$721,0))</f>
        <v>79</v>
      </c>
      <c r="F115" s="4" t="str">
        <f>INDEX(Positions!$E$2:$E$721,MATCH($A115&amp;"|2",Positions!$A$2:$A$721,0))</f>
        <v>U</v>
      </c>
      <c r="G115" s="4" t="str">
        <f>INDEX(Positions!$E$2:$E$721,MATCH($A115&amp;"|71",Positions!$A$2:$A$721,0))</f>
        <v>A</v>
      </c>
      <c r="H115" s="3" t="str">
        <f t="shared" si="4"/>
        <v>U-A</v>
      </c>
      <c r="I115" s="4">
        <f t="shared" si="5"/>
        <v>0</v>
      </c>
      <c r="J115" s="4">
        <f t="shared" si="6"/>
        <v>0</v>
      </c>
      <c r="K115" s="3">
        <f t="shared" si="7"/>
        <v>0</v>
      </c>
    </row>
    <row r="116" spans="1:11">
      <c r="A116" s="4" t="s">
        <v>41</v>
      </c>
      <c r="B116" s="4" t="s">
        <v>56</v>
      </c>
      <c r="C116" s="4" t="s">
        <v>176</v>
      </c>
      <c r="D116" s="4">
        <f>INDEX(Positions!$D$2:$D$721,MATCH($A116&amp;"|3",Positions!$A$2:$A$721,0))</f>
        <v>3</v>
      </c>
      <c r="E116" s="4">
        <f>INDEX(Positions!$D$2:$D$721,MATCH($A116&amp;"|70",Positions!$A$2:$A$721,0))</f>
        <v>78</v>
      </c>
      <c r="F116" s="4" t="str">
        <f>INDEX(Positions!$E$2:$E$721,MATCH($A116&amp;"|3",Positions!$A$2:$A$721,0))</f>
        <v>U</v>
      </c>
      <c r="G116" s="4" t="str">
        <f>INDEX(Positions!$E$2:$E$721,MATCH($A116&amp;"|70",Positions!$A$2:$A$721,0))</f>
        <v>G</v>
      </c>
      <c r="H116" s="3" t="str">
        <f t="shared" si="4"/>
        <v>U-G</v>
      </c>
      <c r="I116" s="4">
        <f t="shared" si="5"/>
        <v>1</v>
      </c>
      <c r="J116" s="4">
        <f t="shared" si="6"/>
        <v>0</v>
      </c>
      <c r="K116" s="3">
        <f t="shared" si="7"/>
        <v>1</v>
      </c>
    </row>
    <row r="117" spans="1:11">
      <c r="A117" s="4" t="s">
        <v>41</v>
      </c>
      <c r="B117" s="4" t="s">
        <v>56</v>
      </c>
      <c r="C117" s="4" t="s">
        <v>177</v>
      </c>
      <c r="D117" s="4">
        <f>INDEX(Positions!$D$2:$D$721,MATCH($A117&amp;"|4",Positions!$A$2:$A$721,0))</f>
        <v>4</v>
      </c>
      <c r="E117" s="4">
        <f>INDEX(Positions!$D$2:$D$721,MATCH($A117&amp;"|69",Positions!$A$2:$A$721,0))</f>
        <v>77</v>
      </c>
      <c r="F117" s="4" t="str">
        <f>INDEX(Positions!$E$2:$E$721,MATCH($A117&amp;"|4",Positions!$A$2:$A$721,0))</f>
        <v>U</v>
      </c>
      <c r="G117" s="4" t="str">
        <f>INDEX(Positions!$E$2:$E$721,MATCH($A117&amp;"|69",Positions!$A$2:$A$721,0))</f>
        <v>G</v>
      </c>
      <c r="H117" s="3" t="str">
        <f t="shared" si="4"/>
        <v>U-G</v>
      </c>
      <c r="I117" s="4">
        <f t="shared" si="5"/>
        <v>1</v>
      </c>
      <c r="J117" s="4">
        <f t="shared" si="6"/>
        <v>0</v>
      </c>
      <c r="K117" s="3">
        <f t="shared" si="7"/>
        <v>1</v>
      </c>
    </row>
    <row r="118" spans="1:11">
      <c r="A118" s="4" t="s">
        <v>41</v>
      </c>
      <c r="B118" s="4" t="s">
        <v>56</v>
      </c>
      <c r="C118" s="4" t="s">
        <v>178</v>
      </c>
      <c r="D118" s="4">
        <f>INDEX(Positions!$D$2:$D$721,MATCH($A118&amp;"|5",Positions!$A$2:$A$721,0))</f>
        <v>5</v>
      </c>
      <c r="E118" s="4">
        <f>INDEX(Positions!$D$2:$D$721,MATCH($A118&amp;"|68",Positions!$A$2:$A$721,0))</f>
        <v>76</v>
      </c>
      <c r="F118" s="4" t="str">
        <f>INDEX(Positions!$E$2:$E$721,MATCH($A118&amp;"|5",Positions!$A$2:$A$721,0))</f>
        <v>C</v>
      </c>
      <c r="G118" s="4" t="str">
        <f>INDEX(Positions!$E$2:$E$721,MATCH($A118&amp;"|68",Positions!$A$2:$A$721,0))</f>
        <v>G</v>
      </c>
      <c r="H118" s="3" t="str">
        <f t="shared" si="4"/>
        <v>C-G</v>
      </c>
      <c r="I118" s="4">
        <f t="shared" si="5"/>
        <v>1</v>
      </c>
      <c r="J118" s="4">
        <f t="shared" si="6"/>
        <v>1</v>
      </c>
      <c r="K118" s="3">
        <f t="shared" si="7"/>
        <v>2</v>
      </c>
    </row>
    <row r="119" spans="1:11">
      <c r="A119" s="4" t="s">
        <v>41</v>
      </c>
      <c r="B119" s="4" t="s">
        <v>56</v>
      </c>
      <c r="C119" s="4" t="s">
        <v>179</v>
      </c>
      <c r="D119" s="4">
        <f>INDEX(Positions!$D$2:$D$721,MATCH($A119&amp;"|6",Positions!$A$2:$A$721,0))</f>
        <v>6</v>
      </c>
      <c r="E119" s="4">
        <f>INDEX(Positions!$D$2:$D$721,MATCH($A119&amp;"|67",Positions!$A$2:$A$721,0))</f>
        <v>75</v>
      </c>
      <c r="F119" s="4" t="str">
        <f>INDEX(Positions!$E$2:$E$721,MATCH($A119&amp;"|6",Positions!$A$2:$A$721,0))</f>
        <v>U</v>
      </c>
      <c r="G119" s="4" t="str">
        <f>INDEX(Positions!$E$2:$E$721,MATCH($A119&amp;"|67",Positions!$A$2:$A$721,0))</f>
        <v>A</v>
      </c>
      <c r="H119" s="3" t="str">
        <f t="shared" si="4"/>
        <v>U-A</v>
      </c>
      <c r="I119" s="4">
        <f t="shared" si="5"/>
        <v>0</v>
      </c>
      <c r="J119" s="4">
        <f t="shared" si="6"/>
        <v>0</v>
      </c>
      <c r="K119" s="3">
        <f t="shared" si="7"/>
        <v>0</v>
      </c>
    </row>
    <row r="120" spans="1:11">
      <c r="A120" s="4" t="s">
        <v>41</v>
      </c>
      <c r="B120" s="4" t="s">
        <v>56</v>
      </c>
      <c r="C120" s="4" t="s">
        <v>180</v>
      </c>
      <c r="D120" s="4">
        <f>INDEX(Positions!$D$2:$D$721,MATCH($A120&amp;"|7",Positions!$A$2:$A$721,0))</f>
        <v>7</v>
      </c>
      <c r="E120" s="4">
        <f>INDEX(Positions!$D$2:$D$721,MATCH($A120&amp;"|66",Positions!$A$2:$A$721,0))</f>
        <v>74</v>
      </c>
      <c r="F120" s="4" t="str">
        <f>INDEX(Positions!$E$2:$E$721,MATCH($A120&amp;"|7",Positions!$A$2:$A$721,0))</f>
        <v>U</v>
      </c>
      <c r="G120" s="4" t="str">
        <f>INDEX(Positions!$E$2:$E$721,MATCH($A120&amp;"|66",Positions!$A$2:$A$721,0))</f>
        <v>G</v>
      </c>
      <c r="H120" s="3" t="str">
        <f t="shared" si="4"/>
        <v>U-G</v>
      </c>
      <c r="I120" s="4">
        <f t="shared" si="5"/>
        <v>1</v>
      </c>
      <c r="J120" s="4">
        <f t="shared" si="6"/>
        <v>0</v>
      </c>
      <c r="K120" s="3">
        <f t="shared" si="7"/>
        <v>1</v>
      </c>
    </row>
    <row r="121" spans="1:11">
      <c r="A121" s="4" t="s">
        <v>41</v>
      </c>
      <c r="B121" s="4" t="s">
        <v>71</v>
      </c>
      <c r="C121" s="4" t="s">
        <v>181</v>
      </c>
      <c r="D121" s="4">
        <f>INDEX(Positions!$D$2:$D$721,MATCH($A121&amp;"|10",Positions!$A$2:$A$721,0))</f>
        <v>10</v>
      </c>
      <c r="E121" s="4">
        <f>INDEX(Positions!$D$2:$D$721,MATCH($A121&amp;"|25",Positions!$A$2:$A$721,0))</f>
        <v>24</v>
      </c>
      <c r="F121" s="4" t="str">
        <f>INDEX(Positions!$E$2:$E$721,MATCH($A121&amp;"|10",Positions!$A$2:$A$721,0))</f>
        <v>A</v>
      </c>
      <c r="G121" s="4" t="str">
        <f>INDEX(Positions!$E$2:$E$721,MATCH($A121&amp;"|25",Positions!$A$2:$A$721,0))</f>
        <v>U</v>
      </c>
      <c r="H121" s="3" t="str">
        <f t="shared" si="4"/>
        <v>A-U</v>
      </c>
      <c r="I121" s="4">
        <f t="shared" si="5"/>
        <v>0</v>
      </c>
      <c r="J121" s="4">
        <f t="shared" si="6"/>
        <v>0</v>
      </c>
      <c r="K121" s="3">
        <f t="shared" si="7"/>
        <v>0</v>
      </c>
    </row>
    <row r="122" spans="1:11">
      <c r="A122" s="4" t="s">
        <v>41</v>
      </c>
      <c r="B122" s="4" t="s">
        <v>71</v>
      </c>
      <c r="C122" s="4" t="s">
        <v>182</v>
      </c>
      <c r="D122" s="4">
        <f>INDEX(Positions!$D$2:$D$721,MATCH($A122&amp;"|11",Positions!$A$2:$A$721,0))</f>
        <v>11</v>
      </c>
      <c r="E122" s="4">
        <f>INDEX(Positions!$D$2:$D$721,MATCH($A122&amp;"|24",Positions!$A$2:$A$721,0))</f>
        <v>23</v>
      </c>
      <c r="F122" s="4" t="str">
        <f>INDEX(Positions!$E$2:$E$721,MATCH($A122&amp;"|11",Positions!$A$2:$A$721,0))</f>
        <v>A</v>
      </c>
      <c r="G122" s="4" t="str">
        <f>INDEX(Positions!$E$2:$E$721,MATCH($A122&amp;"|24",Positions!$A$2:$A$721,0))</f>
        <v>U</v>
      </c>
      <c r="H122" s="3" t="str">
        <f t="shared" si="4"/>
        <v>A-U</v>
      </c>
      <c r="I122" s="4">
        <f t="shared" si="5"/>
        <v>0</v>
      </c>
      <c r="J122" s="4">
        <f t="shared" si="6"/>
        <v>0</v>
      </c>
      <c r="K122" s="3">
        <f t="shared" si="7"/>
        <v>0</v>
      </c>
    </row>
    <row r="123" spans="1:11">
      <c r="A123" s="4" t="s">
        <v>41</v>
      </c>
      <c r="B123" s="4" t="s">
        <v>71</v>
      </c>
      <c r="C123" s="4" t="s">
        <v>183</v>
      </c>
      <c r="D123" s="4">
        <f>INDEX(Positions!$D$2:$D$721,MATCH($A123&amp;"|12",Positions!$A$2:$A$721,0))</f>
        <v>12</v>
      </c>
      <c r="E123" s="4">
        <f>INDEX(Positions!$D$2:$D$721,MATCH($A123&amp;"|23",Positions!$A$2:$A$721,0))</f>
        <v>22</v>
      </c>
      <c r="F123" s="4" t="str">
        <f>INDEX(Positions!$E$2:$E$721,MATCH($A123&amp;"|12",Positions!$A$2:$A$721,0))</f>
        <v>U</v>
      </c>
      <c r="G123" s="4" t="str">
        <f>INDEX(Positions!$E$2:$E$721,MATCH($A123&amp;"|23",Positions!$A$2:$A$721,0))</f>
        <v>A</v>
      </c>
      <c r="H123" s="3" t="str">
        <f t="shared" si="4"/>
        <v>U-A</v>
      </c>
      <c r="I123" s="4">
        <f t="shared" si="5"/>
        <v>0</v>
      </c>
      <c r="J123" s="4">
        <f t="shared" si="6"/>
        <v>0</v>
      </c>
      <c r="K123" s="3">
        <f t="shared" si="7"/>
        <v>0</v>
      </c>
    </row>
    <row r="124" spans="1:11">
      <c r="A124" s="4" t="s">
        <v>41</v>
      </c>
      <c r="B124" s="4" t="s">
        <v>71</v>
      </c>
      <c r="C124" s="4" t="s">
        <v>184</v>
      </c>
      <c r="D124" s="4">
        <f>INDEX(Positions!$D$2:$D$721,MATCH($A124&amp;"|13",Positions!$A$2:$A$721,0))</f>
        <v>13</v>
      </c>
      <c r="E124" s="4">
        <f>INDEX(Positions!$D$2:$D$721,MATCH($A124&amp;"|22",Positions!$A$2:$A$721,0))</f>
        <v>21</v>
      </c>
      <c r="F124" s="4" t="str">
        <f>INDEX(Positions!$E$2:$E$721,MATCH($A124&amp;"|13",Positions!$A$2:$A$721,0))</f>
        <v>A</v>
      </c>
      <c r="G124" s="4" t="str">
        <f>INDEX(Positions!$E$2:$E$721,MATCH($A124&amp;"|22",Positions!$A$2:$A$721,0))</f>
        <v>U</v>
      </c>
      <c r="H124" s="3" t="str">
        <f t="shared" si="4"/>
        <v>A-U</v>
      </c>
      <c r="I124" s="4">
        <f t="shared" si="5"/>
        <v>0</v>
      </c>
      <c r="J124" s="4">
        <f t="shared" si="6"/>
        <v>0</v>
      </c>
      <c r="K124" s="3">
        <f t="shared" si="7"/>
        <v>0</v>
      </c>
    </row>
    <row r="125" spans="1:11">
      <c r="A125" s="4" t="s">
        <v>41</v>
      </c>
      <c r="B125" s="4" t="s">
        <v>90</v>
      </c>
      <c r="C125" s="4" t="s">
        <v>185</v>
      </c>
      <c r="D125" s="4">
        <f>INDEX(Positions!$D$2:$D$721,MATCH($A125&amp;"|27",Positions!$A$2:$A$721,0))</f>
        <v>26</v>
      </c>
      <c r="E125" s="4">
        <f>INDEX(Positions!$D$2:$D$721,MATCH($A125&amp;"|43",Positions!$A$2:$A$721,0))</f>
        <v>42</v>
      </c>
      <c r="F125" s="4" t="str">
        <f>INDEX(Positions!$E$2:$E$721,MATCH($A125&amp;"|27",Positions!$A$2:$A$721,0))</f>
        <v>U</v>
      </c>
      <c r="G125" s="4" t="str">
        <f>INDEX(Positions!$E$2:$E$721,MATCH($A125&amp;"|43",Positions!$A$2:$A$721,0))</f>
        <v>A</v>
      </c>
      <c r="H125" s="3" t="str">
        <f t="shared" si="4"/>
        <v>U-A</v>
      </c>
      <c r="I125" s="4">
        <f t="shared" si="5"/>
        <v>0</v>
      </c>
      <c r="J125" s="4">
        <f t="shared" si="6"/>
        <v>0</v>
      </c>
      <c r="K125" s="3">
        <f t="shared" si="7"/>
        <v>0</v>
      </c>
    </row>
    <row r="126" spans="1:11">
      <c r="A126" s="4" t="s">
        <v>41</v>
      </c>
      <c r="B126" s="4" t="s">
        <v>90</v>
      </c>
      <c r="C126" s="4" t="s">
        <v>186</v>
      </c>
      <c r="D126" s="4">
        <f>INDEX(Positions!$D$2:$D$721,MATCH($A126&amp;"|28",Positions!$A$2:$A$721,0))</f>
        <v>27</v>
      </c>
      <c r="E126" s="4">
        <f>INDEX(Positions!$D$2:$D$721,MATCH($A126&amp;"|42",Positions!$A$2:$A$721,0))</f>
        <v>41</v>
      </c>
      <c r="F126" s="4" t="str">
        <f>INDEX(Positions!$E$2:$E$721,MATCH($A126&amp;"|28",Positions!$A$2:$A$721,0))</f>
        <v>C</v>
      </c>
      <c r="G126" s="4" t="str">
        <f>INDEX(Positions!$E$2:$E$721,MATCH($A126&amp;"|42",Positions!$A$2:$A$721,0))</f>
        <v>C</v>
      </c>
      <c r="H126" s="3" t="str">
        <f t="shared" si="4"/>
        <v>C-C</v>
      </c>
      <c r="I126" s="4">
        <f t="shared" si="5"/>
        <v>0</v>
      </c>
      <c r="J126" s="4">
        <f t="shared" si="6"/>
        <v>2</v>
      </c>
      <c r="K126" s="3">
        <f t="shared" si="7"/>
        <v>2</v>
      </c>
    </row>
    <row r="127" spans="1:11">
      <c r="A127" s="4" t="s">
        <v>41</v>
      </c>
      <c r="B127" s="4" t="s">
        <v>90</v>
      </c>
      <c r="C127" s="4" t="s">
        <v>187</v>
      </c>
      <c r="D127" s="4">
        <f>INDEX(Positions!$D$2:$D$721,MATCH($A127&amp;"|29",Positions!$A$2:$A$721,0))</f>
        <v>28</v>
      </c>
      <c r="E127" s="4">
        <f>INDEX(Positions!$D$2:$D$721,MATCH($A127&amp;"|41",Positions!$A$2:$A$721,0))</f>
        <v>40</v>
      </c>
      <c r="F127" s="4" t="str">
        <f>INDEX(Positions!$E$2:$E$721,MATCH($A127&amp;"|29",Positions!$A$2:$A$721,0))</f>
        <v>A</v>
      </c>
      <c r="G127" s="4" t="str">
        <f>INDEX(Positions!$E$2:$E$721,MATCH($A127&amp;"|41",Positions!$A$2:$A$721,0))</f>
        <v>U</v>
      </c>
      <c r="H127" s="3" t="str">
        <f t="shared" si="4"/>
        <v>A-U</v>
      </c>
      <c r="I127" s="4">
        <f t="shared" si="5"/>
        <v>0</v>
      </c>
      <c r="J127" s="4">
        <f t="shared" si="6"/>
        <v>0</v>
      </c>
      <c r="K127" s="3">
        <f t="shared" si="7"/>
        <v>0</v>
      </c>
    </row>
    <row r="128" spans="1:11">
      <c r="A128" s="4" t="s">
        <v>41</v>
      </c>
      <c r="B128" s="4" t="s">
        <v>90</v>
      </c>
      <c r="C128" s="4" t="s">
        <v>188</v>
      </c>
      <c r="D128" s="4">
        <f>INDEX(Positions!$D$2:$D$721,MATCH($A128&amp;"|30",Positions!$A$2:$A$721,0))</f>
        <v>29</v>
      </c>
      <c r="E128" s="4">
        <f>INDEX(Positions!$D$2:$D$721,MATCH($A128&amp;"|40",Positions!$A$2:$A$721,0))</f>
        <v>39</v>
      </c>
      <c r="F128" s="4" t="str">
        <f>INDEX(Positions!$E$2:$E$721,MATCH($A128&amp;"|30",Positions!$A$2:$A$721,0))</f>
        <v>A</v>
      </c>
      <c r="G128" s="4" t="str">
        <f>INDEX(Positions!$E$2:$E$721,MATCH($A128&amp;"|40",Positions!$A$2:$A$721,0))</f>
        <v>U</v>
      </c>
      <c r="H128" s="3" t="str">
        <f t="shared" si="4"/>
        <v>A-U</v>
      </c>
      <c r="I128" s="4">
        <f t="shared" si="5"/>
        <v>0</v>
      </c>
      <c r="J128" s="4">
        <f t="shared" si="6"/>
        <v>0</v>
      </c>
      <c r="K128" s="3">
        <f t="shared" si="7"/>
        <v>0</v>
      </c>
    </row>
    <row r="129" spans="1:11">
      <c r="A129" s="4" t="s">
        <v>41</v>
      </c>
      <c r="B129" s="4" t="s">
        <v>90</v>
      </c>
      <c r="C129" s="4" t="s">
        <v>189</v>
      </c>
      <c r="D129" s="4">
        <f>INDEX(Positions!$D$2:$D$721,MATCH($A129&amp;"|31",Positions!$A$2:$A$721,0))</f>
        <v>30</v>
      </c>
      <c r="E129" s="4">
        <f>INDEX(Positions!$D$2:$D$721,MATCH($A129&amp;"|39",Positions!$A$2:$A$721,0))</f>
        <v>38</v>
      </c>
      <c r="F129" s="4" t="str">
        <f>INDEX(Positions!$E$2:$E$721,MATCH($A129&amp;"|31",Positions!$A$2:$A$721,0))</f>
        <v>A</v>
      </c>
      <c r="G129" s="4" t="str">
        <f>INDEX(Positions!$E$2:$E$721,MATCH($A129&amp;"|39",Positions!$A$2:$A$721,0))</f>
        <v>U</v>
      </c>
      <c r="H129" s="3" t="str">
        <f t="shared" si="4"/>
        <v>A-U</v>
      </c>
      <c r="I129" s="4">
        <f t="shared" si="5"/>
        <v>0</v>
      </c>
      <c r="J129" s="4">
        <f t="shared" si="6"/>
        <v>0</v>
      </c>
      <c r="K129" s="3">
        <f t="shared" si="7"/>
        <v>0</v>
      </c>
    </row>
    <row r="130" spans="1:11">
      <c r="A130" s="4" t="s">
        <v>41</v>
      </c>
      <c r="B130" s="4" t="s">
        <v>114</v>
      </c>
      <c r="C130" s="4" t="s">
        <v>190</v>
      </c>
      <c r="D130" s="4">
        <f>INDEX(Positions!$D$2:$D$721,MATCH($A130&amp;"|49",Positions!$A$2:$A$721,0))</f>
        <v>57</v>
      </c>
      <c r="E130" s="4">
        <f>INDEX(Positions!$D$2:$D$721,MATCH($A130&amp;"|65",Positions!$A$2:$A$721,0))</f>
        <v>73</v>
      </c>
      <c r="F130" s="4" t="str">
        <f>INDEX(Positions!$E$2:$E$721,MATCH($A130&amp;"|49",Positions!$A$2:$A$721,0))</f>
        <v>G</v>
      </c>
      <c r="G130" s="4" t="str">
        <f>INDEX(Positions!$E$2:$E$721,MATCH($A130&amp;"|65",Positions!$A$2:$A$721,0))</f>
        <v>U</v>
      </c>
      <c r="H130" s="3" t="str">
        <f t="shared" ref="H130:H193" si="8">F130&amp;"-"&amp;G130</f>
        <v>G-U</v>
      </c>
      <c r="I130" s="4">
        <f t="shared" ref="I130:I193" si="9">(F130="G")+(G130="G")</f>
        <v>1</v>
      </c>
      <c r="J130" s="4">
        <f t="shared" ref="J130:J193" si="10">(F130="C")+(G130="C")</f>
        <v>0</v>
      </c>
      <c r="K130" s="3">
        <f t="shared" ref="K130:K193" si="11">I130+J130</f>
        <v>1</v>
      </c>
    </row>
    <row r="131" spans="1:11">
      <c r="A131" s="4" t="s">
        <v>41</v>
      </c>
      <c r="B131" s="4" t="s">
        <v>114</v>
      </c>
      <c r="C131" s="4" t="s">
        <v>191</v>
      </c>
      <c r="D131" s="4">
        <f>INDEX(Positions!$D$2:$D$721,MATCH($A131&amp;"|50",Positions!$A$2:$A$721,0))</f>
        <v>58</v>
      </c>
      <c r="E131" s="4">
        <f>INDEX(Positions!$D$2:$D$721,MATCH($A131&amp;"|64",Positions!$A$2:$A$721,0))</f>
        <v>72</v>
      </c>
      <c r="F131" s="4" t="str">
        <f>INDEX(Positions!$E$2:$E$721,MATCH($A131&amp;"|50",Positions!$A$2:$A$721,0))</f>
        <v>C</v>
      </c>
      <c r="G131" s="4" t="str">
        <f>INDEX(Positions!$E$2:$E$721,MATCH($A131&amp;"|64",Positions!$A$2:$A$721,0))</f>
        <v>G</v>
      </c>
      <c r="H131" s="3" t="str">
        <f t="shared" si="8"/>
        <v>C-G</v>
      </c>
      <c r="I131" s="4">
        <f t="shared" si="9"/>
        <v>1</v>
      </c>
      <c r="J131" s="4">
        <f t="shared" si="10"/>
        <v>1</v>
      </c>
      <c r="K131" s="3">
        <f t="shared" si="11"/>
        <v>2</v>
      </c>
    </row>
    <row r="132" spans="1:11">
      <c r="A132" s="4" t="s">
        <v>41</v>
      </c>
      <c r="B132" s="4" t="s">
        <v>114</v>
      </c>
      <c r="C132" s="4" t="s">
        <v>192</v>
      </c>
      <c r="D132" s="4">
        <f>INDEX(Positions!$D$2:$D$721,MATCH($A132&amp;"|51",Positions!$A$2:$A$721,0))</f>
        <v>59</v>
      </c>
      <c r="E132" s="4">
        <f>INDEX(Positions!$D$2:$D$721,MATCH($A132&amp;"|63",Positions!$A$2:$A$721,0))</f>
        <v>71</v>
      </c>
      <c r="F132" s="4" t="str">
        <f>INDEX(Positions!$E$2:$E$721,MATCH($A132&amp;"|51",Positions!$A$2:$A$721,0))</f>
        <v>C</v>
      </c>
      <c r="G132" s="4" t="str">
        <f>INDEX(Positions!$E$2:$E$721,MATCH($A132&amp;"|63",Positions!$A$2:$A$721,0))</f>
        <v>G</v>
      </c>
      <c r="H132" s="3" t="str">
        <f t="shared" si="8"/>
        <v>C-G</v>
      </c>
      <c r="I132" s="4">
        <f t="shared" si="9"/>
        <v>1</v>
      </c>
      <c r="J132" s="4">
        <f t="shared" si="10"/>
        <v>1</v>
      </c>
      <c r="K132" s="3">
        <f t="shared" si="11"/>
        <v>2</v>
      </c>
    </row>
    <row r="133" spans="1:11">
      <c r="A133" s="4" t="s">
        <v>41</v>
      </c>
      <c r="B133" s="4" t="s">
        <v>114</v>
      </c>
      <c r="C133" s="4" t="s">
        <v>193</v>
      </c>
      <c r="D133" s="4">
        <f>INDEX(Positions!$D$2:$D$721,MATCH($A133&amp;"|52",Positions!$A$2:$A$721,0))</f>
        <v>60</v>
      </c>
      <c r="E133" s="4">
        <f>INDEX(Positions!$D$2:$D$721,MATCH($A133&amp;"|62",Positions!$A$2:$A$721,0))</f>
        <v>70</v>
      </c>
      <c r="F133" s="4" t="str">
        <f>INDEX(Positions!$E$2:$E$721,MATCH($A133&amp;"|52",Positions!$A$2:$A$721,0))</f>
        <v>U</v>
      </c>
      <c r="G133" s="4" t="str">
        <f>INDEX(Positions!$E$2:$E$721,MATCH($A133&amp;"|62",Positions!$A$2:$A$721,0))</f>
        <v>A</v>
      </c>
      <c r="H133" s="3" t="str">
        <f t="shared" si="8"/>
        <v>U-A</v>
      </c>
      <c r="I133" s="4">
        <f t="shared" si="9"/>
        <v>0</v>
      </c>
      <c r="J133" s="4">
        <f t="shared" si="10"/>
        <v>0</v>
      </c>
      <c r="K133" s="3">
        <f t="shared" si="11"/>
        <v>0</v>
      </c>
    </row>
    <row r="134" spans="1:11">
      <c r="A134" s="4" t="s">
        <v>41</v>
      </c>
      <c r="B134" s="4" t="s">
        <v>114</v>
      </c>
      <c r="C134" s="4" t="s">
        <v>194</v>
      </c>
      <c r="D134" s="4">
        <f>INDEX(Positions!$D$2:$D$721,MATCH($A134&amp;"|53",Positions!$A$2:$A$721,0))</f>
        <v>61</v>
      </c>
      <c r="E134" s="4">
        <f>INDEX(Positions!$D$2:$D$721,MATCH($A134&amp;"|61",Positions!$A$2:$A$721,0))</f>
        <v>69</v>
      </c>
      <c r="F134" s="4" t="str">
        <f>INDEX(Positions!$E$2:$E$721,MATCH($A134&amp;"|53",Positions!$A$2:$A$721,0))</f>
        <v>G</v>
      </c>
      <c r="G134" s="4" t="str">
        <f>INDEX(Positions!$E$2:$E$721,MATCH($A134&amp;"|61",Positions!$A$2:$A$721,0))</f>
        <v>C</v>
      </c>
      <c r="H134" s="3" t="str">
        <f t="shared" si="8"/>
        <v>G-C</v>
      </c>
      <c r="I134" s="4">
        <f t="shared" si="9"/>
        <v>1</v>
      </c>
      <c r="J134" s="4">
        <f t="shared" si="10"/>
        <v>1</v>
      </c>
      <c r="K134" s="3">
        <f t="shared" si="11"/>
        <v>2</v>
      </c>
    </row>
    <row r="135" spans="1:11">
      <c r="A135" s="23" t="s">
        <v>41</v>
      </c>
      <c r="B135" s="23" t="s">
        <v>195</v>
      </c>
      <c r="C135" s="23" t="s">
        <v>196</v>
      </c>
      <c r="D135" s="23">
        <f>INDEX(Positions!$D$2:$D$721,MATCH($A135&amp;"|8",Positions!$A$2:$A$721,0))</f>
        <v>8</v>
      </c>
      <c r="E135" s="23">
        <f>INDEX(Positions!$D$2:$D$721,MATCH($A135&amp;"|14",Positions!$A$2:$A$721,0))</f>
        <v>14</v>
      </c>
      <c r="F135" s="23" t="str">
        <f>INDEX(Positions!$E$2:$E$721,MATCH($A135&amp;"|8",Positions!$A$2:$A$721,0))</f>
        <v>U</v>
      </c>
      <c r="G135" s="23" t="str">
        <f>INDEX(Positions!$E$2:$E$721,MATCH($A135&amp;"|14",Positions!$A$2:$A$721,0))</f>
        <v>A</v>
      </c>
      <c r="H135" s="24" t="str">
        <f t="shared" si="8"/>
        <v>U-A</v>
      </c>
      <c r="I135" s="23">
        <f t="shared" si="9"/>
        <v>0</v>
      </c>
      <c r="J135" s="23">
        <f t="shared" si="10"/>
        <v>0</v>
      </c>
      <c r="K135" s="24">
        <f t="shared" si="11"/>
        <v>0</v>
      </c>
    </row>
    <row r="136" spans="1:11">
      <c r="A136" s="23" t="s">
        <v>41</v>
      </c>
      <c r="B136" s="23" t="s">
        <v>195</v>
      </c>
      <c r="C136" s="23" t="s">
        <v>197</v>
      </c>
      <c r="D136" s="23">
        <f>INDEX(Positions!$D$2:$D$721,MATCH($A136&amp;"|15",Positions!$A$2:$A$721,0))</f>
        <v>15</v>
      </c>
      <c r="E136" s="23">
        <f>INDEX(Positions!$D$2:$D$721,MATCH($A136&amp;"|48",Positions!$A$2:$A$721,0))</f>
        <v>56</v>
      </c>
      <c r="F136" s="23" t="str">
        <f>INDEX(Positions!$E$2:$E$721,MATCH($A136&amp;"|15",Positions!$A$2:$A$721,0))</f>
        <v>A</v>
      </c>
      <c r="G136" s="23" t="str">
        <f>INDEX(Positions!$E$2:$E$721,MATCH($A136&amp;"|48",Positions!$A$2:$A$721,0))</f>
        <v>U</v>
      </c>
      <c r="H136" s="24" t="str">
        <f t="shared" si="8"/>
        <v>A-U</v>
      </c>
      <c r="I136" s="23">
        <f t="shared" si="9"/>
        <v>0</v>
      </c>
      <c r="J136" s="23">
        <f t="shared" si="10"/>
        <v>0</v>
      </c>
      <c r="K136" s="24">
        <f t="shared" si="11"/>
        <v>0</v>
      </c>
    </row>
    <row r="137" spans="1:11">
      <c r="A137" s="23" t="s">
        <v>41</v>
      </c>
      <c r="B137" s="23" t="s">
        <v>195</v>
      </c>
      <c r="C137" s="23" t="s">
        <v>198</v>
      </c>
      <c r="D137" s="23">
        <f>INDEX(Positions!$D$2:$D$721,MATCH($A137&amp;"|18",Positions!$A$2:$A$721,0))</f>
        <v>17</v>
      </c>
      <c r="E137" s="23">
        <f>INDEX(Positions!$D$2:$D$721,MATCH($A137&amp;"|55",Positions!$A$2:$A$721,0))</f>
        <v>63</v>
      </c>
      <c r="F137" s="23" t="str">
        <f>INDEX(Positions!$E$2:$E$721,MATCH($A137&amp;"|18",Positions!$A$2:$A$721,0))</f>
        <v>G</v>
      </c>
      <c r="G137" s="23" t="str">
        <f>INDEX(Positions!$E$2:$E$721,MATCH($A137&amp;"|55",Positions!$A$2:$A$721,0))</f>
        <v>U</v>
      </c>
      <c r="H137" s="24" t="str">
        <f t="shared" si="8"/>
        <v>G-U</v>
      </c>
      <c r="I137" s="23">
        <f t="shared" si="9"/>
        <v>1</v>
      </c>
      <c r="J137" s="23">
        <f t="shared" si="10"/>
        <v>0</v>
      </c>
      <c r="K137" s="24">
        <f t="shared" si="11"/>
        <v>1</v>
      </c>
    </row>
    <row r="138" spans="1:11">
      <c r="A138" s="23" t="s">
        <v>41</v>
      </c>
      <c r="B138" s="23" t="s">
        <v>195</v>
      </c>
      <c r="C138" s="23" t="s">
        <v>199</v>
      </c>
      <c r="D138" s="23">
        <f>INDEX(Positions!$D$2:$D$721,MATCH($A138&amp;"|19",Positions!$A$2:$A$721,0))</f>
        <v>18</v>
      </c>
      <c r="E138" s="23">
        <f>INDEX(Positions!$D$2:$D$721,MATCH($A138&amp;"|56",Positions!$A$2:$A$721,0))</f>
        <v>64</v>
      </c>
      <c r="F138" s="23" t="str">
        <f>INDEX(Positions!$E$2:$E$721,MATCH($A138&amp;"|19",Positions!$A$2:$A$721,0))</f>
        <v>G</v>
      </c>
      <c r="G138" s="23" t="str">
        <f>INDEX(Positions!$E$2:$E$721,MATCH($A138&amp;"|56",Positions!$A$2:$A$721,0))</f>
        <v>C</v>
      </c>
      <c r="H138" s="24" t="str">
        <f t="shared" si="8"/>
        <v>G-C</v>
      </c>
      <c r="I138" s="23">
        <f t="shared" si="9"/>
        <v>1</v>
      </c>
      <c r="J138" s="23">
        <f t="shared" si="10"/>
        <v>1</v>
      </c>
      <c r="K138" s="24">
        <f t="shared" si="11"/>
        <v>2</v>
      </c>
    </row>
    <row r="139" spans="1:11">
      <c r="A139" s="23" t="s">
        <v>41</v>
      </c>
      <c r="B139" s="23" t="s">
        <v>195</v>
      </c>
      <c r="C139" s="23" t="s">
        <v>200</v>
      </c>
      <c r="D139" s="23">
        <f>INDEX(Positions!$D$2:$D$721,MATCH($A139&amp;"|26",Positions!$A$2:$A$721,0))</f>
        <v>25</v>
      </c>
      <c r="E139" s="23">
        <f>INDEX(Positions!$D$2:$D$721,MATCH($A139&amp;"|44",Positions!$A$2:$A$721,0))</f>
        <v>43</v>
      </c>
      <c r="F139" s="23" t="str">
        <f>INDEX(Positions!$E$2:$E$721,MATCH($A139&amp;"|26",Positions!$A$2:$A$721,0))</f>
        <v>C</v>
      </c>
      <c r="G139" s="23" t="str">
        <f>INDEX(Positions!$E$2:$E$721,MATCH($A139&amp;"|44",Positions!$A$2:$A$721,0))</f>
        <v>A</v>
      </c>
      <c r="H139" s="24" t="str">
        <f t="shared" si="8"/>
        <v>C-A</v>
      </c>
      <c r="I139" s="23">
        <f t="shared" si="9"/>
        <v>0</v>
      </c>
      <c r="J139" s="23">
        <f t="shared" si="10"/>
        <v>1</v>
      </c>
      <c r="K139" s="24">
        <f t="shared" si="11"/>
        <v>1</v>
      </c>
    </row>
    <row r="140" spans="1:11">
      <c r="A140" s="23" t="s">
        <v>41</v>
      </c>
      <c r="B140" s="23" t="s">
        <v>195</v>
      </c>
      <c r="C140" s="23" t="s">
        <v>201</v>
      </c>
      <c r="D140" s="23">
        <f>INDEX(Positions!$D$2:$D$721,MATCH($A140&amp;"|32",Positions!$A$2:$A$721,0))</f>
        <v>31</v>
      </c>
      <c r="E140" s="23">
        <f>INDEX(Positions!$D$2:$D$721,MATCH($A140&amp;"|38",Positions!$A$2:$A$721,0))</f>
        <v>37</v>
      </c>
      <c r="F140" s="23" t="str">
        <f>INDEX(Positions!$E$2:$E$721,MATCH($A140&amp;"|32",Positions!$A$2:$A$721,0))</f>
        <v>A</v>
      </c>
      <c r="G140" s="23" t="str">
        <f>INDEX(Positions!$E$2:$E$721,MATCH($A140&amp;"|38",Positions!$A$2:$A$721,0))</f>
        <v>U</v>
      </c>
      <c r="H140" s="24" t="str">
        <f t="shared" si="8"/>
        <v>A-U</v>
      </c>
      <c r="I140" s="23">
        <f t="shared" si="9"/>
        <v>0</v>
      </c>
      <c r="J140" s="23">
        <f t="shared" si="10"/>
        <v>0</v>
      </c>
      <c r="K140" s="24">
        <f t="shared" si="11"/>
        <v>0</v>
      </c>
    </row>
    <row r="141" spans="1:11">
      <c r="A141" s="23" t="s">
        <v>41</v>
      </c>
      <c r="B141" s="23" t="s">
        <v>195</v>
      </c>
      <c r="C141" s="23" t="s">
        <v>202</v>
      </c>
      <c r="D141" s="23">
        <f>INDEX(Positions!$D$2:$D$721,MATCH($A141&amp;"|54",Positions!$A$2:$A$721,0))</f>
        <v>62</v>
      </c>
      <c r="E141" s="23">
        <f>INDEX(Positions!$D$2:$D$721,MATCH($A141&amp;"|58",Positions!$A$2:$A$721,0))</f>
        <v>66</v>
      </c>
      <c r="F141" s="23" t="str">
        <f>INDEX(Positions!$E$2:$E$721,MATCH($A141&amp;"|54",Positions!$A$2:$A$721,0))</f>
        <v>A</v>
      </c>
      <c r="G141" s="23" t="str">
        <f>INDEX(Positions!$E$2:$E$721,MATCH($A141&amp;"|58",Positions!$A$2:$A$721,0))</f>
        <v>U</v>
      </c>
      <c r="H141" s="24" t="str">
        <f t="shared" si="8"/>
        <v>A-U</v>
      </c>
      <c r="I141" s="23">
        <f t="shared" si="9"/>
        <v>0</v>
      </c>
      <c r="J141" s="23">
        <f t="shared" si="10"/>
        <v>0</v>
      </c>
      <c r="K141" s="24">
        <f t="shared" si="11"/>
        <v>0</v>
      </c>
    </row>
    <row r="142" spans="1:11">
      <c r="A142" s="4" t="s">
        <v>42</v>
      </c>
      <c r="B142" s="4" t="s">
        <v>56</v>
      </c>
      <c r="C142" s="4" t="s">
        <v>174</v>
      </c>
      <c r="D142" s="4">
        <f>INDEX(Positions!$D$2:$D$721,MATCH($A142&amp;"|1",Positions!$A$2:$A$721,0))</f>
        <v>1</v>
      </c>
      <c r="E142" s="4">
        <f>INDEX(Positions!$D$2:$D$721,MATCH($A142&amp;"|72",Positions!$A$2:$A$721,0))</f>
        <v>86</v>
      </c>
      <c r="F142" s="4" t="str">
        <f>INDEX(Positions!$E$2:$E$721,MATCH($A142&amp;"|1",Positions!$A$2:$A$721,0))</f>
        <v>U</v>
      </c>
      <c r="G142" s="4" t="str">
        <f>INDEX(Positions!$E$2:$E$721,MATCH($A142&amp;"|72",Positions!$A$2:$A$721,0))</f>
        <v>G</v>
      </c>
      <c r="H142" s="3" t="str">
        <f t="shared" si="8"/>
        <v>U-G</v>
      </c>
      <c r="I142" s="4">
        <f t="shared" si="9"/>
        <v>1</v>
      </c>
      <c r="J142" s="4">
        <f t="shared" si="10"/>
        <v>0</v>
      </c>
      <c r="K142" s="3">
        <f t="shared" si="11"/>
        <v>1</v>
      </c>
    </row>
    <row r="143" spans="1:11">
      <c r="A143" s="4" t="s">
        <v>42</v>
      </c>
      <c r="B143" s="4" t="s">
        <v>56</v>
      </c>
      <c r="C143" s="4" t="s">
        <v>175</v>
      </c>
      <c r="D143" s="4">
        <f>INDEX(Positions!$D$2:$D$721,MATCH($A143&amp;"|2",Positions!$A$2:$A$721,0))</f>
        <v>2</v>
      </c>
      <c r="E143" s="4">
        <f>INDEX(Positions!$D$2:$D$721,MATCH($A143&amp;"|71",Positions!$A$2:$A$721,0))</f>
        <v>85</v>
      </c>
      <c r="F143" s="4" t="str">
        <f>INDEX(Positions!$E$2:$E$721,MATCH($A143&amp;"|2",Positions!$A$2:$A$721,0))</f>
        <v>C</v>
      </c>
      <c r="G143" s="4" t="str">
        <f>INDEX(Positions!$E$2:$E$721,MATCH($A143&amp;"|71",Positions!$A$2:$A$721,0))</f>
        <v>G</v>
      </c>
      <c r="H143" s="3" t="str">
        <f t="shared" si="8"/>
        <v>C-G</v>
      </c>
      <c r="I143" s="4">
        <f t="shared" si="9"/>
        <v>1</v>
      </c>
      <c r="J143" s="4">
        <f t="shared" si="10"/>
        <v>1</v>
      </c>
      <c r="K143" s="3">
        <f t="shared" si="11"/>
        <v>2</v>
      </c>
    </row>
    <row r="144" spans="1:11">
      <c r="A144" s="4" t="s">
        <v>42</v>
      </c>
      <c r="B144" s="4" t="s">
        <v>56</v>
      </c>
      <c r="C144" s="4" t="s">
        <v>176</v>
      </c>
      <c r="D144" s="4">
        <f>INDEX(Positions!$D$2:$D$721,MATCH($A144&amp;"|3",Positions!$A$2:$A$721,0))</f>
        <v>3</v>
      </c>
      <c r="E144" s="4">
        <f>INDEX(Positions!$D$2:$D$721,MATCH($A144&amp;"|70",Positions!$A$2:$A$721,0))</f>
        <v>84</v>
      </c>
      <c r="F144" s="4" t="str">
        <f>INDEX(Positions!$E$2:$E$721,MATCH($A144&amp;"|3",Positions!$A$2:$A$721,0))</f>
        <v>A</v>
      </c>
      <c r="G144" s="4" t="str">
        <f>INDEX(Positions!$E$2:$E$721,MATCH($A144&amp;"|70",Positions!$A$2:$A$721,0))</f>
        <v>U</v>
      </c>
      <c r="H144" s="3" t="str">
        <f t="shared" si="8"/>
        <v>A-U</v>
      </c>
      <c r="I144" s="4">
        <f t="shared" si="9"/>
        <v>0</v>
      </c>
      <c r="J144" s="4">
        <f t="shared" si="10"/>
        <v>0</v>
      </c>
      <c r="K144" s="3">
        <f t="shared" si="11"/>
        <v>0</v>
      </c>
    </row>
    <row r="145" spans="1:11">
      <c r="A145" s="4" t="s">
        <v>42</v>
      </c>
      <c r="B145" s="4" t="s">
        <v>56</v>
      </c>
      <c r="C145" s="4" t="s">
        <v>177</v>
      </c>
      <c r="D145" s="4">
        <f>INDEX(Positions!$D$2:$D$721,MATCH($A145&amp;"|4",Positions!$A$2:$A$721,0))</f>
        <v>4</v>
      </c>
      <c r="E145" s="4">
        <f>INDEX(Positions!$D$2:$D$721,MATCH($A145&amp;"|69",Positions!$A$2:$A$721,0))</f>
        <v>83</v>
      </c>
      <c r="F145" s="4" t="str">
        <f>INDEX(Positions!$E$2:$E$721,MATCH($A145&amp;"|4",Positions!$A$2:$A$721,0))</f>
        <v>A</v>
      </c>
      <c r="G145" s="4" t="str">
        <f>INDEX(Positions!$E$2:$E$721,MATCH($A145&amp;"|69",Positions!$A$2:$A$721,0))</f>
        <v>U</v>
      </c>
      <c r="H145" s="3" t="str">
        <f t="shared" si="8"/>
        <v>A-U</v>
      </c>
      <c r="I145" s="4">
        <f t="shared" si="9"/>
        <v>0</v>
      </c>
      <c r="J145" s="4">
        <f t="shared" si="10"/>
        <v>0</v>
      </c>
      <c r="K145" s="3">
        <f t="shared" si="11"/>
        <v>0</v>
      </c>
    </row>
    <row r="146" spans="1:11">
      <c r="A146" s="4" t="s">
        <v>42</v>
      </c>
      <c r="B146" s="4" t="s">
        <v>56</v>
      </c>
      <c r="C146" s="4" t="s">
        <v>178</v>
      </c>
      <c r="D146" s="4">
        <f>INDEX(Positions!$D$2:$D$721,MATCH($A146&amp;"|5",Positions!$A$2:$A$721,0))</f>
        <v>5</v>
      </c>
      <c r="E146" s="4">
        <f>INDEX(Positions!$D$2:$D$721,MATCH($A146&amp;"|68",Positions!$A$2:$A$721,0))</f>
        <v>82</v>
      </c>
      <c r="F146" s="4" t="str">
        <f>INDEX(Positions!$E$2:$E$721,MATCH($A146&amp;"|5",Positions!$A$2:$A$721,0))</f>
        <v>C</v>
      </c>
      <c r="G146" s="4" t="str">
        <f>INDEX(Positions!$E$2:$E$721,MATCH($A146&amp;"|68",Positions!$A$2:$A$721,0))</f>
        <v>G</v>
      </c>
      <c r="H146" s="3" t="str">
        <f t="shared" si="8"/>
        <v>C-G</v>
      </c>
      <c r="I146" s="4">
        <f t="shared" si="9"/>
        <v>1</v>
      </c>
      <c r="J146" s="4">
        <f t="shared" si="10"/>
        <v>1</v>
      </c>
      <c r="K146" s="3">
        <f t="shared" si="11"/>
        <v>2</v>
      </c>
    </row>
    <row r="147" spans="1:11">
      <c r="A147" s="4" t="s">
        <v>42</v>
      </c>
      <c r="B147" s="4" t="s">
        <v>56</v>
      </c>
      <c r="C147" s="4" t="s">
        <v>179</v>
      </c>
      <c r="D147" s="4">
        <f>INDEX(Positions!$D$2:$D$721,MATCH($A147&amp;"|6",Positions!$A$2:$A$721,0))</f>
        <v>6</v>
      </c>
      <c r="E147" s="4">
        <f>INDEX(Positions!$D$2:$D$721,MATCH($A147&amp;"|67",Positions!$A$2:$A$721,0))</f>
        <v>81</v>
      </c>
      <c r="F147" s="4" t="str">
        <f>INDEX(Positions!$E$2:$E$721,MATCH($A147&amp;"|6",Positions!$A$2:$A$721,0))</f>
        <v>A</v>
      </c>
      <c r="G147" s="4" t="str">
        <f>INDEX(Positions!$E$2:$E$721,MATCH($A147&amp;"|67",Positions!$A$2:$A$721,0))</f>
        <v>U</v>
      </c>
      <c r="H147" s="3" t="str">
        <f t="shared" si="8"/>
        <v>A-U</v>
      </c>
      <c r="I147" s="4">
        <f t="shared" si="9"/>
        <v>0</v>
      </c>
      <c r="J147" s="4">
        <f t="shared" si="10"/>
        <v>0</v>
      </c>
      <c r="K147" s="3">
        <f t="shared" si="11"/>
        <v>0</v>
      </c>
    </row>
    <row r="148" spans="1:11">
      <c r="A148" s="4" t="s">
        <v>42</v>
      </c>
      <c r="B148" s="4" t="s">
        <v>56</v>
      </c>
      <c r="C148" s="4" t="s">
        <v>180</v>
      </c>
      <c r="D148" s="4">
        <f>INDEX(Positions!$D$2:$D$721,MATCH($A148&amp;"|7",Positions!$A$2:$A$721,0))</f>
        <v>7</v>
      </c>
      <c r="E148" s="4">
        <f>INDEX(Positions!$D$2:$D$721,MATCH($A148&amp;"|66",Positions!$A$2:$A$721,0))</f>
        <v>80</v>
      </c>
      <c r="F148" s="4" t="str">
        <f>INDEX(Positions!$E$2:$E$721,MATCH($A148&amp;"|7",Positions!$A$2:$A$721,0))</f>
        <v>U</v>
      </c>
      <c r="G148" s="4" t="str">
        <f>INDEX(Positions!$E$2:$E$721,MATCH($A148&amp;"|66",Positions!$A$2:$A$721,0))</f>
        <v>G</v>
      </c>
      <c r="H148" s="3" t="str">
        <f t="shared" si="8"/>
        <v>U-G</v>
      </c>
      <c r="I148" s="4">
        <f t="shared" si="9"/>
        <v>1</v>
      </c>
      <c r="J148" s="4">
        <f t="shared" si="10"/>
        <v>0</v>
      </c>
      <c r="K148" s="3">
        <f t="shared" si="11"/>
        <v>1</v>
      </c>
    </row>
    <row r="149" spans="1:11">
      <c r="A149" s="4" t="s">
        <v>42</v>
      </c>
      <c r="B149" s="4" t="s">
        <v>71</v>
      </c>
      <c r="C149" s="4" t="s">
        <v>181</v>
      </c>
      <c r="D149" s="4">
        <f>INDEX(Positions!$D$2:$D$721,MATCH($A149&amp;"|10",Positions!$A$2:$A$721,0))</f>
        <v>10</v>
      </c>
      <c r="E149" s="4">
        <f>INDEX(Positions!$D$2:$D$721,MATCH($A149&amp;"|25",Positions!$A$2:$A$721,0))</f>
        <v>26</v>
      </c>
      <c r="F149" s="4" t="str">
        <f>INDEX(Positions!$E$2:$E$721,MATCH($A149&amp;"|10",Positions!$A$2:$A$721,0))</f>
        <v>G</v>
      </c>
      <c r="G149" s="4" t="str">
        <f>INDEX(Positions!$E$2:$E$721,MATCH($A149&amp;"|25",Positions!$A$2:$A$721,0))</f>
        <v>C</v>
      </c>
      <c r="H149" s="3" t="str">
        <f t="shared" si="8"/>
        <v>G-C</v>
      </c>
      <c r="I149" s="4">
        <f t="shared" si="9"/>
        <v>1</v>
      </c>
      <c r="J149" s="4">
        <f t="shared" si="10"/>
        <v>1</v>
      </c>
      <c r="K149" s="3">
        <f t="shared" si="11"/>
        <v>2</v>
      </c>
    </row>
    <row r="150" spans="1:11">
      <c r="A150" s="4" t="s">
        <v>42</v>
      </c>
      <c r="B150" s="4" t="s">
        <v>71</v>
      </c>
      <c r="C150" s="4" t="s">
        <v>182</v>
      </c>
      <c r="D150" s="4">
        <f>INDEX(Positions!$D$2:$D$721,MATCH($A150&amp;"|11",Positions!$A$2:$A$721,0))</f>
        <v>11</v>
      </c>
      <c r="E150" s="4">
        <f>INDEX(Positions!$D$2:$D$721,MATCH($A150&amp;"|24",Positions!$A$2:$A$721,0))</f>
        <v>25</v>
      </c>
      <c r="F150" s="4" t="str">
        <f>INDEX(Positions!$E$2:$E$721,MATCH($A150&amp;"|11",Positions!$A$2:$A$721,0))</f>
        <v>G</v>
      </c>
      <c r="G150" s="4" t="str">
        <f>INDEX(Positions!$E$2:$E$721,MATCH($A150&amp;"|24",Positions!$A$2:$A$721,0))</f>
        <v>C</v>
      </c>
      <c r="H150" s="3" t="str">
        <f t="shared" si="8"/>
        <v>G-C</v>
      </c>
      <c r="I150" s="4">
        <f t="shared" si="9"/>
        <v>1</v>
      </c>
      <c r="J150" s="4">
        <f t="shared" si="10"/>
        <v>1</v>
      </c>
      <c r="K150" s="3">
        <f t="shared" si="11"/>
        <v>2</v>
      </c>
    </row>
    <row r="151" spans="1:11">
      <c r="A151" s="4" t="s">
        <v>42</v>
      </c>
      <c r="B151" s="4" t="s">
        <v>71</v>
      </c>
      <c r="C151" s="4" t="s">
        <v>183</v>
      </c>
      <c r="D151" s="4">
        <f>INDEX(Positions!$D$2:$D$721,MATCH($A151&amp;"|12",Positions!$A$2:$A$721,0))</f>
        <v>12</v>
      </c>
      <c r="E151" s="4">
        <f>INDEX(Positions!$D$2:$D$721,MATCH($A151&amp;"|23",Positions!$A$2:$A$721,0))</f>
        <v>24</v>
      </c>
      <c r="F151" s="4" t="str">
        <f>INDEX(Positions!$E$2:$E$721,MATCH($A151&amp;"|12",Positions!$A$2:$A$721,0))</f>
        <v>A</v>
      </c>
      <c r="G151" s="4" t="str">
        <f>INDEX(Positions!$E$2:$E$721,MATCH($A151&amp;"|23",Positions!$A$2:$A$721,0))</f>
        <v>U</v>
      </c>
      <c r="H151" s="3" t="str">
        <f t="shared" si="8"/>
        <v>A-U</v>
      </c>
      <c r="I151" s="4">
        <f t="shared" si="9"/>
        <v>0</v>
      </c>
      <c r="J151" s="4">
        <f t="shared" si="10"/>
        <v>0</v>
      </c>
      <c r="K151" s="3">
        <f t="shared" si="11"/>
        <v>0</v>
      </c>
    </row>
    <row r="152" spans="1:11">
      <c r="A152" s="4" t="s">
        <v>42</v>
      </c>
      <c r="B152" s="4" t="s">
        <v>71</v>
      </c>
      <c r="C152" s="4" t="s">
        <v>184</v>
      </c>
      <c r="D152" s="4">
        <f>INDEX(Positions!$D$2:$D$721,MATCH($A152&amp;"|13",Positions!$A$2:$A$721,0))</f>
        <v>13</v>
      </c>
      <c r="E152" s="4">
        <f>INDEX(Positions!$D$2:$D$721,MATCH($A152&amp;"|22",Positions!$A$2:$A$721,0))</f>
        <v>23</v>
      </c>
      <c r="F152" s="4" t="str">
        <f>INDEX(Positions!$E$2:$E$721,MATCH($A152&amp;"|13",Positions!$A$2:$A$721,0))</f>
        <v>U</v>
      </c>
      <c r="G152" s="4" t="str">
        <f>INDEX(Positions!$E$2:$E$721,MATCH($A152&amp;"|22",Positions!$A$2:$A$721,0))</f>
        <v>U</v>
      </c>
      <c r="H152" s="3" t="str">
        <f t="shared" si="8"/>
        <v>U-U</v>
      </c>
      <c r="I152" s="4">
        <f t="shared" si="9"/>
        <v>0</v>
      </c>
      <c r="J152" s="4">
        <f t="shared" si="10"/>
        <v>0</v>
      </c>
      <c r="K152" s="3">
        <f t="shared" si="11"/>
        <v>0</v>
      </c>
    </row>
    <row r="153" spans="1:11">
      <c r="A153" s="4" t="s">
        <v>42</v>
      </c>
      <c r="B153" s="4" t="s">
        <v>90</v>
      </c>
      <c r="C153" s="4" t="s">
        <v>185</v>
      </c>
      <c r="D153" s="4">
        <f>INDEX(Positions!$D$2:$D$721,MATCH($A153&amp;"|27",Positions!$A$2:$A$721,0))</f>
        <v>28</v>
      </c>
      <c r="E153" s="4">
        <f>INDEX(Positions!$D$2:$D$721,MATCH($A153&amp;"|43",Positions!$A$2:$A$721,0))</f>
        <v>44</v>
      </c>
      <c r="F153" s="4" t="str">
        <f>INDEX(Positions!$E$2:$E$721,MATCH($A153&amp;"|27",Positions!$A$2:$A$721,0))</f>
        <v>U</v>
      </c>
      <c r="G153" s="4" t="str">
        <f>INDEX(Positions!$E$2:$E$721,MATCH($A153&amp;"|43",Positions!$A$2:$A$721,0))</f>
        <v>A</v>
      </c>
      <c r="H153" s="3" t="str">
        <f t="shared" si="8"/>
        <v>U-A</v>
      </c>
      <c r="I153" s="4">
        <f t="shared" si="9"/>
        <v>0</v>
      </c>
      <c r="J153" s="4">
        <f t="shared" si="10"/>
        <v>0</v>
      </c>
      <c r="K153" s="3">
        <f t="shared" si="11"/>
        <v>0</v>
      </c>
    </row>
    <row r="154" spans="1:11">
      <c r="A154" s="4" t="s">
        <v>42</v>
      </c>
      <c r="B154" s="4" t="s">
        <v>90</v>
      </c>
      <c r="C154" s="4" t="s">
        <v>186</v>
      </c>
      <c r="D154" s="4">
        <f>INDEX(Positions!$D$2:$D$721,MATCH($A154&amp;"|28",Positions!$A$2:$A$721,0))</f>
        <v>29</v>
      </c>
      <c r="E154" s="4">
        <f>INDEX(Positions!$D$2:$D$721,MATCH($A154&amp;"|42",Positions!$A$2:$A$721,0))</f>
        <v>43</v>
      </c>
      <c r="F154" s="4" t="str">
        <f>INDEX(Positions!$E$2:$E$721,MATCH($A154&amp;"|28",Positions!$A$2:$A$721,0))</f>
        <v>U</v>
      </c>
      <c r="G154" s="4" t="str">
        <f>INDEX(Positions!$E$2:$E$721,MATCH($A154&amp;"|42",Positions!$A$2:$A$721,0))</f>
        <v>A</v>
      </c>
      <c r="H154" s="3" t="str">
        <f t="shared" si="8"/>
        <v>U-A</v>
      </c>
      <c r="I154" s="4">
        <f t="shared" si="9"/>
        <v>0</v>
      </c>
      <c r="J154" s="4">
        <f t="shared" si="10"/>
        <v>0</v>
      </c>
      <c r="K154" s="3">
        <f t="shared" si="11"/>
        <v>0</v>
      </c>
    </row>
    <row r="155" spans="1:11">
      <c r="A155" s="4" t="s">
        <v>42</v>
      </c>
      <c r="B155" s="4" t="s">
        <v>90</v>
      </c>
      <c r="C155" s="4" t="s">
        <v>187</v>
      </c>
      <c r="D155" s="4">
        <f>INDEX(Positions!$D$2:$D$721,MATCH($A155&amp;"|29",Positions!$A$2:$A$721,0))</f>
        <v>30</v>
      </c>
      <c r="E155" s="4">
        <f>INDEX(Positions!$D$2:$D$721,MATCH($A155&amp;"|41",Positions!$A$2:$A$721,0))</f>
        <v>42</v>
      </c>
      <c r="F155" s="4" t="str">
        <f>INDEX(Positions!$E$2:$E$721,MATCH($A155&amp;"|29",Positions!$A$2:$A$721,0))</f>
        <v>C</v>
      </c>
      <c r="G155" s="4" t="str">
        <f>INDEX(Positions!$E$2:$E$721,MATCH($A155&amp;"|41",Positions!$A$2:$A$721,0))</f>
        <v>C</v>
      </c>
      <c r="H155" s="3" t="str">
        <f t="shared" si="8"/>
        <v>C-C</v>
      </c>
      <c r="I155" s="4">
        <f t="shared" si="9"/>
        <v>0</v>
      </c>
      <c r="J155" s="4">
        <f t="shared" si="10"/>
        <v>2</v>
      </c>
      <c r="K155" s="3">
        <f t="shared" si="11"/>
        <v>2</v>
      </c>
    </row>
    <row r="156" spans="1:11">
      <c r="A156" s="4" t="s">
        <v>42</v>
      </c>
      <c r="B156" s="4" t="s">
        <v>90</v>
      </c>
      <c r="C156" s="4" t="s">
        <v>188</v>
      </c>
      <c r="D156" s="4">
        <f>INDEX(Positions!$D$2:$D$721,MATCH($A156&amp;"|30",Positions!$A$2:$A$721,0))</f>
        <v>31</v>
      </c>
      <c r="E156" s="4">
        <f>INDEX(Positions!$D$2:$D$721,MATCH($A156&amp;"|40",Positions!$A$2:$A$721,0))</f>
        <v>41</v>
      </c>
      <c r="F156" s="4" t="str">
        <f>INDEX(Positions!$E$2:$E$721,MATCH($A156&amp;"|30",Positions!$A$2:$A$721,0))</f>
        <v>U</v>
      </c>
      <c r="G156" s="4" t="str">
        <f>INDEX(Positions!$E$2:$E$721,MATCH($A156&amp;"|40",Positions!$A$2:$A$721,0))</f>
        <v>A</v>
      </c>
      <c r="H156" s="3" t="str">
        <f t="shared" si="8"/>
        <v>U-A</v>
      </c>
      <c r="I156" s="4">
        <f t="shared" si="9"/>
        <v>0</v>
      </c>
      <c r="J156" s="4">
        <f t="shared" si="10"/>
        <v>0</v>
      </c>
      <c r="K156" s="3">
        <f t="shared" si="11"/>
        <v>0</v>
      </c>
    </row>
    <row r="157" spans="1:11">
      <c r="A157" s="4" t="s">
        <v>42</v>
      </c>
      <c r="B157" s="4" t="s">
        <v>90</v>
      </c>
      <c r="C157" s="4" t="s">
        <v>189</v>
      </c>
      <c r="D157" s="4">
        <f>INDEX(Positions!$D$2:$D$721,MATCH($A157&amp;"|31",Positions!$A$2:$A$721,0))</f>
        <v>32</v>
      </c>
      <c r="E157" s="4">
        <f>INDEX(Positions!$D$2:$D$721,MATCH($A157&amp;"|39",Positions!$A$2:$A$721,0))</f>
        <v>40</v>
      </c>
      <c r="F157" s="4" t="str">
        <f>INDEX(Positions!$E$2:$E$721,MATCH($A157&amp;"|31",Positions!$A$2:$A$721,0))</f>
        <v>U</v>
      </c>
      <c r="G157" s="4" t="str">
        <f>INDEX(Positions!$E$2:$E$721,MATCH($A157&amp;"|39",Positions!$A$2:$A$721,0))</f>
        <v>G</v>
      </c>
      <c r="H157" s="3" t="str">
        <f t="shared" si="8"/>
        <v>U-G</v>
      </c>
      <c r="I157" s="4">
        <f t="shared" si="9"/>
        <v>1</v>
      </c>
      <c r="J157" s="4">
        <f t="shared" si="10"/>
        <v>0</v>
      </c>
      <c r="K157" s="3">
        <f t="shared" si="11"/>
        <v>1</v>
      </c>
    </row>
    <row r="158" spans="1:11">
      <c r="A158" s="4" t="s">
        <v>42</v>
      </c>
      <c r="B158" s="4" t="s">
        <v>114</v>
      </c>
      <c r="C158" s="4" t="s">
        <v>190</v>
      </c>
      <c r="D158" s="4">
        <f>INDEX(Positions!$D$2:$D$721,MATCH($A158&amp;"|49",Positions!$A$2:$A$721,0))</f>
        <v>63</v>
      </c>
      <c r="E158" s="4">
        <f>INDEX(Positions!$D$2:$D$721,MATCH($A158&amp;"|65",Positions!$A$2:$A$721,0))</f>
        <v>79</v>
      </c>
      <c r="F158" s="4" t="str">
        <f>INDEX(Positions!$E$2:$E$721,MATCH($A158&amp;"|49",Positions!$A$2:$A$721,0))</f>
        <v>C</v>
      </c>
      <c r="G158" s="4" t="str">
        <f>INDEX(Positions!$E$2:$E$721,MATCH($A158&amp;"|65",Positions!$A$2:$A$721,0))</f>
        <v>G</v>
      </c>
      <c r="H158" s="3" t="str">
        <f t="shared" si="8"/>
        <v>C-G</v>
      </c>
      <c r="I158" s="4">
        <f t="shared" si="9"/>
        <v>1</v>
      </c>
      <c r="J158" s="4">
        <f t="shared" si="10"/>
        <v>1</v>
      </c>
      <c r="K158" s="3">
        <f t="shared" si="11"/>
        <v>2</v>
      </c>
    </row>
    <row r="159" spans="1:11">
      <c r="A159" s="4" t="s">
        <v>42</v>
      </c>
      <c r="B159" s="4" t="s">
        <v>114</v>
      </c>
      <c r="C159" s="4" t="s">
        <v>191</v>
      </c>
      <c r="D159" s="4">
        <f>INDEX(Positions!$D$2:$D$721,MATCH($A159&amp;"|50",Positions!$A$2:$A$721,0))</f>
        <v>64</v>
      </c>
      <c r="E159" s="4">
        <f>INDEX(Positions!$D$2:$D$721,MATCH($A159&amp;"|64",Positions!$A$2:$A$721,0))</f>
        <v>78</v>
      </c>
      <c r="F159" s="4" t="str">
        <f>INDEX(Positions!$E$2:$E$721,MATCH($A159&amp;"|50",Positions!$A$2:$A$721,0))</f>
        <v>G</v>
      </c>
      <c r="G159" s="4" t="str">
        <f>INDEX(Positions!$E$2:$E$721,MATCH($A159&amp;"|64",Positions!$A$2:$A$721,0))</f>
        <v>C</v>
      </c>
      <c r="H159" s="3" t="str">
        <f t="shared" si="8"/>
        <v>G-C</v>
      </c>
      <c r="I159" s="4">
        <f t="shared" si="9"/>
        <v>1</v>
      </c>
      <c r="J159" s="4">
        <f t="shared" si="10"/>
        <v>1</v>
      </c>
      <c r="K159" s="3">
        <f t="shared" si="11"/>
        <v>2</v>
      </c>
    </row>
    <row r="160" spans="1:11">
      <c r="A160" s="4" t="s">
        <v>42</v>
      </c>
      <c r="B160" s="4" t="s">
        <v>114</v>
      </c>
      <c r="C160" s="4" t="s">
        <v>192</v>
      </c>
      <c r="D160" s="4">
        <f>INDEX(Positions!$D$2:$D$721,MATCH($A160&amp;"|51",Positions!$A$2:$A$721,0))</f>
        <v>65</v>
      </c>
      <c r="E160" s="4">
        <f>INDEX(Positions!$D$2:$D$721,MATCH($A160&amp;"|63",Positions!$A$2:$A$721,0))</f>
        <v>77</v>
      </c>
      <c r="F160" s="4" t="str">
        <f>INDEX(Positions!$E$2:$E$721,MATCH($A160&amp;"|51",Positions!$A$2:$A$721,0))</f>
        <v>G</v>
      </c>
      <c r="G160" s="4" t="str">
        <f>INDEX(Positions!$E$2:$E$721,MATCH($A160&amp;"|63",Positions!$A$2:$A$721,0))</f>
        <v>C</v>
      </c>
      <c r="H160" s="3" t="str">
        <f t="shared" si="8"/>
        <v>G-C</v>
      </c>
      <c r="I160" s="4">
        <f t="shared" si="9"/>
        <v>1</v>
      </c>
      <c r="J160" s="4">
        <f t="shared" si="10"/>
        <v>1</v>
      </c>
      <c r="K160" s="3">
        <f t="shared" si="11"/>
        <v>2</v>
      </c>
    </row>
    <row r="161" spans="1:11">
      <c r="A161" s="4" t="s">
        <v>42</v>
      </c>
      <c r="B161" s="4" t="s">
        <v>114</v>
      </c>
      <c r="C161" s="4" t="s">
        <v>193</v>
      </c>
      <c r="D161" s="4">
        <f>INDEX(Positions!$D$2:$D$721,MATCH($A161&amp;"|52",Positions!$A$2:$A$721,0))</f>
        <v>66</v>
      </c>
      <c r="E161" s="4">
        <f>INDEX(Positions!$D$2:$D$721,MATCH($A161&amp;"|62",Positions!$A$2:$A$721,0))</f>
        <v>76</v>
      </c>
      <c r="F161" s="4" t="str">
        <f>INDEX(Positions!$E$2:$E$721,MATCH($A161&amp;"|52",Positions!$A$2:$A$721,0))</f>
        <v>U</v>
      </c>
      <c r="G161" s="4" t="str">
        <f>INDEX(Positions!$E$2:$E$721,MATCH($A161&amp;"|62",Positions!$A$2:$A$721,0))</f>
        <v>A</v>
      </c>
      <c r="H161" s="3" t="str">
        <f t="shared" si="8"/>
        <v>U-A</v>
      </c>
      <c r="I161" s="4">
        <f t="shared" si="9"/>
        <v>0</v>
      </c>
      <c r="J161" s="4">
        <f t="shared" si="10"/>
        <v>0</v>
      </c>
      <c r="K161" s="3">
        <f t="shared" si="11"/>
        <v>0</v>
      </c>
    </row>
    <row r="162" spans="1:11">
      <c r="A162" s="4" t="s">
        <v>42</v>
      </c>
      <c r="B162" s="4" t="s">
        <v>114</v>
      </c>
      <c r="C162" s="4" t="s">
        <v>194</v>
      </c>
      <c r="D162" s="4">
        <f>INDEX(Positions!$D$2:$D$721,MATCH($A162&amp;"|53",Positions!$A$2:$A$721,0))</f>
        <v>67</v>
      </c>
      <c r="E162" s="4">
        <f>INDEX(Positions!$D$2:$D$721,MATCH($A162&amp;"|61",Positions!$A$2:$A$721,0))</f>
        <v>75</v>
      </c>
      <c r="F162" s="4" t="str">
        <f>INDEX(Positions!$E$2:$E$721,MATCH($A162&amp;"|53",Positions!$A$2:$A$721,0))</f>
        <v>G</v>
      </c>
      <c r="G162" s="4" t="str">
        <f>INDEX(Positions!$E$2:$E$721,MATCH($A162&amp;"|61",Positions!$A$2:$A$721,0))</f>
        <v>C</v>
      </c>
      <c r="H162" s="3" t="str">
        <f t="shared" si="8"/>
        <v>G-C</v>
      </c>
      <c r="I162" s="4">
        <f t="shared" si="9"/>
        <v>1</v>
      </c>
      <c r="J162" s="4">
        <f t="shared" si="10"/>
        <v>1</v>
      </c>
      <c r="K162" s="3">
        <f t="shared" si="11"/>
        <v>2</v>
      </c>
    </row>
    <row r="163" spans="1:11">
      <c r="A163" s="23" t="s">
        <v>42</v>
      </c>
      <c r="B163" s="23" t="s">
        <v>195</v>
      </c>
      <c r="C163" s="23" t="s">
        <v>196</v>
      </c>
      <c r="D163" s="23">
        <f>INDEX(Positions!$D$2:$D$721,MATCH($A163&amp;"|8",Positions!$A$2:$A$721,0))</f>
        <v>8</v>
      </c>
      <c r="E163" s="23">
        <f>INDEX(Positions!$D$2:$D$721,MATCH($A163&amp;"|14",Positions!$A$2:$A$721,0))</f>
        <v>14</v>
      </c>
      <c r="F163" s="23" t="str">
        <f>INDEX(Positions!$E$2:$E$721,MATCH($A163&amp;"|8",Positions!$A$2:$A$721,0))</f>
        <v>U</v>
      </c>
      <c r="G163" s="23" t="str">
        <f>INDEX(Positions!$E$2:$E$721,MATCH($A163&amp;"|14",Positions!$A$2:$A$721,0))</f>
        <v>A</v>
      </c>
      <c r="H163" s="24" t="str">
        <f t="shared" si="8"/>
        <v>U-A</v>
      </c>
      <c r="I163" s="23">
        <f t="shared" si="9"/>
        <v>0</v>
      </c>
      <c r="J163" s="23">
        <f t="shared" si="10"/>
        <v>0</v>
      </c>
      <c r="K163" s="24">
        <f t="shared" si="11"/>
        <v>0</v>
      </c>
    </row>
    <row r="164" spans="1:11">
      <c r="A164" s="23" t="s">
        <v>42</v>
      </c>
      <c r="B164" s="23" t="s">
        <v>195</v>
      </c>
      <c r="C164" s="23" t="s">
        <v>197</v>
      </c>
      <c r="D164" s="23">
        <f>INDEX(Positions!$D$2:$D$721,MATCH($A164&amp;"|15",Positions!$A$2:$A$721,0))</f>
        <v>15</v>
      </c>
      <c r="E164" s="23">
        <f>INDEX(Positions!$D$2:$D$721,MATCH($A164&amp;"|48",Positions!$A$2:$A$721,0))</f>
        <v>62</v>
      </c>
      <c r="F164" s="23" t="str">
        <f>INDEX(Positions!$E$2:$E$721,MATCH($A164&amp;"|15",Positions!$A$2:$A$721,0))</f>
        <v>G</v>
      </c>
      <c r="G164" s="23" t="str">
        <f>INDEX(Positions!$E$2:$E$721,MATCH($A164&amp;"|48",Positions!$A$2:$A$721,0))</f>
        <v>U</v>
      </c>
      <c r="H164" s="24" t="str">
        <f t="shared" si="8"/>
        <v>G-U</v>
      </c>
      <c r="I164" s="23">
        <f t="shared" si="9"/>
        <v>1</v>
      </c>
      <c r="J164" s="23">
        <f t="shared" si="10"/>
        <v>0</v>
      </c>
      <c r="K164" s="24">
        <f t="shared" si="11"/>
        <v>1</v>
      </c>
    </row>
    <row r="165" spans="1:11">
      <c r="A165" s="23" t="s">
        <v>42</v>
      </c>
      <c r="B165" s="23" t="s">
        <v>195</v>
      </c>
      <c r="C165" s="23" t="s">
        <v>198</v>
      </c>
      <c r="D165" s="23">
        <f>INDEX(Positions!$D$2:$D$721,MATCH($A165&amp;"|18",Positions!$A$2:$A$721,0))</f>
        <v>19</v>
      </c>
      <c r="E165" s="23">
        <f>INDEX(Positions!$D$2:$D$721,MATCH($A165&amp;"|55",Positions!$A$2:$A$721,0))</f>
        <v>69</v>
      </c>
      <c r="F165" s="23" t="str">
        <f>INDEX(Positions!$E$2:$E$721,MATCH($A165&amp;"|18",Positions!$A$2:$A$721,0))</f>
        <v>G</v>
      </c>
      <c r="G165" s="23" t="str">
        <f>INDEX(Positions!$E$2:$E$721,MATCH($A165&amp;"|55",Positions!$A$2:$A$721,0))</f>
        <v>U</v>
      </c>
      <c r="H165" s="24" t="str">
        <f t="shared" si="8"/>
        <v>G-U</v>
      </c>
      <c r="I165" s="23">
        <f t="shared" si="9"/>
        <v>1</v>
      </c>
      <c r="J165" s="23">
        <f t="shared" si="10"/>
        <v>0</v>
      </c>
      <c r="K165" s="24">
        <f t="shared" si="11"/>
        <v>1</v>
      </c>
    </row>
    <row r="166" spans="1:11">
      <c r="A166" s="23" t="s">
        <v>42</v>
      </c>
      <c r="B166" s="23" t="s">
        <v>195</v>
      </c>
      <c r="C166" s="23" t="s">
        <v>199</v>
      </c>
      <c r="D166" s="23">
        <f>INDEX(Positions!$D$2:$D$721,MATCH($A166&amp;"|19",Positions!$A$2:$A$721,0))</f>
        <v>20</v>
      </c>
      <c r="E166" s="23">
        <f>INDEX(Positions!$D$2:$D$721,MATCH($A166&amp;"|56",Positions!$A$2:$A$721,0))</f>
        <v>70</v>
      </c>
      <c r="F166" s="23" t="str">
        <f>INDEX(Positions!$E$2:$E$721,MATCH($A166&amp;"|19",Positions!$A$2:$A$721,0))</f>
        <v>G</v>
      </c>
      <c r="G166" s="23" t="str">
        <f>INDEX(Positions!$E$2:$E$721,MATCH($A166&amp;"|56",Positions!$A$2:$A$721,0))</f>
        <v>C</v>
      </c>
      <c r="H166" s="24" t="str">
        <f t="shared" si="8"/>
        <v>G-C</v>
      </c>
      <c r="I166" s="23">
        <f t="shared" si="9"/>
        <v>1</v>
      </c>
      <c r="J166" s="23">
        <f t="shared" si="10"/>
        <v>1</v>
      </c>
      <c r="K166" s="24">
        <f t="shared" si="11"/>
        <v>2</v>
      </c>
    </row>
    <row r="167" spans="1:11">
      <c r="A167" s="23" t="s">
        <v>42</v>
      </c>
      <c r="B167" s="23" t="s">
        <v>195</v>
      </c>
      <c r="C167" s="23" t="s">
        <v>200</v>
      </c>
      <c r="D167" s="23">
        <f>INDEX(Positions!$D$2:$D$721,MATCH($A167&amp;"|26",Positions!$A$2:$A$721,0))</f>
        <v>27</v>
      </c>
      <c r="E167" s="23">
        <f>INDEX(Positions!$D$2:$D$721,MATCH($A167&amp;"|44",Positions!$A$2:$A$721,0))</f>
        <v>45</v>
      </c>
      <c r="F167" s="23" t="str">
        <f>INDEX(Positions!$E$2:$E$721,MATCH($A167&amp;"|26",Positions!$A$2:$A$721,0))</f>
        <v>U</v>
      </c>
      <c r="G167" s="23" t="str">
        <f>INDEX(Positions!$E$2:$E$721,MATCH($A167&amp;"|44",Positions!$A$2:$A$721,0))</f>
        <v>U</v>
      </c>
      <c r="H167" s="24" t="str">
        <f t="shared" si="8"/>
        <v>U-U</v>
      </c>
      <c r="I167" s="23">
        <f t="shared" si="9"/>
        <v>0</v>
      </c>
      <c r="J167" s="23">
        <f t="shared" si="10"/>
        <v>0</v>
      </c>
      <c r="K167" s="24">
        <f t="shared" si="11"/>
        <v>0</v>
      </c>
    </row>
    <row r="168" spans="1:11">
      <c r="A168" s="23" t="s">
        <v>42</v>
      </c>
      <c r="B168" s="23" t="s">
        <v>195</v>
      </c>
      <c r="C168" s="23" t="s">
        <v>201</v>
      </c>
      <c r="D168" s="23">
        <f>INDEX(Positions!$D$2:$D$721,MATCH($A168&amp;"|32",Positions!$A$2:$A$721,0))</f>
        <v>33</v>
      </c>
      <c r="E168" s="23">
        <f>INDEX(Positions!$D$2:$D$721,MATCH($A168&amp;"|38",Positions!$A$2:$A$721,0))</f>
        <v>39</v>
      </c>
      <c r="F168" s="23" t="str">
        <f>INDEX(Positions!$E$2:$E$721,MATCH($A168&amp;"|32",Positions!$A$2:$A$721,0))</f>
        <v>U</v>
      </c>
      <c r="G168" s="23" t="str">
        <f>INDEX(Positions!$E$2:$E$721,MATCH($A168&amp;"|38",Positions!$A$2:$A$721,0))</f>
        <v>G</v>
      </c>
      <c r="H168" s="24" t="str">
        <f t="shared" si="8"/>
        <v>U-G</v>
      </c>
      <c r="I168" s="23">
        <f t="shared" si="9"/>
        <v>1</v>
      </c>
      <c r="J168" s="23">
        <f t="shared" si="10"/>
        <v>0</v>
      </c>
      <c r="K168" s="24">
        <f t="shared" si="11"/>
        <v>1</v>
      </c>
    </row>
    <row r="169" spans="1:11">
      <c r="A169" s="23" t="s">
        <v>42</v>
      </c>
      <c r="B169" s="23" t="s">
        <v>195</v>
      </c>
      <c r="C169" s="23" t="s">
        <v>202</v>
      </c>
      <c r="D169" s="23">
        <f>INDEX(Positions!$D$2:$D$721,MATCH($A169&amp;"|54",Positions!$A$2:$A$721,0))</f>
        <v>68</v>
      </c>
      <c r="E169" s="23">
        <f>INDEX(Positions!$D$2:$D$721,MATCH($A169&amp;"|58",Positions!$A$2:$A$721,0))</f>
        <v>72</v>
      </c>
      <c r="F169" s="23" t="str">
        <f>INDEX(Positions!$E$2:$E$721,MATCH($A169&amp;"|54",Positions!$A$2:$A$721,0))</f>
        <v>U</v>
      </c>
      <c r="G169" s="23" t="str">
        <f>INDEX(Positions!$E$2:$E$721,MATCH($A169&amp;"|58",Positions!$A$2:$A$721,0))</f>
        <v>A</v>
      </c>
      <c r="H169" s="24" t="str">
        <f t="shared" si="8"/>
        <v>U-A</v>
      </c>
      <c r="I169" s="23">
        <f t="shared" si="9"/>
        <v>0</v>
      </c>
      <c r="J169" s="23">
        <f t="shared" si="10"/>
        <v>0</v>
      </c>
      <c r="K169" s="24">
        <f t="shared" si="11"/>
        <v>0</v>
      </c>
    </row>
    <row r="170" spans="1:11">
      <c r="A170" s="4" t="s">
        <v>43</v>
      </c>
      <c r="B170" s="4" t="s">
        <v>56</v>
      </c>
      <c r="C170" s="4" t="s">
        <v>174</v>
      </c>
      <c r="D170" s="4">
        <f>INDEX(Positions!$D$2:$D$721,MATCH($A170&amp;"|1",Positions!$A$2:$A$721,0))</f>
        <v>1</v>
      </c>
      <c r="E170" s="4">
        <f>INDEX(Positions!$D$2:$D$721,MATCH($A170&amp;"|72",Positions!$A$2:$A$721,0))</f>
        <v>88</v>
      </c>
      <c r="F170" s="4" t="str">
        <f>INDEX(Positions!$E$2:$E$721,MATCH($A170&amp;"|1",Positions!$A$2:$A$721,0))</f>
        <v>U</v>
      </c>
      <c r="G170" s="4" t="str">
        <f>INDEX(Positions!$E$2:$E$721,MATCH($A170&amp;"|72",Positions!$A$2:$A$721,0))</f>
        <v>G</v>
      </c>
      <c r="H170" s="3" t="str">
        <f t="shared" si="8"/>
        <v>U-G</v>
      </c>
      <c r="I170" s="4">
        <f t="shared" si="9"/>
        <v>1</v>
      </c>
      <c r="J170" s="4">
        <f t="shared" si="10"/>
        <v>0</v>
      </c>
      <c r="K170" s="3">
        <f t="shared" si="11"/>
        <v>1</v>
      </c>
    </row>
    <row r="171" spans="1:11">
      <c r="A171" s="4" t="s">
        <v>43</v>
      </c>
      <c r="B171" s="4" t="s">
        <v>56</v>
      </c>
      <c r="C171" s="4" t="s">
        <v>175</v>
      </c>
      <c r="D171" s="4">
        <f>INDEX(Positions!$D$2:$D$721,MATCH($A171&amp;"|2",Positions!$A$2:$A$721,0))</f>
        <v>2</v>
      </c>
      <c r="E171" s="4">
        <f>INDEX(Positions!$D$2:$D$721,MATCH($A171&amp;"|71",Positions!$A$2:$A$721,0))</f>
        <v>87</v>
      </c>
      <c r="F171" s="4" t="str">
        <f>INDEX(Positions!$E$2:$E$721,MATCH($A171&amp;"|2",Positions!$A$2:$A$721,0))</f>
        <v>C</v>
      </c>
      <c r="G171" s="4" t="str">
        <f>INDEX(Positions!$E$2:$E$721,MATCH($A171&amp;"|71",Positions!$A$2:$A$721,0))</f>
        <v>G</v>
      </c>
      <c r="H171" s="3" t="str">
        <f t="shared" si="8"/>
        <v>C-G</v>
      </c>
      <c r="I171" s="4">
        <f t="shared" si="9"/>
        <v>1</v>
      </c>
      <c r="J171" s="4">
        <f t="shared" si="10"/>
        <v>1</v>
      </c>
      <c r="K171" s="3">
        <f t="shared" si="11"/>
        <v>2</v>
      </c>
    </row>
    <row r="172" spans="1:11">
      <c r="A172" s="4" t="s">
        <v>43</v>
      </c>
      <c r="B172" s="4" t="s">
        <v>56</v>
      </c>
      <c r="C172" s="4" t="s">
        <v>176</v>
      </c>
      <c r="D172" s="4">
        <f>INDEX(Positions!$D$2:$D$721,MATCH($A172&amp;"|3",Positions!$A$2:$A$721,0))</f>
        <v>3</v>
      </c>
      <c r="E172" s="4">
        <f>INDEX(Positions!$D$2:$D$721,MATCH($A172&amp;"|70",Positions!$A$2:$A$721,0))</f>
        <v>86</v>
      </c>
      <c r="F172" s="4" t="str">
        <f>INDEX(Positions!$E$2:$E$721,MATCH($A172&amp;"|3",Positions!$A$2:$A$721,0))</f>
        <v>A</v>
      </c>
      <c r="G172" s="4" t="str">
        <f>INDEX(Positions!$E$2:$E$721,MATCH($A172&amp;"|70",Positions!$A$2:$A$721,0))</f>
        <v>U</v>
      </c>
      <c r="H172" s="3" t="str">
        <f t="shared" si="8"/>
        <v>A-U</v>
      </c>
      <c r="I172" s="4">
        <f t="shared" si="9"/>
        <v>0</v>
      </c>
      <c r="J172" s="4">
        <f t="shared" si="10"/>
        <v>0</v>
      </c>
      <c r="K172" s="3">
        <f t="shared" si="11"/>
        <v>0</v>
      </c>
    </row>
    <row r="173" spans="1:11">
      <c r="A173" s="4" t="s">
        <v>43</v>
      </c>
      <c r="B173" s="4" t="s">
        <v>56</v>
      </c>
      <c r="C173" s="4" t="s">
        <v>177</v>
      </c>
      <c r="D173" s="4">
        <f>INDEX(Positions!$D$2:$D$721,MATCH($A173&amp;"|4",Positions!$A$2:$A$721,0))</f>
        <v>4</v>
      </c>
      <c r="E173" s="4">
        <f>INDEX(Positions!$D$2:$D$721,MATCH($A173&amp;"|69",Positions!$A$2:$A$721,0))</f>
        <v>85</v>
      </c>
      <c r="F173" s="4" t="str">
        <f>INDEX(Positions!$E$2:$E$721,MATCH($A173&amp;"|4",Positions!$A$2:$A$721,0))</f>
        <v>A</v>
      </c>
      <c r="G173" s="4" t="str">
        <f>INDEX(Positions!$E$2:$E$721,MATCH($A173&amp;"|69",Positions!$A$2:$A$721,0))</f>
        <v>U</v>
      </c>
      <c r="H173" s="3" t="str">
        <f t="shared" si="8"/>
        <v>A-U</v>
      </c>
      <c r="I173" s="4">
        <f t="shared" si="9"/>
        <v>0</v>
      </c>
      <c r="J173" s="4">
        <f t="shared" si="10"/>
        <v>0</v>
      </c>
      <c r="K173" s="3">
        <f t="shared" si="11"/>
        <v>0</v>
      </c>
    </row>
    <row r="174" spans="1:11">
      <c r="A174" s="4" t="s">
        <v>43</v>
      </c>
      <c r="B174" s="4" t="s">
        <v>56</v>
      </c>
      <c r="C174" s="4" t="s">
        <v>178</v>
      </c>
      <c r="D174" s="4">
        <f>INDEX(Positions!$D$2:$D$721,MATCH($A174&amp;"|5",Positions!$A$2:$A$721,0))</f>
        <v>5</v>
      </c>
      <c r="E174" s="4">
        <f>INDEX(Positions!$D$2:$D$721,MATCH($A174&amp;"|68",Positions!$A$2:$A$721,0))</f>
        <v>84</v>
      </c>
      <c r="F174" s="4" t="str">
        <f>INDEX(Positions!$E$2:$E$721,MATCH($A174&amp;"|5",Positions!$A$2:$A$721,0))</f>
        <v>C</v>
      </c>
      <c r="G174" s="4" t="str">
        <f>INDEX(Positions!$E$2:$E$721,MATCH($A174&amp;"|68",Positions!$A$2:$A$721,0))</f>
        <v>G</v>
      </c>
      <c r="H174" s="3" t="str">
        <f t="shared" si="8"/>
        <v>C-G</v>
      </c>
      <c r="I174" s="4">
        <f t="shared" si="9"/>
        <v>1</v>
      </c>
      <c r="J174" s="4">
        <f t="shared" si="10"/>
        <v>1</v>
      </c>
      <c r="K174" s="3">
        <f t="shared" si="11"/>
        <v>2</v>
      </c>
    </row>
    <row r="175" spans="1:11">
      <c r="A175" s="4" t="s">
        <v>43</v>
      </c>
      <c r="B175" s="4" t="s">
        <v>56</v>
      </c>
      <c r="C175" s="4" t="s">
        <v>179</v>
      </c>
      <c r="D175" s="4">
        <f>INDEX(Positions!$D$2:$D$721,MATCH($A175&amp;"|6",Positions!$A$2:$A$721,0))</f>
        <v>6</v>
      </c>
      <c r="E175" s="4">
        <f>INDEX(Positions!$D$2:$D$721,MATCH($A175&amp;"|67",Positions!$A$2:$A$721,0))</f>
        <v>83</v>
      </c>
      <c r="F175" s="4" t="str">
        <f>INDEX(Positions!$E$2:$E$721,MATCH($A175&amp;"|6",Positions!$A$2:$A$721,0))</f>
        <v>A</v>
      </c>
      <c r="G175" s="4" t="str">
        <f>INDEX(Positions!$E$2:$E$721,MATCH($A175&amp;"|67",Positions!$A$2:$A$721,0))</f>
        <v>U</v>
      </c>
      <c r="H175" s="3" t="str">
        <f t="shared" si="8"/>
        <v>A-U</v>
      </c>
      <c r="I175" s="4">
        <f t="shared" si="9"/>
        <v>0</v>
      </c>
      <c r="J175" s="4">
        <f t="shared" si="10"/>
        <v>0</v>
      </c>
      <c r="K175" s="3">
        <f t="shared" si="11"/>
        <v>0</v>
      </c>
    </row>
    <row r="176" spans="1:11">
      <c r="A176" s="4" t="s">
        <v>43</v>
      </c>
      <c r="B176" s="4" t="s">
        <v>56</v>
      </c>
      <c r="C176" s="4" t="s">
        <v>180</v>
      </c>
      <c r="D176" s="4">
        <f>INDEX(Positions!$D$2:$D$721,MATCH($A176&amp;"|7",Positions!$A$2:$A$721,0))</f>
        <v>7</v>
      </c>
      <c r="E176" s="4">
        <f>INDEX(Positions!$D$2:$D$721,MATCH($A176&amp;"|66",Positions!$A$2:$A$721,0))</f>
        <v>82</v>
      </c>
      <c r="F176" s="4" t="str">
        <f>INDEX(Positions!$E$2:$E$721,MATCH($A176&amp;"|7",Positions!$A$2:$A$721,0))</f>
        <v>U</v>
      </c>
      <c r="G176" s="4" t="str">
        <f>INDEX(Positions!$E$2:$E$721,MATCH($A176&amp;"|66",Positions!$A$2:$A$721,0))</f>
        <v>A</v>
      </c>
      <c r="H176" s="3" t="str">
        <f t="shared" si="8"/>
        <v>U-A</v>
      </c>
      <c r="I176" s="4">
        <f t="shared" si="9"/>
        <v>0</v>
      </c>
      <c r="J176" s="4">
        <f t="shared" si="10"/>
        <v>0</v>
      </c>
      <c r="K176" s="3">
        <f t="shared" si="11"/>
        <v>0</v>
      </c>
    </row>
    <row r="177" spans="1:11">
      <c r="A177" s="4" t="s">
        <v>43</v>
      </c>
      <c r="B177" s="4" t="s">
        <v>71</v>
      </c>
      <c r="C177" s="4" t="s">
        <v>181</v>
      </c>
      <c r="D177" s="4">
        <f>INDEX(Positions!$D$2:$D$721,MATCH($A177&amp;"|10",Positions!$A$2:$A$721,0))</f>
        <v>10</v>
      </c>
      <c r="E177" s="4">
        <f>INDEX(Positions!$D$2:$D$721,MATCH($A177&amp;"|25",Positions!$A$2:$A$721,0))</f>
        <v>26</v>
      </c>
      <c r="F177" s="4" t="str">
        <f>INDEX(Positions!$E$2:$E$721,MATCH($A177&amp;"|10",Positions!$A$2:$A$721,0))</f>
        <v>G</v>
      </c>
      <c r="G177" s="4" t="str">
        <f>INDEX(Positions!$E$2:$E$721,MATCH($A177&amp;"|25",Positions!$A$2:$A$721,0))</f>
        <v>C</v>
      </c>
      <c r="H177" s="3" t="str">
        <f t="shared" si="8"/>
        <v>G-C</v>
      </c>
      <c r="I177" s="4">
        <f t="shared" si="9"/>
        <v>1</v>
      </c>
      <c r="J177" s="4">
        <f t="shared" si="10"/>
        <v>1</v>
      </c>
      <c r="K177" s="3">
        <f t="shared" si="11"/>
        <v>2</v>
      </c>
    </row>
    <row r="178" spans="1:11">
      <c r="A178" s="4" t="s">
        <v>43</v>
      </c>
      <c r="B178" s="4" t="s">
        <v>71</v>
      </c>
      <c r="C178" s="4" t="s">
        <v>182</v>
      </c>
      <c r="D178" s="4">
        <f>INDEX(Positions!$D$2:$D$721,MATCH($A178&amp;"|11",Positions!$A$2:$A$721,0))</f>
        <v>11</v>
      </c>
      <c r="E178" s="4">
        <f>INDEX(Positions!$D$2:$D$721,MATCH($A178&amp;"|24",Positions!$A$2:$A$721,0))</f>
        <v>25</v>
      </c>
      <c r="F178" s="4" t="str">
        <f>INDEX(Positions!$E$2:$E$721,MATCH($A178&amp;"|11",Positions!$A$2:$A$721,0))</f>
        <v>G</v>
      </c>
      <c r="G178" s="4" t="str">
        <f>INDEX(Positions!$E$2:$E$721,MATCH($A178&amp;"|24",Positions!$A$2:$A$721,0))</f>
        <v>C</v>
      </c>
      <c r="H178" s="3" t="str">
        <f t="shared" si="8"/>
        <v>G-C</v>
      </c>
      <c r="I178" s="4">
        <f t="shared" si="9"/>
        <v>1</v>
      </c>
      <c r="J178" s="4">
        <f t="shared" si="10"/>
        <v>1</v>
      </c>
      <c r="K178" s="3">
        <f t="shared" si="11"/>
        <v>2</v>
      </c>
    </row>
    <row r="179" spans="1:11">
      <c r="A179" s="4" t="s">
        <v>43</v>
      </c>
      <c r="B179" s="4" t="s">
        <v>71</v>
      </c>
      <c r="C179" s="4" t="s">
        <v>183</v>
      </c>
      <c r="D179" s="4">
        <f>INDEX(Positions!$D$2:$D$721,MATCH($A179&amp;"|12",Positions!$A$2:$A$721,0))</f>
        <v>12</v>
      </c>
      <c r="E179" s="4">
        <f>INDEX(Positions!$D$2:$D$721,MATCH($A179&amp;"|23",Positions!$A$2:$A$721,0))</f>
        <v>24</v>
      </c>
      <c r="F179" s="4" t="str">
        <f>INDEX(Positions!$E$2:$E$721,MATCH($A179&amp;"|12",Positions!$A$2:$A$721,0))</f>
        <v>A</v>
      </c>
      <c r="G179" s="4" t="str">
        <f>INDEX(Positions!$E$2:$E$721,MATCH($A179&amp;"|23",Positions!$A$2:$A$721,0))</f>
        <v>U</v>
      </c>
      <c r="H179" s="3" t="str">
        <f t="shared" si="8"/>
        <v>A-U</v>
      </c>
      <c r="I179" s="4">
        <f t="shared" si="9"/>
        <v>0</v>
      </c>
      <c r="J179" s="4">
        <f t="shared" si="10"/>
        <v>0</v>
      </c>
      <c r="K179" s="3">
        <f t="shared" si="11"/>
        <v>0</v>
      </c>
    </row>
    <row r="180" spans="1:11">
      <c r="A180" s="4" t="s">
        <v>43</v>
      </c>
      <c r="B180" s="4" t="s">
        <v>71</v>
      </c>
      <c r="C180" s="4" t="s">
        <v>184</v>
      </c>
      <c r="D180" s="4">
        <f>INDEX(Positions!$D$2:$D$721,MATCH($A180&amp;"|13",Positions!$A$2:$A$721,0))</f>
        <v>13</v>
      </c>
      <c r="E180" s="4">
        <f>INDEX(Positions!$D$2:$D$721,MATCH($A180&amp;"|22",Positions!$A$2:$A$721,0))</f>
        <v>23</v>
      </c>
      <c r="F180" s="4" t="str">
        <f>INDEX(Positions!$E$2:$E$721,MATCH($A180&amp;"|13",Positions!$A$2:$A$721,0))</f>
        <v>U</v>
      </c>
      <c r="G180" s="4" t="str">
        <f>INDEX(Positions!$E$2:$E$721,MATCH($A180&amp;"|22",Positions!$A$2:$A$721,0))</f>
        <v>U</v>
      </c>
      <c r="H180" s="3" t="str">
        <f t="shared" si="8"/>
        <v>U-U</v>
      </c>
      <c r="I180" s="4">
        <f t="shared" si="9"/>
        <v>0</v>
      </c>
      <c r="J180" s="4">
        <f t="shared" si="10"/>
        <v>0</v>
      </c>
      <c r="K180" s="3">
        <f t="shared" si="11"/>
        <v>0</v>
      </c>
    </row>
    <row r="181" spans="1:11">
      <c r="A181" s="4" t="s">
        <v>43</v>
      </c>
      <c r="B181" s="4" t="s">
        <v>90</v>
      </c>
      <c r="C181" s="4" t="s">
        <v>185</v>
      </c>
      <c r="D181" s="4">
        <f>INDEX(Positions!$D$2:$D$721,MATCH($A181&amp;"|27",Positions!$A$2:$A$721,0))</f>
        <v>28</v>
      </c>
      <c r="E181" s="4">
        <f>INDEX(Positions!$D$2:$D$721,MATCH($A181&amp;"|43",Positions!$A$2:$A$721,0))</f>
        <v>44</v>
      </c>
      <c r="F181" s="4" t="str">
        <f>INDEX(Positions!$E$2:$E$721,MATCH($A181&amp;"|27",Positions!$A$2:$A$721,0))</f>
        <v>U</v>
      </c>
      <c r="G181" s="4" t="str">
        <f>INDEX(Positions!$E$2:$E$721,MATCH($A181&amp;"|43",Positions!$A$2:$A$721,0))</f>
        <v>G</v>
      </c>
      <c r="H181" s="3" t="str">
        <f t="shared" si="8"/>
        <v>U-G</v>
      </c>
      <c r="I181" s="4">
        <f t="shared" si="9"/>
        <v>1</v>
      </c>
      <c r="J181" s="4">
        <f t="shared" si="10"/>
        <v>0</v>
      </c>
      <c r="K181" s="3">
        <f t="shared" si="11"/>
        <v>1</v>
      </c>
    </row>
    <row r="182" spans="1:11">
      <c r="A182" s="4" t="s">
        <v>43</v>
      </c>
      <c r="B182" s="4" t="s">
        <v>90</v>
      </c>
      <c r="C182" s="4" t="s">
        <v>186</v>
      </c>
      <c r="D182" s="4">
        <f>INDEX(Positions!$D$2:$D$721,MATCH($A182&amp;"|28",Positions!$A$2:$A$721,0))</f>
        <v>29</v>
      </c>
      <c r="E182" s="4">
        <f>INDEX(Positions!$D$2:$D$721,MATCH($A182&amp;"|42",Positions!$A$2:$A$721,0))</f>
        <v>43</v>
      </c>
      <c r="F182" s="4" t="str">
        <f>INDEX(Positions!$E$2:$E$721,MATCH($A182&amp;"|28",Positions!$A$2:$A$721,0))</f>
        <v>U</v>
      </c>
      <c r="G182" s="4" t="str">
        <f>INDEX(Positions!$E$2:$E$721,MATCH($A182&amp;"|42",Positions!$A$2:$A$721,0))</f>
        <v>A</v>
      </c>
      <c r="H182" s="3" t="str">
        <f t="shared" si="8"/>
        <v>U-A</v>
      </c>
      <c r="I182" s="4">
        <f t="shared" si="9"/>
        <v>0</v>
      </c>
      <c r="J182" s="4">
        <f t="shared" si="10"/>
        <v>0</v>
      </c>
      <c r="K182" s="3">
        <f t="shared" si="11"/>
        <v>0</v>
      </c>
    </row>
    <row r="183" spans="1:11">
      <c r="A183" s="4" t="s">
        <v>43</v>
      </c>
      <c r="B183" s="4" t="s">
        <v>90</v>
      </c>
      <c r="C183" s="4" t="s">
        <v>187</v>
      </c>
      <c r="D183" s="4">
        <f>INDEX(Positions!$D$2:$D$721,MATCH($A183&amp;"|29",Positions!$A$2:$A$721,0))</f>
        <v>30</v>
      </c>
      <c r="E183" s="4">
        <f>INDEX(Positions!$D$2:$D$721,MATCH($A183&amp;"|41",Positions!$A$2:$A$721,0))</f>
        <v>42</v>
      </c>
      <c r="F183" s="4" t="str">
        <f>INDEX(Positions!$E$2:$E$721,MATCH($A183&amp;"|29",Positions!$A$2:$A$721,0))</f>
        <v>C</v>
      </c>
      <c r="G183" s="4" t="str">
        <f>INDEX(Positions!$E$2:$E$721,MATCH($A183&amp;"|41",Positions!$A$2:$A$721,0))</f>
        <v>A</v>
      </c>
      <c r="H183" s="3" t="str">
        <f t="shared" si="8"/>
        <v>C-A</v>
      </c>
      <c r="I183" s="4">
        <f t="shared" si="9"/>
        <v>0</v>
      </c>
      <c r="J183" s="4">
        <f t="shared" si="10"/>
        <v>1</v>
      </c>
      <c r="K183" s="3">
        <f t="shared" si="11"/>
        <v>1</v>
      </c>
    </row>
    <row r="184" spans="1:11">
      <c r="A184" s="4" t="s">
        <v>43</v>
      </c>
      <c r="B184" s="4" t="s">
        <v>90</v>
      </c>
      <c r="C184" s="4" t="s">
        <v>188</v>
      </c>
      <c r="D184" s="4">
        <f>INDEX(Positions!$D$2:$D$721,MATCH($A184&amp;"|30",Positions!$A$2:$A$721,0))</f>
        <v>31</v>
      </c>
      <c r="E184" s="4">
        <f>INDEX(Positions!$D$2:$D$721,MATCH($A184&amp;"|40",Positions!$A$2:$A$721,0))</f>
        <v>41</v>
      </c>
      <c r="F184" s="4" t="str">
        <f>INDEX(Positions!$E$2:$E$721,MATCH($A184&amp;"|30",Positions!$A$2:$A$721,0))</f>
        <v>U</v>
      </c>
      <c r="G184" s="4" t="str">
        <f>INDEX(Positions!$E$2:$E$721,MATCH($A184&amp;"|40",Positions!$A$2:$A$721,0))</f>
        <v>G</v>
      </c>
      <c r="H184" s="3" t="str">
        <f t="shared" si="8"/>
        <v>U-G</v>
      </c>
      <c r="I184" s="4">
        <f t="shared" si="9"/>
        <v>1</v>
      </c>
      <c r="J184" s="4">
        <f t="shared" si="10"/>
        <v>0</v>
      </c>
      <c r="K184" s="3">
        <f t="shared" si="11"/>
        <v>1</v>
      </c>
    </row>
    <row r="185" spans="1:11">
      <c r="A185" s="4" t="s">
        <v>43</v>
      </c>
      <c r="B185" s="4" t="s">
        <v>90</v>
      </c>
      <c r="C185" s="4" t="s">
        <v>189</v>
      </c>
      <c r="D185" s="4">
        <f>INDEX(Positions!$D$2:$D$721,MATCH($A185&amp;"|31",Positions!$A$2:$A$721,0))</f>
        <v>32</v>
      </c>
      <c r="E185" s="4">
        <f>INDEX(Positions!$D$2:$D$721,MATCH($A185&amp;"|39",Positions!$A$2:$A$721,0))</f>
        <v>40</v>
      </c>
      <c r="F185" s="4" t="str">
        <f>INDEX(Positions!$E$2:$E$721,MATCH($A185&amp;"|31",Positions!$A$2:$A$721,0))</f>
        <v>U</v>
      </c>
      <c r="G185" s="4" t="str">
        <f>INDEX(Positions!$E$2:$E$721,MATCH($A185&amp;"|39",Positions!$A$2:$A$721,0))</f>
        <v>G</v>
      </c>
      <c r="H185" s="3" t="str">
        <f t="shared" si="8"/>
        <v>U-G</v>
      </c>
      <c r="I185" s="4">
        <f t="shared" si="9"/>
        <v>1</v>
      </c>
      <c r="J185" s="4">
        <f t="shared" si="10"/>
        <v>0</v>
      </c>
      <c r="K185" s="3">
        <f t="shared" si="11"/>
        <v>1</v>
      </c>
    </row>
    <row r="186" spans="1:11">
      <c r="A186" s="4" t="s">
        <v>43</v>
      </c>
      <c r="B186" s="4" t="s">
        <v>114</v>
      </c>
      <c r="C186" s="4" t="s">
        <v>190</v>
      </c>
      <c r="D186" s="4">
        <f>INDEX(Positions!$D$2:$D$721,MATCH($A186&amp;"|49",Positions!$A$2:$A$721,0))</f>
        <v>65</v>
      </c>
      <c r="E186" s="4">
        <f>INDEX(Positions!$D$2:$D$721,MATCH($A186&amp;"|65",Positions!$A$2:$A$721,0))</f>
        <v>81</v>
      </c>
      <c r="F186" s="4" t="str">
        <f>INDEX(Positions!$E$2:$E$721,MATCH($A186&amp;"|49",Positions!$A$2:$A$721,0))</f>
        <v>C</v>
      </c>
      <c r="G186" s="4" t="str">
        <f>INDEX(Positions!$E$2:$E$721,MATCH($A186&amp;"|65",Positions!$A$2:$A$721,0))</f>
        <v>G</v>
      </c>
      <c r="H186" s="3" t="str">
        <f t="shared" si="8"/>
        <v>C-G</v>
      </c>
      <c r="I186" s="4">
        <f t="shared" si="9"/>
        <v>1</v>
      </c>
      <c r="J186" s="4">
        <f t="shared" si="10"/>
        <v>1</v>
      </c>
      <c r="K186" s="3">
        <f t="shared" si="11"/>
        <v>2</v>
      </c>
    </row>
    <row r="187" spans="1:11">
      <c r="A187" s="4" t="s">
        <v>43</v>
      </c>
      <c r="B187" s="4" t="s">
        <v>114</v>
      </c>
      <c r="C187" s="4" t="s">
        <v>191</v>
      </c>
      <c r="D187" s="4">
        <f>INDEX(Positions!$D$2:$D$721,MATCH($A187&amp;"|50",Positions!$A$2:$A$721,0))</f>
        <v>66</v>
      </c>
      <c r="E187" s="4">
        <f>INDEX(Positions!$D$2:$D$721,MATCH($A187&amp;"|64",Positions!$A$2:$A$721,0))</f>
        <v>80</v>
      </c>
      <c r="F187" s="4" t="str">
        <f>INDEX(Positions!$E$2:$E$721,MATCH($A187&amp;"|50",Positions!$A$2:$A$721,0))</f>
        <v>A</v>
      </c>
      <c r="G187" s="4" t="str">
        <f>INDEX(Positions!$E$2:$E$721,MATCH($A187&amp;"|64",Positions!$A$2:$A$721,0))</f>
        <v>U</v>
      </c>
      <c r="H187" s="3" t="str">
        <f t="shared" si="8"/>
        <v>A-U</v>
      </c>
      <c r="I187" s="4">
        <f t="shared" si="9"/>
        <v>0</v>
      </c>
      <c r="J187" s="4">
        <f t="shared" si="10"/>
        <v>0</v>
      </c>
      <c r="K187" s="3">
        <f t="shared" si="11"/>
        <v>0</v>
      </c>
    </row>
    <row r="188" spans="1:11">
      <c r="A188" s="4" t="s">
        <v>43</v>
      </c>
      <c r="B188" s="4" t="s">
        <v>114</v>
      </c>
      <c r="C188" s="4" t="s">
        <v>192</v>
      </c>
      <c r="D188" s="4">
        <f>INDEX(Positions!$D$2:$D$721,MATCH($A188&amp;"|51",Positions!$A$2:$A$721,0))</f>
        <v>67</v>
      </c>
      <c r="E188" s="4">
        <f>INDEX(Positions!$D$2:$D$721,MATCH($A188&amp;"|63",Positions!$A$2:$A$721,0))</f>
        <v>79</v>
      </c>
      <c r="F188" s="4" t="str">
        <f>INDEX(Positions!$E$2:$E$721,MATCH($A188&amp;"|51",Positions!$A$2:$A$721,0))</f>
        <v>G</v>
      </c>
      <c r="G188" s="4" t="str">
        <f>INDEX(Positions!$E$2:$E$721,MATCH($A188&amp;"|63",Positions!$A$2:$A$721,0))</f>
        <v>U</v>
      </c>
      <c r="H188" s="3" t="str">
        <f t="shared" si="8"/>
        <v>G-U</v>
      </c>
      <c r="I188" s="4">
        <f t="shared" si="9"/>
        <v>1</v>
      </c>
      <c r="J188" s="4">
        <f t="shared" si="10"/>
        <v>0</v>
      </c>
      <c r="K188" s="3">
        <f t="shared" si="11"/>
        <v>1</v>
      </c>
    </row>
    <row r="189" spans="1:11">
      <c r="A189" s="4" t="s">
        <v>43</v>
      </c>
      <c r="B189" s="4" t="s">
        <v>114</v>
      </c>
      <c r="C189" s="4" t="s">
        <v>193</v>
      </c>
      <c r="D189" s="4">
        <f>INDEX(Positions!$D$2:$D$721,MATCH($A189&amp;"|52",Positions!$A$2:$A$721,0))</f>
        <v>68</v>
      </c>
      <c r="E189" s="4">
        <f>INDEX(Positions!$D$2:$D$721,MATCH($A189&amp;"|62",Positions!$A$2:$A$721,0))</f>
        <v>78</v>
      </c>
      <c r="F189" s="4" t="str">
        <f>INDEX(Positions!$E$2:$E$721,MATCH($A189&amp;"|52",Positions!$A$2:$A$721,0))</f>
        <v>G</v>
      </c>
      <c r="G189" s="4" t="str">
        <f>INDEX(Positions!$E$2:$E$721,MATCH($A189&amp;"|62",Positions!$A$2:$A$721,0))</f>
        <v>C</v>
      </c>
      <c r="H189" s="3" t="str">
        <f t="shared" si="8"/>
        <v>G-C</v>
      </c>
      <c r="I189" s="4">
        <f t="shared" si="9"/>
        <v>1</v>
      </c>
      <c r="J189" s="4">
        <f t="shared" si="10"/>
        <v>1</v>
      </c>
      <c r="K189" s="3">
        <f t="shared" si="11"/>
        <v>2</v>
      </c>
    </row>
    <row r="190" spans="1:11">
      <c r="A190" s="4" t="s">
        <v>43</v>
      </c>
      <c r="B190" s="4" t="s">
        <v>114</v>
      </c>
      <c r="C190" s="4" t="s">
        <v>194</v>
      </c>
      <c r="D190" s="4">
        <f>INDEX(Positions!$D$2:$D$721,MATCH($A190&amp;"|53",Positions!$A$2:$A$721,0))</f>
        <v>69</v>
      </c>
      <c r="E190" s="4">
        <f>INDEX(Positions!$D$2:$D$721,MATCH($A190&amp;"|61",Positions!$A$2:$A$721,0))</f>
        <v>77</v>
      </c>
      <c r="F190" s="4" t="str">
        <f>INDEX(Positions!$E$2:$E$721,MATCH($A190&amp;"|53",Positions!$A$2:$A$721,0))</f>
        <v>G</v>
      </c>
      <c r="G190" s="4" t="str">
        <f>INDEX(Positions!$E$2:$E$721,MATCH($A190&amp;"|61",Positions!$A$2:$A$721,0))</f>
        <v>C</v>
      </c>
      <c r="H190" s="3" t="str">
        <f t="shared" si="8"/>
        <v>G-C</v>
      </c>
      <c r="I190" s="4">
        <f t="shared" si="9"/>
        <v>1</v>
      </c>
      <c r="J190" s="4">
        <f t="shared" si="10"/>
        <v>1</v>
      </c>
      <c r="K190" s="3">
        <f t="shared" si="11"/>
        <v>2</v>
      </c>
    </row>
    <row r="191" spans="1:11">
      <c r="A191" s="23" t="s">
        <v>43</v>
      </c>
      <c r="B191" s="23" t="s">
        <v>195</v>
      </c>
      <c r="C191" s="23" t="s">
        <v>196</v>
      </c>
      <c r="D191" s="23">
        <f>INDEX(Positions!$D$2:$D$721,MATCH($A191&amp;"|8",Positions!$A$2:$A$721,0))</f>
        <v>8</v>
      </c>
      <c r="E191" s="23">
        <f>INDEX(Positions!$D$2:$D$721,MATCH($A191&amp;"|14",Positions!$A$2:$A$721,0))</f>
        <v>14</v>
      </c>
      <c r="F191" s="23" t="str">
        <f>INDEX(Positions!$E$2:$E$721,MATCH($A191&amp;"|8",Positions!$A$2:$A$721,0))</f>
        <v>U</v>
      </c>
      <c r="G191" s="23" t="str">
        <f>INDEX(Positions!$E$2:$E$721,MATCH($A191&amp;"|14",Positions!$A$2:$A$721,0))</f>
        <v>A</v>
      </c>
      <c r="H191" s="24" t="str">
        <f t="shared" si="8"/>
        <v>U-A</v>
      </c>
      <c r="I191" s="23">
        <f t="shared" si="9"/>
        <v>0</v>
      </c>
      <c r="J191" s="23">
        <f t="shared" si="10"/>
        <v>0</v>
      </c>
      <c r="K191" s="24">
        <f t="shared" si="11"/>
        <v>0</v>
      </c>
    </row>
    <row r="192" spans="1:11">
      <c r="A192" s="23" t="s">
        <v>43</v>
      </c>
      <c r="B192" s="23" t="s">
        <v>195</v>
      </c>
      <c r="C192" s="23" t="s">
        <v>197</v>
      </c>
      <c r="D192" s="23">
        <f>INDEX(Positions!$D$2:$D$721,MATCH($A192&amp;"|15",Positions!$A$2:$A$721,0))</f>
        <v>15</v>
      </c>
      <c r="E192" s="23">
        <f>INDEX(Positions!$D$2:$D$721,MATCH($A192&amp;"|48",Positions!$A$2:$A$721,0))</f>
        <v>64</v>
      </c>
      <c r="F192" s="23" t="str">
        <f>INDEX(Positions!$E$2:$E$721,MATCH($A192&amp;"|15",Positions!$A$2:$A$721,0))</f>
        <v>G</v>
      </c>
      <c r="G192" s="23" t="str">
        <f>INDEX(Positions!$E$2:$E$721,MATCH($A192&amp;"|48",Positions!$A$2:$A$721,0))</f>
        <v>U</v>
      </c>
      <c r="H192" s="24" t="str">
        <f t="shared" si="8"/>
        <v>G-U</v>
      </c>
      <c r="I192" s="23">
        <f t="shared" si="9"/>
        <v>1</v>
      </c>
      <c r="J192" s="23">
        <f t="shared" si="10"/>
        <v>0</v>
      </c>
      <c r="K192" s="24">
        <f t="shared" si="11"/>
        <v>1</v>
      </c>
    </row>
    <row r="193" spans="1:11">
      <c r="A193" s="23" t="s">
        <v>43</v>
      </c>
      <c r="B193" s="23" t="s">
        <v>195</v>
      </c>
      <c r="C193" s="23" t="s">
        <v>198</v>
      </c>
      <c r="D193" s="23">
        <f>INDEX(Positions!$D$2:$D$721,MATCH($A193&amp;"|18",Positions!$A$2:$A$721,0))</f>
        <v>19</v>
      </c>
      <c r="E193" s="23">
        <f>INDEX(Positions!$D$2:$D$721,MATCH($A193&amp;"|55",Positions!$A$2:$A$721,0))</f>
        <v>71</v>
      </c>
      <c r="F193" s="23" t="str">
        <f>INDEX(Positions!$E$2:$E$721,MATCH($A193&amp;"|18",Positions!$A$2:$A$721,0))</f>
        <v>G</v>
      </c>
      <c r="G193" s="23" t="str">
        <f>INDEX(Positions!$E$2:$E$721,MATCH($A193&amp;"|55",Positions!$A$2:$A$721,0))</f>
        <v>C</v>
      </c>
      <c r="H193" s="24" t="str">
        <f t="shared" si="8"/>
        <v>G-C</v>
      </c>
      <c r="I193" s="23">
        <f t="shared" si="9"/>
        <v>1</v>
      </c>
      <c r="J193" s="23">
        <f t="shared" si="10"/>
        <v>1</v>
      </c>
      <c r="K193" s="24">
        <f t="shared" si="11"/>
        <v>2</v>
      </c>
    </row>
    <row r="194" spans="1:11">
      <c r="A194" s="23" t="s">
        <v>43</v>
      </c>
      <c r="B194" s="23" t="s">
        <v>195</v>
      </c>
      <c r="C194" s="23" t="s">
        <v>199</v>
      </c>
      <c r="D194" s="23">
        <f>INDEX(Positions!$D$2:$D$721,MATCH($A194&amp;"|19",Positions!$A$2:$A$721,0))</f>
        <v>20</v>
      </c>
      <c r="E194" s="23">
        <f>INDEX(Positions!$D$2:$D$721,MATCH($A194&amp;"|56",Positions!$A$2:$A$721,0))</f>
        <v>72</v>
      </c>
      <c r="F194" s="23" t="str">
        <f>INDEX(Positions!$E$2:$E$721,MATCH($A194&amp;"|19",Positions!$A$2:$A$721,0))</f>
        <v>G</v>
      </c>
      <c r="G194" s="23" t="str">
        <f>INDEX(Positions!$E$2:$E$721,MATCH($A194&amp;"|56",Positions!$A$2:$A$721,0))</f>
        <v>C</v>
      </c>
      <c r="H194" s="24" t="str">
        <f t="shared" ref="H194:H253" si="12">F194&amp;"-"&amp;G194</f>
        <v>G-C</v>
      </c>
      <c r="I194" s="23">
        <f t="shared" ref="I194:I253" si="13">(F194="G")+(G194="G")</f>
        <v>1</v>
      </c>
      <c r="J194" s="23">
        <f t="shared" ref="J194:J253" si="14">(F194="C")+(G194="C")</f>
        <v>1</v>
      </c>
      <c r="K194" s="24">
        <f t="shared" ref="K194:K253" si="15">I194+J194</f>
        <v>2</v>
      </c>
    </row>
    <row r="195" spans="1:11">
      <c r="A195" s="23" t="s">
        <v>43</v>
      </c>
      <c r="B195" s="23" t="s">
        <v>195</v>
      </c>
      <c r="C195" s="23" t="s">
        <v>200</v>
      </c>
      <c r="D195" s="23">
        <f>INDEX(Positions!$D$2:$D$721,MATCH($A195&amp;"|26",Positions!$A$2:$A$721,0))</f>
        <v>27</v>
      </c>
      <c r="E195" s="23">
        <f>INDEX(Positions!$D$2:$D$721,MATCH($A195&amp;"|44",Positions!$A$2:$A$721,0))</f>
        <v>45</v>
      </c>
      <c r="F195" s="23" t="str">
        <f>INDEX(Positions!$E$2:$E$721,MATCH($A195&amp;"|26",Positions!$A$2:$A$721,0))</f>
        <v>U</v>
      </c>
      <c r="G195" s="23" t="str">
        <f>INDEX(Positions!$E$2:$E$721,MATCH($A195&amp;"|44",Positions!$A$2:$A$721,0))</f>
        <v>G</v>
      </c>
      <c r="H195" s="24" t="str">
        <f t="shared" si="12"/>
        <v>U-G</v>
      </c>
      <c r="I195" s="23">
        <f t="shared" si="13"/>
        <v>1</v>
      </c>
      <c r="J195" s="23">
        <f t="shared" si="14"/>
        <v>0</v>
      </c>
      <c r="K195" s="24">
        <f t="shared" si="15"/>
        <v>1</v>
      </c>
    </row>
    <row r="196" spans="1:11">
      <c r="A196" s="23" t="s">
        <v>43</v>
      </c>
      <c r="B196" s="23" t="s">
        <v>195</v>
      </c>
      <c r="C196" s="23" t="s">
        <v>201</v>
      </c>
      <c r="D196" s="23">
        <f>INDEX(Positions!$D$2:$D$721,MATCH($A196&amp;"|32",Positions!$A$2:$A$721,0))</f>
        <v>33</v>
      </c>
      <c r="E196" s="23">
        <f>INDEX(Positions!$D$2:$D$721,MATCH($A196&amp;"|38",Positions!$A$2:$A$721,0))</f>
        <v>39</v>
      </c>
      <c r="F196" s="23" t="str">
        <f>INDEX(Positions!$E$2:$E$721,MATCH($A196&amp;"|32",Positions!$A$2:$A$721,0))</f>
        <v>U</v>
      </c>
      <c r="G196" s="23" t="str">
        <f>INDEX(Positions!$E$2:$E$721,MATCH($A196&amp;"|38",Positions!$A$2:$A$721,0))</f>
        <v>A</v>
      </c>
      <c r="H196" s="24" t="str">
        <f t="shared" si="12"/>
        <v>U-A</v>
      </c>
      <c r="I196" s="23">
        <f t="shared" si="13"/>
        <v>0</v>
      </c>
      <c r="J196" s="23">
        <f t="shared" si="14"/>
        <v>0</v>
      </c>
      <c r="K196" s="24">
        <f t="shared" si="15"/>
        <v>0</v>
      </c>
    </row>
    <row r="197" spans="1:11">
      <c r="A197" s="23" t="s">
        <v>43</v>
      </c>
      <c r="B197" s="23" t="s">
        <v>195</v>
      </c>
      <c r="C197" s="23" t="s">
        <v>202</v>
      </c>
      <c r="D197" s="23">
        <f>INDEX(Positions!$D$2:$D$721,MATCH($A197&amp;"|54",Positions!$A$2:$A$721,0))</f>
        <v>70</v>
      </c>
      <c r="E197" s="23">
        <f>INDEX(Positions!$D$2:$D$721,MATCH($A197&amp;"|58",Positions!$A$2:$A$721,0))</f>
        <v>74</v>
      </c>
      <c r="F197" s="23" t="str">
        <f>INDEX(Positions!$E$2:$E$721,MATCH($A197&amp;"|54",Positions!$A$2:$A$721,0))</f>
        <v>A</v>
      </c>
      <c r="G197" s="23" t="str">
        <f>INDEX(Positions!$E$2:$E$721,MATCH($A197&amp;"|58",Positions!$A$2:$A$721,0))</f>
        <v>C</v>
      </c>
      <c r="H197" s="24" t="str">
        <f t="shared" si="12"/>
        <v>A-C</v>
      </c>
      <c r="I197" s="23">
        <f t="shared" si="13"/>
        <v>0</v>
      </c>
      <c r="J197" s="23">
        <f t="shared" si="14"/>
        <v>1</v>
      </c>
      <c r="K197" s="24">
        <f t="shared" si="15"/>
        <v>1</v>
      </c>
    </row>
    <row r="198" spans="1:11">
      <c r="A198" s="4" t="s">
        <v>44</v>
      </c>
      <c r="B198" s="4" t="s">
        <v>56</v>
      </c>
      <c r="C198" s="4" t="s">
        <v>174</v>
      </c>
      <c r="D198" s="4">
        <f>INDEX(Positions!$D$2:$D$721,MATCH($A198&amp;"|1",Positions!$A$2:$A$721,0))</f>
        <v>1</v>
      </c>
      <c r="E198" s="4">
        <f>INDEX(Positions!$D$2:$D$721,MATCH($A198&amp;"|72",Positions!$A$2:$A$721,0))</f>
        <v>92</v>
      </c>
      <c r="F198" s="4" t="str">
        <f>INDEX(Positions!$E$2:$E$721,MATCH($A198&amp;"|1",Positions!$A$2:$A$721,0))</f>
        <v>C</v>
      </c>
      <c r="G198" s="4" t="str">
        <f>INDEX(Positions!$E$2:$E$721,MATCH($A198&amp;"|72",Positions!$A$2:$A$721,0))</f>
        <v>G</v>
      </c>
      <c r="H198" s="3" t="str">
        <f t="shared" si="12"/>
        <v>C-G</v>
      </c>
      <c r="I198" s="4">
        <f t="shared" si="13"/>
        <v>1</v>
      </c>
      <c r="J198" s="4">
        <f t="shared" si="14"/>
        <v>1</v>
      </c>
      <c r="K198" s="3">
        <f t="shared" si="15"/>
        <v>2</v>
      </c>
    </row>
    <row r="199" spans="1:11">
      <c r="A199" s="4" t="s">
        <v>44</v>
      </c>
      <c r="B199" s="4" t="s">
        <v>56</v>
      </c>
      <c r="C199" s="4" t="s">
        <v>175</v>
      </c>
      <c r="D199" s="4">
        <f>INDEX(Positions!$D$2:$D$721,MATCH($A199&amp;"|2",Positions!$A$2:$A$721,0))</f>
        <v>2</v>
      </c>
      <c r="E199" s="4">
        <f>INDEX(Positions!$D$2:$D$721,MATCH($A199&amp;"|71",Positions!$A$2:$A$721,0))</f>
        <v>91</v>
      </c>
      <c r="F199" s="4" t="str">
        <f>INDEX(Positions!$E$2:$E$721,MATCH($A199&amp;"|2",Positions!$A$2:$A$721,0))</f>
        <v>U</v>
      </c>
      <c r="G199" s="4" t="str">
        <f>INDEX(Positions!$E$2:$E$721,MATCH($A199&amp;"|71",Positions!$A$2:$A$721,0))</f>
        <v>A</v>
      </c>
      <c r="H199" s="3" t="str">
        <f t="shared" si="12"/>
        <v>U-A</v>
      </c>
      <c r="I199" s="4">
        <f t="shared" si="13"/>
        <v>0</v>
      </c>
      <c r="J199" s="4">
        <f t="shared" si="14"/>
        <v>0</v>
      </c>
      <c r="K199" s="3">
        <f t="shared" si="15"/>
        <v>0</v>
      </c>
    </row>
    <row r="200" spans="1:11">
      <c r="A200" s="4" t="s">
        <v>44</v>
      </c>
      <c r="B200" s="4" t="s">
        <v>56</v>
      </c>
      <c r="C200" s="4" t="s">
        <v>176</v>
      </c>
      <c r="D200" s="4">
        <f>INDEX(Positions!$D$2:$D$721,MATCH($A200&amp;"|3",Positions!$A$2:$A$721,0))</f>
        <v>3</v>
      </c>
      <c r="E200" s="4">
        <f>INDEX(Positions!$D$2:$D$721,MATCH($A200&amp;"|70",Positions!$A$2:$A$721,0))</f>
        <v>90</v>
      </c>
      <c r="F200" s="4" t="str">
        <f>INDEX(Positions!$E$2:$E$721,MATCH($A200&amp;"|3",Positions!$A$2:$A$721,0))</f>
        <v>G</v>
      </c>
      <c r="G200" s="4" t="str">
        <f>INDEX(Positions!$E$2:$E$721,MATCH($A200&amp;"|70",Positions!$A$2:$A$721,0))</f>
        <v>C</v>
      </c>
      <c r="H200" s="3" t="str">
        <f t="shared" si="12"/>
        <v>G-C</v>
      </c>
      <c r="I200" s="4">
        <f t="shared" si="13"/>
        <v>1</v>
      </c>
      <c r="J200" s="4">
        <f t="shared" si="14"/>
        <v>1</v>
      </c>
      <c r="K200" s="3">
        <f t="shared" si="15"/>
        <v>2</v>
      </c>
    </row>
    <row r="201" spans="1:11">
      <c r="A201" s="4" t="s">
        <v>44</v>
      </c>
      <c r="B201" s="4" t="s">
        <v>56</v>
      </c>
      <c r="C201" s="4" t="s">
        <v>177</v>
      </c>
      <c r="D201" s="4">
        <f>INDEX(Positions!$D$2:$D$721,MATCH($A201&amp;"|4",Positions!$A$2:$A$721,0))</f>
        <v>4</v>
      </c>
      <c r="E201" s="4">
        <f>INDEX(Positions!$D$2:$D$721,MATCH($A201&amp;"|69",Positions!$A$2:$A$721,0))</f>
        <v>89</v>
      </c>
      <c r="F201" s="4" t="str">
        <f>INDEX(Positions!$E$2:$E$721,MATCH($A201&amp;"|4",Positions!$A$2:$A$721,0))</f>
        <v>A</v>
      </c>
      <c r="G201" s="4" t="str">
        <f>INDEX(Positions!$E$2:$E$721,MATCH($A201&amp;"|69",Positions!$A$2:$A$721,0))</f>
        <v>U</v>
      </c>
      <c r="H201" s="3" t="str">
        <f t="shared" si="12"/>
        <v>A-U</v>
      </c>
      <c r="I201" s="4">
        <f t="shared" si="13"/>
        <v>0</v>
      </c>
      <c r="J201" s="4">
        <f t="shared" si="14"/>
        <v>0</v>
      </c>
      <c r="K201" s="3">
        <f t="shared" si="15"/>
        <v>0</v>
      </c>
    </row>
    <row r="202" spans="1:11">
      <c r="A202" s="4" t="s">
        <v>44</v>
      </c>
      <c r="B202" s="4" t="s">
        <v>56</v>
      </c>
      <c r="C202" s="4" t="s">
        <v>178</v>
      </c>
      <c r="D202" s="4">
        <f>INDEX(Positions!$D$2:$D$721,MATCH($A202&amp;"|5",Positions!$A$2:$A$721,0))</f>
        <v>5</v>
      </c>
      <c r="E202" s="4">
        <f>INDEX(Positions!$D$2:$D$721,MATCH($A202&amp;"|68",Positions!$A$2:$A$721,0))</f>
        <v>88</v>
      </c>
      <c r="F202" s="4" t="str">
        <f>INDEX(Positions!$E$2:$E$721,MATCH($A202&amp;"|5",Positions!$A$2:$A$721,0))</f>
        <v>G</v>
      </c>
      <c r="G202" s="4" t="str">
        <f>INDEX(Positions!$E$2:$E$721,MATCH($A202&amp;"|68",Positions!$A$2:$A$721,0))</f>
        <v>U</v>
      </c>
      <c r="H202" s="3" t="str">
        <f t="shared" si="12"/>
        <v>G-U</v>
      </c>
      <c r="I202" s="4">
        <f t="shared" si="13"/>
        <v>1</v>
      </c>
      <c r="J202" s="4">
        <f t="shared" si="14"/>
        <v>0</v>
      </c>
      <c r="K202" s="3">
        <f t="shared" si="15"/>
        <v>1</v>
      </c>
    </row>
    <row r="203" spans="1:11">
      <c r="A203" s="4" t="s">
        <v>44</v>
      </c>
      <c r="B203" s="4" t="s">
        <v>56</v>
      </c>
      <c r="C203" s="4" t="s">
        <v>179</v>
      </c>
      <c r="D203" s="4">
        <f>INDEX(Positions!$D$2:$D$721,MATCH($A203&amp;"|6",Positions!$A$2:$A$721,0))</f>
        <v>6</v>
      </c>
      <c r="E203" s="4">
        <f>INDEX(Positions!$D$2:$D$721,MATCH($A203&amp;"|67",Positions!$A$2:$A$721,0))</f>
        <v>87</v>
      </c>
      <c r="F203" s="4" t="str">
        <f>INDEX(Positions!$E$2:$E$721,MATCH($A203&amp;"|6",Positions!$A$2:$A$721,0))</f>
        <v>G</v>
      </c>
      <c r="G203" s="4" t="str">
        <f>INDEX(Positions!$E$2:$E$721,MATCH($A203&amp;"|67",Positions!$A$2:$A$721,0))</f>
        <v>C</v>
      </c>
      <c r="H203" s="3" t="str">
        <f t="shared" si="12"/>
        <v>G-C</v>
      </c>
      <c r="I203" s="4">
        <f t="shared" si="13"/>
        <v>1</v>
      </c>
      <c r="J203" s="4">
        <f t="shared" si="14"/>
        <v>1</v>
      </c>
      <c r="K203" s="3">
        <f t="shared" si="15"/>
        <v>2</v>
      </c>
    </row>
    <row r="204" spans="1:11">
      <c r="A204" s="4" t="s">
        <v>44</v>
      </c>
      <c r="B204" s="4" t="s">
        <v>56</v>
      </c>
      <c r="C204" s="4" t="s">
        <v>180</v>
      </c>
      <c r="D204" s="4">
        <f>INDEX(Positions!$D$2:$D$721,MATCH($A204&amp;"|7",Positions!$A$2:$A$721,0))</f>
        <v>7</v>
      </c>
      <c r="E204" s="4">
        <f>INDEX(Positions!$D$2:$D$721,MATCH($A204&amp;"|66",Positions!$A$2:$A$721,0))</f>
        <v>86</v>
      </c>
      <c r="F204" s="4" t="str">
        <f>INDEX(Positions!$E$2:$E$721,MATCH($A204&amp;"|7",Positions!$A$2:$A$721,0))</f>
        <v>G</v>
      </c>
      <c r="G204" s="4" t="str">
        <f>INDEX(Positions!$E$2:$E$721,MATCH($A204&amp;"|66",Positions!$A$2:$A$721,0))</f>
        <v>A</v>
      </c>
      <c r="H204" s="3" t="str">
        <f t="shared" si="12"/>
        <v>G-A</v>
      </c>
      <c r="I204" s="4">
        <f t="shared" si="13"/>
        <v>1</v>
      </c>
      <c r="J204" s="4">
        <f t="shared" si="14"/>
        <v>0</v>
      </c>
      <c r="K204" s="3">
        <f t="shared" si="15"/>
        <v>1</v>
      </c>
    </row>
    <row r="205" spans="1:11">
      <c r="A205" s="4" t="s">
        <v>44</v>
      </c>
      <c r="B205" s="4" t="s">
        <v>71</v>
      </c>
      <c r="C205" s="4" t="s">
        <v>181</v>
      </c>
      <c r="D205" s="4">
        <f>INDEX(Positions!$D$2:$D$721,MATCH($A205&amp;"|10",Positions!$A$2:$A$721,0))</f>
        <v>10</v>
      </c>
      <c r="E205" s="4">
        <f>INDEX(Positions!$D$2:$D$721,MATCH($A205&amp;"|25",Positions!$A$2:$A$721,0))</f>
        <v>26</v>
      </c>
      <c r="F205" s="4" t="str">
        <f>INDEX(Positions!$E$2:$E$721,MATCH($A205&amp;"|10",Positions!$A$2:$A$721,0))</f>
        <v>G</v>
      </c>
      <c r="G205" s="4" t="str">
        <f>INDEX(Positions!$E$2:$E$721,MATCH($A205&amp;"|25",Positions!$A$2:$A$721,0))</f>
        <v>U</v>
      </c>
      <c r="H205" s="3" t="str">
        <f t="shared" si="12"/>
        <v>G-U</v>
      </c>
      <c r="I205" s="4">
        <f t="shared" si="13"/>
        <v>1</v>
      </c>
      <c r="J205" s="4">
        <f t="shared" si="14"/>
        <v>0</v>
      </c>
      <c r="K205" s="3">
        <f t="shared" si="15"/>
        <v>1</v>
      </c>
    </row>
    <row r="206" spans="1:11">
      <c r="A206" s="4" t="s">
        <v>44</v>
      </c>
      <c r="B206" s="4" t="s">
        <v>71</v>
      </c>
      <c r="C206" s="4" t="s">
        <v>182</v>
      </c>
      <c r="D206" s="4">
        <f>INDEX(Positions!$D$2:$D$721,MATCH($A206&amp;"|11",Positions!$A$2:$A$721,0))</f>
        <v>11</v>
      </c>
      <c r="E206" s="4">
        <f>INDEX(Positions!$D$2:$D$721,MATCH($A206&amp;"|24",Positions!$A$2:$A$721,0))</f>
        <v>25</v>
      </c>
      <c r="F206" s="4" t="str">
        <f>INDEX(Positions!$E$2:$E$721,MATCH($A206&amp;"|11",Positions!$A$2:$A$721,0))</f>
        <v>C</v>
      </c>
      <c r="G206" s="4" t="str">
        <f>INDEX(Positions!$E$2:$E$721,MATCH($A206&amp;"|24",Positions!$A$2:$A$721,0))</f>
        <v>A</v>
      </c>
      <c r="H206" s="3" t="str">
        <f t="shared" si="12"/>
        <v>C-A</v>
      </c>
      <c r="I206" s="4">
        <f t="shared" si="13"/>
        <v>0</v>
      </c>
      <c r="J206" s="4">
        <f t="shared" si="14"/>
        <v>1</v>
      </c>
      <c r="K206" s="3">
        <f t="shared" si="15"/>
        <v>1</v>
      </c>
    </row>
    <row r="207" spans="1:11">
      <c r="A207" s="4" t="s">
        <v>44</v>
      </c>
      <c r="B207" s="4" t="s">
        <v>71</v>
      </c>
      <c r="C207" s="4" t="s">
        <v>183</v>
      </c>
      <c r="D207" s="4">
        <f>INDEX(Positions!$D$2:$D$721,MATCH($A207&amp;"|12",Positions!$A$2:$A$721,0))</f>
        <v>12</v>
      </c>
      <c r="E207" s="4">
        <f>INDEX(Positions!$D$2:$D$721,MATCH($A207&amp;"|23",Positions!$A$2:$A$721,0))</f>
        <v>24</v>
      </c>
      <c r="F207" s="4" t="str">
        <f>INDEX(Positions!$E$2:$E$721,MATCH($A207&amp;"|12",Positions!$A$2:$A$721,0))</f>
        <v>C</v>
      </c>
      <c r="G207" s="4" t="str">
        <f>INDEX(Positions!$E$2:$E$721,MATCH($A207&amp;"|23",Positions!$A$2:$A$721,0))</f>
        <v>G</v>
      </c>
      <c r="H207" s="3" t="str">
        <f t="shared" si="12"/>
        <v>C-G</v>
      </c>
      <c r="I207" s="4">
        <f t="shared" si="13"/>
        <v>1</v>
      </c>
      <c r="J207" s="4">
        <f t="shared" si="14"/>
        <v>1</v>
      </c>
      <c r="K207" s="3">
        <f t="shared" si="15"/>
        <v>2</v>
      </c>
    </row>
    <row r="208" spans="1:11">
      <c r="A208" s="4" t="s">
        <v>44</v>
      </c>
      <c r="B208" s="4" t="s">
        <v>71</v>
      </c>
      <c r="C208" s="4" t="s">
        <v>184</v>
      </c>
      <c r="D208" s="4">
        <f>INDEX(Positions!$D$2:$D$721,MATCH($A208&amp;"|13",Positions!$A$2:$A$721,0))</f>
        <v>13</v>
      </c>
      <c r="E208" s="4">
        <f>INDEX(Positions!$D$2:$D$721,MATCH($A208&amp;"|22",Positions!$A$2:$A$721,0))</f>
        <v>23</v>
      </c>
      <c r="F208" s="4" t="str">
        <f>INDEX(Positions!$E$2:$E$721,MATCH($A208&amp;"|13",Positions!$A$2:$A$721,0))</f>
        <v>A</v>
      </c>
      <c r="G208" s="4" t="str">
        <f>INDEX(Positions!$E$2:$E$721,MATCH($A208&amp;"|22",Positions!$A$2:$A$721,0))</f>
        <v>U</v>
      </c>
      <c r="H208" s="3" t="str">
        <f t="shared" si="12"/>
        <v>A-U</v>
      </c>
      <c r="I208" s="4">
        <f t="shared" si="13"/>
        <v>0</v>
      </c>
      <c r="J208" s="4">
        <f t="shared" si="14"/>
        <v>0</v>
      </c>
      <c r="K208" s="3">
        <f t="shared" si="15"/>
        <v>0</v>
      </c>
    </row>
    <row r="209" spans="1:11">
      <c r="A209" s="4" t="s">
        <v>44</v>
      </c>
      <c r="B209" s="4" t="s">
        <v>90</v>
      </c>
      <c r="C209" s="4" t="s">
        <v>185</v>
      </c>
      <c r="D209" s="4">
        <f>INDEX(Positions!$D$2:$D$721,MATCH($A209&amp;"|27",Positions!$A$2:$A$721,0))</f>
        <v>28</v>
      </c>
      <c r="E209" s="4">
        <f>INDEX(Positions!$D$2:$D$721,MATCH($A209&amp;"|43",Positions!$A$2:$A$721,0))</f>
        <v>44</v>
      </c>
      <c r="F209" s="4" t="str">
        <f>INDEX(Positions!$E$2:$E$721,MATCH($A209&amp;"|27",Positions!$A$2:$A$721,0))</f>
        <v>C</v>
      </c>
      <c r="G209" s="4" t="str">
        <f>INDEX(Positions!$E$2:$E$721,MATCH($A209&amp;"|43",Positions!$A$2:$A$721,0))</f>
        <v>G</v>
      </c>
      <c r="H209" s="3" t="str">
        <f t="shared" si="12"/>
        <v>C-G</v>
      </c>
      <c r="I209" s="4">
        <f t="shared" si="13"/>
        <v>1</v>
      </c>
      <c r="J209" s="4">
        <f t="shared" si="14"/>
        <v>1</v>
      </c>
      <c r="K209" s="3">
        <f t="shared" si="15"/>
        <v>2</v>
      </c>
    </row>
    <row r="210" spans="1:11">
      <c r="A210" s="4" t="s">
        <v>44</v>
      </c>
      <c r="B210" s="4" t="s">
        <v>90</v>
      </c>
      <c r="C210" s="4" t="s">
        <v>186</v>
      </c>
      <c r="D210" s="4">
        <f>INDEX(Positions!$D$2:$D$721,MATCH($A210&amp;"|28",Positions!$A$2:$A$721,0))</f>
        <v>29</v>
      </c>
      <c r="E210" s="4">
        <f>INDEX(Positions!$D$2:$D$721,MATCH($A210&amp;"|42",Positions!$A$2:$A$721,0))</f>
        <v>43</v>
      </c>
      <c r="F210" s="4" t="str">
        <f>INDEX(Positions!$E$2:$E$721,MATCH($A210&amp;"|28",Positions!$A$2:$A$721,0))</f>
        <v>C</v>
      </c>
      <c r="G210" s="4" t="str">
        <f>INDEX(Positions!$E$2:$E$721,MATCH($A210&amp;"|42",Positions!$A$2:$A$721,0))</f>
        <v>G</v>
      </c>
      <c r="H210" s="3" t="str">
        <f t="shared" si="12"/>
        <v>C-G</v>
      </c>
      <c r="I210" s="4">
        <f t="shared" si="13"/>
        <v>1</v>
      </c>
      <c r="J210" s="4">
        <f t="shared" si="14"/>
        <v>1</v>
      </c>
      <c r="K210" s="3">
        <f t="shared" si="15"/>
        <v>2</v>
      </c>
    </row>
    <row r="211" spans="1:11">
      <c r="A211" s="4" t="s">
        <v>44</v>
      </c>
      <c r="B211" s="4" t="s">
        <v>90</v>
      </c>
      <c r="C211" s="4" t="s">
        <v>187</v>
      </c>
      <c r="D211" s="4">
        <f>INDEX(Positions!$D$2:$D$721,MATCH($A211&amp;"|29",Positions!$A$2:$A$721,0))</f>
        <v>30</v>
      </c>
      <c r="E211" s="4">
        <f>INDEX(Positions!$D$2:$D$721,MATCH($A211&amp;"|41",Positions!$A$2:$A$721,0))</f>
        <v>42</v>
      </c>
      <c r="F211" s="4" t="str">
        <f>INDEX(Positions!$E$2:$E$721,MATCH($A211&amp;"|29",Positions!$A$2:$A$721,0))</f>
        <v>G</v>
      </c>
      <c r="G211" s="4" t="str">
        <f>INDEX(Positions!$E$2:$E$721,MATCH($A211&amp;"|41",Positions!$A$2:$A$721,0))</f>
        <v>U</v>
      </c>
      <c r="H211" s="3" t="str">
        <f t="shared" si="12"/>
        <v>G-U</v>
      </c>
      <c r="I211" s="4">
        <f t="shared" si="13"/>
        <v>1</v>
      </c>
      <c r="J211" s="4">
        <f t="shared" si="14"/>
        <v>0</v>
      </c>
      <c r="K211" s="3">
        <f t="shared" si="15"/>
        <v>1</v>
      </c>
    </row>
    <row r="212" spans="1:11">
      <c r="A212" s="4" t="s">
        <v>44</v>
      </c>
      <c r="B212" s="4" t="s">
        <v>90</v>
      </c>
      <c r="C212" s="4" t="s">
        <v>188</v>
      </c>
      <c r="D212" s="4">
        <f>INDEX(Positions!$D$2:$D$721,MATCH($A212&amp;"|30",Positions!$A$2:$A$721,0))</f>
        <v>31</v>
      </c>
      <c r="E212" s="4">
        <f>INDEX(Positions!$D$2:$D$721,MATCH($A212&amp;"|40",Positions!$A$2:$A$721,0))</f>
        <v>41</v>
      </c>
      <c r="F212" s="4" t="str">
        <f>INDEX(Positions!$E$2:$E$721,MATCH($A212&amp;"|30",Positions!$A$2:$A$721,0))</f>
        <v>C</v>
      </c>
      <c r="G212" s="4" t="str">
        <f>INDEX(Positions!$E$2:$E$721,MATCH($A212&amp;"|40",Positions!$A$2:$A$721,0))</f>
        <v>G</v>
      </c>
      <c r="H212" s="3" t="str">
        <f t="shared" si="12"/>
        <v>C-G</v>
      </c>
      <c r="I212" s="4">
        <f t="shared" si="13"/>
        <v>1</v>
      </c>
      <c r="J212" s="4">
        <f t="shared" si="14"/>
        <v>1</v>
      </c>
      <c r="K212" s="3">
        <f t="shared" si="15"/>
        <v>2</v>
      </c>
    </row>
    <row r="213" spans="1:11">
      <c r="A213" s="4" t="s">
        <v>44</v>
      </c>
      <c r="B213" s="4" t="s">
        <v>90</v>
      </c>
      <c r="C213" s="4" t="s">
        <v>189</v>
      </c>
      <c r="D213" s="4">
        <f>INDEX(Positions!$D$2:$D$721,MATCH($A213&amp;"|31",Positions!$A$2:$A$721,0))</f>
        <v>32</v>
      </c>
      <c r="E213" s="4">
        <f>INDEX(Positions!$D$2:$D$721,MATCH($A213&amp;"|39",Positions!$A$2:$A$721,0))</f>
        <v>40</v>
      </c>
      <c r="F213" s="4" t="str">
        <f>INDEX(Positions!$E$2:$E$721,MATCH($A213&amp;"|31",Positions!$A$2:$A$721,0))</f>
        <v>U</v>
      </c>
      <c r="G213" s="4" t="str">
        <f>INDEX(Positions!$E$2:$E$721,MATCH($A213&amp;"|39",Positions!$A$2:$A$721,0))</f>
        <v>G</v>
      </c>
      <c r="H213" s="3" t="str">
        <f t="shared" si="12"/>
        <v>U-G</v>
      </c>
      <c r="I213" s="4">
        <f t="shared" si="13"/>
        <v>1</v>
      </c>
      <c r="J213" s="4">
        <f t="shared" si="14"/>
        <v>0</v>
      </c>
      <c r="K213" s="3">
        <f t="shared" si="15"/>
        <v>1</v>
      </c>
    </row>
    <row r="214" spans="1:11">
      <c r="A214" s="4" t="s">
        <v>44</v>
      </c>
      <c r="B214" s="4" t="s">
        <v>114</v>
      </c>
      <c r="C214" s="4" t="s">
        <v>190</v>
      </c>
      <c r="D214" s="4">
        <f>INDEX(Positions!$D$2:$D$721,MATCH($A214&amp;"|49",Positions!$A$2:$A$721,0))</f>
        <v>69</v>
      </c>
      <c r="E214" s="4">
        <f>INDEX(Positions!$D$2:$D$721,MATCH($A214&amp;"|65",Positions!$A$2:$A$721,0))</f>
        <v>85</v>
      </c>
      <c r="F214" s="4" t="str">
        <f>INDEX(Positions!$E$2:$E$721,MATCH($A214&amp;"|49",Positions!$A$2:$A$721,0))</f>
        <v>A</v>
      </c>
      <c r="G214" s="4" t="str">
        <f>INDEX(Positions!$E$2:$E$721,MATCH($A214&amp;"|65",Positions!$A$2:$A$721,0))</f>
        <v>U</v>
      </c>
      <c r="H214" s="3" t="str">
        <f t="shared" si="12"/>
        <v>A-U</v>
      </c>
      <c r="I214" s="4">
        <f t="shared" si="13"/>
        <v>0</v>
      </c>
      <c r="J214" s="4">
        <f t="shared" si="14"/>
        <v>0</v>
      </c>
      <c r="K214" s="3">
        <f t="shared" si="15"/>
        <v>0</v>
      </c>
    </row>
    <row r="215" spans="1:11">
      <c r="A215" s="4" t="s">
        <v>44</v>
      </c>
      <c r="B215" s="4" t="s">
        <v>114</v>
      </c>
      <c r="C215" s="4" t="s">
        <v>191</v>
      </c>
      <c r="D215" s="4">
        <f>INDEX(Positions!$D$2:$D$721,MATCH($A215&amp;"|50",Positions!$A$2:$A$721,0))</f>
        <v>70</v>
      </c>
      <c r="E215" s="4">
        <f>INDEX(Positions!$D$2:$D$721,MATCH($A215&amp;"|64",Positions!$A$2:$A$721,0))</f>
        <v>84</v>
      </c>
      <c r="F215" s="4" t="str">
        <f>INDEX(Positions!$E$2:$E$721,MATCH($A215&amp;"|50",Positions!$A$2:$A$721,0))</f>
        <v>A</v>
      </c>
      <c r="G215" s="4" t="str">
        <f>INDEX(Positions!$E$2:$E$721,MATCH($A215&amp;"|64",Positions!$A$2:$A$721,0))</f>
        <v>U</v>
      </c>
      <c r="H215" s="3" t="str">
        <f t="shared" si="12"/>
        <v>A-U</v>
      </c>
      <c r="I215" s="4">
        <f t="shared" si="13"/>
        <v>0</v>
      </c>
      <c r="J215" s="4">
        <f t="shared" si="14"/>
        <v>0</v>
      </c>
      <c r="K215" s="3">
        <f t="shared" si="15"/>
        <v>0</v>
      </c>
    </row>
    <row r="216" spans="1:11">
      <c r="A216" s="4" t="s">
        <v>44</v>
      </c>
      <c r="B216" s="4" t="s">
        <v>114</v>
      </c>
      <c r="C216" s="4" t="s">
        <v>192</v>
      </c>
      <c r="D216" s="4">
        <f>INDEX(Positions!$D$2:$D$721,MATCH($A216&amp;"|51",Positions!$A$2:$A$721,0))</f>
        <v>71</v>
      </c>
      <c r="E216" s="4">
        <f>INDEX(Positions!$D$2:$D$721,MATCH($A216&amp;"|63",Positions!$A$2:$A$721,0))</f>
        <v>83</v>
      </c>
      <c r="F216" s="4" t="str">
        <f>INDEX(Positions!$E$2:$E$721,MATCH($A216&amp;"|51",Positions!$A$2:$A$721,0))</f>
        <v>G</v>
      </c>
      <c r="G216" s="4" t="str">
        <f>INDEX(Positions!$E$2:$E$721,MATCH($A216&amp;"|63",Positions!$A$2:$A$721,0))</f>
        <v>U</v>
      </c>
      <c r="H216" s="3" t="str">
        <f t="shared" si="12"/>
        <v>G-U</v>
      </c>
      <c r="I216" s="4">
        <f t="shared" si="13"/>
        <v>1</v>
      </c>
      <c r="J216" s="4">
        <f t="shared" si="14"/>
        <v>0</v>
      </c>
      <c r="K216" s="3">
        <f t="shared" si="15"/>
        <v>1</v>
      </c>
    </row>
    <row r="217" spans="1:11">
      <c r="A217" s="4" t="s">
        <v>44</v>
      </c>
      <c r="B217" s="4" t="s">
        <v>114</v>
      </c>
      <c r="C217" s="4" t="s">
        <v>193</v>
      </c>
      <c r="D217" s="4">
        <f>INDEX(Positions!$D$2:$D$721,MATCH($A217&amp;"|52",Positions!$A$2:$A$721,0))</f>
        <v>72</v>
      </c>
      <c r="E217" s="4">
        <f>INDEX(Positions!$D$2:$D$721,MATCH($A217&amp;"|62",Positions!$A$2:$A$721,0))</f>
        <v>82</v>
      </c>
      <c r="F217" s="4" t="str">
        <f>INDEX(Positions!$E$2:$E$721,MATCH($A217&amp;"|52",Positions!$A$2:$A$721,0))</f>
        <v>G</v>
      </c>
      <c r="G217" s="4" t="str">
        <f>INDEX(Positions!$E$2:$E$721,MATCH($A217&amp;"|62",Positions!$A$2:$A$721,0))</f>
        <v>U</v>
      </c>
      <c r="H217" s="3" t="str">
        <f t="shared" si="12"/>
        <v>G-U</v>
      </c>
      <c r="I217" s="4">
        <f t="shared" si="13"/>
        <v>1</v>
      </c>
      <c r="J217" s="4">
        <f t="shared" si="14"/>
        <v>0</v>
      </c>
      <c r="K217" s="3">
        <f t="shared" si="15"/>
        <v>1</v>
      </c>
    </row>
    <row r="218" spans="1:11">
      <c r="A218" s="4" t="s">
        <v>44</v>
      </c>
      <c r="B218" s="4" t="s">
        <v>114</v>
      </c>
      <c r="C218" s="4" t="s">
        <v>194</v>
      </c>
      <c r="D218" s="4">
        <f>INDEX(Positions!$D$2:$D$721,MATCH($A218&amp;"|53",Positions!$A$2:$A$721,0))</f>
        <v>73</v>
      </c>
      <c r="E218" s="4">
        <f>INDEX(Positions!$D$2:$D$721,MATCH($A218&amp;"|61",Positions!$A$2:$A$721,0))</f>
        <v>81</v>
      </c>
      <c r="F218" s="4" t="str">
        <f>INDEX(Positions!$E$2:$E$721,MATCH($A218&amp;"|53",Positions!$A$2:$A$721,0))</f>
        <v>G</v>
      </c>
      <c r="G218" s="4" t="str">
        <f>INDEX(Positions!$E$2:$E$721,MATCH($A218&amp;"|61",Positions!$A$2:$A$721,0))</f>
        <v>C</v>
      </c>
      <c r="H218" s="3" t="str">
        <f t="shared" si="12"/>
        <v>G-C</v>
      </c>
      <c r="I218" s="4">
        <f t="shared" si="13"/>
        <v>1</v>
      </c>
      <c r="J218" s="4">
        <f t="shared" si="14"/>
        <v>1</v>
      </c>
      <c r="K218" s="3">
        <f t="shared" si="15"/>
        <v>2</v>
      </c>
    </row>
    <row r="219" spans="1:11">
      <c r="A219" s="23" t="s">
        <v>44</v>
      </c>
      <c r="B219" s="23" t="s">
        <v>195</v>
      </c>
      <c r="C219" s="23" t="s">
        <v>196</v>
      </c>
      <c r="D219" s="23">
        <f>INDEX(Positions!$D$2:$D$721,MATCH($A219&amp;"|8",Positions!$A$2:$A$721,0))</f>
        <v>8</v>
      </c>
      <c r="E219" s="23">
        <f>INDEX(Positions!$D$2:$D$721,MATCH($A219&amp;"|14",Positions!$A$2:$A$721,0))</f>
        <v>14</v>
      </c>
      <c r="F219" s="23" t="str">
        <f>INDEX(Positions!$E$2:$E$721,MATCH($A219&amp;"|8",Positions!$A$2:$A$721,0))</f>
        <v>U</v>
      </c>
      <c r="G219" s="23" t="str">
        <f>INDEX(Positions!$E$2:$E$721,MATCH($A219&amp;"|14",Positions!$A$2:$A$721,0))</f>
        <v>G</v>
      </c>
      <c r="H219" s="24" t="str">
        <f t="shared" si="12"/>
        <v>U-G</v>
      </c>
      <c r="I219" s="23">
        <f t="shared" si="13"/>
        <v>1</v>
      </c>
      <c r="J219" s="23">
        <f t="shared" si="14"/>
        <v>0</v>
      </c>
      <c r="K219" s="24">
        <f t="shared" si="15"/>
        <v>1</v>
      </c>
    </row>
    <row r="220" spans="1:11">
      <c r="A220" s="23" t="s">
        <v>44</v>
      </c>
      <c r="B220" s="23" t="s">
        <v>195</v>
      </c>
      <c r="C220" s="23" t="s">
        <v>197</v>
      </c>
      <c r="D220" s="23">
        <f>INDEX(Positions!$D$2:$D$721,MATCH($A220&amp;"|15",Positions!$A$2:$A$721,0))</f>
        <v>15</v>
      </c>
      <c r="E220" s="23">
        <f>INDEX(Positions!$D$2:$D$721,MATCH($A220&amp;"|48",Positions!$A$2:$A$721,0))</f>
        <v>68</v>
      </c>
      <c r="F220" s="23" t="str">
        <f>INDEX(Positions!$E$2:$E$721,MATCH($A220&amp;"|15",Positions!$A$2:$A$721,0))</f>
        <v>A</v>
      </c>
      <c r="G220" s="23" t="str">
        <f>INDEX(Positions!$E$2:$E$721,MATCH($A220&amp;"|48",Positions!$A$2:$A$721,0))</f>
        <v>U</v>
      </c>
      <c r="H220" s="24" t="str">
        <f t="shared" si="12"/>
        <v>A-U</v>
      </c>
      <c r="I220" s="23">
        <f t="shared" si="13"/>
        <v>0</v>
      </c>
      <c r="J220" s="23">
        <f t="shared" si="14"/>
        <v>0</v>
      </c>
      <c r="K220" s="24">
        <f t="shared" si="15"/>
        <v>0</v>
      </c>
    </row>
    <row r="221" spans="1:11">
      <c r="A221" s="23" t="s">
        <v>44</v>
      </c>
      <c r="B221" s="23" t="s">
        <v>195</v>
      </c>
      <c r="C221" s="23" t="s">
        <v>198</v>
      </c>
      <c r="D221" s="23">
        <f>INDEX(Positions!$D$2:$D$721,MATCH($A221&amp;"|18",Positions!$A$2:$A$721,0))</f>
        <v>16</v>
      </c>
      <c r="E221" s="23">
        <f>INDEX(Positions!$D$2:$D$721,MATCH($A221&amp;"|55",Positions!$A$2:$A$721,0))</f>
        <v>75</v>
      </c>
      <c r="F221" s="23" t="str">
        <f>INDEX(Positions!$E$2:$E$721,MATCH($A221&amp;"|18",Positions!$A$2:$A$721,0))</f>
        <v>G</v>
      </c>
      <c r="G221" s="23" t="str">
        <f>INDEX(Positions!$E$2:$E$721,MATCH($A221&amp;"|55",Positions!$A$2:$A$721,0))</f>
        <v>U</v>
      </c>
      <c r="H221" s="24" t="str">
        <f t="shared" si="12"/>
        <v>G-U</v>
      </c>
      <c r="I221" s="23">
        <f t="shared" si="13"/>
        <v>1</v>
      </c>
      <c r="J221" s="23">
        <f t="shared" si="14"/>
        <v>0</v>
      </c>
      <c r="K221" s="24">
        <f t="shared" si="15"/>
        <v>1</v>
      </c>
    </row>
    <row r="222" spans="1:11">
      <c r="A222" s="23" t="s">
        <v>44</v>
      </c>
      <c r="B222" s="23" t="s">
        <v>195</v>
      </c>
      <c r="C222" s="23" t="s">
        <v>199</v>
      </c>
      <c r="D222" s="23">
        <f>INDEX(Positions!$D$2:$D$721,MATCH($A222&amp;"|19",Positions!$A$2:$A$721,0))</f>
        <v>17</v>
      </c>
      <c r="E222" s="23">
        <f>INDEX(Positions!$D$2:$D$721,MATCH($A222&amp;"|56",Positions!$A$2:$A$721,0))</f>
        <v>76</v>
      </c>
      <c r="F222" s="23" t="str">
        <f>INDEX(Positions!$E$2:$E$721,MATCH($A222&amp;"|19",Positions!$A$2:$A$721,0))</f>
        <v>G</v>
      </c>
      <c r="G222" s="23" t="str">
        <f>INDEX(Positions!$E$2:$E$721,MATCH($A222&amp;"|56",Positions!$A$2:$A$721,0))</f>
        <v>C</v>
      </c>
      <c r="H222" s="24" t="str">
        <f t="shared" si="12"/>
        <v>G-C</v>
      </c>
      <c r="I222" s="23">
        <f t="shared" si="13"/>
        <v>1</v>
      </c>
      <c r="J222" s="23">
        <f t="shared" si="14"/>
        <v>1</v>
      </c>
      <c r="K222" s="24">
        <f t="shared" si="15"/>
        <v>2</v>
      </c>
    </row>
    <row r="223" spans="1:11">
      <c r="A223" s="23" t="s">
        <v>44</v>
      </c>
      <c r="B223" s="23" t="s">
        <v>195</v>
      </c>
      <c r="C223" s="23" t="s">
        <v>200</v>
      </c>
      <c r="D223" s="23">
        <f>INDEX(Positions!$D$2:$D$721,MATCH($A223&amp;"|26",Positions!$A$2:$A$721,0))</f>
        <v>27</v>
      </c>
      <c r="E223" s="23">
        <f>INDEX(Positions!$D$2:$D$721,MATCH($A223&amp;"|44",Positions!$A$2:$A$721,0))</f>
        <v>45</v>
      </c>
      <c r="F223" s="23" t="str">
        <f>INDEX(Positions!$E$2:$E$721,MATCH($A223&amp;"|26",Positions!$A$2:$A$721,0))</f>
        <v>A</v>
      </c>
      <c r="G223" s="23" t="str">
        <f>INDEX(Positions!$E$2:$E$721,MATCH($A223&amp;"|44",Positions!$A$2:$A$721,0))</f>
        <v>C</v>
      </c>
      <c r="H223" s="24" t="str">
        <f t="shared" si="12"/>
        <v>A-C</v>
      </c>
      <c r="I223" s="23">
        <f t="shared" si="13"/>
        <v>0</v>
      </c>
      <c r="J223" s="23">
        <f t="shared" si="14"/>
        <v>1</v>
      </c>
      <c r="K223" s="24">
        <f t="shared" si="15"/>
        <v>1</v>
      </c>
    </row>
    <row r="224" spans="1:11">
      <c r="A224" s="23" t="s">
        <v>44</v>
      </c>
      <c r="B224" s="23" t="s">
        <v>195</v>
      </c>
      <c r="C224" s="23" t="s">
        <v>201</v>
      </c>
      <c r="D224" s="23">
        <f>INDEX(Positions!$D$2:$D$721,MATCH($A224&amp;"|32",Positions!$A$2:$A$721,0))</f>
        <v>33</v>
      </c>
      <c r="E224" s="23">
        <f>INDEX(Positions!$D$2:$D$721,MATCH($A224&amp;"|38",Positions!$A$2:$A$721,0))</f>
        <v>39</v>
      </c>
      <c r="F224" s="23" t="str">
        <f>INDEX(Positions!$E$2:$E$721,MATCH($A224&amp;"|32",Positions!$A$2:$A$721,0))</f>
        <v>U</v>
      </c>
      <c r="G224" s="23" t="str">
        <f>INDEX(Positions!$E$2:$E$721,MATCH($A224&amp;"|38",Positions!$A$2:$A$721,0))</f>
        <v>G</v>
      </c>
      <c r="H224" s="24" t="str">
        <f t="shared" si="12"/>
        <v>U-G</v>
      </c>
      <c r="I224" s="23">
        <f t="shared" si="13"/>
        <v>1</v>
      </c>
      <c r="J224" s="23">
        <f t="shared" si="14"/>
        <v>0</v>
      </c>
      <c r="K224" s="24">
        <f t="shared" si="15"/>
        <v>1</v>
      </c>
    </row>
    <row r="225" spans="1:11">
      <c r="A225" s="23" t="s">
        <v>44</v>
      </c>
      <c r="B225" s="23" t="s">
        <v>195</v>
      </c>
      <c r="C225" s="23" t="s">
        <v>202</v>
      </c>
      <c r="D225" s="23">
        <f>INDEX(Positions!$D$2:$D$721,MATCH($A225&amp;"|54",Positions!$A$2:$A$721,0))</f>
        <v>74</v>
      </c>
      <c r="E225" s="23">
        <f>INDEX(Positions!$D$2:$D$721,MATCH($A225&amp;"|58",Positions!$A$2:$A$721,0))</f>
        <v>78</v>
      </c>
      <c r="F225" s="23" t="str">
        <f>INDEX(Positions!$E$2:$E$721,MATCH($A225&amp;"|54",Positions!$A$2:$A$721,0))</f>
        <v>U</v>
      </c>
      <c r="G225" s="23" t="str">
        <f>INDEX(Positions!$E$2:$E$721,MATCH($A225&amp;"|58",Positions!$A$2:$A$721,0))</f>
        <v>A</v>
      </c>
      <c r="H225" s="24" t="str">
        <f t="shared" si="12"/>
        <v>U-A</v>
      </c>
      <c r="I225" s="23">
        <f t="shared" si="13"/>
        <v>0</v>
      </c>
      <c r="J225" s="23">
        <f t="shared" si="14"/>
        <v>0</v>
      </c>
      <c r="K225" s="24">
        <f t="shared" si="15"/>
        <v>0</v>
      </c>
    </row>
    <row r="226" spans="1:11">
      <c r="A226" s="4" t="s">
        <v>45</v>
      </c>
      <c r="B226" s="4" t="s">
        <v>56</v>
      </c>
      <c r="C226" s="4" t="s">
        <v>174</v>
      </c>
      <c r="D226" s="4">
        <f>INDEX(Positions!$D$2:$D$721,MATCH($A226&amp;"|1",Positions!$A$2:$A$721,0))</f>
        <v>1</v>
      </c>
      <c r="E226" s="4">
        <f>INDEX(Positions!$D$2:$D$721,MATCH($A226&amp;"|72",Positions!$A$2:$A$721,0))</f>
        <v>93</v>
      </c>
      <c r="F226" s="4" t="str">
        <f>INDEX(Positions!$E$2:$E$721,MATCH($A226&amp;"|1",Positions!$A$2:$A$721,0))</f>
        <v>U</v>
      </c>
      <c r="G226" s="4" t="str">
        <f>INDEX(Positions!$E$2:$E$721,MATCH($A226&amp;"|72",Positions!$A$2:$A$721,0))</f>
        <v>A</v>
      </c>
      <c r="H226" s="3" t="str">
        <f t="shared" si="12"/>
        <v>U-A</v>
      </c>
      <c r="I226" s="4">
        <f t="shared" si="13"/>
        <v>0</v>
      </c>
      <c r="J226" s="4">
        <f t="shared" si="14"/>
        <v>0</v>
      </c>
      <c r="K226" s="3">
        <f t="shared" si="15"/>
        <v>0</v>
      </c>
    </row>
    <row r="227" spans="1:11">
      <c r="A227" s="4" t="s">
        <v>45</v>
      </c>
      <c r="B227" s="4" t="s">
        <v>56</v>
      </c>
      <c r="C227" s="4" t="s">
        <v>175</v>
      </c>
      <c r="D227" s="4">
        <f>INDEX(Positions!$D$2:$D$721,MATCH($A227&amp;"|2",Positions!$A$2:$A$721,0))</f>
        <v>2</v>
      </c>
      <c r="E227" s="4">
        <f>INDEX(Positions!$D$2:$D$721,MATCH($A227&amp;"|71",Positions!$A$2:$A$721,0))</f>
        <v>92</v>
      </c>
      <c r="F227" s="4" t="str">
        <f>INDEX(Positions!$E$2:$E$721,MATCH($A227&amp;"|2",Positions!$A$2:$A$721,0))</f>
        <v>G</v>
      </c>
      <c r="G227" s="4" t="str">
        <f>INDEX(Positions!$E$2:$E$721,MATCH($A227&amp;"|71",Positions!$A$2:$A$721,0))</f>
        <v>U</v>
      </c>
      <c r="H227" s="3" t="str">
        <f t="shared" si="12"/>
        <v>G-U</v>
      </c>
      <c r="I227" s="4">
        <f t="shared" si="13"/>
        <v>1</v>
      </c>
      <c r="J227" s="4">
        <f t="shared" si="14"/>
        <v>0</v>
      </c>
      <c r="K227" s="3">
        <f t="shared" si="15"/>
        <v>1</v>
      </c>
    </row>
    <row r="228" spans="1:11">
      <c r="A228" s="4" t="s">
        <v>45</v>
      </c>
      <c r="B228" s="4" t="s">
        <v>56</v>
      </c>
      <c r="C228" s="4" t="s">
        <v>176</v>
      </c>
      <c r="D228" s="4">
        <f>INDEX(Positions!$D$2:$D$721,MATCH($A228&amp;"|3",Positions!$A$2:$A$721,0))</f>
        <v>3</v>
      </c>
      <c r="E228" s="4">
        <f>INDEX(Positions!$D$2:$D$721,MATCH($A228&amp;"|70",Positions!$A$2:$A$721,0))</f>
        <v>91</v>
      </c>
      <c r="F228" s="4" t="str">
        <f>INDEX(Positions!$E$2:$E$721,MATCH($A228&amp;"|3",Positions!$A$2:$A$721,0))</f>
        <v>G</v>
      </c>
      <c r="G228" s="4" t="str">
        <f>INDEX(Positions!$E$2:$E$721,MATCH($A228&amp;"|70",Positions!$A$2:$A$721,0))</f>
        <v>C</v>
      </c>
      <c r="H228" s="3" t="str">
        <f t="shared" si="12"/>
        <v>G-C</v>
      </c>
      <c r="I228" s="4">
        <f t="shared" si="13"/>
        <v>1</v>
      </c>
      <c r="J228" s="4">
        <f t="shared" si="14"/>
        <v>1</v>
      </c>
      <c r="K228" s="3">
        <f t="shared" si="15"/>
        <v>2</v>
      </c>
    </row>
    <row r="229" spans="1:11">
      <c r="A229" s="4" t="s">
        <v>45</v>
      </c>
      <c r="B229" s="4" t="s">
        <v>56</v>
      </c>
      <c r="C229" s="4" t="s">
        <v>177</v>
      </c>
      <c r="D229" s="4">
        <f>INDEX(Positions!$D$2:$D$721,MATCH($A229&amp;"|4",Positions!$A$2:$A$721,0))</f>
        <v>4</v>
      </c>
      <c r="E229" s="4">
        <f>INDEX(Positions!$D$2:$D$721,MATCH($A229&amp;"|69",Positions!$A$2:$A$721,0))</f>
        <v>90</v>
      </c>
      <c r="F229" s="4" t="str">
        <f>INDEX(Positions!$E$2:$E$721,MATCH($A229&amp;"|4",Positions!$A$2:$A$721,0))</f>
        <v>U</v>
      </c>
      <c r="G229" s="4" t="str">
        <f>INDEX(Positions!$E$2:$E$721,MATCH($A229&amp;"|69",Positions!$A$2:$A$721,0))</f>
        <v>A</v>
      </c>
      <c r="H229" s="3" t="str">
        <f t="shared" si="12"/>
        <v>U-A</v>
      </c>
      <c r="I229" s="4">
        <f t="shared" si="13"/>
        <v>0</v>
      </c>
      <c r="J229" s="4">
        <f t="shared" si="14"/>
        <v>0</v>
      </c>
      <c r="K229" s="3">
        <f t="shared" si="15"/>
        <v>0</v>
      </c>
    </row>
    <row r="230" spans="1:11">
      <c r="A230" s="4" t="s">
        <v>45</v>
      </c>
      <c r="B230" s="4" t="s">
        <v>56</v>
      </c>
      <c r="C230" s="4" t="s">
        <v>178</v>
      </c>
      <c r="D230" s="4">
        <f>INDEX(Positions!$D$2:$D$721,MATCH($A230&amp;"|5",Positions!$A$2:$A$721,0))</f>
        <v>5</v>
      </c>
      <c r="E230" s="4">
        <f>INDEX(Positions!$D$2:$D$721,MATCH($A230&amp;"|68",Positions!$A$2:$A$721,0))</f>
        <v>89</v>
      </c>
      <c r="F230" s="4" t="str">
        <f>INDEX(Positions!$E$2:$E$721,MATCH($A230&amp;"|5",Positions!$A$2:$A$721,0))</f>
        <v>C</v>
      </c>
      <c r="G230" s="4" t="str">
        <f>INDEX(Positions!$E$2:$E$721,MATCH($A230&amp;"|68",Positions!$A$2:$A$721,0))</f>
        <v>C</v>
      </c>
      <c r="H230" s="3" t="str">
        <f t="shared" si="12"/>
        <v>C-C</v>
      </c>
      <c r="I230" s="4">
        <f t="shared" si="13"/>
        <v>0</v>
      </c>
      <c r="J230" s="4">
        <f t="shared" si="14"/>
        <v>2</v>
      </c>
      <c r="K230" s="3">
        <f t="shared" si="15"/>
        <v>2</v>
      </c>
    </row>
    <row r="231" spans="1:11">
      <c r="A231" s="4" t="s">
        <v>45</v>
      </c>
      <c r="B231" s="4" t="s">
        <v>56</v>
      </c>
      <c r="C231" s="4" t="s">
        <v>179</v>
      </c>
      <c r="D231" s="4">
        <f>INDEX(Positions!$D$2:$D$721,MATCH($A231&amp;"|6",Positions!$A$2:$A$721,0))</f>
        <v>6</v>
      </c>
      <c r="E231" s="4">
        <f>INDEX(Positions!$D$2:$D$721,MATCH($A231&amp;"|67",Positions!$A$2:$A$721,0))</f>
        <v>88</v>
      </c>
      <c r="F231" s="4" t="str">
        <f>INDEX(Positions!$E$2:$E$721,MATCH($A231&amp;"|6",Positions!$A$2:$A$721,0))</f>
        <v>C</v>
      </c>
      <c r="G231" s="4" t="str">
        <f>INDEX(Positions!$E$2:$E$721,MATCH($A231&amp;"|67",Positions!$A$2:$A$721,0))</f>
        <v>G</v>
      </c>
      <c r="H231" s="3" t="str">
        <f t="shared" si="12"/>
        <v>C-G</v>
      </c>
      <c r="I231" s="4">
        <f t="shared" si="13"/>
        <v>1</v>
      </c>
      <c r="J231" s="4">
        <f t="shared" si="14"/>
        <v>1</v>
      </c>
      <c r="K231" s="3">
        <f t="shared" si="15"/>
        <v>2</v>
      </c>
    </row>
    <row r="232" spans="1:11">
      <c r="A232" s="4" t="s">
        <v>45</v>
      </c>
      <c r="B232" s="4" t="s">
        <v>56</v>
      </c>
      <c r="C232" s="4" t="s">
        <v>180</v>
      </c>
      <c r="D232" s="4">
        <f>INDEX(Positions!$D$2:$D$721,MATCH($A232&amp;"|7",Positions!$A$2:$A$721,0))</f>
        <v>7</v>
      </c>
      <c r="E232" s="4">
        <f>INDEX(Positions!$D$2:$D$721,MATCH($A232&amp;"|66",Positions!$A$2:$A$721,0))</f>
        <v>87</v>
      </c>
      <c r="F232" s="4" t="str">
        <f>INDEX(Positions!$E$2:$E$721,MATCH($A232&amp;"|7",Positions!$A$2:$A$721,0))</f>
        <v>A</v>
      </c>
      <c r="G232" s="4" t="str">
        <f>INDEX(Positions!$E$2:$E$721,MATCH($A232&amp;"|66",Positions!$A$2:$A$721,0))</f>
        <v>U</v>
      </c>
      <c r="H232" s="3" t="str">
        <f t="shared" si="12"/>
        <v>A-U</v>
      </c>
      <c r="I232" s="4">
        <f t="shared" si="13"/>
        <v>0</v>
      </c>
      <c r="J232" s="4">
        <f t="shared" si="14"/>
        <v>0</v>
      </c>
      <c r="K232" s="3">
        <f t="shared" si="15"/>
        <v>0</v>
      </c>
    </row>
    <row r="233" spans="1:11">
      <c r="A233" s="4" t="s">
        <v>45</v>
      </c>
      <c r="B233" s="4" t="s">
        <v>71</v>
      </c>
      <c r="C233" s="4" t="s">
        <v>181</v>
      </c>
      <c r="D233" s="4">
        <f>INDEX(Positions!$D$2:$D$721,MATCH($A233&amp;"|10",Positions!$A$2:$A$721,0))</f>
        <v>10</v>
      </c>
      <c r="E233" s="4">
        <f>INDEX(Positions!$D$2:$D$721,MATCH($A233&amp;"|25",Positions!$A$2:$A$721,0))</f>
        <v>27</v>
      </c>
      <c r="F233" s="4" t="str">
        <f>INDEX(Positions!$E$2:$E$721,MATCH($A233&amp;"|10",Positions!$A$2:$A$721,0))</f>
        <v>U</v>
      </c>
      <c r="G233" s="4" t="str">
        <f>INDEX(Positions!$E$2:$E$721,MATCH($A233&amp;"|25",Positions!$A$2:$A$721,0))</f>
        <v>G</v>
      </c>
      <c r="H233" s="3" t="str">
        <f t="shared" si="12"/>
        <v>U-G</v>
      </c>
      <c r="I233" s="4">
        <f t="shared" si="13"/>
        <v>1</v>
      </c>
      <c r="J233" s="4">
        <f t="shared" si="14"/>
        <v>0</v>
      </c>
      <c r="K233" s="3">
        <f t="shared" si="15"/>
        <v>1</v>
      </c>
    </row>
    <row r="234" spans="1:11">
      <c r="A234" s="4" t="s">
        <v>45</v>
      </c>
      <c r="B234" s="4" t="s">
        <v>71</v>
      </c>
      <c r="C234" s="4" t="s">
        <v>182</v>
      </c>
      <c r="D234" s="4">
        <f>INDEX(Positions!$D$2:$D$721,MATCH($A234&amp;"|11",Positions!$A$2:$A$721,0))</f>
        <v>11</v>
      </c>
      <c r="E234" s="4">
        <f>INDEX(Positions!$D$2:$D$721,MATCH($A234&amp;"|24",Positions!$A$2:$A$721,0))</f>
        <v>26</v>
      </c>
      <c r="F234" s="4" t="str">
        <f>INDEX(Positions!$E$2:$E$721,MATCH($A234&amp;"|11",Positions!$A$2:$A$721,0))</f>
        <v>U</v>
      </c>
      <c r="G234" s="4" t="str">
        <f>INDEX(Positions!$E$2:$E$721,MATCH($A234&amp;"|24",Positions!$A$2:$A$721,0))</f>
        <v>A</v>
      </c>
      <c r="H234" s="3" t="str">
        <f t="shared" si="12"/>
        <v>U-A</v>
      </c>
      <c r="I234" s="4">
        <f t="shared" si="13"/>
        <v>0</v>
      </c>
      <c r="J234" s="4">
        <f t="shared" si="14"/>
        <v>0</v>
      </c>
      <c r="K234" s="3">
        <f t="shared" si="15"/>
        <v>0</v>
      </c>
    </row>
    <row r="235" spans="1:11">
      <c r="A235" s="4" t="s">
        <v>45</v>
      </c>
      <c r="B235" s="4" t="s">
        <v>71</v>
      </c>
      <c r="C235" s="4" t="s">
        <v>183</v>
      </c>
      <c r="D235" s="4">
        <f>INDEX(Positions!$D$2:$D$721,MATCH($A235&amp;"|12",Positions!$A$2:$A$721,0))</f>
        <v>12</v>
      </c>
      <c r="E235" s="4">
        <f>INDEX(Positions!$D$2:$D$721,MATCH($A235&amp;"|23",Positions!$A$2:$A$721,0))</f>
        <v>25</v>
      </c>
      <c r="F235" s="4" t="str">
        <f>INDEX(Positions!$E$2:$E$721,MATCH($A235&amp;"|12",Positions!$A$2:$A$721,0))</f>
        <v>U</v>
      </c>
      <c r="G235" s="4" t="str">
        <f>INDEX(Positions!$E$2:$E$721,MATCH($A235&amp;"|23",Positions!$A$2:$A$721,0))</f>
        <v>G</v>
      </c>
      <c r="H235" s="3" t="str">
        <f t="shared" si="12"/>
        <v>U-G</v>
      </c>
      <c r="I235" s="4">
        <f t="shared" si="13"/>
        <v>1</v>
      </c>
      <c r="J235" s="4">
        <f t="shared" si="14"/>
        <v>0</v>
      </c>
      <c r="K235" s="3">
        <f t="shared" si="15"/>
        <v>1</v>
      </c>
    </row>
    <row r="236" spans="1:11">
      <c r="A236" s="4" t="s">
        <v>45</v>
      </c>
      <c r="B236" s="4" t="s">
        <v>71</v>
      </c>
      <c r="C236" s="4" t="s">
        <v>184</v>
      </c>
      <c r="D236" s="4">
        <f>INDEX(Positions!$D$2:$D$721,MATCH($A236&amp;"|13",Positions!$A$2:$A$721,0))</f>
        <v>13</v>
      </c>
      <c r="E236" s="4">
        <f>INDEX(Positions!$D$2:$D$721,MATCH($A236&amp;"|22",Positions!$A$2:$A$721,0))</f>
        <v>24</v>
      </c>
      <c r="F236" s="4" t="str">
        <f>INDEX(Positions!$E$2:$E$721,MATCH($A236&amp;"|13",Positions!$A$2:$A$721,0))</f>
        <v>C</v>
      </c>
      <c r="G236" s="4" t="str">
        <f>INDEX(Positions!$E$2:$E$721,MATCH($A236&amp;"|22",Positions!$A$2:$A$721,0))</f>
        <v>G</v>
      </c>
      <c r="H236" s="3" t="str">
        <f t="shared" si="12"/>
        <v>C-G</v>
      </c>
      <c r="I236" s="4">
        <f t="shared" si="13"/>
        <v>1</v>
      </c>
      <c r="J236" s="4">
        <f t="shared" si="14"/>
        <v>1</v>
      </c>
      <c r="K236" s="3">
        <f t="shared" si="15"/>
        <v>2</v>
      </c>
    </row>
    <row r="237" spans="1:11">
      <c r="A237" s="4" t="s">
        <v>45</v>
      </c>
      <c r="B237" s="4" t="s">
        <v>90</v>
      </c>
      <c r="C237" s="4" t="s">
        <v>185</v>
      </c>
      <c r="D237" s="4">
        <f>INDEX(Positions!$D$2:$D$721,MATCH($A237&amp;"|27",Positions!$A$2:$A$721,0))</f>
        <v>29</v>
      </c>
      <c r="E237" s="4">
        <f>INDEX(Positions!$D$2:$D$721,MATCH($A237&amp;"|43",Positions!$A$2:$A$721,0))</f>
        <v>45</v>
      </c>
      <c r="F237" s="4" t="str">
        <f>INDEX(Positions!$E$2:$E$721,MATCH($A237&amp;"|27",Positions!$A$2:$A$721,0))</f>
        <v>A</v>
      </c>
      <c r="G237" s="4" t="str">
        <f>INDEX(Positions!$E$2:$E$721,MATCH($A237&amp;"|43",Positions!$A$2:$A$721,0))</f>
        <v>U</v>
      </c>
      <c r="H237" s="3" t="str">
        <f t="shared" si="12"/>
        <v>A-U</v>
      </c>
      <c r="I237" s="4">
        <f t="shared" si="13"/>
        <v>0</v>
      </c>
      <c r="J237" s="4">
        <f t="shared" si="14"/>
        <v>0</v>
      </c>
      <c r="K237" s="3">
        <f t="shared" si="15"/>
        <v>0</v>
      </c>
    </row>
    <row r="238" spans="1:11">
      <c r="A238" s="4" t="s">
        <v>45</v>
      </c>
      <c r="B238" s="4" t="s">
        <v>90</v>
      </c>
      <c r="C238" s="4" t="s">
        <v>186</v>
      </c>
      <c r="D238" s="4">
        <f>INDEX(Positions!$D$2:$D$721,MATCH($A238&amp;"|28",Positions!$A$2:$A$721,0))</f>
        <v>30</v>
      </c>
      <c r="E238" s="4">
        <f>INDEX(Positions!$D$2:$D$721,MATCH($A238&amp;"|42",Positions!$A$2:$A$721,0))</f>
        <v>44</v>
      </c>
      <c r="F238" s="4" t="str">
        <f>INDEX(Positions!$E$2:$E$721,MATCH($A238&amp;"|28",Positions!$A$2:$A$721,0))</f>
        <v>G</v>
      </c>
      <c r="G238" s="4" t="str">
        <f>INDEX(Positions!$E$2:$E$721,MATCH($A238&amp;"|42",Positions!$A$2:$A$721,0))</f>
        <v>C</v>
      </c>
      <c r="H238" s="3" t="str">
        <f t="shared" si="12"/>
        <v>G-C</v>
      </c>
      <c r="I238" s="4">
        <f t="shared" si="13"/>
        <v>1</v>
      </c>
      <c r="J238" s="4">
        <f t="shared" si="14"/>
        <v>1</v>
      </c>
      <c r="K238" s="3">
        <f t="shared" si="15"/>
        <v>2</v>
      </c>
    </row>
    <row r="239" spans="1:11">
      <c r="A239" s="4" t="s">
        <v>45</v>
      </c>
      <c r="B239" s="4" t="s">
        <v>90</v>
      </c>
      <c r="C239" s="4" t="s">
        <v>187</v>
      </c>
      <c r="D239" s="4">
        <f>INDEX(Positions!$D$2:$D$721,MATCH($A239&amp;"|29",Positions!$A$2:$A$721,0))</f>
        <v>31</v>
      </c>
      <c r="E239" s="4">
        <f>INDEX(Positions!$D$2:$D$721,MATCH($A239&amp;"|41",Positions!$A$2:$A$721,0))</f>
        <v>43</v>
      </c>
      <c r="F239" s="4" t="str">
        <f>INDEX(Positions!$E$2:$E$721,MATCH($A239&amp;"|29",Positions!$A$2:$A$721,0))</f>
        <v>A</v>
      </c>
      <c r="G239" s="4" t="str">
        <f>INDEX(Positions!$E$2:$E$721,MATCH($A239&amp;"|41",Positions!$A$2:$A$721,0))</f>
        <v>U</v>
      </c>
      <c r="H239" s="3" t="str">
        <f t="shared" si="12"/>
        <v>A-U</v>
      </c>
      <c r="I239" s="4">
        <f t="shared" si="13"/>
        <v>0</v>
      </c>
      <c r="J239" s="4">
        <f t="shared" si="14"/>
        <v>0</v>
      </c>
      <c r="K239" s="3">
        <f t="shared" si="15"/>
        <v>0</v>
      </c>
    </row>
    <row r="240" spans="1:11">
      <c r="A240" s="4" t="s">
        <v>45</v>
      </c>
      <c r="B240" s="4" t="s">
        <v>90</v>
      </c>
      <c r="C240" s="4" t="s">
        <v>188</v>
      </c>
      <c r="D240" s="4">
        <f>INDEX(Positions!$D$2:$D$721,MATCH($A240&amp;"|30",Positions!$A$2:$A$721,0))</f>
        <v>32</v>
      </c>
      <c r="E240" s="4">
        <f>INDEX(Positions!$D$2:$D$721,MATCH($A240&amp;"|40",Positions!$A$2:$A$721,0))</f>
        <v>42</v>
      </c>
      <c r="F240" s="4" t="str">
        <f>INDEX(Positions!$E$2:$E$721,MATCH($A240&amp;"|30",Positions!$A$2:$A$721,0))</f>
        <v>A</v>
      </c>
      <c r="G240" s="4" t="str">
        <f>INDEX(Positions!$E$2:$E$721,MATCH($A240&amp;"|40",Positions!$A$2:$A$721,0))</f>
        <v>U</v>
      </c>
      <c r="H240" s="3" t="str">
        <f t="shared" si="12"/>
        <v>A-U</v>
      </c>
      <c r="I240" s="4">
        <f t="shared" si="13"/>
        <v>0</v>
      </c>
      <c r="J240" s="4">
        <f t="shared" si="14"/>
        <v>0</v>
      </c>
      <c r="K240" s="3">
        <f t="shared" si="15"/>
        <v>0</v>
      </c>
    </row>
    <row r="241" spans="1:11">
      <c r="A241" s="4" t="s">
        <v>45</v>
      </c>
      <c r="B241" s="4" t="s">
        <v>90</v>
      </c>
      <c r="C241" s="4" t="s">
        <v>189</v>
      </c>
      <c r="D241" s="4">
        <f>INDEX(Positions!$D$2:$D$721,MATCH($A241&amp;"|31",Positions!$A$2:$A$721,0))</f>
        <v>33</v>
      </c>
      <c r="E241" s="4">
        <f>INDEX(Positions!$D$2:$D$721,MATCH($A241&amp;"|39",Positions!$A$2:$A$721,0))</f>
        <v>41</v>
      </c>
      <c r="F241" s="4" t="str">
        <f>INDEX(Positions!$E$2:$E$721,MATCH($A241&amp;"|31",Positions!$A$2:$A$721,0))</f>
        <v>A</v>
      </c>
      <c r="G241" s="4" t="str">
        <f>INDEX(Positions!$E$2:$E$721,MATCH($A241&amp;"|39",Positions!$A$2:$A$721,0))</f>
        <v>U</v>
      </c>
      <c r="H241" s="3" t="str">
        <f t="shared" si="12"/>
        <v>A-U</v>
      </c>
      <c r="I241" s="4">
        <f t="shared" si="13"/>
        <v>0</v>
      </c>
      <c r="J241" s="4">
        <f t="shared" si="14"/>
        <v>0</v>
      </c>
      <c r="K241" s="3">
        <f t="shared" si="15"/>
        <v>0</v>
      </c>
    </row>
    <row r="242" spans="1:11">
      <c r="A242" s="4" t="s">
        <v>45</v>
      </c>
      <c r="B242" s="4" t="s">
        <v>114</v>
      </c>
      <c r="C242" s="4" t="s">
        <v>190</v>
      </c>
      <c r="D242" s="4">
        <f>INDEX(Positions!$D$2:$D$721,MATCH($A242&amp;"|49",Positions!$A$2:$A$721,0))</f>
        <v>70</v>
      </c>
      <c r="E242" s="4">
        <f>INDEX(Positions!$D$2:$D$721,MATCH($A242&amp;"|65",Positions!$A$2:$A$721,0))</f>
        <v>86</v>
      </c>
      <c r="F242" s="4" t="str">
        <f>INDEX(Positions!$E$2:$E$721,MATCH($A242&amp;"|49",Positions!$A$2:$A$721,0))</f>
        <v>C</v>
      </c>
      <c r="G242" s="4" t="str">
        <f>INDEX(Positions!$E$2:$E$721,MATCH($A242&amp;"|65",Positions!$A$2:$A$721,0))</f>
        <v>A</v>
      </c>
      <c r="H242" s="3" t="str">
        <f t="shared" si="12"/>
        <v>C-A</v>
      </c>
      <c r="I242" s="4">
        <f t="shared" si="13"/>
        <v>0</v>
      </c>
      <c r="J242" s="4">
        <f t="shared" si="14"/>
        <v>1</v>
      </c>
      <c r="K242" s="3">
        <f t="shared" si="15"/>
        <v>1</v>
      </c>
    </row>
    <row r="243" spans="1:11">
      <c r="A243" s="4" t="s">
        <v>45</v>
      </c>
      <c r="B243" s="4" t="s">
        <v>114</v>
      </c>
      <c r="C243" s="4" t="s">
        <v>191</v>
      </c>
      <c r="D243" s="4">
        <f>INDEX(Positions!$D$2:$D$721,MATCH($A243&amp;"|50",Positions!$A$2:$A$721,0))</f>
        <v>71</v>
      </c>
      <c r="E243" s="4">
        <f>INDEX(Positions!$D$2:$D$721,MATCH($A243&amp;"|64",Positions!$A$2:$A$721,0))</f>
        <v>85</v>
      </c>
      <c r="F243" s="4" t="str">
        <f>INDEX(Positions!$E$2:$E$721,MATCH($A243&amp;"|50",Positions!$A$2:$A$721,0))</f>
        <v>U</v>
      </c>
      <c r="G243" s="4" t="str">
        <f>INDEX(Positions!$E$2:$E$721,MATCH($A243&amp;"|64",Positions!$A$2:$A$721,0))</f>
        <v>G</v>
      </c>
      <c r="H243" s="3" t="str">
        <f t="shared" si="12"/>
        <v>U-G</v>
      </c>
      <c r="I243" s="4">
        <f t="shared" si="13"/>
        <v>1</v>
      </c>
      <c r="J243" s="4">
        <f t="shared" si="14"/>
        <v>0</v>
      </c>
      <c r="K243" s="3">
        <f t="shared" si="15"/>
        <v>1</v>
      </c>
    </row>
    <row r="244" spans="1:11">
      <c r="A244" s="4" t="s">
        <v>45</v>
      </c>
      <c r="B244" s="4" t="s">
        <v>114</v>
      </c>
      <c r="C244" s="4" t="s">
        <v>192</v>
      </c>
      <c r="D244" s="4">
        <f>INDEX(Positions!$D$2:$D$721,MATCH($A244&amp;"|51",Positions!$A$2:$A$721,0))</f>
        <v>72</v>
      </c>
      <c r="E244" s="4">
        <f>INDEX(Positions!$D$2:$D$721,MATCH($A244&amp;"|63",Positions!$A$2:$A$721,0))</f>
        <v>84</v>
      </c>
      <c r="F244" s="4" t="str">
        <f>INDEX(Positions!$E$2:$E$721,MATCH($A244&amp;"|51",Positions!$A$2:$A$721,0))</f>
        <v>U</v>
      </c>
      <c r="G244" s="4" t="str">
        <f>INDEX(Positions!$E$2:$E$721,MATCH($A244&amp;"|63",Positions!$A$2:$A$721,0))</f>
        <v>G</v>
      </c>
      <c r="H244" s="3" t="str">
        <f t="shared" si="12"/>
        <v>U-G</v>
      </c>
      <c r="I244" s="4">
        <f t="shared" si="13"/>
        <v>1</v>
      </c>
      <c r="J244" s="4">
        <f t="shared" si="14"/>
        <v>0</v>
      </c>
      <c r="K244" s="3">
        <f t="shared" si="15"/>
        <v>1</v>
      </c>
    </row>
    <row r="245" spans="1:11">
      <c r="A245" s="4" t="s">
        <v>45</v>
      </c>
      <c r="B245" s="4" t="s">
        <v>114</v>
      </c>
      <c r="C245" s="4" t="s">
        <v>193</v>
      </c>
      <c r="D245" s="4">
        <f>INDEX(Positions!$D$2:$D$721,MATCH($A245&amp;"|52",Positions!$A$2:$A$721,0))</f>
        <v>73</v>
      </c>
      <c r="E245" s="4">
        <f>INDEX(Positions!$D$2:$D$721,MATCH($A245&amp;"|62",Positions!$A$2:$A$721,0))</f>
        <v>83</v>
      </c>
      <c r="F245" s="4" t="str">
        <f>INDEX(Positions!$E$2:$E$721,MATCH($A245&amp;"|52",Positions!$A$2:$A$721,0))</f>
        <v>U</v>
      </c>
      <c r="G245" s="4" t="str">
        <f>INDEX(Positions!$E$2:$E$721,MATCH($A245&amp;"|62",Positions!$A$2:$A$721,0))</f>
        <v>A</v>
      </c>
      <c r="H245" s="3" t="str">
        <f t="shared" si="12"/>
        <v>U-A</v>
      </c>
      <c r="I245" s="4">
        <f t="shared" si="13"/>
        <v>0</v>
      </c>
      <c r="J245" s="4">
        <f t="shared" si="14"/>
        <v>0</v>
      </c>
      <c r="K245" s="3">
        <f t="shared" si="15"/>
        <v>0</v>
      </c>
    </row>
    <row r="246" spans="1:11">
      <c r="A246" s="4" t="s">
        <v>45</v>
      </c>
      <c r="B246" s="4" t="s">
        <v>114</v>
      </c>
      <c r="C246" s="4" t="s">
        <v>194</v>
      </c>
      <c r="D246" s="4">
        <f>INDEX(Positions!$D$2:$D$721,MATCH($A246&amp;"|53",Positions!$A$2:$A$721,0))</f>
        <v>74</v>
      </c>
      <c r="E246" s="4">
        <f>INDEX(Positions!$D$2:$D$721,MATCH($A246&amp;"|61",Positions!$A$2:$A$721,0))</f>
        <v>82</v>
      </c>
      <c r="F246" s="4" t="str">
        <f>INDEX(Positions!$E$2:$E$721,MATCH($A246&amp;"|53",Positions!$A$2:$A$721,0))</f>
        <v>G</v>
      </c>
      <c r="G246" s="4" t="str">
        <f>INDEX(Positions!$E$2:$E$721,MATCH($A246&amp;"|61",Positions!$A$2:$A$721,0))</f>
        <v>C</v>
      </c>
      <c r="H246" s="3" t="str">
        <f t="shared" si="12"/>
        <v>G-C</v>
      </c>
      <c r="I246" s="4">
        <f t="shared" si="13"/>
        <v>1</v>
      </c>
      <c r="J246" s="4">
        <f t="shared" si="14"/>
        <v>1</v>
      </c>
      <c r="K246" s="3">
        <f t="shared" si="15"/>
        <v>2</v>
      </c>
    </row>
    <row r="247" spans="1:11">
      <c r="A247" s="23" t="s">
        <v>45</v>
      </c>
      <c r="B247" s="23" t="s">
        <v>195</v>
      </c>
      <c r="C247" s="23" t="s">
        <v>196</v>
      </c>
      <c r="D247" s="23">
        <f>INDEX(Positions!$D$2:$D$721,MATCH($A247&amp;"|8",Positions!$A$2:$A$721,0))</f>
        <v>8</v>
      </c>
      <c r="E247" s="23">
        <f>INDEX(Positions!$D$2:$D$721,MATCH($A247&amp;"|14",Positions!$A$2:$A$721,0))</f>
        <v>14</v>
      </c>
      <c r="F247" s="23" t="str">
        <f>INDEX(Positions!$E$2:$E$721,MATCH($A247&amp;"|8",Positions!$A$2:$A$721,0))</f>
        <v>U</v>
      </c>
      <c r="G247" s="23" t="str">
        <f>INDEX(Positions!$E$2:$E$721,MATCH($A247&amp;"|14",Positions!$A$2:$A$721,0))</f>
        <v>G</v>
      </c>
      <c r="H247" s="24" t="str">
        <f t="shared" si="12"/>
        <v>U-G</v>
      </c>
      <c r="I247" s="23">
        <f t="shared" si="13"/>
        <v>1</v>
      </c>
      <c r="J247" s="23">
        <f t="shared" si="14"/>
        <v>0</v>
      </c>
      <c r="K247" s="24">
        <f t="shared" si="15"/>
        <v>1</v>
      </c>
    </row>
    <row r="248" spans="1:11">
      <c r="A248" s="23" t="s">
        <v>45</v>
      </c>
      <c r="B248" s="23" t="s">
        <v>195</v>
      </c>
      <c r="C248" s="23" t="s">
        <v>197</v>
      </c>
      <c r="D248" s="23">
        <f>INDEX(Positions!$D$2:$D$721,MATCH($A248&amp;"|15",Positions!$A$2:$A$721,0))</f>
        <v>15</v>
      </c>
      <c r="E248" s="23">
        <f>INDEX(Positions!$D$2:$D$721,MATCH($A248&amp;"|48",Positions!$A$2:$A$721,0))</f>
        <v>69</v>
      </c>
      <c r="F248" s="23" t="str">
        <f>INDEX(Positions!$E$2:$E$721,MATCH($A248&amp;"|15",Positions!$A$2:$A$721,0))</f>
        <v>G</v>
      </c>
      <c r="G248" s="23" t="str">
        <f>INDEX(Positions!$E$2:$E$721,MATCH($A248&amp;"|48",Positions!$A$2:$A$721,0))</f>
        <v>U</v>
      </c>
      <c r="H248" s="24" t="str">
        <f t="shared" si="12"/>
        <v>G-U</v>
      </c>
      <c r="I248" s="23">
        <f t="shared" si="13"/>
        <v>1</v>
      </c>
      <c r="J248" s="23">
        <f t="shared" si="14"/>
        <v>0</v>
      </c>
      <c r="K248" s="24">
        <f t="shared" si="15"/>
        <v>1</v>
      </c>
    </row>
    <row r="249" spans="1:11">
      <c r="A249" s="23" t="s">
        <v>45</v>
      </c>
      <c r="B249" s="23" t="s">
        <v>195</v>
      </c>
      <c r="C249" s="23" t="s">
        <v>198</v>
      </c>
      <c r="D249" s="23">
        <f>INDEX(Positions!$D$2:$D$721,MATCH($A249&amp;"|18",Positions!$A$2:$A$721,0))</f>
        <v>19</v>
      </c>
      <c r="E249" s="23">
        <f>INDEX(Positions!$D$2:$D$721,MATCH($A249&amp;"|55",Positions!$A$2:$A$721,0))</f>
        <v>76</v>
      </c>
      <c r="F249" s="23" t="str">
        <f>INDEX(Positions!$E$2:$E$721,MATCH($A249&amp;"|18",Positions!$A$2:$A$721,0))</f>
        <v>G</v>
      </c>
      <c r="G249" s="23" t="str">
        <f>INDEX(Positions!$E$2:$E$721,MATCH($A249&amp;"|55",Positions!$A$2:$A$721,0))</f>
        <v>C</v>
      </c>
      <c r="H249" s="24" t="str">
        <f t="shared" si="12"/>
        <v>G-C</v>
      </c>
      <c r="I249" s="23">
        <f t="shared" si="13"/>
        <v>1</v>
      </c>
      <c r="J249" s="23">
        <f t="shared" si="14"/>
        <v>1</v>
      </c>
      <c r="K249" s="24">
        <f t="shared" si="15"/>
        <v>2</v>
      </c>
    </row>
    <row r="250" spans="1:11">
      <c r="A250" s="23" t="s">
        <v>45</v>
      </c>
      <c r="B250" s="23" t="s">
        <v>195</v>
      </c>
      <c r="C250" s="23" t="s">
        <v>199</v>
      </c>
      <c r="D250" s="23">
        <f>INDEX(Positions!$D$2:$D$721,MATCH($A250&amp;"|19",Positions!$A$2:$A$721,0))</f>
        <v>20</v>
      </c>
      <c r="E250" s="23">
        <f>INDEX(Positions!$D$2:$D$721,MATCH($A250&amp;"|56",Positions!$A$2:$A$721,0))</f>
        <v>77</v>
      </c>
      <c r="F250" s="23" t="str">
        <f>INDEX(Positions!$E$2:$E$721,MATCH($A250&amp;"|19",Positions!$A$2:$A$721,0))</f>
        <v>G</v>
      </c>
      <c r="G250" s="23" t="str">
        <f>INDEX(Positions!$E$2:$E$721,MATCH($A250&amp;"|56",Positions!$A$2:$A$721,0))</f>
        <v>C</v>
      </c>
      <c r="H250" s="24" t="str">
        <f t="shared" si="12"/>
        <v>G-C</v>
      </c>
      <c r="I250" s="23">
        <f t="shared" si="13"/>
        <v>1</v>
      </c>
      <c r="J250" s="23">
        <f t="shared" si="14"/>
        <v>1</v>
      </c>
      <c r="K250" s="24">
        <f t="shared" si="15"/>
        <v>2</v>
      </c>
    </row>
    <row r="251" spans="1:11">
      <c r="A251" s="23" t="s">
        <v>45</v>
      </c>
      <c r="B251" s="23" t="s">
        <v>195</v>
      </c>
      <c r="C251" s="23" t="s">
        <v>200</v>
      </c>
      <c r="D251" s="23">
        <f>INDEX(Positions!$D$2:$D$721,MATCH($A251&amp;"|26",Positions!$A$2:$A$721,0))</f>
        <v>28</v>
      </c>
      <c r="E251" s="23">
        <f>INDEX(Positions!$D$2:$D$721,MATCH($A251&amp;"|44",Positions!$A$2:$A$721,0))</f>
        <v>46</v>
      </c>
      <c r="F251" s="23" t="str">
        <f>INDEX(Positions!$E$2:$E$721,MATCH($A251&amp;"|26",Positions!$A$2:$A$721,0))</f>
        <v>G</v>
      </c>
      <c r="G251" s="23" t="str">
        <f>INDEX(Positions!$E$2:$E$721,MATCH($A251&amp;"|44",Positions!$A$2:$A$721,0))</f>
        <v>C</v>
      </c>
      <c r="H251" s="24" t="str">
        <f t="shared" si="12"/>
        <v>G-C</v>
      </c>
      <c r="I251" s="23">
        <f t="shared" si="13"/>
        <v>1</v>
      </c>
      <c r="J251" s="23">
        <f t="shared" si="14"/>
        <v>1</v>
      </c>
      <c r="K251" s="24">
        <f t="shared" si="15"/>
        <v>2</v>
      </c>
    </row>
    <row r="252" spans="1:11">
      <c r="A252" s="23" t="s">
        <v>45</v>
      </c>
      <c r="B252" s="23" t="s">
        <v>195</v>
      </c>
      <c r="C252" s="23" t="s">
        <v>201</v>
      </c>
      <c r="D252" s="23">
        <f>INDEX(Positions!$D$2:$D$721,MATCH($A252&amp;"|32",Positions!$A$2:$A$721,0))</f>
        <v>34</v>
      </c>
      <c r="E252" s="23">
        <f>INDEX(Positions!$D$2:$D$721,MATCH($A252&amp;"|38",Positions!$A$2:$A$721,0))</f>
        <v>40</v>
      </c>
      <c r="F252" s="23" t="str">
        <f>INDEX(Positions!$E$2:$E$721,MATCH($A252&amp;"|32",Positions!$A$2:$A$721,0))</f>
        <v>A</v>
      </c>
      <c r="G252" s="23" t="str">
        <f>INDEX(Positions!$E$2:$E$721,MATCH($A252&amp;"|38",Positions!$A$2:$A$721,0))</f>
        <v>G</v>
      </c>
      <c r="H252" s="24" t="str">
        <f t="shared" si="12"/>
        <v>A-G</v>
      </c>
      <c r="I252" s="23">
        <f t="shared" si="13"/>
        <v>1</v>
      </c>
      <c r="J252" s="23">
        <f t="shared" si="14"/>
        <v>0</v>
      </c>
      <c r="K252" s="24">
        <f t="shared" si="15"/>
        <v>1</v>
      </c>
    </row>
    <row r="253" spans="1:11">
      <c r="A253" s="23" t="s">
        <v>45</v>
      </c>
      <c r="B253" s="23" t="s">
        <v>195</v>
      </c>
      <c r="C253" s="23" t="s">
        <v>202</v>
      </c>
      <c r="D253" s="23">
        <f>INDEX(Positions!$D$2:$D$721,MATCH($A253&amp;"|54",Positions!$A$2:$A$721,0))</f>
        <v>75</v>
      </c>
      <c r="E253" s="23">
        <f>INDEX(Positions!$D$2:$D$721,MATCH($A253&amp;"|58",Positions!$A$2:$A$721,0))</f>
        <v>79</v>
      </c>
      <c r="F253" s="23" t="str">
        <f>INDEX(Positions!$E$2:$E$721,MATCH($A253&amp;"|54",Positions!$A$2:$A$721,0))</f>
        <v>A</v>
      </c>
      <c r="G253" s="23" t="str">
        <f>INDEX(Positions!$E$2:$E$721,MATCH($A253&amp;"|58",Positions!$A$2:$A$721,0))</f>
        <v>U</v>
      </c>
      <c r="H253" s="24" t="str">
        <f t="shared" si="12"/>
        <v>A-U</v>
      </c>
      <c r="I253" s="23">
        <f t="shared" si="13"/>
        <v>0</v>
      </c>
      <c r="J253" s="23">
        <f t="shared" si="14"/>
        <v>0</v>
      </c>
      <c r="K253" s="24">
        <f t="shared" si="15"/>
        <v>0</v>
      </c>
    </row>
  </sheetData>
  <autoFilter ref="A1:K253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1" customWidth="1"/>
    <col min="2" max="2" width="16" customWidth="1"/>
    <col min="3" max="4" width="12" customWidth="1"/>
    <col min="5" max="5" width="30" customWidth="1"/>
    <col min="6" max="6" width="8" customWidth="1"/>
    <col min="7" max="8" width="9" customWidth="1"/>
    <col min="9" max="9" width="10" customWidth="1"/>
    <col min="10" max="10" width="9" customWidth="1"/>
  </cols>
  <sheetData>
    <row r="1" spans="1:10" ht="30">
      <c r="A1" s="2" t="s">
        <v>1</v>
      </c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171</v>
      </c>
      <c r="H1" s="2" t="s">
        <v>172</v>
      </c>
      <c r="I1" s="2" t="s">
        <v>173</v>
      </c>
      <c r="J1" s="2" t="s">
        <v>208</v>
      </c>
    </row>
    <row r="2" spans="1:10">
      <c r="A2" s="4" t="s">
        <v>37</v>
      </c>
      <c r="B2" s="4" t="s">
        <v>76</v>
      </c>
      <c r="C2" s="4" t="s">
        <v>209</v>
      </c>
      <c r="D2" s="4" t="s">
        <v>210</v>
      </c>
      <c r="E2" s="4" t="s">
        <v>211</v>
      </c>
      <c r="F2" s="4">
        <f>COUNTIFS(Positions!$B$2:$B$721,A2,Positions!$F$2:$F$721,B2)</f>
        <v>7</v>
      </c>
      <c r="G2" s="4">
        <f>COUNTIFS(Positions!$B$2:$B$721,A2,Positions!$F$2:$F$721,B2,Positions!$E$2:$E$721,"G")</f>
        <v>2</v>
      </c>
      <c r="H2" s="4">
        <f>COUNTIFS(Positions!$B$2:$B$721,A2,Positions!$F$2:$F$721,B2,Positions!$E$2:$E$721,"C")</f>
        <v>0</v>
      </c>
      <c r="I2" s="3">
        <f t="shared" ref="I2:I46" si="0">G2+H2</f>
        <v>2</v>
      </c>
      <c r="J2" s="6">
        <f t="shared" ref="J2:J46" si="1">IF(F2=0,0,I2/F2)</f>
        <v>0.2857142857142857</v>
      </c>
    </row>
    <row r="3" spans="1:10">
      <c r="A3" s="4" t="s">
        <v>37</v>
      </c>
      <c r="B3" s="4" t="s">
        <v>96</v>
      </c>
      <c r="C3" s="4" t="s">
        <v>212</v>
      </c>
      <c r="D3" s="4" t="s">
        <v>213</v>
      </c>
      <c r="E3" s="4" t="s">
        <v>214</v>
      </c>
      <c r="F3" s="4">
        <f>COUNTIFS(Positions!$B$2:$B$721,A3,Positions!$F$2:$F$721,B3)</f>
        <v>7</v>
      </c>
      <c r="G3" s="4">
        <f>COUNTIFS(Positions!$B$2:$B$721,A3,Positions!$F$2:$F$721,B3,Positions!$E$2:$E$721,"G")</f>
        <v>0</v>
      </c>
      <c r="H3" s="4">
        <f>COUNTIFS(Positions!$B$2:$B$721,A3,Positions!$F$2:$F$721,B3,Positions!$E$2:$E$721,"C")</f>
        <v>1</v>
      </c>
      <c r="I3" s="3">
        <f t="shared" si="0"/>
        <v>1</v>
      </c>
      <c r="J3" s="6">
        <f t="shared" si="1"/>
        <v>0.14285714285714285</v>
      </c>
    </row>
    <row r="4" spans="1:10">
      <c r="A4" s="4" t="s">
        <v>37</v>
      </c>
      <c r="B4" s="4" t="s">
        <v>109</v>
      </c>
      <c r="C4" s="4" t="s">
        <v>215</v>
      </c>
      <c r="D4" s="4" t="s">
        <v>216</v>
      </c>
      <c r="E4" s="4" t="s">
        <v>217</v>
      </c>
      <c r="F4" s="4">
        <f>COUNTIFS(Positions!$B$2:$B$721,A4,Positions!$F$2:$F$721,B4)</f>
        <v>4</v>
      </c>
      <c r="G4" s="4">
        <f>COUNTIFS(Positions!$B$2:$B$721,A4,Positions!$F$2:$F$721,B4,Positions!$E$2:$E$721,"G")</f>
        <v>1</v>
      </c>
      <c r="H4" s="4">
        <f>COUNTIFS(Positions!$B$2:$B$721,A4,Positions!$F$2:$F$721,B4,Positions!$E$2:$E$721,"C")</f>
        <v>0</v>
      </c>
      <c r="I4" s="3">
        <f t="shared" si="0"/>
        <v>1</v>
      </c>
      <c r="J4" s="6">
        <f t="shared" si="1"/>
        <v>0.25</v>
      </c>
    </row>
    <row r="5" spans="1:10">
      <c r="A5" s="4" t="s">
        <v>37</v>
      </c>
      <c r="B5" s="4" t="s">
        <v>120</v>
      </c>
      <c r="C5" s="4" t="s">
        <v>218</v>
      </c>
      <c r="D5" s="4" t="s">
        <v>219</v>
      </c>
      <c r="E5" s="4" t="s">
        <v>220</v>
      </c>
      <c r="F5" s="4">
        <f>COUNTIFS(Positions!$B$2:$B$721,A5,Positions!$F$2:$F$721,B5)</f>
        <v>7</v>
      </c>
      <c r="G5" s="4">
        <f>COUNTIFS(Positions!$B$2:$B$721,A5,Positions!$F$2:$F$721,B5,Positions!$E$2:$E$721,"G")</f>
        <v>1</v>
      </c>
      <c r="H5" s="4">
        <f>COUNTIFS(Positions!$B$2:$B$721,A5,Positions!$F$2:$F$721,B5,Positions!$E$2:$E$721,"C")</f>
        <v>2</v>
      </c>
      <c r="I5" s="3">
        <f t="shared" si="0"/>
        <v>3</v>
      </c>
      <c r="J5" s="6">
        <f t="shared" si="1"/>
        <v>0.42857142857142855</v>
      </c>
    </row>
    <row r="6" spans="1:10">
      <c r="A6" s="7" t="s">
        <v>37</v>
      </c>
      <c r="B6" s="7" t="s">
        <v>221</v>
      </c>
      <c r="C6" s="7" t="s">
        <v>222</v>
      </c>
      <c r="D6" s="7" t="s">
        <v>223</v>
      </c>
      <c r="E6" s="7" t="s">
        <v>224</v>
      </c>
      <c r="F6" s="7">
        <f>COUNTIFS(Positions!$B$2:$B$721,A6,Positions!$F$2:$F$721,"Position 8")+COUNTIFS(Positions!$B$2:$B$721,A6,Positions!$F$2:$F$721,"Position 9")+COUNTIFS(Positions!$B$2:$B$721,A6,Positions!$F$2:$F$721,"Position 26")</f>
        <v>3</v>
      </c>
      <c r="G6" s="7">
        <f>COUNTIFS(Positions!$B$2:$B$721,A6,Positions!$F$2:$F$721,"Position 8",Positions!$E$2:$E$721,"G")+COUNTIFS(Positions!$B$2:$B$721,A6,Positions!$F$2:$F$721,"Position 9",Positions!$E$2:$E$721,"G")+COUNTIFS(Positions!$B$2:$B$721,A6,Positions!$F$2:$F$721,"Position 26",Positions!$E$2:$E$721,"G")</f>
        <v>0</v>
      </c>
      <c r="H6" s="7">
        <f>COUNTIFS(Positions!$B$2:$B$721,A6,Positions!$F$2:$F$721,"Position 8",Positions!$E$2:$E$721,"C")+COUNTIFS(Positions!$B$2:$B$721,A6,Positions!$F$2:$F$721,"Position 9",Positions!$E$2:$E$721,"C")+COUNTIFS(Positions!$B$2:$B$721,A6,Positions!$F$2:$F$721,"Position 26",Positions!$E$2:$E$721,"C")</f>
        <v>1</v>
      </c>
      <c r="I6" s="8">
        <f t="shared" si="0"/>
        <v>1</v>
      </c>
      <c r="J6" s="25">
        <f t="shared" si="1"/>
        <v>0.33333333333333331</v>
      </c>
    </row>
    <row r="7" spans="1:10">
      <c r="A7" s="4" t="s">
        <v>38</v>
      </c>
      <c r="B7" s="4" t="s">
        <v>76</v>
      </c>
      <c r="C7" s="4" t="s">
        <v>209</v>
      </c>
      <c r="D7" s="4" t="s">
        <v>210</v>
      </c>
      <c r="E7" s="4" t="s">
        <v>225</v>
      </c>
      <c r="F7" s="4">
        <f>COUNTIFS(Positions!$B$2:$B$721,A7,Positions!$F$2:$F$721,B7)</f>
        <v>7</v>
      </c>
      <c r="G7" s="4">
        <f>COUNTIFS(Positions!$B$2:$B$721,A7,Positions!$F$2:$F$721,B7,Positions!$E$2:$E$721,"G")</f>
        <v>2</v>
      </c>
      <c r="H7" s="4">
        <f>COUNTIFS(Positions!$B$2:$B$721,A7,Positions!$F$2:$F$721,B7,Positions!$E$2:$E$721,"C")</f>
        <v>1</v>
      </c>
      <c r="I7" s="3">
        <f t="shared" si="0"/>
        <v>3</v>
      </c>
      <c r="J7" s="6">
        <f t="shared" si="1"/>
        <v>0.42857142857142855</v>
      </c>
    </row>
    <row r="8" spans="1:10">
      <c r="A8" s="4" t="s">
        <v>38</v>
      </c>
      <c r="B8" s="4" t="s">
        <v>96</v>
      </c>
      <c r="C8" s="4" t="s">
        <v>212</v>
      </c>
      <c r="D8" s="4" t="s">
        <v>213</v>
      </c>
      <c r="E8" s="4" t="s">
        <v>226</v>
      </c>
      <c r="F8" s="4">
        <f>COUNTIFS(Positions!$B$2:$B$721,A8,Positions!$F$2:$F$721,B8)</f>
        <v>7</v>
      </c>
      <c r="G8" s="4">
        <f>COUNTIFS(Positions!$B$2:$B$721,A8,Positions!$F$2:$F$721,B8,Positions!$E$2:$E$721,"G")</f>
        <v>0</v>
      </c>
      <c r="H8" s="4">
        <f>COUNTIFS(Positions!$B$2:$B$721,A8,Positions!$F$2:$F$721,B8,Positions!$E$2:$E$721,"C")</f>
        <v>0</v>
      </c>
      <c r="I8" s="3">
        <f t="shared" si="0"/>
        <v>0</v>
      </c>
      <c r="J8" s="6">
        <f t="shared" si="1"/>
        <v>0</v>
      </c>
    </row>
    <row r="9" spans="1:10">
      <c r="A9" s="4" t="s">
        <v>38</v>
      </c>
      <c r="B9" s="4" t="s">
        <v>109</v>
      </c>
      <c r="C9" s="4" t="s">
        <v>215</v>
      </c>
      <c r="D9" s="4" t="s">
        <v>216</v>
      </c>
      <c r="E9" s="4" t="s">
        <v>217</v>
      </c>
      <c r="F9" s="4">
        <f>COUNTIFS(Positions!$B$2:$B$721,A9,Positions!$F$2:$F$721,B9)</f>
        <v>4</v>
      </c>
      <c r="G9" s="4">
        <f>COUNTIFS(Positions!$B$2:$B$721,A9,Positions!$F$2:$F$721,B9,Positions!$E$2:$E$721,"G")</f>
        <v>1</v>
      </c>
      <c r="H9" s="4">
        <f>COUNTIFS(Positions!$B$2:$B$721,A9,Positions!$F$2:$F$721,B9,Positions!$E$2:$E$721,"C")</f>
        <v>0</v>
      </c>
      <c r="I9" s="3">
        <f t="shared" si="0"/>
        <v>1</v>
      </c>
      <c r="J9" s="6">
        <f t="shared" si="1"/>
        <v>0.25</v>
      </c>
    </row>
    <row r="10" spans="1:10">
      <c r="A10" s="4" t="s">
        <v>38</v>
      </c>
      <c r="B10" s="4" t="s">
        <v>120</v>
      </c>
      <c r="C10" s="4" t="s">
        <v>218</v>
      </c>
      <c r="D10" s="4" t="s">
        <v>219</v>
      </c>
      <c r="E10" s="4" t="s">
        <v>220</v>
      </c>
      <c r="F10" s="4">
        <f>COUNTIFS(Positions!$B$2:$B$721,A10,Positions!$F$2:$F$721,B10)</f>
        <v>7</v>
      </c>
      <c r="G10" s="4">
        <f>COUNTIFS(Positions!$B$2:$B$721,A10,Positions!$F$2:$F$721,B10,Positions!$E$2:$E$721,"G")</f>
        <v>1</v>
      </c>
      <c r="H10" s="4">
        <f>COUNTIFS(Positions!$B$2:$B$721,A10,Positions!$F$2:$F$721,B10,Positions!$E$2:$E$721,"C")</f>
        <v>2</v>
      </c>
      <c r="I10" s="3">
        <f t="shared" si="0"/>
        <v>3</v>
      </c>
      <c r="J10" s="6">
        <f t="shared" si="1"/>
        <v>0.42857142857142855</v>
      </c>
    </row>
    <row r="11" spans="1:10">
      <c r="A11" s="7" t="s">
        <v>38</v>
      </c>
      <c r="B11" s="7" t="s">
        <v>221</v>
      </c>
      <c r="C11" s="7" t="s">
        <v>222</v>
      </c>
      <c r="D11" s="7" t="s">
        <v>223</v>
      </c>
      <c r="E11" s="7" t="s">
        <v>227</v>
      </c>
      <c r="F11" s="7">
        <f>COUNTIFS(Positions!$B$2:$B$721,A11,Positions!$F$2:$F$721,"Position 8")+COUNTIFS(Positions!$B$2:$B$721,A11,Positions!$F$2:$F$721,"Position 9")+COUNTIFS(Positions!$B$2:$B$721,A11,Positions!$F$2:$F$721,"Position 26")</f>
        <v>3</v>
      </c>
      <c r="G11" s="7">
        <f>COUNTIFS(Positions!$B$2:$B$721,A11,Positions!$F$2:$F$721,"Position 8",Positions!$E$2:$E$721,"G")+COUNTIFS(Positions!$B$2:$B$721,A11,Positions!$F$2:$F$721,"Position 9",Positions!$E$2:$E$721,"G")+COUNTIFS(Positions!$B$2:$B$721,A11,Positions!$F$2:$F$721,"Position 26",Positions!$E$2:$E$721,"G")</f>
        <v>0</v>
      </c>
      <c r="H11" s="7">
        <f>COUNTIFS(Positions!$B$2:$B$721,A11,Positions!$F$2:$F$721,"Position 8",Positions!$E$2:$E$721,"C")+COUNTIFS(Positions!$B$2:$B$721,A11,Positions!$F$2:$F$721,"Position 9",Positions!$E$2:$E$721,"C")+COUNTIFS(Positions!$B$2:$B$721,A11,Positions!$F$2:$F$721,"Position 26",Positions!$E$2:$E$721,"C")</f>
        <v>2</v>
      </c>
      <c r="I11" s="8">
        <f t="shared" si="0"/>
        <v>2</v>
      </c>
      <c r="J11" s="25">
        <f t="shared" si="1"/>
        <v>0.66666666666666663</v>
      </c>
    </row>
    <row r="12" spans="1:10">
      <c r="A12" s="4" t="s">
        <v>39</v>
      </c>
      <c r="B12" s="4" t="s">
        <v>76</v>
      </c>
      <c r="C12" s="4" t="s">
        <v>209</v>
      </c>
      <c r="D12" s="4" t="s">
        <v>209</v>
      </c>
      <c r="E12" s="4" t="s">
        <v>228</v>
      </c>
      <c r="F12" s="4">
        <f>COUNTIFS(Positions!$B$2:$B$721,A12,Positions!$F$2:$F$721,B12)</f>
        <v>8</v>
      </c>
      <c r="G12" s="4">
        <f>COUNTIFS(Positions!$B$2:$B$721,A12,Positions!$F$2:$F$721,B12,Positions!$E$2:$E$721,"G")</f>
        <v>6</v>
      </c>
      <c r="H12" s="4">
        <f>COUNTIFS(Positions!$B$2:$B$721,A12,Positions!$F$2:$F$721,B12,Positions!$E$2:$E$721,"C")</f>
        <v>1</v>
      </c>
      <c r="I12" s="3">
        <f t="shared" si="0"/>
        <v>7</v>
      </c>
      <c r="J12" s="6">
        <f t="shared" si="1"/>
        <v>0.875</v>
      </c>
    </row>
    <row r="13" spans="1:10">
      <c r="A13" s="4" t="s">
        <v>39</v>
      </c>
      <c r="B13" s="4" t="s">
        <v>96</v>
      </c>
      <c r="C13" s="4" t="s">
        <v>212</v>
      </c>
      <c r="D13" s="4" t="s">
        <v>212</v>
      </c>
      <c r="E13" s="4" t="s">
        <v>229</v>
      </c>
      <c r="F13" s="4">
        <f>COUNTIFS(Positions!$B$2:$B$721,A13,Positions!$F$2:$F$721,B13)</f>
        <v>7</v>
      </c>
      <c r="G13" s="4">
        <f>COUNTIFS(Positions!$B$2:$B$721,A13,Positions!$F$2:$F$721,B13,Positions!$E$2:$E$721,"G")</f>
        <v>2</v>
      </c>
      <c r="H13" s="4">
        <f>COUNTIFS(Positions!$B$2:$B$721,A13,Positions!$F$2:$F$721,B13,Positions!$E$2:$E$721,"C")</f>
        <v>0</v>
      </c>
      <c r="I13" s="3">
        <f t="shared" si="0"/>
        <v>2</v>
      </c>
      <c r="J13" s="6">
        <f t="shared" si="1"/>
        <v>0.2857142857142857</v>
      </c>
    </row>
    <row r="14" spans="1:10">
      <c r="A14" s="4" t="s">
        <v>39</v>
      </c>
      <c r="B14" s="4" t="s">
        <v>109</v>
      </c>
      <c r="C14" s="4" t="s">
        <v>215</v>
      </c>
      <c r="D14" s="4" t="s">
        <v>230</v>
      </c>
      <c r="E14" s="4" t="s">
        <v>231</v>
      </c>
      <c r="F14" s="4">
        <f>COUNTIFS(Positions!$B$2:$B$721,A14,Positions!$F$2:$F$721,B14)</f>
        <v>3</v>
      </c>
      <c r="G14" s="4">
        <f>COUNTIFS(Positions!$B$2:$B$721,A14,Positions!$F$2:$F$721,B14,Positions!$E$2:$E$721,"G")</f>
        <v>0</v>
      </c>
      <c r="H14" s="4">
        <f>COUNTIFS(Positions!$B$2:$B$721,A14,Positions!$F$2:$F$721,B14,Positions!$E$2:$E$721,"C")</f>
        <v>0</v>
      </c>
      <c r="I14" s="3">
        <f t="shared" si="0"/>
        <v>0</v>
      </c>
      <c r="J14" s="6">
        <f t="shared" si="1"/>
        <v>0</v>
      </c>
    </row>
    <row r="15" spans="1:10">
      <c r="A15" s="4" t="s">
        <v>39</v>
      </c>
      <c r="B15" s="4" t="s">
        <v>120</v>
      </c>
      <c r="C15" s="4" t="s">
        <v>218</v>
      </c>
      <c r="D15" s="4" t="s">
        <v>219</v>
      </c>
      <c r="E15" s="4" t="s">
        <v>232</v>
      </c>
      <c r="F15" s="4">
        <f>COUNTIFS(Positions!$B$2:$B$721,A15,Positions!$F$2:$F$721,B15)</f>
        <v>7</v>
      </c>
      <c r="G15" s="4">
        <f>COUNTIFS(Positions!$B$2:$B$721,A15,Positions!$F$2:$F$721,B15,Positions!$E$2:$E$721,"G")</f>
        <v>1</v>
      </c>
      <c r="H15" s="4">
        <f>COUNTIFS(Positions!$B$2:$B$721,A15,Positions!$F$2:$F$721,B15,Positions!$E$2:$E$721,"C")</f>
        <v>1</v>
      </c>
      <c r="I15" s="3">
        <f t="shared" si="0"/>
        <v>2</v>
      </c>
      <c r="J15" s="6">
        <f t="shared" si="1"/>
        <v>0.2857142857142857</v>
      </c>
    </row>
    <row r="16" spans="1:10">
      <c r="A16" s="7" t="s">
        <v>39</v>
      </c>
      <c r="B16" s="7" t="s">
        <v>221</v>
      </c>
      <c r="C16" s="7" t="s">
        <v>222</v>
      </c>
      <c r="D16" s="7" t="s">
        <v>222</v>
      </c>
      <c r="E16" s="7" t="s">
        <v>233</v>
      </c>
      <c r="F16" s="7">
        <f>COUNTIFS(Positions!$B$2:$B$721,A16,Positions!$F$2:$F$721,"Position 8")+COUNTIFS(Positions!$B$2:$B$721,A16,Positions!$F$2:$F$721,"Position 9")+COUNTIFS(Positions!$B$2:$B$721,A16,Positions!$F$2:$F$721,"Position 26")</f>
        <v>3</v>
      </c>
      <c r="G16" s="7">
        <f>COUNTIFS(Positions!$B$2:$B$721,A16,Positions!$F$2:$F$721,"Position 8",Positions!$E$2:$E$721,"G")+COUNTIFS(Positions!$B$2:$B$721,A16,Positions!$F$2:$F$721,"Position 9",Positions!$E$2:$E$721,"G")+COUNTIFS(Positions!$B$2:$B$721,A16,Positions!$F$2:$F$721,"Position 26",Positions!$E$2:$E$721,"G")</f>
        <v>0</v>
      </c>
      <c r="H16" s="7">
        <f>COUNTIFS(Positions!$B$2:$B$721,A16,Positions!$F$2:$F$721,"Position 8",Positions!$E$2:$E$721,"C")+COUNTIFS(Positions!$B$2:$B$721,A16,Positions!$F$2:$F$721,"Position 9",Positions!$E$2:$E$721,"C")+COUNTIFS(Positions!$B$2:$B$721,A16,Positions!$F$2:$F$721,"Position 26",Positions!$E$2:$E$721,"C")</f>
        <v>0</v>
      </c>
      <c r="I16" s="8">
        <f t="shared" si="0"/>
        <v>0</v>
      </c>
      <c r="J16" s="25">
        <f t="shared" si="1"/>
        <v>0</v>
      </c>
    </row>
    <row r="17" spans="1:10">
      <c r="A17" s="4" t="s">
        <v>40</v>
      </c>
      <c r="B17" s="4" t="s">
        <v>76</v>
      </c>
      <c r="C17" s="4" t="s">
        <v>209</v>
      </c>
      <c r="D17" s="4" t="s">
        <v>209</v>
      </c>
      <c r="E17" s="4" t="s">
        <v>234</v>
      </c>
      <c r="F17" s="4">
        <f>COUNTIFS(Positions!$B$2:$B$721,A17,Positions!$F$2:$F$721,B17)</f>
        <v>8</v>
      </c>
      <c r="G17" s="4">
        <f>COUNTIFS(Positions!$B$2:$B$721,A17,Positions!$F$2:$F$721,B17,Positions!$E$2:$E$721,"G")</f>
        <v>3</v>
      </c>
      <c r="H17" s="4">
        <f>COUNTIFS(Positions!$B$2:$B$721,A17,Positions!$F$2:$F$721,B17,Positions!$E$2:$E$721,"C")</f>
        <v>0</v>
      </c>
      <c r="I17" s="3">
        <f t="shared" si="0"/>
        <v>3</v>
      </c>
      <c r="J17" s="6">
        <f t="shared" si="1"/>
        <v>0.375</v>
      </c>
    </row>
    <row r="18" spans="1:10">
      <c r="A18" s="4" t="s">
        <v>40</v>
      </c>
      <c r="B18" s="4" t="s">
        <v>96</v>
      </c>
      <c r="C18" s="4" t="s">
        <v>212</v>
      </c>
      <c r="D18" s="4" t="s">
        <v>212</v>
      </c>
      <c r="E18" s="4" t="s">
        <v>235</v>
      </c>
      <c r="F18" s="4">
        <f>COUNTIFS(Positions!$B$2:$B$721,A18,Positions!$F$2:$F$721,B18)</f>
        <v>7</v>
      </c>
      <c r="G18" s="4">
        <f>COUNTIFS(Positions!$B$2:$B$721,A18,Positions!$F$2:$F$721,B18,Positions!$E$2:$E$721,"G")</f>
        <v>0</v>
      </c>
      <c r="H18" s="4">
        <f>COUNTIFS(Positions!$B$2:$B$721,A18,Positions!$F$2:$F$721,B18,Positions!$E$2:$E$721,"C")</f>
        <v>2</v>
      </c>
      <c r="I18" s="3">
        <f t="shared" si="0"/>
        <v>2</v>
      </c>
      <c r="J18" s="6">
        <f t="shared" si="1"/>
        <v>0.2857142857142857</v>
      </c>
    </row>
    <row r="19" spans="1:10">
      <c r="A19" s="4" t="s">
        <v>40</v>
      </c>
      <c r="B19" s="4" t="s">
        <v>109</v>
      </c>
      <c r="C19" s="4" t="s">
        <v>215</v>
      </c>
      <c r="D19" s="4" t="s">
        <v>236</v>
      </c>
      <c r="E19" s="4" t="s">
        <v>237</v>
      </c>
      <c r="F19" s="4">
        <f>COUNTIFS(Positions!$B$2:$B$721,A19,Positions!$F$2:$F$721,B19)</f>
        <v>4</v>
      </c>
      <c r="G19" s="4">
        <f>COUNTIFS(Positions!$B$2:$B$721,A19,Positions!$F$2:$F$721,B19,Positions!$E$2:$E$721,"G")</f>
        <v>2</v>
      </c>
      <c r="H19" s="4">
        <f>COUNTIFS(Positions!$B$2:$B$721,A19,Positions!$F$2:$F$721,B19,Positions!$E$2:$E$721,"C")</f>
        <v>1</v>
      </c>
      <c r="I19" s="3">
        <f t="shared" si="0"/>
        <v>3</v>
      </c>
      <c r="J19" s="6">
        <f t="shared" si="1"/>
        <v>0.75</v>
      </c>
    </row>
    <row r="20" spans="1:10">
      <c r="A20" s="4" t="s">
        <v>40</v>
      </c>
      <c r="B20" s="4" t="s">
        <v>120</v>
      </c>
      <c r="C20" s="4" t="s">
        <v>218</v>
      </c>
      <c r="D20" s="4" t="s">
        <v>238</v>
      </c>
      <c r="E20" s="4" t="s">
        <v>239</v>
      </c>
      <c r="F20" s="4">
        <f>COUNTIFS(Positions!$B$2:$B$721,A20,Positions!$F$2:$F$721,B20)</f>
        <v>7</v>
      </c>
      <c r="G20" s="4">
        <f>COUNTIFS(Positions!$B$2:$B$721,A20,Positions!$F$2:$F$721,B20,Positions!$E$2:$E$721,"G")</f>
        <v>2</v>
      </c>
      <c r="H20" s="4">
        <f>COUNTIFS(Positions!$B$2:$B$721,A20,Positions!$F$2:$F$721,B20,Positions!$E$2:$E$721,"C")</f>
        <v>1</v>
      </c>
      <c r="I20" s="3">
        <f t="shared" si="0"/>
        <v>3</v>
      </c>
      <c r="J20" s="6">
        <f t="shared" si="1"/>
        <v>0.42857142857142855</v>
      </c>
    </row>
    <row r="21" spans="1:10">
      <c r="A21" s="7" t="s">
        <v>40</v>
      </c>
      <c r="B21" s="7" t="s">
        <v>221</v>
      </c>
      <c r="C21" s="7" t="s">
        <v>222</v>
      </c>
      <c r="D21" s="7" t="s">
        <v>222</v>
      </c>
      <c r="E21" s="7" t="s">
        <v>240</v>
      </c>
      <c r="F21" s="7">
        <f>COUNTIFS(Positions!$B$2:$B$721,A21,Positions!$F$2:$F$721,"Position 8")+COUNTIFS(Positions!$B$2:$B$721,A21,Positions!$F$2:$F$721,"Position 9")+COUNTIFS(Positions!$B$2:$B$721,A21,Positions!$F$2:$F$721,"Position 26")</f>
        <v>3</v>
      </c>
      <c r="G21" s="7">
        <f>COUNTIFS(Positions!$B$2:$B$721,A21,Positions!$F$2:$F$721,"Position 8",Positions!$E$2:$E$721,"G")+COUNTIFS(Positions!$B$2:$B$721,A21,Positions!$F$2:$F$721,"Position 9",Positions!$E$2:$E$721,"G")+COUNTIFS(Positions!$B$2:$B$721,A21,Positions!$F$2:$F$721,"Position 26",Positions!$E$2:$E$721,"G")</f>
        <v>0</v>
      </c>
      <c r="H21" s="7">
        <f>COUNTIFS(Positions!$B$2:$B$721,A21,Positions!$F$2:$F$721,"Position 8",Positions!$E$2:$E$721,"C")+COUNTIFS(Positions!$B$2:$B$721,A21,Positions!$F$2:$F$721,"Position 9",Positions!$E$2:$E$721,"C")+COUNTIFS(Positions!$B$2:$B$721,A21,Positions!$F$2:$F$721,"Position 26",Positions!$E$2:$E$721,"C")</f>
        <v>1</v>
      </c>
      <c r="I21" s="8">
        <f t="shared" si="0"/>
        <v>1</v>
      </c>
      <c r="J21" s="25">
        <f t="shared" si="1"/>
        <v>0.33333333333333331</v>
      </c>
    </row>
    <row r="22" spans="1:10">
      <c r="A22" s="4" t="s">
        <v>41</v>
      </c>
      <c r="B22" s="4" t="s">
        <v>76</v>
      </c>
      <c r="C22" s="4" t="s">
        <v>209</v>
      </c>
      <c r="D22" s="4" t="s">
        <v>210</v>
      </c>
      <c r="E22" s="4" t="s">
        <v>241</v>
      </c>
      <c r="F22" s="4">
        <f>COUNTIFS(Positions!$B$2:$B$721,A22,Positions!$F$2:$F$721,B22)</f>
        <v>7</v>
      </c>
      <c r="G22" s="4">
        <f>COUNTIFS(Positions!$B$2:$B$721,A22,Positions!$F$2:$F$721,B22,Positions!$E$2:$E$721,"G")</f>
        <v>2</v>
      </c>
      <c r="H22" s="4">
        <f>COUNTIFS(Positions!$B$2:$B$721,A22,Positions!$F$2:$F$721,B22,Positions!$E$2:$E$721,"C")</f>
        <v>1</v>
      </c>
      <c r="I22" s="3">
        <f t="shared" si="0"/>
        <v>3</v>
      </c>
      <c r="J22" s="6">
        <f t="shared" si="1"/>
        <v>0.42857142857142855</v>
      </c>
    </row>
    <row r="23" spans="1:10">
      <c r="A23" s="4" t="s">
        <v>41</v>
      </c>
      <c r="B23" s="4" t="s">
        <v>96</v>
      </c>
      <c r="C23" s="4" t="s">
        <v>212</v>
      </c>
      <c r="D23" s="4" t="s">
        <v>213</v>
      </c>
      <c r="E23" s="4" t="s">
        <v>242</v>
      </c>
      <c r="F23" s="4">
        <f>COUNTIFS(Positions!$B$2:$B$721,A23,Positions!$F$2:$F$721,B23)</f>
        <v>7</v>
      </c>
      <c r="G23" s="4">
        <f>COUNTIFS(Positions!$B$2:$B$721,A23,Positions!$F$2:$F$721,B23,Positions!$E$2:$E$721,"G")</f>
        <v>0</v>
      </c>
      <c r="H23" s="4">
        <f>COUNTIFS(Positions!$B$2:$B$721,A23,Positions!$F$2:$F$721,B23,Positions!$E$2:$E$721,"C")</f>
        <v>1</v>
      </c>
      <c r="I23" s="3">
        <f t="shared" si="0"/>
        <v>1</v>
      </c>
      <c r="J23" s="6">
        <f t="shared" si="1"/>
        <v>0.14285714285714285</v>
      </c>
    </row>
    <row r="24" spans="1:10">
      <c r="A24" s="4" t="s">
        <v>41</v>
      </c>
      <c r="B24" s="4" t="s">
        <v>109</v>
      </c>
      <c r="C24" s="4" t="s">
        <v>215</v>
      </c>
      <c r="D24" s="4" t="s">
        <v>243</v>
      </c>
      <c r="E24" s="4" t="s">
        <v>244</v>
      </c>
      <c r="F24" s="4">
        <f>COUNTIFS(Positions!$B$2:$B$721,A24,Positions!$F$2:$F$721,B24)</f>
        <v>14</v>
      </c>
      <c r="G24" s="4">
        <f>COUNTIFS(Positions!$B$2:$B$721,A24,Positions!$F$2:$F$721,B24,Positions!$E$2:$E$721,"G")</f>
        <v>1</v>
      </c>
      <c r="H24" s="4">
        <f>COUNTIFS(Positions!$B$2:$B$721,A24,Positions!$F$2:$F$721,B24,Positions!$E$2:$E$721,"C")</f>
        <v>3</v>
      </c>
      <c r="I24" s="3">
        <f t="shared" si="0"/>
        <v>4</v>
      </c>
      <c r="J24" s="6">
        <f t="shared" si="1"/>
        <v>0.2857142857142857</v>
      </c>
    </row>
    <row r="25" spans="1:10">
      <c r="A25" s="4" t="s">
        <v>41</v>
      </c>
      <c r="B25" s="4" t="s">
        <v>120</v>
      </c>
      <c r="C25" s="4" t="s">
        <v>218</v>
      </c>
      <c r="D25" s="4" t="s">
        <v>245</v>
      </c>
      <c r="E25" s="4" t="s">
        <v>246</v>
      </c>
      <c r="F25" s="4">
        <f>COUNTIFS(Positions!$B$2:$B$721,A25,Positions!$F$2:$F$721,B25)</f>
        <v>7</v>
      </c>
      <c r="G25" s="4">
        <f>COUNTIFS(Positions!$B$2:$B$721,A25,Positions!$F$2:$F$721,B25,Positions!$E$2:$E$721,"G")</f>
        <v>0</v>
      </c>
      <c r="H25" s="4">
        <f>COUNTIFS(Positions!$B$2:$B$721,A25,Positions!$F$2:$F$721,B25,Positions!$E$2:$E$721,"C")</f>
        <v>3</v>
      </c>
      <c r="I25" s="3">
        <f t="shared" si="0"/>
        <v>3</v>
      </c>
      <c r="J25" s="6">
        <f t="shared" si="1"/>
        <v>0.42857142857142855</v>
      </c>
    </row>
    <row r="26" spans="1:10">
      <c r="A26" s="7" t="s">
        <v>41</v>
      </c>
      <c r="B26" s="7" t="s">
        <v>221</v>
      </c>
      <c r="C26" s="7" t="s">
        <v>222</v>
      </c>
      <c r="D26" s="7" t="s">
        <v>223</v>
      </c>
      <c r="E26" s="7" t="s">
        <v>240</v>
      </c>
      <c r="F26" s="7">
        <f>COUNTIFS(Positions!$B$2:$B$721,A26,Positions!$F$2:$F$721,"Position 8")+COUNTIFS(Positions!$B$2:$B$721,A26,Positions!$F$2:$F$721,"Position 9")+COUNTIFS(Positions!$B$2:$B$721,A26,Positions!$F$2:$F$721,"Position 26")</f>
        <v>3</v>
      </c>
      <c r="G26" s="7">
        <f>COUNTIFS(Positions!$B$2:$B$721,A26,Positions!$F$2:$F$721,"Position 8",Positions!$E$2:$E$721,"G")+COUNTIFS(Positions!$B$2:$B$721,A26,Positions!$F$2:$F$721,"Position 9",Positions!$E$2:$E$721,"G")+COUNTIFS(Positions!$B$2:$B$721,A26,Positions!$F$2:$F$721,"Position 26",Positions!$E$2:$E$721,"G")</f>
        <v>0</v>
      </c>
      <c r="H26" s="7">
        <f>COUNTIFS(Positions!$B$2:$B$721,A26,Positions!$F$2:$F$721,"Position 8",Positions!$E$2:$E$721,"C")+COUNTIFS(Positions!$B$2:$B$721,A26,Positions!$F$2:$F$721,"Position 9",Positions!$E$2:$E$721,"C")+COUNTIFS(Positions!$B$2:$B$721,A26,Positions!$F$2:$F$721,"Position 26",Positions!$E$2:$E$721,"C")</f>
        <v>1</v>
      </c>
      <c r="I26" s="8">
        <f t="shared" si="0"/>
        <v>1</v>
      </c>
      <c r="J26" s="25">
        <f t="shared" si="1"/>
        <v>0.33333333333333331</v>
      </c>
    </row>
    <row r="27" spans="1:10">
      <c r="A27" s="4" t="s">
        <v>42</v>
      </c>
      <c r="B27" s="4" t="s">
        <v>76</v>
      </c>
      <c r="C27" s="4" t="s">
        <v>209</v>
      </c>
      <c r="D27" s="4" t="s">
        <v>247</v>
      </c>
      <c r="E27" s="4" t="s">
        <v>248</v>
      </c>
      <c r="F27" s="4">
        <f>COUNTIFS(Positions!$B$2:$B$721,A27,Positions!$F$2:$F$721,B27)</f>
        <v>9</v>
      </c>
      <c r="G27" s="4">
        <f>COUNTIFS(Positions!$B$2:$B$721,A27,Positions!$F$2:$F$721,B27,Positions!$E$2:$E$721,"G")</f>
        <v>3</v>
      </c>
      <c r="H27" s="4">
        <f>COUNTIFS(Positions!$B$2:$B$721,A27,Positions!$F$2:$F$721,B27,Positions!$E$2:$E$721,"C")</f>
        <v>1</v>
      </c>
      <c r="I27" s="3">
        <f t="shared" si="0"/>
        <v>4</v>
      </c>
      <c r="J27" s="6">
        <f t="shared" si="1"/>
        <v>0.44444444444444442</v>
      </c>
    </row>
    <row r="28" spans="1:10">
      <c r="A28" s="4" t="s">
        <v>42</v>
      </c>
      <c r="B28" s="4" t="s">
        <v>96</v>
      </c>
      <c r="C28" s="4" t="s">
        <v>212</v>
      </c>
      <c r="D28" s="4" t="s">
        <v>249</v>
      </c>
      <c r="E28" s="4" t="s">
        <v>250</v>
      </c>
      <c r="F28" s="4">
        <f>COUNTIFS(Positions!$B$2:$B$721,A28,Positions!$F$2:$F$721,B28)</f>
        <v>7</v>
      </c>
      <c r="G28" s="4">
        <f>COUNTIFS(Positions!$B$2:$B$721,A28,Positions!$F$2:$F$721,B28,Positions!$E$2:$E$721,"G")</f>
        <v>1</v>
      </c>
      <c r="H28" s="4">
        <f>COUNTIFS(Positions!$B$2:$B$721,A28,Positions!$F$2:$F$721,B28,Positions!$E$2:$E$721,"C")</f>
        <v>2</v>
      </c>
      <c r="I28" s="3">
        <f t="shared" si="0"/>
        <v>3</v>
      </c>
      <c r="J28" s="6">
        <f t="shared" si="1"/>
        <v>0.42857142857142855</v>
      </c>
    </row>
    <row r="29" spans="1:10">
      <c r="A29" s="4" t="s">
        <v>42</v>
      </c>
      <c r="B29" s="4" t="s">
        <v>109</v>
      </c>
      <c r="C29" s="4" t="s">
        <v>215</v>
      </c>
      <c r="D29" s="4" t="s">
        <v>251</v>
      </c>
      <c r="E29" s="4" t="s">
        <v>252</v>
      </c>
      <c r="F29" s="4">
        <f>COUNTIFS(Positions!$B$2:$B$721,A29,Positions!$F$2:$F$721,B29)</f>
        <v>18</v>
      </c>
      <c r="G29" s="4">
        <f>COUNTIFS(Positions!$B$2:$B$721,A29,Positions!$F$2:$F$721,B29,Positions!$E$2:$E$721,"G")</f>
        <v>5</v>
      </c>
      <c r="H29" s="4">
        <f>COUNTIFS(Positions!$B$2:$B$721,A29,Positions!$F$2:$F$721,B29,Positions!$E$2:$E$721,"C")</f>
        <v>3</v>
      </c>
      <c r="I29" s="3">
        <f t="shared" si="0"/>
        <v>8</v>
      </c>
      <c r="J29" s="6">
        <f t="shared" si="1"/>
        <v>0.44444444444444442</v>
      </c>
    </row>
    <row r="30" spans="1:10">
      <c r="A30" s="4" t="s">
        <v>42</v>
      </c>
      <c r="B30" s="4" t="s">
        <v>120</v>
      </c>
      <c r="C30" s="4" t="s">
        <v>218</v>
      </c>
      <c r="D30" s="4" t="s">
        <v>253</v>
      </c>
      <c r="E30" s="4" t="s">
        <v>254</v>
      </c>
      <c r="F30" s="4">
        <f>COUNTIFS(Positions!$B$2:$B$721,A30,Positions!$F$2:$F$721,B30)</f>
        <v>7</v>
      </c>
      <c r="G30" s="4">
        <f>COUNTIFS(Positions!$B$2:$B$721,A30,Positions!$F$2:$F$721,B30,Positions!$E$2:$E$721,"G")</f>
        <v>1</v>
      </c>
      <c r="H30" s="4">
        <f>COUNTIFS(Positions!$B$2:$B$721,A30,Positions!$F$2:$F$721,B30,Positions!$E$2:$E$721,"C")</f>
        <v>2</v>
      </c>
      <c r="I30" s="3">
        <f t="shared" si="0"/>
        <v>3</v>
      </c>
      <c r="J30" s="6">
        <f t="shared" si="1"/>
        <v>0.42857142857142855</v>
      </c>
    </row>
    <row r="31" spans="1:10">
      <c r="A31" s="7" t="s">
        <v>42</v>
      </c>
      <c r="B31" s="7" t="s">
        <v>221</v>
      </c>
      <c r="C31" s="7" t="s">
        <v>222</v>
      </c>
      <c r="D31" s="7" t="s">
        <v>255</v>
      </c>
      <c r="E31" s="7" t="s">
        <v>256</v>
      </c>
      <c r="F31" s="7">
        <f>COUNTIFS(Positions!$B$2:$B$721,A31,Positions!$F$2:$F$721,"Position 8")+COUNTIFS(Positions!$B$2:$B$721,A31,Positions!$F$2:$F$721,"Position 9")+COUNTIFS(Positions!$B$2:$B$721,A31,Positions!$F$2:$F$721,"Position 26")</f>
        <v>3</v>
      </c>
      <c r="G31" s="7">
        <f>COUNTIFS(Positions!$B$2:$B$721,A31,Positions!$F$2:$F$721,"Position 8",Positions!$E$2:$E$721,"G")+COUNTIFS(Positions!$B$2:$B$721,A31,Positions!$F$2:$F$721,"Position 9",Positions!$E$2:$E$721,"G")+COUNTIFS(Positions!$B$2:$B$721,A31,Positions!$F$2:$F$721,"Position 26",Positions!$E$2:$E$721,"G")</f>
        <v>0</v>
      </c>
      <c r="H31" s="7">
        <f>COUNTIFS(Positions!$B$2:$B$721,A31,Positions!$F$2:$F$721,"Position 8",Positions!$E$2:$E$721,"C")+COUNTIFS(Positions!$B$2:$B$721,A31,Positions!$F$2:$F$721,"Position 9",Positions!$E$2:$E$721,"C")+COUNTIFS(Positions!$B$2:$B$721,A31,Positions!$F$2:$F$721,"Position 26",Positions!$E$2:$E$721,"C")</f>
        <v>0</v>
      </c>
      <c r="I31" s="8">
        <f t="shared" si="0"/>
        <v>0</v>
      </c>
      <c r="J31" s="25">
        <f t="shared" si="1"/>
        <v>0</v>
      </c>
    </row>
    <row r="32" spans="1:10">
      <c r="A32" s="4" t="s">
        <v>43</v>
      </c>
      <c r="B32" s="4" t="s">
        <v>76</v>
      </c>
      <c r="C32" s="4" t="s">
        <v>209</v>
      </c>
      <c r="D32" s="4" t="s">
        <v>247</v>
      </c>
      <c r="E32" s="4" t="s">
        <v>248</v>
      </c>
      <c r="F32" s="4">
        <f>COUNTIFS(Positions!$B$2:$B$721,A32,Positions!$F$2:$F$721,B32)</f>
        <v>9</v>
      </c>
      <c r="G32" s="4">
        <f>COUNTIFS(Positions!$B$2:$B$721,A32,Positions!$F$2:$F$721,B32,Positions!$E$2:$E$721,"G")</f>
        <v>3</v>
      </c>
      <c r="H32" s="4">
        <f>COUNTIFS(Positions!$B$2:$B$721,A32,Positions!$F$2:$F$721,B32,Positions!$E$2:$E$721,"C")</f>
        <v>1</v>
      </c>
      <c r="I32" s="3">
        <f t="shared" si="0"/>
        <v>4</v>
      </c>
      <c r="J32" s="6">
        <f t="shared" si="1"/>
        <v>0.44444444444444442</v>
      </c>
    </row>
    <row r="33" spans="1:10">
      <c r="A33" s="4" t="s">
        <v>43</v>
      </c>
      <c r="B33" s="4" t="s">
        <v>96</v>
      </c>
      <c r="C33" s="4" t="s">
        <v>212</v>
      </c>
      <c r="D33" s="4" t="s">
        <v>249</v>
      </c>
      <c r="E33" s="4" t="s">
        <v>257</v>
      </c>
      <c r="F33" s="4">
        <f>COUNTIFS(Positions!$B$2:$B$721,A33,Positions!$F$2:$F$721,B33)</f>
        <v>7</v>
      </c>
      <c r="G33" s="4">
        <f>COUNTIFS(Positions!$B$2:$B$721,A33,Positions!$F$2:$F$721,B33,Positions!$E$2:$E$721,"G")</f>
        <v>0</v>
      </c>
      <c r="H33" s="4">
        <f>COUNTIFS(Positions!$B$2:$B$721,A33,Positions!$F$2:$F$721,B33,Positions!$E$2:$E$721,"C")</f>
        <v>2</v>
      </c>
      <c r="I33" s="3">
        <f t="shared" si="0"/>
        <v>2</v>
      </c>
      <c r="J33" s="6">
        <f t="shared" si="1"/>
        <v>0.2857142857142857</v>
      </c>
    </row>
    <row r="34" spans="1:10">
      <c r="A34" s="4" t="s">
        <v>43</v>
      </c>
      <c r="B34" s="4" t="s">
        <v>109</v>
      </c>
      <c r="C34" s="4" t="s">
        <v>215</v>
      </c>
      <c r="D34" s="4" t="s">
        <v>258</v>
      </c>
      <c r="E34" s="4" t="s">
        <v>259</v>
      </c>
      <c r="F34" s="4">
        <f>COUNTIFS(Positions!$B$2:$B$721,A34,Positions!$F$2:$F$721,B34)</f>
        <v>20</v>
      </c>
      <c r="G34" s="4">
        <f>COUNTIFS(Positions!$B$2:$B$721,A34,Positions!$F$2:$F$721,B34,Positions!$E$2:$E$721,"G")</f>
        <v>6</v>
      </c>
      <c r="H34" s="4">
        <f>COUNTIFS(Positions!$B$2:$B$721,A34,Positions!$F$2:$F$721,B34,Positions!$E$2:$E$721,"C")</f>
        <v>2</v>
      </c>
      <c r="I34" s="3">
        <f t="shared" si="0"/>
        <v>8</v>
      </c>
      <c r="J34" s="6">
        <f t="shared" si="1"/>
        <v>0.4</v>
      </c>
    </row>
    <row r="35" spans="1:10">
      <c r="A35" s="4" t="s">
        <v>43</v>
      </c>
      <c r="B35" s="4" t="s">
        <v>120</v>
      </c>
      <c r="C35" s="4" t="s">
        <v>218</v>
      </c>
      <c r="D35" s="4" t="s">
        <v>260</v>
      </c>
      <c r="E35" s="4" t="s">
        <v>261</v>
      </c>
      <c r="F35" s="4">
        <f>COUNTIFS(Positions!$B$2:$B$721,A35,Positions!$F$2:$F$721,B35)</f>
        <v>7</v>
      </c>
      <c r="G35" s="4">
        <f>COUNTIFS(Positions!$B$2:$B$721,A35,Positions!$F$2:$F$721,B35,Positions!$E$2:$E$721,"G")</f>
        <v>1</v>
      </c>
      <c r="H35" s="4">
        <f>COUNTIFS(Positions!$B$2:$B$721,A35,Positions!$F$2:$F$721,B35,Positions!$E$2:$E$721,"C")</f>
        <v>3</v>
      </c>
      <c r="I35" s="3">
        <f t="shared" si="0"/>
        <v>4</v>
      </c>
      <c r="J35" s="6">
        <f t="shared" si="1"/>
        <v>0.5714285714285714</v>
      </c>
    </row>
    <row r="36" spans="1:10">
      <c r="A36" s="7" t="s">
        <v>43</v>
      </c>
      <c r="B36" s="7" t="s">
        <v>221</v>
      </c>
      <c r="C36" s="7" t="s">
        <v>222</v>
      </c>
      <c r="D36" s="7" t="s">
        <v>255</v>
      </c>
      <c r="E36" s="7" t="s">
        <v>256</v>
      </c>
      <c r="F36" s="7">
        <f>COUNTIFS(Positions!$B$2:$B$721,A36,Positions!$F$2:$F$721,"Position 8")+COUNTIFS(Positions!$B$2:$B$721,A36,Positions!$F$2:$F$721,"Position 9")+COUNTIFS(Positions!$B$2:$B$721,A36,Positions!$F$2:$F$721,"Position 26")</f>
        <v>3</v>
      </c>
      <c r="G36" s="7">
        <f>COUNTIFS(Positions!$B$2:$B$721,A36,Positions!$F$2:$F$721,"Position 8",Positions!$E$2:$E$721,"G")+COUNTIFS(Positions!$B$2:$B$721,A36,Positions!$F$2:$F$721,"Position 9",Positions!$E$2:$E$721,"G")+COUNTIFS(Positions!$B$2:$B$721,A36,Positions!$F$2:$F$721,"Position 26",Positions!$E$2:$E$721,"G")</f>
        <v>0</v>
      </c>
      <c r="H36" s="7">
        <f>COUNTIFS(Positions!$B$2:$B$721,A36,Positions!$F$2:$F$721,"Position 8",Positions!$E$2:$E$721,"C")+COUNTIFS(Positions!$B$2:$B$721,A36,Positions!$F$2:$F$721,"Position 9",Positions!$E$2:$E$721,"C")+COUNTIFS(Positions!$B$2:$B$721,A36,Positions!$F$2:$F$721,"Position 26",Positions!$E$2:$E$721,"C")</f>
        <v>0</v>
      </c>
      <c r="I36" s="8">
        <f t="shared" si="0"/>
        <v>0</v>
      </c>
      <c r="J36" s="25">
        <f t="shared" si="1"/>
        <v>0</v>
      </c>
    </row>
    <row r="37" spans="1:10">
      <c r="A37" s="4" t="s">
        <v>44</v>
      </c>
      <c r="B37" s="4" t="s">
        <v>76</v>
      </c>
      <c r="C37" s="4" t="s">
        <v>209</v>
      </c>
      <c r="D37" s="4" t="s">
        <v>247</v>
      </c>
      <c r="E37" s="4" t="s">
        <v>262</v>
      </c>
      <c r="F37" s="4">
        <f>COUNTIFS(Positions!$B$2:$B$721,A37,Positions!$F$2:$F$721,B37)</f>
        <v>9</v>
      </c>
      <c r="G37" s="4">
        <f>COUNTIFS(Positions!$B$2:$B$721,A37,Positions!$F$2:$F$721,B37,Positions!$E$2:$E$721,"G")</f>
        <v>4</v>
      </c>
      <c r="H37" s="4">
        <f>COUNTIFS(Positions!$B$2:$B$721,A37,Positions!$F$2:$F$721,B37,Positions!$E$2:$E$721,"C")</f>
        <v>0</v>
      </c>
      <c r="I37" s="3">
        <f t="shared" si="0"/>
        <v>4</v>
      </c>
      <c r="J37" s="6">
        <f t="shared" si="1"/>
        <v>0.44444444444444442</v>
      </c>
    </row>
    <row r="38" spans="1:10">
      <c r="A38" s="4" t="s">
        <v>44</v>
      </c>
      <c r="B38" s="4" t="s">
        <v>96</v>
      </c>
      <c r="C38" s="4" t="s">
        <v>212</v>
      </c>
      <c r="D38" s="4" t="s">
        <v>249</v>
      </c>
      <c r="E38" s="4" t="s">
        <v>263</v>
      </c>
      <c r="F38" s="4">
        <f>COUNTIFS(Positions!$B$2:$B$721,A38,Positions!$F$2:$F$721,B38)</f>
        <v>7</v>
      </c>
      <c r="G38" s="4">
        <f>COUNTIFS(Positions!$B$2:$B$721,A38,Positions!$F$2:$F$721,B38,Positions!$E$2:$E$721,"G")</f>
        <v>2</v>
      </c>
      <c r="H38" s="4">
        <f>COUNTIFS(Positions!$B$2:$B$721,A38,Positions!$F$2:$F$721,B38,Positions!$E$2:$E$721,"C")</f>
        <v>2</v>
      </c>
      <c r="I38" s="3">
        <f t="shared" si="0"/>
        <v>4</v>
      </c>
      <c r="J38" s="6">
        <f t="shared" si="1"/>
        <v>0.5714285714285714</v>
      </c>
    </row>
    <row r="39" spans="1:10">
      <c r="A39" s="4" t="s">
        <v>44</v>
      </c>
      <c r="B39" s="4" t="s">
        <v>109</v>
      </c>
      <c r="C39" s="4" t="s">
        <v>215</v>
      </c>
      <c r="D39" s="4" t="s">
        <v>264</v>
      </c>
      <c r="E39" s="4" t="s">
        <v>265</v>
      </c>
      <c r="F39" s="4">
        <f>COUNTIFS(Positions!$B$2:$B$721,A39,Positions!$F$2:$F$721,B39)</f>
        <v>24</v>
      </c>
      <c r="G39" s="4">
        <f>COUNTIFS(Positions!$B$2:$B$721,A39,Positions!$F$2:$F$721,B39,Positions!$E$2:$E$721,"G")</f>
        <v>4</v>
      </c>
      <c r="H39" s="4">
        <f>COUNTIFS(Positions!$B$2:$B$721,A39,Positions!$F$2:$F$721,B39,Positions!$E$2:$E$721,"C")</f>
        <v>5</v>
      </c>
      <c r="I39" s="3">
        <f t="shared" si="0"/>
        <v>9</v>
      </c>
      <c r="J39" s="6">
        <f t="shared" si="1"/>
        <v>0.375</v>
      </c>
    </row>
    <row r="40" spans="1:10">
      <c r="A40" s="4" t="s">
        <v>44</v>
      </c>
      <c r="B40" s="4" t="s">
        <v>120</v>
      </c>
      <c r="C40" s="4" t="s">
        <v>218</v>
      </c>
      <c r="D40" s="4" t="s">
        <v>266</v>
      </c>
      <c r="E40" s="4" t="s">
        <v>267</v>
      </c>
      <c r="F40" s="4">
        <f>COUNTIFS(Positions!$B$2:$B$721,A40,Positions!$F$2:$F$721,B40)</f>
        <v>7</v>
      </c>
      <c r="G40" s="4">
        <f>COUNTIFS(Positions!$B$2:$B$721,A40,Positions!$F$2:$F$721,B40,Positions!$E$2:$E$721,"G")</f>
        <v>0</v>
      </c>
      <c r="H40" s="4">
        <f>COUNTIFS(Positions!$B$2:$B$721,A40,Positions!$F$2:$F$721,B40,Positions!$E$2:$E$721,"C")</f>
        <v>3</v>
      </c>
      <c r="I40" s="3">
        <f t="shared" si="0"/>
        <v>3</v>
      </c>
      <c r="J40" s="6">
        <f t="shared" si="1"/>
        <v>0.42857142857142855</v>
      </c>
    </row>
    <row r="41" spans="1:10">
      <c r="A41" s="7" t="s">
        <v>44</v>
      </c>
      <c r="B41" s="7" t="s">
        <v>221</v>
      </c>
      <c r="C41" s="7" t="s">
        <v>222</v>
      </c>
      <c r="D41" s="7" t="s">
        <v>255</v>
      </c>
      <c r="E41" s="7" t="s">
        <v>268</v>
      </c>
      <c r="F41" s="7">
        <f>COUNTIFS(Positions!$B$2:$B$721,A41,Positions!$F$2:$F$721,"Position 8")+COUNTIFS(Positions!$B$2:$B$721,A41,Positions!$F$2:$F$721,"Position 9")+COUNTIFS(Positions!$B$2:$B$721,A41,Positions!$F$2:$F$721,"Position 26")</f>
        <v>3</v>
      </c>
      <c r="G41" s="7">
        <f>COUNTIFS(Positions!$B$2:$B$721,A41,Positions!$F$2:$F$721,"Position 8",Positions!$E$2:$E$721,"G")+COUNTIFS(Positions!$B$2:$B$721,A41,Positions!$F$2:$F$721,"Position 9",Positions!$E$2:$E$721,"G")+COUNTIFS(Positions!$B$2:$B$721,A41,Positions!$F$2:$F$721,"Position 26",Positions!$E$2:$E$721,"G")</f>
        <v>0</v>
      </c>
      <c r="H41" s="7">
        <f>COUNTIFS(Positions!$B$2:$B$721,A41,Positions!$F$2:$F$721,"Position 8",Positions!$E$2:$E$721,"C")+COUNTIFS(Positions!$B$2:$B$721,A41,Positions!$F$2:$F$721,"Position 9",Positions!$E$2:$E$721,"C")+COUNTIFS(Positions!$B$2:$B$721,A41,Positions!$F$2:$F$721,"Position 26",Positions!$E$2:$E$721,"C")</f>
        <v>0</v>
      </c>
      <c r="I41" s="8">
        <f t="shared" si="0"/>
        <v>0</v>
      </c>
      <c r="J41" s="25">
        <f t="shared" si="1"/>
        <v>0</v>
      </c>
    </row>
    <row r="42" spans="1:10">
      <c r="A42" s="4" t="s">
        <v>45</v>
      </c>
      <c r="B42" s="4" t="s">
        <v>76</v>
      </c>
      <c r="C42" s="4" t="s">
        <v>209</v>
      </c>
      <c r="D42" s="4" t="s">
        <v>269</v>
      </c>
      <c r="E42" s="4" t="s">
        <v>270</v>
      </c>
      <c r="F42" s="4">
        <f>COUNTIFS(Positions!$B$2:$B$721,A42,Positions!$F$2:$F$721,B42)</f>
        <v>10</v>
      </c>
      <c r="G42" s="4">
        <f>COUNTIFS(Positions!$B$2:$B$721,A42,Positions!$F$2:$F$721,B42,Positions!$E$2:$E$721,"G")</f>
        <v>5</v>
      </c>
      <c r="H42" s="4">
        <f>COUNTIFS(Positions!$B$2:$B$721,A42,Positions!$F$2:$F$721,B42,Positions!$E$2:$E$721,"C")</f>
        <v>3</v>
      </c>
      <c r="I42" s="3">
        <f t="shared" si="0"/>
        <v>8</v>
      </c>
      <c r="J42" s="6">
        <f t="shared" si="1"/>
        <v>0.8</v>
      </c>
    </row>
    <row r="43" spans="1:10">
      <c r="A43" s="4" t="s">
        <v>45</v>
      </c>
      <c r="B43" s="4" t="s">
        <v>96</v>
      </c>
      <c r="C43" s="4" t="s">
        <v>212</v>
      </c>
      <c r="D43" s="4" t="s">
        <v>271</v>
      </c>
      <c r="E43" s="4" t="s">
        <v>272</v>
      </c>
      <c r="F43" s="4">
        <f>COUNTIFS(Positions!$B$2:$B$721,A43,Positions!$F$2:$F$721,B43)</f>
        <v>7</v>
      </c>
      <c r="G43" s="4">
        <f>COUNTIFS(Positions!$B$2:$B$721,A43,Positions!$F$2:$F$721,B43,Positions!$E$2:$E$721,"G")</f>
        <v>2</v>
      </c>
      <c r="H43" s="4">
        <f>COUNTIFS(Positions!$B$2:$B$721,A43,Positions!$F$2:$F$721,B43,Positions!$E$2:$E$721,"C")</f>
        <v>1</v>
      </c>
      <c r="I43" s="3">
        <f t="shared" si="0"/>
        <v>3</v>
      </c>
      <c r="J43" s="6">
        <f t="shared" si="1"/>
        <v>0.42857142857142855</v>
      </c>
    </row>
    <row r="44" spans="1:10">
      <c r="A44" s="4" t="s">
        <v>45</v>
      </c>
      <c r="B44" s="4" t="s">
        <v>109</v>
      </c>
      <c r="C44" s="4" t="s">
        <v>215</v>
      </c>
      <c r="D44" s="4" t="s">
        <v>273</v>
      </c>
      <c r="E44" s="4" t="s">
        <v>274</v>
      </c>
      <c r="F44" s="4">
        <f>COUNTIFS(Positions!$B$2:$B$721,A44,Positions!$F$2:$F$721,B44)</f>
        <v>24</v>
      </c>
      <c r="G44" s="4">
        <f>COUNTIFS(Positions!$B$2:$B$721,A44,Positions!$F$2:$F$721,B44,Positions!$E$2:$E$721,"G")</f>
        <v>6</v>
      </c>
      <c r="H44" s="4">
        <f>COUNTIFS(Positions!$B$2:$B$721,A44,Positions!$F$2:$F$721,B44,Positions!$E$2:$E$721,"C")</f>
        <v>4</v>
      </c>
      <c r="I44" s="3">
        <f t="shared" si="0"/>
        <v>10</v>
      </c>
      <c r="J44" s="6">
        <f t="shared" si="1"/>
        <v>0.41666666666666669</v>
      </c>
    </row>
    <row r="45" spans="1:10">
      <c r="A45" s="4" t="s">
        <v>45</v>
      </c>
      <c r="B45" s="4" t="s">
        <v>120</v>
      </c>
      <c r="C45" s="4" t="s">
        <v>218</v>
      </c>
      <c r="D45" s="4" t="s">
        <v>275</v>
      </c>
      <c r="E45" s="4" t="s">
        <v>276</v>
      </c>
      <c r="F45" s="4">
        <f>COUNTIFS(Positions!$B$2:$B$721,A45,Positions!$F$2:$F$721,B45)</f>
        <v>7</v>
      </c>
      <c r="G45" s="4">
        <f>COUNTIFS(Positions!$B$2:$B$721,A45,Positions!$F$2:$F$721,B45,Positions!$E$2:$E$721,"G")</f>
        <v>0</v>
      </c>
      <c r="H45" s="4">
        <f>COUNTIFS(Positions!$B$2:$B$721,A45,Positions!$F$2:$F$721,B45,Positions!$E$2:$E$721,"C")</f>
        <v>2</v>
      </c>
      <c r="I45" s="3">
        <f t="shared" si="0"/>
        <v>2</v>
      </c>
      <c r="J45" s="6">
        <f t="shared" si="1"/>
        <v>0.2857142857142857</v>
      </c>
    </row>
    <row r="46" spans="1:10">
      <c r="A46" s="7" t="s">
        <v>45</v>
      </c>
      <c r="B46" s="7" t="s">
        <v>221</v>
      </c>
      <c r="C46" s="7" t="s">
        <v>222</v>
      </c>
      <c r="D46" s="7" t="s">
        <v>277</v>
      </c>
      <c r="E46" s="7" t="s">
        <v>278</v>
      </c>
      <c r="F46" s="7">
        <f>COUNTIFS(Positions!$B$2:$B$721,A46,Positions!$F$2:$F$721,"Position 8")+COUNTIFS(Positions!$B$2:$B$721,A46,Positions!$F$2:$F$721,"Position 9")+COUNTIFS(Positions!$B$2:$B$721,A46,Positions!$F$2:$F$721,"Position 26")</f>
        <v>3</v>
      </c>
      <c r="G46" s="7">
        <f>COUNTIFS(Positions!$B$2:$B$721,A46,Positions!$F$2:$F$721,"Position 8",Positions!$E$2:$E$721,"G")+COUNTIFS(Positions!$B$2:$B$721,A46,Positions!$F$2:$F$721,"Position 9",Positions!$E$2:$E$721,"G")+COUNTIFS(Positions!$B$2:$B$721,A46,Positions!$F$2:$F$721,"Position 26",Positions!$E$2:$E$721,"G")</f>
        <v>1</v>
      </c>
      <c r="H46" s="7">
        <f>COUNTIFS(Positions!$B$2:$B$721,A46,Positions!$F$2:$F$721,"Position 8",Positions!$E$2:$E$721,"C")+COUNTIFS(Positions!$B$2:$B$721,A46,Positions!$F$2:$F$721,"Position 9",Positions!$E$2:$E$721,"C")+COUNTIFS(Positions!$B$2:$B$721,A46,Positions!$F$2:$F$721,"Position 26",Positions!$E$2:$E$721,"C")</f>
        <v>0</v>
      </c>
      <c r="I46" s="8">
        <f t="shared" si="0"/>
        <v>1</v>
      </c>
      <c r="J46" s="25">
        <f t="shared" si="1"/>
        <v>0.33333333333333331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ColWidth="8.7109375" defaultRowHeight="15"/>
  <cols>
    <col min="1" max="1" width="120" customWidth="1"/>
  </cols>
  <sheetData>
    <row r="1" spans="1:1" ht="15.75">
      <c r="A1" s="26" t="s">
        <v>279</v>
      </c>
    </row>
    <row r="2" spans="1:1" ht="25.5">
      <c r="A2" s="27" t="s">
        <v>280</v>
      </c>
    </row>
    <row r="3" spans="1:1" ht="25.5">
      <c r="A3" s="27" t="s">
        <v>281</v>
      </c>
    </row>
    <row r="4" spans="1:1" ht="38.25">
      <c r="A4" s="27" t="s">
        <v>282</v>
      </c>
    </row>
    <row r="5" spans="1:1" ht="38.25">
      <c r="A5" s="27" t="s">
        <v>283</v>
      </c>
    </row>
    <row r="6" spans="1:1">
      <c r="A6" s="27" t="s">
        <v>284</v>
      </c>
    </row>
    <row r="7" spans="1:1">
      <c r="A7" s="27" t="s">
        <v>285</v>
      </c>
    </row>
    <row r="8" spans="1:1" ht="63.75">
      <c r="A8" s="27" t="s">
        <v>286</v>
      </c>
    </row>
    <row r="9" spans="1:1" ht="25.5">
      <c r="A9" s="27" t="s">
        <v>287</v>
      </c>
    </row>
    <row r="10" spans="1:1" ht="51">
      <c r="A10" s="27" t="s">
        <v>288</v>
      </c>
    </row>
    <row r="11" spans="1:1" ht="38.25">
      <c r="A11" s="27" t="s">
        <v>289</v>
      </c>
    </row>
    <row r="12" spans="1:1" ht="25.5">
      <c r="A12" s="27" t="s">
        <v>290</v>
      </c>
    </row>
    <row r="13" spans="1:1" ht="25.5">
      <c r="A13" s="27" t="s">
        <v>291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GC_Summary</vt:lpstr>
      <vt:lpstr>Positions</vt:lpstr>
      <vt:lpstr>Stems_3D_BP</vt:lpstr>
      <vt:lpstr>Loops</vt:lpstr>
      <vt:lpstr>Notes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2026-10-28T15:33:55Z</dcterms:created>
  <dcterms:modified xsi:type="dcterms:W3CDTF">2026-10-30T14:08:13Z</dcterms:modified>
  <dc:language>en-US</dc:language>
</cp:coreProperties>
</file>